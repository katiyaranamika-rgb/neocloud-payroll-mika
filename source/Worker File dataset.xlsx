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worker file" sheetId="1" state="visible" r:id="rId3"/>
    <sheet name="absence balance" sheetId="2" state="visible" r:id="rId4"/>
    <sheet name="Payroll inputs" sheetId="3" state="visible" r:id="rId5"/>
    <sheet name="employee events" sheetId="4" state="visible" r:id="rId6"/>
    <sheet name="timesheet data" sheetId="5" state="visible" r:id="rId7"/>
    <sheet name="pay group &amp; schedule" sheetId="6" state="visible" r:id="rId8"/>
    <sheet name="Shift Codes" sheetId="7" state="visible" r:id="rId9"/>
    <sheet name="Shift Roster" sheetId="8" state="visible" r:id="rId10"/>
  </sheets>
  <definedNames>
    <definedName function="false" hidden="true" localSheetId="4" name="_xlnm._FilterDatabase" vbProcedure="false">'timesheet data'!$A$1:$R$335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<sst xmlns="http://schemas.openxmlformats.org/spreadsheetml/2006/main" count="12572" uniqueCount="849">
  <si>
    <t xml:space="preserve">ID </t>
  </si>
  <si>
    <t xml:space="preserve">Dept </t>
  </si>
  <si>
    <t xml:space="preserve">Location </t>
  </si>
  <si>
    <t xml:space="preserve">State</t>
  </si>
  <si>
    <t xml:space="preserve">Country</t>
  </si>
  <si>
    <t xml:space="preserve">Level</t>
  </si>
  <si>
    <t xml:space="preserve">FLSA</t>
  </si>
  <si>
    <t xml:space="preserve">Pay Rate type</t>
  </si>
  <si>
    <t xml:space="preserve">Salary</t>
  </si>
  <si>
    <t xml:space="preserve">Hourly rate</t>
  </si>
  <si>
    <t xml:space="preserve">Currency</t>
  </si>
  <si>
    <t xml:space="preserve">Pay Group</t>
  </si>
  <si>
    <t xml:space="preserve">Hire Date</t>
  </si>
  <si>
    <t xml:space="preserve">Term Date</t>
  </si>
  <si>
    <t xml:space="preserve">Leave Start Date</t>
  </si>
  <si>
    <t xml:space="preserve">Mgr </t>
  </si>
  <si>
    <t xml:space="preserve">Status</t>
  </si>
  <si>
    <t xml:space="preserve">Worker Type</t>
  </si>
  <si>
    <t xml:space="preserve">scheduled weekly hours</t>
  </si>
  <si>
    <t xml:space="preserve">time type</t>
  </si>
  <si>
    <t xml:space="preserve">time entry template</t>
  </si>
  <si>
    <t xml:space="preserve">time calculation group</t>
  </si>
  <si>
    <t xml:space="preserve">work schedule</t>
  </si>
  <si>
    <t xml:space="preserve">Default Shift Code</t>
  </si>
  <si>
    <t xml:space="preserve">Notes</t>
  </si>
  <si>
    <t xml:space="preserve">E0001 </t>
  </si>
  <si>
    <t xml:space="preserve">GPU Cloud </t>
  </si>
  <si>
    <t xml:space="preserve">San Francisco </t>
  </si>
  <si>
    <t xml:space="preserve">CA</t>
  </si>
  <si>
    <t xml:space="preserve">US</t>
  </si>
  <si>
    <t xml:space="preserve">M5 </t>
  </si>
  <si>
    <t xml:space="preserve">Exempt</t>
  </si>
  <si>
    <t xml:space="preserve">285,000 </t>
  </si>
  <si>
    <t xml:space="preserve">USD</t>
  </si>
  <si>
    <t xml:space="preserve">US Semi-monthly</t>
  </si>
  <si>
    <t xml:space="preserve">E0000 </t>
  </si>
  <si>
    <t xml:space="preserve">Active</t>
  </si>
  <si>
    <t xml:space="preserve">Employee</t>
  </si>
  <si>
    <t xml:space="preserve">Full time</t>
  </si>
  <si>
    <t xml:space="preserve">STD</t>
  </si>
  <si>
    <t xml:space="preserve">E0004 </t>
  </si>
  <si>
    <t xml:space="preserve">Remote-US</t>
  </si>
  <si>
    <t xml:space="preserve">WA</t>
  </si>
  <si>
    <t xml:space="preserve">IC3 </t>
  </si>
  <si>
    <t xml:space="preserve">160,000 </t>
  </si>
  <si>
    <t xml:space="preserve">E0002 </t>
  </si>
  <si>
    <t xml:space="preserve">Termination pending</t>
  </si>
  <si>
    <t xml:space="preserve">Term date = end of current pay period (US Semi-monthly Oct 16–31, 2026)</t>
  </si>
  <si>
    <t xml:space="preserve">E0006 </t>
  </si>
  <si>
    <t xml:space="preserve">On-Prem </t>
  </si>
  <si>
    <t xml:space="preserve">London </t>
  </si>
  <si>
    <t xml:space="preserve">UK </t>
  </si>
  <si>
    <t xml:space="preserve">UK</t>
  </si>
  <si>
    <t xml:space="preserve">IC4 </t>
  </si>
  <si>
    <t xml:space="preserve">85,000 </t>
  </si>
  <si>
    <t xml:space="preserve">GBP</t>
  </si>
  <si>
    <t xml:space="preserve">UK Monthly</t>
  </si>
  <si>
    <t xml:space="preserve">E0005 </t>
  </si>
  <si>
    <t xml:space="preserve">Term date = end of current pay period (UK Monthly Oct 1–31, 2026)</t>
  </si>
  <si>
    <t xml:space="preserve">E0008 </t>
  </si>
  <si>
    <t xml:space="preserve">Engineering </t>
  </si>
  <si>
    <t xml:space="preserve">Toronto </t>
  </si>
  <si>
    <t xml:space="preserve">Ontario</t>
  </si>
  <si>
    <t xml:space="preserve">IC5 </t>
  </si>
  <si>
    <t xml:space="preserve">CAD</t>
  </si>
  <si>
    <t xml:space="preserve">Canada Monthly</t>
  </si>
  <si>
    <t xml:space="preserve">E0007 </t>
  </si>
  <si>
    <t xml:space="preserve">E0009 </t>
  </si>
  <si>
    <t xml:space="preserve">Bangalore</t>
  </si>
  <si>
    <t xml:space="preserve">Karnataka</t>
  </si>
  <si>
    <t xml:space="preserve">IN</t>
  </si>
  <si>
    <t xml:space="preserve">45,00,000</t>
  </si>
  <si>
    <t xml:space="preserve">INR</t>
  </si>
  <si>
    <t xml:space="preserve">India Monthly</t>
  </si>
  <si>
    <t xml:space="preserve">Term date mid-period (India Monthly Oct 1–31, 2026)</t>
  </si>
  <si>
    <t xml:space="preserve">E0021 </t>
  </si>
  <si>
    <t xml:space="preserve">San Jose</t>
  </si>
  <si>
    <t xml:space="preserve">T2 </t>
  </si>
  <si>
    <t xml:space="preserve">Non-Exempt</t>
  </si>
  <si>
    <t xml:space="preserve">Hourly</t>
  </si>
  <si>
    <t xml:space="preserve">US Biweekly</t>
  </si>
  <si>
    <t xml:space="preserve">DAY</t>
  </si>
  <si>
    <t xml:space="preserve">E0022 </t>
  </si>
  <si>
    <t xml:space="preserve">Austin </t>
  </si>
  <si>
    <t xml:space="preserve">TX</t>
  </si>
  <si>
    <t xml:space="preserve">SWNG</t>
  </si>
  <si>
    <t xml:space="preserve">E0148 </t>
  </si>
  <si>
    <t xml:space="preserve">Last day = end of current pay period (US Biweekly Oct 4–17, 2026)</t>
  </si>
  <si>
    <t xml:space="preserve">E0149 </t>
  </si>
  <si>
    <t xml:space="preserve">G&amp;A </t>
  </si>
  <si>
    <t xml:space="preserve">NY</t>
  </si>
  <si>
    <t xml:space="preserve">180,000 </t>
  </si>
  <si>
    <t xml:space="preserve">E0010 </t>
  </si>
  <si>
    <t xml:space="preserve">On Leave(unpaid)</t>
  </si>
  <si>
    <t xml:space="preserve">E0203 </t>
  </si>
  <si>
    <t xml:space="preserve">190,000 </t>
  </si>
  <si>
    <t xml:space="preserve">New Hire</t>
  </si>
  <si>
    <t xml:space="preserve">New hire starting mid-period (US Semi-monthly Oct 16–31, 2026)</t>
  </si>
  <si>
    <t xml:space="preserve">E0000</t>
  </si>
  <si>
    <t xml:space="preserve">G&amp;A</t>
  </si>
  <si>
    <t xml:space="preserve">San Francisco</t>
  </si>
  <si>
    <t xml:space="preserve">M7</t>
  </si>
  <si>
    <t xml:space="preserve">E0002</t>
  </si>
  <si>
    <t xml:space="preserve">GPU Cloud</t>
  </si>
  <si>
    <t xml:space="preserve">M6</t>
  </si>
  <si>
    <t xml:space="preserve">E0003</t>
  </si>
  <si>
    <t xml:space="preserve">Seattle</t>
  </si>
  <si>
    <t xml:space="preserve">M5</t>
  </si>
  <si>
    <t xml:space="preserve">E0005</t>
  </si>
  <si>
    <t xml:space="preserve">On-Prem</t>
  </si>
  <si>
    <t xml:space="preserve">Dallas</t>
  </si>
  <si>
    <t xml:space="preserve">E0007</t>
  </si>
  <si>
    <t xml:space="preserve">Engineering</t>
  </si>
  <si>
    <t xml:space="preserve">Austin</t>
  </si>
  <si>
    <t xml:space="preserve">E0010</t>
  </si>
  <si>
    <t xml:space="preserve">E0011</t>
  </si>
  <si>
    <t xml:space="preserve">E0012</t>
  </si>
  <si>
    <t xml:space="preserve">E0013</t>
  </si>
  <si>
    <t xml:space="preserve">E0014</t>
  </si>
  <si>
    <t xml:space="preserve">M4</t>
  </si>
  <si>
    <t xml:space="preserve">E0015</t>
  </si>
  <si>
    <t xml:space="preserve">T2</t>
  </si>
  <si>
    <t xml:space="preserve">E0016</t>
  </si>
  <si>
    <t xml:space="preserve">E0017</t>
  </si>
  <si>
    <t xml:space="preserve">IC2</t>
  </si>
  <si>
    <t xml:space="preserve">Term date mid-period (US Semi-monthly Oct 16–31, 2026)</t>
  </si>
  <si>
    <t xml:space="preserve">E0018</t>
  </si>
  <si>
    <t xml:space="preserve">New York</t>
  </si>
  <si>
    <t xml:space="preserve">E0019</t>
  </si>
  <si>
    <t xml:space="preserve">E0020</t>
  </si>
  <si>
    <t xml:space="preserve">T1</t>
  </si>
  <si>
    <t xml:space="preserve">E0023</t>
  </si>
  <si>
    <t xml:space="preserve">T3</t>
  </si>
  <si>
    <t xml:space="preserve">E0024</t>
  </si>
  <si>
    <t xml:space="preserve">E0025</t>
  </si>
  <si>
    <t xml:space="preserve">E0026</t>
  </si>
  <si>
    <t xml:space="preserve">E0027</t>
  </si>
  <si>
    <t xml:space="preserve">E0028</t>
  </si>
  <si>
    <t xml:space="preserve">Term date mid-period (US Biweekly Oct 4–17, 2026); timecards after Oct 13 removed (incl. Oct 14 off-schedule punch)</t>
  </si>
  <si>
    <t xml:space="preserve">E0029</t>
  </si>
  <si>
    <t xml:space="preserve">Part time</t>
  </si>
  <si>
    <t xml:space="preserve">PT</t>
  </si>
  <si>
    <t xml:space="preserve">Term date = end of current pay period (US Biweekly Oct 4–17, 2026)</t>
  </si>
  <si>
    <t xml:space="preserve">E0030</t>
  </si>
  <si>
    <t xml:space="preserve">E0031</t>
  </si>
  <si>
    <t xml:space="preserve">E0032</t>
  </si>
  <si>
    <t xml:space="preserve">E0033</t>
  </si>
  <si>
    <t xml:space="preserve">E0034</t>
  </si>
  <si>
    <t xml:space="preserve">E0035</t>
  </si>
  <si>
    <t xml:space="preserve">IC1</t>
  </si>
  <si>
    <t xml:space="preserve">E0036</t>
  </si>
  <si>
    <t xml:space="preserve">WKND</t>
  </si>
  <si>
    <t xml:space="preserve">E0037</t>
  </si>
  <si>
    <t xml:space="preserve">E0038</t>
  </si>
  <si>
    <t xml:space="preserve">MA</t>
  </si>
  <si>
    <t xml:space="preserve">E0039</t>
  </si>
  <si>
    <t xml:space="preserve">IC5</t>
  </si>
  <si>
    <t xml:space="preserve">E0040</t>
  </si>
  <si>
    <t xml:space="preserve">E0041</t>
  </si>
  <si>
    <t xml:space="preserve">E0042</t>
  </si>
  <si>
    <t xml:space="preserve">E0043</t>
  </si>
  <si>
    <t xml:space="preserve">E0044</t>
  </si>
  <si>
    <t xml:space="preserve">E0045</t>
  </si>
  <si>
    <t xml:space="preserve">IC3</t>
  </si>
  <si>
    <t xml:space="preserve">E0046</t>
  </si>
  <si>
    <t xml:space="preserve">IC4</t>
  </si>
  <si>
    <t xml:space="preserve">E0047</t>
  </si>
  <si>
    <t xml:space="preserve">E0048</t>
  </si>
  <si>
    <t xml:space="preserve">E0049</t>
  </si>
  <si>
    <t xml:space="preserve">E0050</t>
  </si>
  <si>
    <t xml:space="preserve">E0051</t>
  </si>
  <si>
    <t xml:space="preserve">E0052</t>
  </si>
  <si>
    <t xml:space="preserve">E0053</t>
  </si>
  <si>
    <t xml:space="preserve">E0054</t>
  </si>
  <si>
    <t xml:space="preserve">E0055</t>
  </si>
  <si>
    <t xml:space="preserve">E0056</t>
  </si>
  <si>
    <t xml:space="preserve">E0001</t>
  </si>
  <si>
    <t xml:space="preserve">E0057</t>
  </si>
  <si>
    <t xml:space="preserve">E0058</t>
  </si>
  <si>
    <t xml:space="preserve">E0059</t>
  </si>
  <si>
    <t xml:space="preserve">London</t>
  </si>
  <si>
    <t xml:space="preserve">E0060</t>
  </si>
  <si>
    <t xml:space="preserve">E0061</t>
  </si>
  <si>
    <t xml:space="preserve">E0062</t>
  </si>
  <si>
    <t xml:space="preserve">E0063</t>
  </si>
  <si>
    <t xml:space="preserve">GA</t>
  </si>
  <si>
    <t xml:space="preserve">E0064</t>
  </si>
  <si>
    <t xml:space="preserve">E0065</t>
  </si>
  <si>
    <t xml:space="preserve">E0066</t>
  </si>
  <si>
    <t xml:space="preserve">IL</t>
  </si>
  <si>
    <t xml:space="preserve">E0067</t>
  </si>
  <si>
    <t xml:space="preserve">E0068</t>
  </si>
  <si>
    <t xml:space="preserve">E0069</t>
  </si>
  <si>
    <t xml:space="preserve">E0070</t>
  </si>
  <si>
    <t xml:space="preserve">E0071</t>
  </si>
  <si>
    <t xml:space="preserve">E0072</t>
  </si>
  <si>
    <t xml:space="preserve">E0073</t>
  </si>
  <si>
    <t xml:space="preserve">E0074</t>
  </si>
  <si>
    <t xml:space="preserve">E0075</t>
  </si>
  <si>
    <t xml:space="preserve">E0076</t>
  </si>
  <si>
    <t xml:space="preserve">E0077</t>
  </si>
  <si>
    <t xml:space="preserve">E0078</t>
  </si>
  <si>
    <t xml:space="preserve">E0079</t>
  </si>
  <si>
    <t xml:space="preserve">E0080</t>
  </si>
  <si>
    <t xml:space="preserve">E0081</t>
  </si>
  <si>
    <t xml:space="preserve">E0082</t>
  </si>
  <si>
    <t xml:space="preserve">E0083</t>
  </si>
  <si>
    <t xml:space="preserve">E0084</t>
  </si>
  <si>
    <t xml:space="preserve">E0085</t>
  </si>
  <si>
    <t xml:space="preserve">E0086</t>
  </si>
  <si>
    <t xml:space="preserve">E0087</t>
  </si>
  <si>
    <t xml:space="preserve">E0088</t>
  </si>
  <si>
    <t xml:space="preserve">E0089</t>
  </si>
  <si>
    <t xml:space="preserve">E0090</t>
  </si>
  <si>
    <t xml:space="preserve">E0091</t>
  </si>
  <si>
    <t xml:space="preserve">E0092</t>
  </si>
  <si>
    <t xml:space="preserve">E0093</t>
  </si>
  <si>
    <t xml:space="preserve">E0094</t>
  </si>
  <si>
    <t xml:space="preserve">E0095</t>
  </si>
  <si>
    <t xml:space="preserve">E0096</t>
  </si>
  <si>
    <t xml:space="preserve">E0097</t>
  </si>
  <si>
    <t xml:space="preserve">E0098</t>
  </si>
  <si>
    <t xml:space="preserve">E0099</t>
  </si>
  <si>
    <t xml:space="preserve">E0100</t>
  </si>
  <si>
    <t xml:space="preserve">Hyderabad</t>
  </si>
  <si>
    <t xml:space="preserve">Telangana</t>
  </si>
  <si>
    <t xml:space="preserve">E0101</t>
  </si>
  <si>
    <t xml:space="preserve">E0102</t>
  </si>
  <si>
    <t xml:space="preserve">E0103</t>
  </si>
  <si>
    <t xml:space="preserve">E0104</t>
  </si>
  <si>
    <t xml:space="preserve">E0105</t>
  </si>
  <si>
    <t xml:space="preserve">E0106</t>
  </si>
  <si>
    <t xml:space="preserve">E0107</t>
  </si>
  <si>
    <t xml:space="preserve">E0108</t>
  </si>
  <si>
    <t xml:space="preserve">E0109</t>
  </si>
  <si>
    <t xml:space="preserve">E0110</t>
  </si>
  <si>
    <t xml:space="preserve">IC6</t>
  </si>
  <si>
    <t xml:space="preserve">E0111</t>
  </si>
  <si>
    <t xml:space="preserve">E0112</t>
  </si>
  <si>
    <t xml:space="preserve">NGHT</t>
  </si>
  <si>
    <t xml:space="preserve">E0113</t>
  </si>
  <si>
    <t xml:space="preserve">E0114</t>
  </si>
  <si>
    <t xml:space="preserve">E0115</t>
  </si>
  <si>
    <t xml:space="preserve">E0116</t>
  </si>
  <si>
    <t xml:space="preserve">E0117</t>
  </si>
  <si>
    <t xml:space="preserve">E0118</t>
  </si>
  <si>
    <t xml:space="preserve">E0119</t>
  </si>
  <si>
    <t xml:space="preserve">E0120</t>
  </si>
  <si>
    <t xml:space="preserve">E0121</t>
  </si>
  <si>
    <t xml:space="preserve">E0122</t>
  </si>
  <si>
    <t xml:space="preserve">E0123</t>
  </si>
  <si>
    <t xml:space="preserve">E0124</t>
  </si>
  <si>
    <t xml:space="preserve">E0125</t>
  </si>
  <si>
    <t xml:space="preserve">E0126</t>
  </si>
  <si>
    <t xml:space="preserve">E0127</t>
  </si>
  <si>
    <t xml:space="preserve">E0128</t>
  </si>
  <si>
    <t xml:space="preserve">E0129</t>
  </si>
  <si>
    <t xml:space="preserve">E0130</t>
  </si>
  <si>
    <t xml:space="preserve">E0131</t>
  </si>
  <si>
    <t xml:space="preserve">E0132</t>
  </si>
  <si>
    <t xml:space="preserve">E0133</t>
  </si>
  <si>
    <t xml:space="preserve">E0134</t>
  </si>
  <si>
    <t xml:space="preserve">E0135</t>
  </si>
  <si>
    <t xml:space="preserve">E0136</t>
  </si>
  <si>
    <t xml:space="preserve">E0137</t>
  </si>
  <si>
    <t xml:space="preserve">E0138</t>
  </si>
  <si>
    <t xml:space="preserve">CO</t>
  </si>
  <si>
    <t xml:space="preserve">E0139</t>
  </si>
  <si>
    <t xml:space="preserve">E0140</t>
  </si>
  <si>
    <t xml:space="preserve">E0141</t>
  </si>
  <si>
    <t xml:space="preserve">E0142</t>
  </si>
  <si>
    <t xml:space="preserve">E0143</t>
  </si>
  <si>
    <t xml:space="preserve">E0144</t>
  </si>
  <si>
    <t xml:space="preserve">E0145</t>
  </si>
  <si>
    <t xml:space="preserve">E0146</t>
  </si>
  <si>
    <t xml:space="preserve">E0147</t>
  </si>
  <si>
    <t xml:space="preserve">E0150</t>
  </si>
  <si>
    <t xml:space="preserve">E0151</t>
  </si>
  <si>
    <t xml:space="preserve">E0152</t>
  </si>
  <si>
    <t xml:space="preserve">E0153</t>
  </si>
  <si>
    <t xml:space="preserve">E0154</t>
  </si>
  <si>
    <t xml:space="preserve">E0155</t>
  </si>
  <si>
    <t xml:space="preserve">E0156</t>
  </si>
  <si>
    <t xml:space="preserve">E0157</t>
  </si>
  <si>
    <t xml:space="preserve">E0158</t>
  </si>
  <si>
    <t xml:space="preserve">E0159</t>
  </si>
  <si>
    <t xml:space="preserve">E0160</t>
  </si>
  <si>
    <t xml:space="preserve">On Leave(paid)</t>
  </si>
  <si>
    <t xml:space="preserve">E0161</t>
  </si>
  <si>
    <t xml:space="preserve">E0162</t>
  </si>
  <si>
    <t xml:space="preserve">E0163</t>
  </si>
  <si>
    <t xml:space="preserve">E0164</t>
  </si>
  <si>
    <t xml:space="preserve">E0165</t>
  </si>
  <si>
    <t xml:space="preserve">E0166</t>
  </si>
  <si>
    <t xml:space="preserve">E0167</t>
  </si>
  <si>
    <t xml:space="preserve">E0168</t>
  </si>
  <si>
    <t xml:space="preserve">E0169</t>
  </si>
  <si>
    <t xml:space="preserve">E0170</t>
  </si>
  <si>
    <t xml:space="preserve">E0171</t>
  </si>
  <si>
    <t xml:space="preserve">E0172</t>
  </si>
  <si>
    <t xml:space="preserve">E0173</t>
  </si>
  <si>
    <t xml:space="preserve">E0174</t>
  </si>
  <si>
    <t xml:space="preserve">E0175</t>
  </si>
  <si>
    <t xml:space="preserve">E0176</t>
  </si>
  <si>
    <t xml:space="preserve">E0177</t>
  </si>
  <si>
    <t xml:space="preserve">E0178</t>
  </si>
  <si>
    <t xml:space="preserve">E0179</t>
  </si>
  <si>
    <t xml:space="preserve">E0180</t>
  </si>
  <si>
    <t xml:space="preserve">E0181</t>
  </si>
  <si>
    <t xml:space="preserve">E0182</t>
  </si>
  <si>
    <t xml:space="preserve">E0183</t>
  </si>
  <si>
    <t xml:space="preserve">E0184</t>
  </si>
  <si>
    <t xml:space="preserve">E0185</t>
  </si>
  <si>
    <t xml:space="preserve">E0186</t>
  </si>
  <si>
    <t xml:space="preserve">E0187</t>
  </si>
  <si>
    <t xml:space="preserve">E0188</t>
  </si>
  <si>
    <t xml:space="preserve">E0189</t>
  </si>
  <si>
    <t xml:space="preserve">E0190</t>
  </si>
  <si>
    <t xml:space="preserve">E0191</t>
  </si>
  <si>
    <t xml:space="preserve">E0192</t>
  </si>
  <si>
    <t xml:space="preserve">E0193</t>
  </si>
  <si>
    <t xml:space="preserve">E0194</t>
  </si>
  <si>
    <t xml:space="preserve">E0195</t>
  </si>
  <si>
    <t xml:space="preserve">E0196</t>
  </si>
  <si>
    <t xml:space="preserve">E0197</t>
  </si>
  <si>
    <t xml:space="preserve">E0198</t>
  </si>
  <si>
    <t xml:space="preserve">E0199</t>
  </si>
  <si>
    <t xml:space="preserve">E0200</t>
  </si>
  <si>
    <t xml:space="preserve">E0201</t>
  </si>
  <si>
    <t xml:space="preserve">E0202</t>
  </si>
  <si>
    <t xml:space="preserve">E0204</t>
  </si>
  <si>
    <t xml:space="preserve">E0205</t>
  </si>
  <si>
    <t xml:space="preserve">E0206</t>
  </si>
  <si>
    <t xml:space="preserve">E0207</t>
  </si>
  <si>
    <t xml:space="preserve">E0208</t>
  </si>
  <si>
    <t xml:space="preserve">E0209</t>
  </si>
  <si>
    <t xml:space="preserve">E0210</t>
  </si>
  <si>
    <t xml:space="preserve">E0211</t>
  </si>
  <si>
    <t xml:space="preserve">E0212</t>
  </si>
  <si>
    <t xml:space="preserve">E0213</t>
  </si>
  <si>
    <t xml:space="preserve">E0214</t>
  </si>
  <si>
    <t xml:space="preserve">E0215</t>
  </si>
  <si>
    <t xml:space="preserve">E0216</t>
  </si>
  <si>
    <t xml:space="preserve">E0217</t>
  </si>
  <si>
    <t xml:space="preserve">E0218</t>
  </si>
  <si>
    <t xml:space="preserve">E0219</t>
  </si>
  <si>
    <t xml:space="preserve">E0220</t>
  </si>
  <si>
    <t xml:space="preserve">E0221</t>
  </si>
  <si>
    <t xml:space="preserve">E0222</t>
  </si>
  <si>
    <t xml:space="preserve">E0223</t>
  </si>
  <si>
    <t xml:space="preserve">E0224</t>
  </si>
  <si>
    <t xml:space="preserve">E0225</t>
  </si>
  <si>
    <t xml:space="preserve">E0226</t>
  </si>
  <si>
    <t xml:space="preserve">E0227</t>
  </si>
  <si>
    <t xml:space="preserve">E0228</t>
  </si>
  <si>
    <t xml:space="preserve">E0229</t>
  </si>
  <si>
    <t xml:space="preserve">E0230</t>
  </si>
  <si>
    <t xml:space="preserve">E0231</t>
  </si>
  <si>
    <t xml:space="preserve">E0232</t>
  </si>
  <si>
    <t xml:space="preserve">E0233</t>
  </si>
  <si>
    <t xml:space="preserve">E0234</t>
  </si>
  <si>
    <t xml:space="preserve">E0235</t>
  </si>
  <si>
    <t xml:space="preserve">E0236</t>
  </si>
  <si>
    <t xml:space="preserve">E0237</t>
  </si>
  <si>
    <t xml:space="preserve">E0238</t>
  </si>
  <si>
    <t xml:space="preserve">E0239</t>
  </si>
  <si>
    <t xml:space="preserve">E0240</t>
  </si>
  <si>
    <t xml:space="preserve">E0241</t>
  </si>
  <si>
    <t xml:space="preserve">E0242</t>
  </si>
  <si>
    <t xml:space="preserve">E0243</t>
  </si>
  <si>
    <t xml:space="preserve">E0244</t>
  </si>
  <si>
    <t xml:space="preserve">E0245</t>
  </si>
  <si>
    <t xml:space="preserve">E0246</t>
  </si>
  <si>
    <t xml:space="preserve">E0247</t>
  </si>
  <si>
    <t xml:space="preserve">E0248</t>
  </si>
  <si>
    <t xml:space="preserve">E0249</t>
  </si>
  <si>
    <t xml:space="preserve">E0250</t>
  </si>
  <si>
    <t xml:space="preserve">E0251</t>
  </si>
  <si>
    <t xml:space="preserve">E0252</t>
  </si>
  <si>
    <t xml:space="preserve">E0253</t>
  </si>
  <si>
    <t xml:space="preserve">E0254</t>
  </si>
  <si>
    <t xml:space="preserve">E0255</t>
  </si>
  <si>
    <t xml:space="preserve">E0256</t>
  </si>
  <si>
    <t xml:space="preserve">E0257</t>
  </si>
  <si>
    <t xml:space="preserve">E0258</t>
  </si>
  <si>
    <t xml:space="preserve">E0259</t>
  </si>
  <si>
    <t xml:space="preserve">E0260</t>
  </si>
  <si>
    <t xml:space="preserve">E0261</t>
  </si>
  <si>
    <t xml:space="preserve">E0262</t>
  </si>
  <si>
    <t xml:space="preserve">E0263</t>
  </si>
  <si>
    <t xml:space="preserve">E0264</t>
  </si>
  <si>
    <t xml:space="preserve">E0265</t>
  </si>
  <si>
    <t xml:space="preserve">E0266</t>
  </si>
  <si>
    <t xml:space="preserve">E0267</t>
  </si>
  <si>
    <t xml:space="preserve">E0268</t>
  </si>
  <si>
    <t xml:space="preserve">Hire date updated to Aug 1, 2026; 6 US Semi-monthly periods through Oct 16–31, 2026 (derived YTD = salary/24 × 6)</t>
  </si>
  <si>
    <t xml:space="preserve">E0269</t>
  </si>
  <si>
    <t xml:space="preserve">E0270</t>
  </si>
  <si>
    <t xml:space="preserve">Hire date updated to Sep 16, 2026; 3 US Semi-monthly periods through Oct 16–31, 2026 (derived YTD = salary/24 × 3)</t>
  </si>
  <si>
    <t xml:space="preserve">E0271</t>
  </si>
  <si>
    <t xml:space="preserve">E0272</t>
  </si>
  <si>
    <t xml:space="preserve">E0273</t>
  </si>
  <si>
    <t xml:space="preserve">Hire date updated to Aug 16, 2026; 5 US Semi-monthly periods through Oct 16–31, 2026 (derived YTD = salary/24 × 5)</t>
  </si>
  <si>
    <t xml:space="preserve">E0274</t>
  </si>
  <si>
    <t xml:space="preserve">E0275</t>
  </si>
  <si>
    <t xml:space="preserve">E0276</t>
  </si>
  <si>
    <t xml:space="preserve">E0277</t>
  </si>
  <si>
    <t xml:space="preserve">E0278</t>
  </si>
  <si>
    <t xml:space="preserve">E0279</t>
  </si>
  <si>
    <t xml:space="preserve">E0280</t>
  </si>
  <si>
    <t xml:space="preserve">E0281</t>
  </si>
  <si>
    <t xml:space="preserve">E0282</t>
  </si>
  <si>
    <t xml:space="preserve">E0283</t>
  </si>
  <si>
    <t xml:space="preserve">E0284</t>
  </si>
  <si>
    <t xml:space="preserve">E0285</t>
  </si>
  <si>
    <t xml:space="preserve">E0286</t>
  </si>
  <si>
    <t xml:space="preserve">E0287</t>
  </si>
  <si>
    <t xml:space="preserve">E0288</t>
  </si>
  <si>
    <t xml:space="preserve">E0289</t>
  </si>
  <si>
    <t xml:space="preserve">E0290</t>
  </si>
  <si>
    <t xml:space="preserve">E0291</t>
  </si>
  <si>
    <t xml:space="preserve">E0292</t>
  </si>
  <si>
    <t xml:space="preserve">E0293</t>
  </si>
  <si>
    <t xml:space="preserve">Hire date updated to Sep 1, 2026; 4 US Semi-monthly periods through Oct 16–31, 2026 (derived YTD = salary/24 × 4)</t>
  </si>
  <si>
    <t xml:space="preserve">E0294</t>
  </si>
  <si>
    <t xml:space="preserve">E0295</t>
  </si>
  <si>
    <t xml:space="preserve">E0296</t>
  </si>
  <si>
    <t xml:space="preserve">E0297</t>
  </si>
  <si>
    <t xml:space="preserve">E0298</t>
  </si>
  <si>
    <t xml:space="preserve">E0299</t>
  </si>
  <si>
    <t xml:space="preserve">E0300</t>
  </si>
  <si>
    <t xml:space="preserve">E0301</t>
  </si>
  <si>
    <t xml:space="preserve">E0302</t>
  </si>
  <si>
    <t xml:space="preserve">E0303</t>
  </si>
  <si>
    <t xml:space="preserve">E0304</t>
  </si>
  <si>
    <t xml:space="preserve">E0305</t>
  </si>
  <si>
    <t xml:space="preserve">E0306</t>
  </si>
  <si>
    <t xml:space="preserve">E0307</t>
  </si>
  <si>
    <t xml:space="preserve">E0308</t>
  </si>
  <si>
    <t xml:space="preserve">E0309</t>
  </si>
  <si>
    <t xml:space="preserve">E0310</t>
  </si>
  <si>
    <t xml:space="preserve">E0311</t>
  </si>
  <si>
    <t xml:space="preserve">E0312</t>
  </si>
  <si>
    <t xml:space="preserve">E0313</t>
  </si>
  <si>
    <t xml:space="preserve">E0314</t>
  </si>
  <si>
    <t xml:space="preserve">E0315</t>
  </si>
  <si>
    <t xml:space="preserve">E0316</t>
  </si>
  <si>
    <t xml:space="preserve">E0317</t>
  </si>
  <si>
    <t xml:space="preserve">E0318</t>
  </si>
  <si>
    <t xml:space="preserve">E0319</t>
  </si>
  <si>
    <t xml:space="preserve">E0320</t>
  </si>
  <si>
    <t xml:space="preserve">E0321</t>
  </si>
  <si>
    <t xml:space="preserve">E0322</t>
  </si>
  <si>
    <t xml:space="preserve">E0323</t>
  </si>
  <si>
    <t xml:space="preserve">E0324</t>
  </si>
  <si>
    <t xml:space="preserve">E0325</t>
  </si>
  <si>
    <t xml:space="preserve">E0326</t>
  </si>
  <si>
    <t xml:space="preserve">E0327</t>
  </si>
  <si>
    <t xml:space="preserve">E0328</t>
  </si>
  <si>
    <t xml:space="preserve">E0329</t>
  </si>
  <si>
    <t xml:space="preserve">E0330</t>
  </si>
  <si>
    <t xml:space="preserve">E0331</t>
  </si>
  <si>
    <t xml:space="preserve">E0332</t>
  </si>
  <si>
    <t xml:space="preserve">E0333</t>
  </si>
  <si>
    <t xml:space="preserve">E0334</t>
  </si>
  <si>
    <t xml:space="preserve">E0335</t>
  </si>
  <si>
    <t xml:space="preserve">E0336</t>
  </si>
  <si>
    <t xml:space="preserve">E0337</t>
  </si>
  <si>
    <t xml:space="preserve">E0338</t>
  </si>
  <si>
    <t xml:space="preserve">E0339</t>
  </si>
  <si>
    <t xml:space="preserve">E0340</t>
  </si>
  <si>
    <t xml:space="preserve">E0341</t>
  </si>
  <si>
    <t xml:space="preserve">E0342</t>
  </si>
  <si>
    <t xml:space="preserve">E0343</t>
  </si>
  <si>
    <t xml:space="preserve">E0344</t>
  </si>
  <si>
    <t xml:space="preserve">E0345</t>
  </si>
  <si>
    <t xml:space="preserve">E0346</t>
  </si>
  <si>
    <t xml:space="preserve">E0347</t>
  </si>
  <si>
    <t xml:space="preserve">E0348</t>
  </si>
  <si>
    <t xml:space="preserve">E0349</t>
  </si>
  <si>
    <t xml:space="preserve">E0350</t>
  </si>
  <si>
    <t xml:space="preserve">Toronto</t>
  </si>
  <si>
    <t xml:space="preserve">E0351</t>
  </si>
  <si>
    <t xml:space="preserve">E0352</t>
  </si>
  <si>
    <t xml:space="preserve">Vancouver</t>
  </si>
  <si>
    <t xml:space="preserve">British Columbia</t>
  </si>
  <si>
    <t xml:space="preserve">E0353</t>
  </si>
  <si>
    <t xml:space="preserve">E0354</t>
  </si>
  <si>
    <t xml:space="preserve">Montreal</t>
  </si>
  <si>
    <t xml:space="preserve">Quebec</t>
  </si>
  <si>
    <t xml:space="preserve">E0355</t>
  </si>
  <si>
    <t xml:space="preserve">E0356</t>
  </si>
  <si>
    <t xml:space="preserve">Ottawa</t>
  </si>
  <si>
    <t xml:space="preserve">E0357</t>
  </si>
  <si>
    <t xml:space="preserve">E0358</t>
  </si>
  <si>
    <t xml:space="preserve">E0359</t>
  </si>
  <si>
    <t xml:space="preserve">E0360</t>
  </si>
  <si>
    <t xml:space="preserve">E0361</t>
  </si>
  <si>
    <t xml:space="preserve">E0362</t>
  </si>
  <si>
    <t xml:space="preserve">E0363</t>
  </si>
  <si>
    <t xml:space="preserve">E0364</t>
  </si>
  <si>
    <t xml:space="preserve">E0365</t>
  </si>
  <si>
    <t xml:space="preserve">E0366</t>
  </si>
  <si>
    <t xml:space="preserve">E0367</t>
  </si>
  <si>
    <t xml:space="preserve">E0368</t>
  </si>
  <si>
    <t xml:space="preserve">E0369</t>
  </si>
  <si>
    <t xml:space="preserve">E0370</t>
  </si>
  <si>
    <t xml:space="preserve">E0371</t>
  </si>
  <si>
    <t xml:space="preserve">E0372</t>
  </si>
  <si>
    <t xml:space="preserve">E0373</t>
  </si>
  <si>
    <t xml:space="preserve">E0374</t>
  </si>
  <si>
    <t xml:space="preserve">C0001</t>
  </si>
  <si>
    <t xml:space="preserve">Contractor</t>
  </si>
  <si>
    <t xml:space="preserve">C0004</t>
  </si>
  <si>
    <t xml:space="preserve">C0007</t>
  </si>
  <si>
    <t xml:space="preserve">C0089</t>
  </si>
  <si>
    <t xml:space="preserve">C0034</t>
  </si>
  <si>
    <t xml:space="preserve">C0104</t>
  </si>
  <si>
    <t xml:space="preserve">C0208</t>
  </si>
  <si>
    <t xml:space="preserve">C0002</t>
  </si>
  <si>
    <t xml:space="preserve">C0003</t>
  </si>
  <si>
    <t xml:space="preserve">C0005</t>
  </si>
  <si>
    <t xml:space="preserve">C0006</t>
  </si>
  <si>
    <t xml:space="preserve">C0008</t>
  </si>
  <si>
    <t xml:space="preserve">C0009</t>
  </si>
  <si>
    <t xml:space="preserve">C0010</t>
  </si>
  <si>
    <t xml:space="preserve">C0011</t>
  </si>
  <si>
    <t xml:space="preserve">C0012</t>
  </si>
  <si>
    <t xml:space="preserve">C0013</t>
  </si>
  <si>
    <t xml:space="preserve">C0014</t>
  </si>
  <si>
    <t xml:space="preserve">C0015</t>
  </si>
  <si>
    <t xml:space="preserve">C0016</t>
  </si>
  <si>
    <t xml:space="preserve">C0017</t>
  </si>
  <si>
    <t xml:space="preserve">C0018</t>
  </si>
  <si>
    <t xml:space="preserve">C0019</t>
  </si>
  <si>
    <t xml:space="preserve">C0020</t>
  </si>
  <si>
    <t xml:space="preserve">C0021</t>
  </si>
  <si>
    <t xml:space="preserve">C0022</t>
  </si>
  <si>
    <t xml:space="preserve">C0023</t>
  </si>
  <si>
    <t xml:space="preserve">C0024</t>
  </si>
  <si>
    <t xml:space="preserve">C0025</t>
  </si>
  <si>
    <t xml:space="preserve">C0026</t>
  </si>
  <si>
    <t xml:space="preserve">Employee ID </t>
  </si>
  <si>
    <t xml:space="preserve">Plan </t>
  </si>
  <si>
    <t xml:space="preserve">Balance (hours or days)</t>
  </si>
  <si>
    <t xml:space="preserve">Last Accrual Date </t>
  </si>
  <si>
    <t xml:space="preserve">Unit</t>
  </si>
  <si>
    <t xml:space="preserve">Balance As-Of Dates</t>
  </si>
  <si>
    <t xml:space="preserve">US Flexible PTO </t>
  </si>
  <si>
    <t xml:space="preserve">n/a (unlimited) </t>
  </si>
  <si>
    <t xml:space="preserve">n/a</t>
  </si>
  <si>
    <t xml:space="preserve">Monthly &amp; semi-monthly pay groups</t>
  </si>
  <si>
    <t xml:space="preserve">US Hourly Vacation </t>
  </si>
  <si>
    <t xml:space="preserve">Accrues per hour worked</t>
  </si>
  <si>
    <t xml:space="preserve">hrs</t>
  </si>
  <si>
    <t xml:space="preserve">US Biweekly (hourly US)</t>
  </si>
  <si>
    <t xml:space="preserve">CA Paid Sick Leave </t>
  </si>
  <si>
    <t xml:space="preserve">UK Annual Leave </t>
  </si>
  <si>
    <t xml:space="preserve">Holiday year Jan–Dec; Payout on termination</t>
  </si>
  <si>
    <t xml:space="preserve">days</t>
  </si>
  <si>
    <t xml:space="preserve">Canada Vacation </t>
  </si>
  <si>
    <t xml:space="preserve">Ontario, 3 weeks/year</t>
  </si>
  <si>
    <t xml:space="preserve">India Earned Leave </t>
  </si>
  <si>
    <t xml:space="preserve">Karnataka S&amp;E Act; Payout on termination</t>
  </si>
  <si>
    <t xml:space="preserve">Payout on termination</t>
  </si>
  <si>
    <t xml:space="preserve">E0148</t>
  </si>
  <si>
    <t xml:space="preserve">CA Paid Sick Leave</t>
  </si>
  <si>
    <t xml:space="preserve">CA Labor Code 246; accrual cap 80 hrs; no payout on termination – balance needed</t>
  </si>
  <si>
    <t xml:space="preserve">US Flexible PTO</t>
  </si>
  <si>
    <t xml:space="preserve">n/a (unlimited) </t>
  </si>
  <si>
    <t xml:space="preserve">No accrual</t>
  </si>
  <si>
    <t xml:space="preserve">CA Labor Code 246; accrual cap 80 hrs</t>
  </si>
  <si>
    <t xml:space="preserve">E0004</t>
  </si>
  <si>
    <t xml:space="preserve">US Hourly Vacation</t>
  </si>
  <si>
    <t xml:space="preserve">Accrues per hour worked; cap 120 hrs</t>
  </si>
  <si>
    <t xml:space="preserve">TX Hourly Sick (company)</t>
  </si>
  <si>
    <t xml:space="preserve">Company policy; 40 hrs/yr</t>
  </si>
  <si>
    <t xml:space="preserve">NY Paid Sick Leave</t>
  </si>
  <si>
    <t xml:space="preserve">NY Labor Law 196-b; 56 hrs/yr</t>
  </si>
  <si>
    <t xml:space="preserve">E0022</t>
  </si>
  <si>
    <t xml:space="preserve">At 120-hr cap – accrual paused</t>
  </si>
  <si>
    <t xml:space="preserve">Accrues per hour worked; cap 120 hrs; Payout on termination</t>
  </si>
  <si>
    <t xml:space="preserve">MA Earned Sick Time</t>
  </si>
  <si>
    <t xml:space="preserve">MA ESTL; 40 hrs/yr</t>
  </si>
  <si>
    <t xml:space="preserve">India Earned Leave</t>
  </si>
  <si>
    <t xml:space="preserve">Karnataka S&amp;E Act; 1.5 days/month</t>
  </si>
  <si>
    <t xml:space="preserve">India Sick/Casual Leave</t>
  </si>
  <si>
    <t xml:space="preserve">12 days/yr; no carry-forward</t>
  </si>
  <si>
    <t xml:space="preserve">UK Annual Leave</t>
  </si>
  <si>
    <t xml:space="preserve">Holiday year Jan–Dec</t>
  </si>
  <si>
    <t xml:space="preserve">IL Paid Leave for All Workers</t>
  </si>
  <si>
    <t xml:space="preserve">IL PLAWA; 40 hrs/yr</t>
  </si>
  <si>
    <t xml:space="preserve">CO Paid Sick Leave</t>
  </si>
  <si>
    <t xml:space="preserve">CO HFWA; 48 hrs/yr</t>
  </si>
  <si>
    <t xml:space="preserve">E0149</t>
  </si>
  <si>
    <t xml:space="preserve">NY Labor Law 196-b; 56 hrs/yr; Accrual paused during unpaid leave</t>
  </si>
  <si>
    <t xml:space="preserve">E0203</t>
  </si>
  <si>
    <t xml:space="preserve">No accrual; new hire</t>
  </si>
  <si>
    <t xml:space="preserve">Hired after balance date – no balance yet</t>
  </si>
  <si>
    <t xml:space="preserve">CA Labor Code 246; accrual cap 80 hrs; Accrual paused during unpaid leave</t>
  </si>
  <si>
    <t xml:space="preserve">Canada Vacation</t>
  </si>
  <si>
    <t xml:space="preserve">Canada Sick Leave</t>
  </si>
  <si>
    <t xml:space="preserve">Company plan 10 days/yr (Ontario ESA: 3 unpaid sick days)</t>
  </si>
  <si>
    <t xml:space="preserve">British Columbia, 3 weeks/year</t>
  </si>
  <si>
    <t xml:space="preserve">Company plan 10 days/yr (meets BC 5 paid sick days)</t>
  </si>
  <si>
    <t xml:space="preserve">Quebec, 3 weeks/year</t>
  </si>
  <si>
    <t xml:space="preserve">Company plan 10 days/yr (meets Quebec 2 paid sick days)</t>
  </si>
  <si>
    <t xml:space="preserve">Payroll Inputs – Ongoing Employee Deductions (US)</t>
  </si>
  <si>
    <t xml:space="preserve">Deduction codes &amp; default rates (blue = editable input). Benefits are flat $ per pay period (Medical $200, Dental $44, Vision $30); 401(k) % set per employee in the table below.</t>
  </si>
  <si>
    <t xml:space="preserve">Default Rate / Amount</t>
  </si>
  <si>
    <t xml:space="preserve">Code</t>
  </si>
  <si>
    <t xml:space="preserve">Description</t>
  </si>
  <si>
    <t xml:space="preserve">Deduction Type</t>
  </si>
  <si>
    <t xml:space="preserve">Tax Treatment</t>
  </si>
  <si>
    <t xml:space="preserve">Calc Method</t>
  </si>
  <si>
    <t xml:space="preserve">Default Rate</t>
  </si>
  <si>
    <t xml:space="preserve">Basis</t>
  </si>
  <si>
    <t xml:space="preserve">Frequency</t>
  </si>
  <si>
    <t xml:space="preserve">401K_EE</t>
  </si>
  <si>
    <t xml:space="preserve">401(k) Employee Deferral</t>
  </si>
  <si>
    <t xml:space="preserve">Retirement</t>
  </si>
  <si>
    <t xml:space="preserve">Pre-tax (exempt from FIT/SIT; subject to FICA)</t>
  </si>
  <si>
    <t xml:space="preserve">Percent</t>
  </si>
  <si>
    <t xml:space="preserve">Per employee</t>
  </si>
  <si>
    <t xml:space="preserve">Gross pay</t>
  </si>
  <si>
    <t xml:space="preserve">Every pay period (ongoing)</t>
  </si>
  <si>
    <t xml:space="preserve">MED_EE</t>
  </si>
  <si>
    <t xml:space="preserve">Medical (Health) – Employee</t>
  </si>
  <si>
    <t xml:space="preserve">Benefits</t>
  </si>
  <si>
    <t xml:space="preserve">Pre-tax Section 125 (exempt from FIT/SIT/FICA)</t>
  </si>
  <si>
    <t xml:space="preserve">Flat</t>
  </si>
  <si>
    <t xml:space="preserve">Per pay period</t>
  </si>
  <si>
    <t xml:space="preserve">DEN_EE</t>
  </si>
  <si>
    <t xml:space="preserve">Dental – Employee</t>
  </si>
  <si>
    <t xml:space="preserve">VIS_EE</t>
  </si>
  <si>
    <t xml:space="preserve">Vision – Employee</t>
  </si>
  <si>
    <t xml:space="preserve">Total benefits (Health + Dental + Vision)</t>
  </si>
  <si>
    <t xml:space="preserve">Employee ID</t>
  </si>
  <si>
    <t xml:space="preserve">Worker Status</t>
  </si>
  <si>
    <t xml:space="preserve">Deduction Code</t>
  </si>
  <si>
    <t xml:space="preserve">Rate (%)</t>
  </si>
  <si>
    <t xml:space="preserve">Flat Amount</t>
  </si>
  <si>
    <t xml:space="preserve">Effective Start</t>
  </si>
  <si>
    <t xml:space="preserve">Effective End</t>
  </si>
  <si>
    <t xml:space="preserve">Ongoing until term date; stop after final pay</t>
  </si>
  <si>
    <t xml:space="preserve">E0021</t>
  </si>
  <si>
    <t xml:space="preserve">Unpaid leave – no gross; deduction suspends, arrears per policy</t>
  </si>
  <si>
    <t xml:space="preserve">New hire – start with first paycheck</t>
  </si>
  <si>
    <t xml:space="preserve">Paid leave – deduct from leave pay</t>
  </si>
  <si>
    <t xml:space="preserve">Event Type</t>
  </si>
  <si>
    <t xml:space="preserve">Period Start</t>
  </si>
  <si>
    <t xml:space="preserve">Period End</t>
  </si>
  <si>
    <t xml:space="preserve">Day</t>
  </si>
  <si>
    <t xml:space="preserve">Time Off Plan</t>
  </si>
  <si>
    <t xml:space="preserve">Quantity</t>
  </si>
  <si>
    <t xml:space="preserve">Period Check</t>
  </si>
  <si>
    <t xml:space="preserve">Change Field</t>
  </si>
  <si>
    <t xml:space="preserve">Old Value</t>
  </si>
  <si>
    <t xml:space="preserve">New Value</t>
  </si>
  <si>
    <t xml:space="preserve">Summary</t>
  </si>
  <si>
    <t xml:space="preserve">Time Off</t>
  </si>
  <si>
    <t xml:space="preserve">Approved</t>
  </si>
  <si>
    <t xml:space="preserve">Sick day</t>
  </si>
  <si>
    <t xml:space="preserve">Employees with time off</t>
  </si>
  <si>
    <t xml:space="preserve">E0008</t>
  </si>
  <si>
    <t xml:space="preserve">Bridging Thanksgiving (Mon Oct 12)</t>
  </si>
  <si>
    <t xml:space="preserve">Total employees</t>
  </si>
  <si>
    <t xml:space="preserve">% of population</t>
  </si>
  <si>
    <t xml:space="preserve">Employees on unpaid leave</t>
  </si>
  <si>
    <t xml:space="preserve">Half day</t>
  </si>
  <si>
    <t xml:space="preserve">Other events (comp / location / garnishment)</t>
  </si>
  <si>
    <t xml:space="preserve">Annual leave (2 days)</t>
  </si>
  <si>
    <t xml:space="preserve">Employees with bonus (total)</t>
  </si>
  <si>
    <t xml:space="preserve">  Sign-on bonus</t>
  </si>
  <si>
    <t xml:space="preserve">Part-time scheduled day (Mon/Wed/Fri)</t>
  </si>
  <si>
    <t xml:space="preserve">  Spot bonus</t>
  </si>
  <si>
    <t xml:space="preserve">Partial day (left at midday)</t>
  </si>
  <si>
    <t xml:space="preserve">Future-dated – falls in next biweekly period</t>
  </si>
  <si>
    <t xml:space="preserve">Weekend-shift worker; Friday scheduled shift (12 paid hrs)</t>
  </si>
  <si>
    <t xml:space="preserve">Uses full remaining sick balance (3 hrs)</t>
  </si>
  <si>
    <t xml:space="preserve">Unpaid Leave</t>
  </si>
  <si>
    <t xml:space="preserve">Unpaid leave starting mid-period (US Semi-monthly); open-ended, no return date</t>
  </si>
  <si>
    <t xml:space="preserve">Unpaid leave starting mid-period (US Semi-monthly Oct 16–31); returns Nov 21</t>
  </si>
  <si>
    <t xml:space="preserve">Unpaid leave starting mid-period (US Biweekly Oct 4–17); spans into next period</t>
  </si>
  <si>
    <t xml:space="preserve">Unpaid leave starting mid-period (UK Monthly Oct 1–31); returns Nov 16</t>
  </si>
  <si>
    <t xml:space="preserve">Comp Change</t>
  </si>
  <si>
    <t xml:space="preserve">Mid-period rate change effective Sat Oct 10 (US Biweekly Oct 4–17); Oct 5–9 punches at old rate, Oct 12–16 at new rate</t>
  </si>
  <si>
    <t xml:space="preserve">Hourly Rate (USD)</t>
  </si>
  <si>
    <t xml:space="preserve">Location Change</t>
  </si>
  <si>
    <t xml:space="preserve">State-to-state move mid-period (US Semi-monthly Oct 16–31); update state tax (CA→WA, no state income tax); CA sick balance to be reviewed for WA PSL</t>
  </si>
  <si>
    <t xml:space="preserve">Work Location / State</t>
  </si>
  <si>
    <t xml:space="preserve">San Jose, CA</t>
  </si>
  <si>
    <t xml:space="preserve">Dallas, TX</t>
  </si>
  <si>
    <t xml:space="preserve">Garnishment</t>
  </si>
  <si>
    <t xml:space="preserve">Hourly EE; Case # CS-2026-0418 (CA DCSS); ongoing, deduct every pay period</t>
  </si>
  <si>
    <t xml:space="preserve">Child Support Order</t>
  </si>
  <si>
    <t xml:space="preserve">25% of disposable earnings</t>
  </si>
  <si>
    <t xml:space="preserve">Salaried EE; Writ # CV-26-7731 (creditor judgment); remaining balance $4,200.00</t>
  </si>
  <si>
    <t xml:space="preserve">Creditor Garnishment</t>
  </si>
  <si>
    <t xml:space="preserve">$350.00 per pay period</t>
  </si>
  <si>
    <t xml:space="preserve">Case # TBD; ongoing, deduct every pay period</t>
  </si>
  <si>
    <t xml:space="preserve">$830.00 per pay period</t>
  </si>
  <si>
    <t xml:space="preserve">Merit increase effective Mon Oct 12 (US Biweekly Oct 4–17); Oct 5–10 punches at old rate, Oct 12–16 at new rate</t>
  </si>
  <si>
    <t xml:space="preserve">Merit increase effective Mon Oct 19 (US Semi-monthly Oct 16–31); prorate Oct 16–18 old / Oct 19–31 new</t>
  </si>
  <si>
    <t xml:space="preserve">Annual Salary (USD)</t>
  </si>
  <si>
    <t xml:space="preserve">Salary increase effective Mon Oct 12 (UK Monthly Oct 1–31); prorate Oct 1–11 old / Oct 12–31 new</t>
  </si>
  <si>
    <t xml:space="preserve">Annual Salary (GBP)</t>
  </si>
  <si>
    <t xml:space="preserve">Salary increase effective Mon Oct 19 (India Monthly Oct 1–31); prorate Oct 1–18 old / Oct 19–31 new</t>
  </si>
  <si>
    <t xml:space="preserve">Annual Salary (INR)</t>
  </si>
  <si>
    <t xml:space="preserve">State-to-state move mid-period (US Semi-monthly Oct 16–31); split state tax TX→CA (CA SIT/SDI start Oct 19); enroll in CA Paid Sick Leave</t>
  </si>
  <si>
    <t xml:space="preserve">Austin, TX</t>
  </si>
  <si>
    <t xml:space="preserve">State-to-state move mid-period (US Semi-monthly Oct 16–31); split state tax CA→TX (CA SIT/SDI stop Oct 25); CA sick balance to be reviewed</t>
  </si>
  <si>
    <t xml:space="preserve">San Francisco, CA</t>
  </si>
  <si>
    <t xml:space="preserve">Intra-state move mid-period (US Semi-monthly Oct 16–31); same state (CA), work city changes San Jose→San Francisco for local reporting</t>
  </si>
  <si>
    <t xml:space="preserve">Work Location / City</t>
  </si>
  <si>
    <t xml:space="preserve">Bonus</t>
  </si>
  <si>
    <t xml:space="preserve">New hire Oct 21 (mid-period); one-time sign-on paid in US Semi-monthly Oct 16–31</t>
  </si>
  <si>
    <t xml:space="preserve">Sign-on Bonus (USD)</t>
  </si>
  <si>
    <t xml:space="preserve">New hire Oct 19 (mid-period); one-time sign-on paid in US Semi-monthly Oct 16–31</t>
  </si>
  <si>
    <t xml:space="preserve">New hire Oct 20 (mid-period); one-time sign-on paid in US Semi-monthly Oct 16–31</t>
  </si>
  <si>
    <t xml:space="preserve">New hire Oct 22 (mid-period); one-time sign-on paid in US Semi-monthly Oct 16–31</t>
  </si>
  <si>
    <t xml:space="preserve">New hire Oct 26 (mid-period); one-time sign-on paid in US Semi-monthly Oct 16–31</t>
  </si>
  <si>
    <t xml:space="preserve">Sign-on deferred to first eligible period after 30-day probation; US Semi-monthly Oct 16–31</t>
  </si>
  <si>
    <t xml:space="preserve">Hourly new hire Oct 7; one-time sign-on paid in US Biweekly Oct 4–17 (supplemental wages)</t>
  </si>
  <si>
    <t xml:space="preserve">Hourly new hire Oct 14; one-time sign-on paid in US Biweekly Oct 4–17 (supplemental wages)</t>
  </si>
  <si>
    <t xml:space="preserve">Sign-on paid in UK Monthly Oct 1–31; subject to PAYE/NIC; clawback if leaves within 12 months</t>
  </si>
  <si>
    <t xml:space="preserve">Sign-on Bonus (GBP)</t>
  </si>
  <si>
    <t xml:space="preserve">New hire Oct 1; sign-on paid in UK Monthly Oct 1–31; subject to PAYE/NIC</t>
  </si>
  <si>
    <t xml:space="preserve">Joining bonus paid in India Monthly Oct 1–31; taxable under TDS; clawback if leaves within 12 months</t>
  </si>
  <si>
    <t xml:space="preserve">Sign-on Bonus (INR)</t>
  </si>
  <si>
    <t xml:space="preserve">Joining bonus paid in India Monthly Oct 1–31; taxable under TDS</t>
  </si>
  <si>
    <t xml:space="preserve">Spot award – GPU Cloud launch; one-time, US Semi-monthly Oct 16–31 (supplemental wages)</t>
  </si>
  <si>
    <t xml:space="preserve">Spot Bonus (USD)</t>
  </si>
  <si>
    <t xml:space="preserve">Spot award; one-time, US Semi-monthly Oct 16–31 (supplemental wages)</t>
  </si>
  <si>
    <t xml:space="preserve">Hourly non-exempt spot award; US Biweekly Oct 4–17; discretionary (excluded from regular rate)</t>
  </si>
  <si>
    <t xml:space="preserve">Spot award; one-time, UK Monthly Oct 1–31; subject to PAYE/NIC</t>
  </si>
  <si>
    <t xml:space="preserve">Spot Bonus (GBP)</t>
  </si>
  <si>
    <t xml:space="preserve">Spot award; one-time, India Monthly Oct 1–31; taxable under TDS</t>
  </si>
  <si>
    <t xml:space="preserve">Spot Bonus (INR)</t>
  </si>
  <si>
    <t xml:space="preserve">Spot award; one-time, Canada Monthly Oct 1–31; subject to CPP/EI and income tax</t>
  </si>
  <si>
    <t xml:space="preserve">Spot Bonus (CAD)</t>
  </si>
  <si>
    <t xml:space="preserve">Vacation day</t>
  </si>
  <si>
    <t xml:space="preserve">Vacation (3-day block)</t>
  </si>
  <si>
    <t xml:space="preserve">Unpaid personal leave starting mid-period (Canada Monthly Oct 1–31); returns Nov 20; issue ROE if interruption of earnings 7+ days</t>
  </si>
  <si>
    <t xml:space="preserve">Merit increase effective Wed Oct 14 (Canada Monthly Oct 1–31); Oct 1–13 hours at old rate, Oct 14–31 at new rate</t>
  </si>
  <si>
    <t xml:space="preserve">Hourly Rate (CAD)</t>
  </si>
  <si>
    <t xml:space="preserve">Promotion increase effective Fri Oct 16 (Canada Monthly Oct 1–31); prorate salary by working days</t>
  </si>
  <si>
    <t xml:space="preserve">Annual Salary (CAD)</t>
  </si>
  <si>
    <t xml:space="preserve">Hourly EE; Ontario Family Responsibility Office (FRO) support deduction notice; ongoing, deduct every pay period</t>
  </si>
  <si>
    <t xml:space="preserve">Family Support Order</t>
  </si>
  <si>
    <t xml:space="preserve">50% of net pay (FRO max)</t>
  </si>
  <si>
    <t xml:space="preserve">New hire Oct 15 (mid-period); one-time sign-on paid in Canada Monthly Oct 1–31; subject to CPP/EI and income tax</t>
  </si>
  <si>
    <t xml:space="preserve">Sign-on Bonus (CAD)</t>
  </si>
  <si>
    <t xml:space="preserve">New hire Oct 23 (mid-period); one-time sign-on paid in Canada Monthly Oct 1–31; subject to CPP/EI and income tax</t>
  </si>
  <si>
    <t xml:space="preserve">Work Date</t>
  </si>
  <si>
    <t xml:space="preserve">In</t>
  </si>
  <si>
    <t xml:space="preserve">Out</t>
  </si>
  <si>
    <t xml:space="preserve">Meal Start</t>
  </si>
  <si>
    <t xml:space="preserve">Meal End</t>
  </si>
  <si>
    <t xml:space="preserve">Shift Code</t>
  </si>
  <si>
    <t xml:space="preserve">Work Schedule</t>
  </si>
  <si>
    <t xml:space="preserve">Sched Start</t>
  </si>
  <si>
    <t xml:space="preserve">Start Variance (min)</t>
  </si>
  <si>
    <t xml:space="preserve">Shift Check</t>
  </si>
  <si>
    <t xml:space="preserve">Hours Worked</t>
  </si>
  <si>
    <t xml:space="preserve">Entry Type</t>
  </si>
  <si>
    <t xml:space="preserve">Entered On</t>
  </si>
  <si>
    <t xml:space="preserve">Pay Period</t>
  </si>
  <si>
    <t xml:space="preserve">Original</t>
  </si>
  <si>
    <t xml:space="preserve">Off-schedule Tolerance (min)</t>
  </si>
  <si>
    <t xml:space="preserve">Extra Saturday shift – workweek &gt;40 hrs</t>
  </si>
  <si>
    <t xml:space="preserve">Extra shift (consecutive-day streak)</t>
  </si>
  <si>
    <t xml:space="preserve">7th consecutive day worked in workweek</t>
  </si>
  <si>
    <t xml:space="preserve">Double-time: &gt;12 hrs worked; Meal started after 5th hour</t>
  </si>
  <si>
    <t xml:space="preserve">—</t>
  </si>
  <si>
    <t xml:space="preserve">No meal recorded</t>
  </si>
  <si>
    <t xml:space="preserve">Roster corrected to SWNG (swap not worked)</t>
  </si>
  <si>
    <t xml:space="preserve">Daily OT: &gt;8 hrs worked; Crosses midnight</t>
  </si>
  <si>
    <t xml:space="preserve">Meal started after 5th hour</t>
  </si>
  <si>
    <t xml:space="preserve">Swap not worked – E0028 worked usual DAY shift; punches entered from schedule, actual times to be confirmed</t>
  </si>
  <si>
    <t xml:space="preserve">Manual Entry</t>
  </si>
  <si>
    <t xml:space="preserve">Daily OT: &gt;8 hrs worked</t>
  </si>
  <si>
    <t xml:space="preserve">Double-time: &gt;12 hrs worked</t>
  </si>
  <si>
    <t xml:space="preserve">Retro correction to prior period: missing Out punch added</t>
  </si>
  <si>
    <t xml:space="preserve">Retro Correction</t>
  </si>
  <si>
    <t xml:space="preserve">Partial day – 4 hrs worked + 4 hrs sick (see employee events)</t>
  </si>
  <si>
    <t xml:space="preserve">Duplicate punch (identical to previous row)</t>
  </si>
  <si>
    <t xml:space="preserve">Partial day – 9 hrs worked + 3 hrs sick (see employee events)</t>
  </si>
  <si>
    <t xml:space="preserve">Retro correction to prior period: Out changed 06:30→07:00; Crosses midnight</t>
  </si>
  <si>
    <t xml:space="preserve">Crosses midnight</t>
  </si>
  <si>
    <t xml:space="preserve">Extra shift (consecutive-day streak); Crosses midnight</t>
  </si>
  <si>
    <t xml:space="preserve">7th consecutive day worked in workweek; Crosses midnight</t>
  </si>
  <si>
    <t xml:space="preserve">Meal started after 5th hour; Crosses midnight</t>
  </si>
  <si>
    <t xml:space="preserve">Double-time: &gt;12 hrs worked; Crosses midnight</t>
  </si>
  <si>
    <t xml:space="preserve">Long day contributing to weekly OT (&gt;40 hrs)</t>
  </si>
  <si>
    <t xml:space="preserve">Duplicate punch (identical to previous row); Crosses midnight</t>
  </si>
  <si>
    <t xml:space="preserve">No meal recorded; Crosses midnight</t>
  </si>
  <si>
    <t xml:space="preserve">Period Start Date</t>
  </si>
  <si>
    <t xml:space="preserve">Period End Date</t>
  </si>
  <si>
    <t xml:space="preserve">Pay Date</t>
  </si>
  <si>
    <t xml:space="preserve">Semi-monthly</t>
  </si>
  <si>
    <t xml:space="preserve">Monthly</t>
  </si>
  <si>
    <t xml:space="preserve">Bi-weekly</t>
  </si>
  <si>
    <t xml:space="preserve">Shift Name</t>
  </si>
  <si>
    <t xml:space="preserve">Days</t>
  </si>
  <si>
    <t xml:space="preserve">Start</t>
  </si>
  <si>
    <t xml:space="preserve">End</t>
  </si>
  <si>
    <t xml:space="preserve">Meal (min)</t>
  </si>
  <si>
    <t xml:space="preserve">Paid Hours</t>
  </si>
  <si>
    <t xml:space="preserve">Crosses Midnight</t>
  </si>
  <si>
    <t xml:space="preserve">Differential ($/hr)</t>
  </si>
  <si>
    <t xml:space="preserve">Standard</t>
  </si>
  <si>
    <t xml:space="preserve">Standard (Mon–Fri 9:00–17:30)</t>
  </si>
  <si>
    <t xml:space="preserve">Mon–Fri</t>
  </si>
  <si>
    <t xml:space="preserve">Shift A – Day (Mon–Fri 06:00–14:30)</t>
  </si>
  <si>
    <t xml:space="preserve">Swing</t>
  </si>
  <si>
    <t xml:space="preserve">Shift B – Swing (Mon–Fri 14:00–22:30)</t>
  </si>
  <si>
    <t xml:space="preserve">Night</t>
  </si>
  <si>
    <t xml:space="preserve">Shift C – Night (Sun–Thu 22:00–06:30)</t>
  </si>
  <si>
    <t xml:space="preserve">Sun–Thu</t>
  </si>
  <si>
    <t xml:space="preserve">Weekend</t>
  </si>
  <si>
    <t xml:space="preserve">Shift D – Weekend (Fri–Sun 06:00–18:30)</t>
  </si>
  <si>
    <t xml:space="preserve">Fri–Sun</t>
  </si>
  <si>
    <t xml:space="preserve">Part-time Day</t>
  </si>
  <si>
    <t xml:space="preserve">Part-time – Day (Mon/Wed/Fri 06:00–14:30)</t>
  </si>
  <si>
    <t xml:space="preserve">Mon/Wed/Fri</t>
  </si>
  <si>
    <t xml:space="preserve">Blue = editable inputs. Paid Hours and Crosses Midnight are calculated. Edit a shift here and the worker file and timesheet update automatically.</t>
  </si>
  <si>
    <t xml:space="preserve">Date</t>
  </si>
  <si>
    <t xml:space="preserve">Source</t>
  </si>
  <si>
    <t xml:space="preserve">Reason</t>
  </si>
  <si>
    <t xml:space="preserve">Updated On</t>
  </si>
  <si>
    <t xml:space="preserve">Updated By</t>
  </si>
  <si>
    <t xml:space="preserve">How this works</t>
  </si>
  <si>
    <t xml:space="preserve">Scheduler</t>
  </si>
  <si>
    <t xml:space="preserve">Sunday coverage</t>
  </si>
  <si>
    <t xml:space="preserve">Scheduler/manager overrides only – one row per employee per date. If an employee has no row for a date, the timesheet uses their Default Shift Code from the worker file.</t>
  </si>
  <si>
    <t xml:space="preserve">Saturday coverage</t>
  </si>
  <si>
    <t xml:space="preserve">If the same employee/date appears more than once, the LAST row added wins (keep history; append, don't overwrite).</t>
  </si>
  <si>
    <t xml:space="preserve">Swing coverage</t>
  </si>
  <si>
    <t xml:space="preserve">Manager</t>
  </si>
  <si>
    <t xml:space="preserve">Saturday coverage (OT approved)</t>
  </si>
  <si>
    <t xml:space="preserve">Friday night coverage</t>
  </si>
  <si>
    <t xml:space="preserve">Saturday night coverage</t>
  </si>
  <si>
    <t xml:space="preserve">Coverage cancelled – back to default</t>
  </si>
  <si>
    <t xml:space="preserve">Swap</t>
  </si>
  <si>
    <t xml:space="preserve">Shift swap with E0028 (approved)</t>
  </si>
  <si>
    <t xml:space="preserve">Shift swap with E0023 (approved)</t>
  </si>
  <si>
    <t xml:space="preserve">Correction – swap not worked; E0023 worked swing (punches 13:54–22:22)</t>
  </si>
  <si>
    <t xml:space="preserve">Correction – swap not worked; E0028 worked usual day shift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</si>
</sst>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[$-409]mmmm\ d&quot;, &quot;yyyy;@"/>
    <numFmt numFmtId="166" formatCode="#,##0"/>
    <numFmt numFmtId="167" formatCode="\$#,##0.00_);[RED]&quot;($&quot;#,##0.00\)"/>
    <numFmt numFmtId="168" formatCode="\$#,##0.00"/>
    <numFmt numFmtId="169" formatCode="[&gt;=10000000]##\,##\,##\,##0;[&gt;=100000]##\,##\,##0;##,##0"/>
    <numFmt numFmtId="170" formatCode="\₹#,##0"/>
    <numFmt numFmtId="171" formatCode="\£#,##0.00"/>
    <numFmt numFmtId="172" formatCode="0.00&quot; hrs&quot;"/>
    <numFmt numFmtId="173" formatCode="0.0&quot; days&quot;"/>
    <numFmt numFmtId="174" formatCode="0.0%"/>
    <numFmt numFmtId="175" formatCode="0.0#"/>
    <numFmt numFmtId="176" formatCode="\$#,##0"/>
    <numFmt numFmtId="177" formatCode="\£#,##0"/>
    <numFmt numFmtId="178" formatCode="\₹###,##0"/>
    <numFmt numFmtId="179" formatCode="@"/>
    <numFmt numFmtId="180" formatCode="&quot;CA$&quot;#,##0"/>
    <numFmt numFmtId="181" formatCode="&quot;CA$&quot;#,##0.00"/>
    <numFmt numFmtId="182" formatCode="h:mm"/>
    <numFmt numFmtId="183" formatCode="0;\-0;0"/>
    <numFmt numFmtId="184" formatCode="0.00"/>
    <numFmt numFmtId="185" formatCode="d\-mmm\-yy"/>
    <numFmt numFmtId="186" formatCode="\$#,##0.00;&quot;($&quot;#,##0.00\);\-"/>
  </numFmts>
  <fonts count="1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FF"/>
      <name val="Arial"/>
      <family val="2"/>
      <charset val="1"/>
    </font>
    <font>
      <b val="true"/>
      <sz val="14"/>
      <color rgb="FF000000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0000FF"/>
      <name val="Aptos Narrow"/>
      <family val="2"/>
      <charset val="1"/>
    </font>
    <font>
      <sz val="11"/>
      <color rgb="FF008000"/>
      <name val="Aptos Narrow"/>
      <family val="2"/>
      <charset val="1"/>
    </font>
    <font>
      <b val="true"/>
      <sz val="11"/>
      <color rgb="FF000000"/>
      <name val="Aptos Narrow"/>
      <family val="0"/>
      <charset val="1"/>
    </font>
    <font>
      <i val="true"/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ayrollInputs" displayName="PayrollInputs" ref="A11:O1123" headerRowCount="1" totalsRowCount="0" totalsRowShown="0">
  <autoFilter ref="A11:O1123"/>
  <tableColumns count="15">
    <tableColumn id="1" name="Employee ID"/>
    <tableColumn id="2" name="Pay Group"/>
    <tableColumn id="3" name="State"/>
    <tableColumn id="4" name="Worker Status"/>
    <tableColumn id="5" name="Deduction Code"/>
    <tableColumn id="6" name="Description"/>
    <tableColumn id="7" name="Tax Treatment"/>
    <tableColumn id="8" name="Calc Method"/>
    <tableColumn id="9" name="Rate (%)"/>
    <tableColumn id="10" name="Flat Amount"/>
    <tableColumn id="11" name="Basis"/>
    <tableColumn id="12" name="Frequency"/>
    <tableColumn id="13" name="Effective Start"/>
    <tableColumn id="14" name="Effective End"/>
    <tableColumn id="15" name="Notes"/>
  </tableColumns>
</table>
</file>

<file path=xl/tables/table2.xml><?xml version="1.0" encoding="utf-8"?>
<table xmlns="http://schemas.openxmlformats.org/spreadsheetml/2006/main" id="2" name="ShiftCodes" displayName="ShiftCodes" ref="A1:J7" headerRowCount="1" totalsRowCount="0" totalsRowShown="0">
  <autoFilter ref="A1:J7"/>
  <tableColumns count="10">
    <tableColumn id="1" name="Code"/>
    <tableColumn id="2" name="Shift Name"/>
    <tableColumn id="3" name="Work Schedule"/>
    <tableColumn id="4" name="Days"/>
    <tableColumn id="5" name="Start"/>
    <tableColumn id="6" name="End"/>
    <tableColumn id="7" name="Meal (min)"/>
    <tableColumn id="8" name="Paid Hours"/>
    <tableColumn id="9" name="Crosses Midnight"/>
    <tableColumn id="10" name="Differential ($/hr)"/>
  </tableColumns>
</table>
</file>

<file path=xl/tables/table3.xml><?xml version="1.0" encoding="utf-8"?>
<table xmlns="http://schemas.openxmlformats.org/spreadsheetml/2006/main" id="3" name="ShiftRoster" displayName="ShiftRoster" ref="A1:G13" headerRowCount="1" totalsRowCount="0" totalsRowShown="0">
  <autoFilter ref="A1:G13"/>
  <tableColumns count="7">
    <tableColumn id="1" name="Employee ID"/>
    <tableColumn id="2" name="Date"/>
    <tableColumn id="3" name="Shift Code"/>
    <tableColumn id="4" name="Source"/>
    <tableColumn id="5" name="Reason"/>
    <tableColumn id="6" name="Updated On"/>
    <tableColumn id="7" name="Updated B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66" activePane="bottomLeft" state="frozen"/>
      <selection pane="topLeft" activeCell="A1" activeCellId="0" sqref="A1"/>
      <selection pane="bottomLeft" activeCell="G411" activeCellId="0" sqref="G411"/>
    </sheetView>
  </sheetViews>
  <sheetFormatPr defaultColWidth="10.5390625" defaultRowHeight="15" customHeight="false" zeroHeight="false" outlineLevelRow="0" outlineLevelCol="0"/>
  <cols>
    <col collapsed="false" customWidth="true" hidden="false" outlineLevel="0" max="3" min="3" style="0" width="16.5"/>
    <col collapsed="false" customWidth="true" hidden="false" outlineLevel="0" max="12" min="12" style="0" width="26"/>
    <col collapsed="false" customWidth="true" hidden="false" outlineLevel="0" max="13" min="13" style="0" width="19.83"/>
    <col collapsed="false" customWidth="true" hidden="false" outlineLevel="0" max="14" min="14" style="0" width="19.33"/>
    <col collapsed="false" customWidth="true" hidden="false" outlineLevel="0" max="15" min="15" style="0" width="19.83"/>
    <col collapsed="false" customWidth="true" hidden="false" outlineLevel="0" max="17" min="17" style="0" width="21"/>
    <col collapsed="false" customWidth="true" hidden="false" outlineLevel="0" max="19" min="19" style="0" width="10"/>
    <col collapsed="false" customWidth="true" hidden="false" outlineLevel="0" max="22" min="20" style="0" width="11.66"/>
    <col collapsed="false" customWidth="true" hidden="false" outlineLevel="0" max="23" min="23" style="0" width="40.83"/>
    <col collapsed="false" customWidth="true" hidden="false" outlineLevel="0" max="24" min="24" style="0" width="18.5"/>
    <col collapsed="false" customWidth="true" hidden="false" outlineLevel="0" max="25" min="25" style="0" width="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4" t="s">
        <v>24</v>
      </c>
    </row>
    <row r="2" customFormat="false" ht="15" hidden="false" customHeight="false" outlineLevel="0" collapsed="false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8</v>
      </c>
      <c r="I2" s="5" t="s">
        <v>32</v>
      </c>
      <c r="J2" s="5"/>
      <c r="K2" s="5" t="s">
        <v>33</v>
      </c>
      <c r="L2" s="5" t="s">
        <v>34</v>
      </c>
      <c r="M2" s="6" t="n">
        <v>44635</v>
      </c>
      <c r="N2" s="5"/>
      <c r="O2" s="5"/>
      <c r="P2" s="5" t="s">
        <v>35</v>
      </c>
      <c r="Q2" s="5" t="s">
        <v>36</v>
      </c>
      <c r="R2" s="7" t="s">
        <v>37</v>
      </c>
      <c r="S2" s="5" t="n">
        <v>40</v>
      </c>
      <c r="T2" s="5" t="s">
        <v>38</v>
      </c>
      <c r="U2" s="8" t="str">
        <f aca="false">IF(AND(TRIM(E2)="US",TRIM(G2)="Non-Exempt"),"US Non-Exempt EEs","")</f>
        <v/>
      </c>
      <c r="V2" s="8" t="str">
        <f aca="false">IF(AND(TRIM(E2)="US",TRIM(G2)="Non-Exempt"),IF(TRIM(D2)="CA","US California Non-Exempt","US Non-California Non-Exempt"),"")</f>
        <v/>
      </c>
      <c r="W2" s="8" t="str">
        <f aca="false">_xlfn.XLOOKUP(X2,ShiftCodes[Code],ShiftCodes[Work Schedule],"Unknown code")</f>
        <v>Standard (Mon–Fri 9:00–17:30)</v>
      </c>
      <c r="X2" s="9" t="s">
        <v>39</v>
      </c>
      <c r="Y2" s="5"/>
    </row>
    <row r="3" customFormat="false" ht="15" hidden="false" customHeight="false" outlineLevel="0" collapsed="false">
      <c r="A3" s="5" t="s">
        <v>40</v>
      </c>
      <c r="B3" s="5" t="s">
        <v>26</v>
      </c>
      <c r="C3" s="5" t="s">
        <v>41</v>
      </c>
      <c r="D3" s="5" t="s">
        <v>42</v>
      </c>
      <c r="E3" s="5" t="s">
        <v>29</v>
      </c>
      <c r="F3" s="5" t="s">
        <v>43</v>
      </c>
      <c r="G3" s="5" t="s">
        <v>31</v>
      </c>
      <c r="H3" s="5" t="s">
        <v>8</v>
      </c>
      <c r="I3" s="5" t="s">
        <v>44</v>
      </c>
      <c r="J3" s="5"/>
      <c r="K3" s="5" t="s">
        <v>33</v>
      </c>
      <c r="L3" s="5" t="s">
        <v>34</v>
      </c>
      <c r="M3" s="6" t="n">
        <v>45158</v>
      </c>
      <c r="N3" s="6" t="n">
        <v>46326</v>
      </c>
      <c r="O3" s="5"/>
      <c r="P3" s="5" t="s">
        <v>45</v>
      </c>
      <c r="Q3" s="5" t="s">
        <v>46</v>
      </c>
      <c r="R3" s="7" t="s">
        <v>37</v>
      </c>
      <c r="S3" s="5" t="n">
        <v>40</v>
      </c>
      <c r="T3" s="5" t="s">
        <v>38</v>
      </c>
      <c r="U3" s="8" t="str">
        <f aca="false">IF(AND(TRIM(E3)="US",TRIM(G3)="Non-Exempt"),"US Non-Exempt EEs","")</f>
        <v/>
      </c>
      <c r="V3" s="8" t="str">
        <f aca="false">IF(AND(TRIM(E3)="US",TRIM(G3)="Non-Exempt"),IF(TRIM(D3)="CA","US California Non-Exempt","US Non-California Non-Exempt"),"")</f>
        <v/>
      </c>
      <c r="W3" s="8" t="str">
        <f aca="false">_xlfn.XLOOKUP(X3,ShiftCodes[Code],ShiftCodes[Work Schedule],"Unknown code")</f>
        <v>Standard (Mon–Fri 9:00–17:30)</v>
      </c>
      <c r="X3" s="9" t="s">
        <v>39</v>
      </c>
      <c r="Y3" s="5" t="s">
        <v>47</v>
      </c>
    </row>
    <row r="4" customFormat="false" ht="15" hidden="false" customHeight="false" outlineLevel="0" collapsed="false">
      <c r="A4" s="5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31</v>
      </c>
      <c r="H4" s="5" t="s">
        <v>8</v>
      </c>
      <c r="I4" s="5" t="s">
        <v>54</v>
      </c>
      <c r="J4" s="5"/>
      <c r="K4" s="5" t="s">
        <v>55</v>
      </c>
      <c r="L4" s="5" t="s">
        <v>56</v>
      </c>
      <c r="M4" s="6" t="n">
        <v>45340</v>
      </c>
      <c r="N4" s="6" t="n">
        <v>46326</v>
      </c>
      <c r="O4" s="5"/>
      <c r="P4" s="5" t="s">
        <v>57</v>
      </c>
      <c r="Q4" s="5" t="s">
        <v>46</v>
      </c>
      <c r="R4" s="7" t="s">
        <v>37</v>
      </c>
      <c r="S4" s="5" t="n">
        <v>37.5</v>
      </c>
      <c r="T4" s="5" t="s">
        <v>38</v>
      </c>
      <c r="U4" s="8" t="str">
        <f aca="false">IF(AND(TRIM(E4)="US",TRIM(G4)="Non-Exempt"),"US Non-Exempt EEs","")</f>
        <v/>
      </c>
      <c r="V4" s="8" t="str">
        <f aca="false">IF(AND(TRIM(E4)="US",TRIM(G4)="Non-Exempt"),IF(TRIM(D4)="CA","US California Non-Exempt","US Non-California Non-Exempt"),"")</f>
        <v/>
      </c>
      <c r="W4" s="8" t="str">
        <f aca="false">_xlfn.XLOOKUP(X4,ShiftCodes[Code],ShiftCodes[Work Schedule],"Unknown code")</f>
        <v>Standard (Mon–Fri 9:00–17:30)</v>
      </c>
      <c r="X4" s="9" t="s">
        <v>39</v>
      </c>
      <c r="Y4" s="5" t="s">
        <v>58</v>
      </c>
    </row>
    <row r="5" customFormat="false" ht="15" hidden="false" customHeight="false" outlineLevel="0" collapsed="false">
      <c r="A5" s="5" t="s">
        <v>59</v>
      </c>
      <c r="B5" s="5" t="s">
        <v>60</v>
      </c>
      <c r="C5" s="5" t="s">
        <v>61</v>
      </c>
      <c r="D5" s="5" t="s">
        <v>62</v>
      </c>
      <c r="E5" s="5" t="s">
        <v>28</v>
      </c>
      <c r="F5" s="5" t="s">
        <v>63</v>
      </c>
      <c r="G5" s="5" t="s">
        <v>31</v>
      </c>
      <c r="H5" s="5" t="s">
        <v>8</v>
      </c>
      <c r="I5" s="10" t="n">
        <v>225000</v>
      </c>
      <c r="J5" s="10"/>
      <c r="K5" s="5" t="s">
        <v>64</v>
      </c>
      <c r="L5" s="5" t="s">
        <v>65</v>
      </c>
      <c r="M5" s="6" t="n">
        <v>45019</v>
      </c>
      <c r="N5" s="5"/>
      <c r="O5" s="5"/>
      <c r="P5" s="5" t="s">
        <v>66</v>
      </c>
      <c r="Q5" s="5" t="s">
        <v>36</v>
      </c>
      <c r="R5" s="7" t="s">
        <v>37</v>
      </c>
      <c r="S5" s="5" t="n">
        <v>40</v>
      </c>
      <c r="T5" s="5" t="s">
        <v>38</v>
      </c>
      <c r="U5" s="8" t="str">
        <f aca="false">IF(AND(TRIM(E5)="US",TRIM(G5)="Non-Exempt"),"US Non-Exempt EEs","")</f>
        <v/>
      </c>
      <c r="V5" s="8" t="str">
        <f aca="false">IF(AND(TRIM(E5)="US",TRIM(G5)="Non-Exempt"),IF(TRIM(D5)="CA","US California Non-Exempt","US Non-California Non-Exempt"),"")</f>
        <v/>
      </c>
      <c r="W5" s="8" t="str">
        <f aca="false">_xlfn.XLOOKUP(X5,ShiftCodes[Code],ShiftCodes[Work Schedule],"Unknown code")</f>
        <v>Standard (Mon–Fri 9:00–17:30)</v>
      </c>
      <c r="X5" s="9" t="s">
        <v>39</v>
      </c>
      <c r="Y5" s="5"/>
    </row>
    <row r="6" customFormat="false" ht="15" hidden="false" customHeight="false" outlineLevel="0" collapsed="false">
      <c r="A6" s="5" t="s">
        <v>67</v>
      </c>
      <c r="B6" s="5" t="s">
        <v>60</v>
      </c>
      <c r="C6" s="5" t="s">
        <v>68</v>
      </c>
      <c r="D6" s="5" t="s">
        <v>69</v>
      </c>
      <c r="E6" s="5" t="s">
        <v>70</v>
      </c>
      <c r="F6" s="5" t="s">
        <v>53</v>
      </c>
      <c r="G6" s="5" t="s">
        <v>31</v>
      </c>
      <c r="H6" s="5" t="s">
        <v>8</v>
      </c>
      <c r="I6" s="5" t="s">
        <v>71</v>
      </c>
      <c r="J6" s="5"/>
      <c r="K6" s="5" t="s">
        <v>72</v>
      </c>
      <c r="L6" s="5" t="s">
        <v>73</v>
      </c>
      <c r="M6" s="6" t="n">
        <v>44948</v>
      </c>
      <c r="N6" s="6" t="n">
        <v>46310</v>
      </c>
      <c r="O6" s="5"/>
      <c r="P6" s="5" t="s">
        <v>66</v>
      </c>
      <c r="Q6" s="5" t="s">
        <v>46</v>
      </c>
      <c r="R6" s="7" t="s">
        <v>37</v>
      </c>
      <c r="S6" s="5" t="n">
        <v>40</v>
      </c>
      <c r="T6" s="5" t="s">
        <v>38</v>
      </c>
      <c r="U6" s="8" t="str">
        <f aca="false">IF(AND(TRIM(E6)="US",TRIM(G6)="Non-Exempt"),"US Non-Exempt EEs","")</f>
        <v/>
      </c>
      <c r="V6" s="8" t="str">
        <f aca="false">IF(AND(TRIM(E6)="US",TRIM(G6)="Non-Exempt"),IF(TRIM(D6)="CA","US California Non-Exempt","US Non-California Non-Exempt"),"")</f>
        <v/>
      </c>
      <c r="W6" s="8" t="str">
        <f aca="false">_xlfn.XLOOKUP(X6,ShiftCodes[Code],ShiftCodes[Work Schedule],"Unknown code")</f>
        <v>Standard (Mon–Fri 9:00–17:30)</v>
      </c>
      <c r="X6" s="9" t="s">
        <v>39</v>
      </c>
      <c r="Y6" s="5" t="s">
        <v>74</v>
      </c>
    </row>
    <row r="7" customFormat="false" ht="15" hidden="false" customHeight="false" outlineLevel="0" collapsed="false">
      <c r="A7" s="5" t="s">
        <v>75</v>
      </c>
      <c r="B7" s="5" t="s">
        <v>49</v>
      </c>
      <c r="C7" s="5" t="s">
        <v>76</v>
      </c>
      <c r="D7" s="5" t="s">
        <v>28</v>
      </c>
      <c r="E7" s="5" t="s">
        <v>29</v>
      </c>
      <c r="F7" s="5" t="s">
        <v>77</v>
      </c>
      <c r="G7" s="5" t="s">
        <v>78</v>
      </c>
      <c r="H7" s="5" t="s">
        <v>79</v>
      </c>
      <c r="J7" s="11" t="n">
        <v>42</v>
      </c>
      <c r="K7" s="5" t="s">
        <v>33</v>
      </c>
      <c r="L7" s="5" t="s">
        <v>80</v>
      </c>
      <c r="M7" s="6" t="n">
        <v>45418</v>
      </c>
      <c r="N7" s="5"/>
      <c r="O7" s="5"/>
      <c r="P7" s="5" t="s">
        <v>57</v>
      </c>
      <c r="Q7" s="5" t="s">
        <v>36</v>
      </c>
      <c r="R7" s="7" t="s">
        <v>37</v>
      </c>
      <c r="S7" s="5" t="n">
        <v>40</v>
      </c>
      <c r="T7" s="5" t="s">
        <v>38</v>
      </c>
      <c r="U7" s="8" t="str">
        <f aca="false">IF(AND(TRIM(E7)="US",TRIM(G7)="Non-Exempt"),"US Non-Exempt EEs","")</f>
        <v>US Non-Exempt EEs</v>
      </c>
      <c r="V7" s="8" t="str">
        <f aca="false">IF(AND(TRIM(E7)="US",TRIM(G7)="Non-Exempt"),IF(TRIM(D7)="CA","US California Non-Exempt","US Non-California Non-Exempt"),"")</f>
        <v>US California Non-Exempt</v>
      </c>
      <c r="W7" s="8" t="str">
        <f aca="false">_xlfn.XLOOKUP(X7,ShiftCodes[Code],ShiftCodes[Work Schedule],"Unknown code")</f>
        <v>Shift A – Day (Mon–Fri 06:00–14:30)</v>
      </c>
      <c r="X7" s="9" t="s">
        <v>81</v>
      </c>
      <c r="Y7" s="5"/>
    </row>
    <row r="8" customFormat="false" ht="15" hidden="false" customHeight="false" outlineLevel="0" collapsed="false">
      <c r="A8" s="5" t="s">
        <v>82</v>
      </c>
      <c r="B8" s="5" t="s">
        <v>49</v>
      </c>
      <c r="C8" s="5" t="s">
        <v>83</v>
      </c>
      <c r="D8" s="5" t="s">
        <v>84</v>
      </c>
      <c r="E8" s="5" t="s">
        <v>29</v>
      </c>
      <c r="F8" s="5" t="s">
        <v>77</v>
      </c>
      <c r="G8" s="5" t="s">
        <v>78</v>
      </c>
      <c r="H8" s="5" t="s">
        <v>79</v>
      </c>
      <c r="J8" s="11" t="n">
        <v>40</v>
      </c>
      <c r="K8" s="5" t="s">
        <v>33</v>
      </c>
      <c r="L8" s="5" t="s">
        <v>80</v>
      </c>
      <c r="M8" s="6" t="n">
        <v>45488</v>
      </c>
      <c r="N8" s="5"/>
      <c r="O8" s="5"/>
      <c r="P8" s="5" t="s">
        <v>57</v>
      </c>
      <c r="Q8" s="5" t="s">
        <v>36</v>
      </c>
      <c r="R8" s="7" t="s">
        <v>37</v>
      </c>
      <c r="S8" s="5" t="n">
        <v>40</v>
      </c>
      <c r="T8" s="5" t="s">
        <v>38</v>
      </c>
      <c r="U8" s="8" t="str">
        <f aca="false">IF(AND(TRIM(E8)="US",TRIM(G8)="Non-Exempt"),"US Non-Exempt EEs","")</f>
        <v>US Non-Exempt EEs</v>
      </c>
      <c r="V8" s="8" t="str">
        <f aca="false">IF(AND(TRIM(E8)="US",TRIM(G8)="Non-Exempt"),IF(TRIM(D8)="CA","US California Non-Exempt","US Non-California Non-Exempt"),"")</f>
        <v>US Non-California Non-Exempt</v>
      </c>
      <c r="W8" s="8" t="str">
        <f aca="false">_xlfn.XLOOKUP(X8,ShiftCodes[Code],ShiftCodes[Work Schedule],"Unknown code")</f>
        <v>Shift B – Swing (Mon–Fri 14:00–22:30)</v>
      </c>
      <c r="X8" s="9" t="s">
        <v>85</v>
      </c>
      <c r="Y8" s="5"/>
    </row>
    <row r="9" customFormat="false" ht="15" hidden="false" customHeight="false" outlineLevel="0" collapsed="false">
      <c r="A9" s="5" t="s">
        <v>86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43</v>
      </c>
      <c r="G9" s="5" t="s">
        <v>78</v>
      </c>
      <c r="H9" s="5" t="s">
        <v>79</v>
      </c>
      <c r="I9" s="5"/>
      <c r="J9" s="12" t="n">
        <v>80</v>
      </c>
      <c r="K9" s="5" t="s">
        <v>33</v>
      </c>
      <c r="L9" s="5" t="s">
        <v>80</v>
      </c>
      <c r="M9" s="6" t="n">
        <v>45545</v>
      </c>
      <c r="N9" s="6" t="n">
        <v>46312</v>
      </c>
      <c r="O9" s="5"/>
      <c r="P9" s="5" t="s">
        <v>45</v>
      </c>
      <c r="Q9" s="5" t="s">
        <v>46</v>
      </c>
      <c r="R9" s="7" t="s">
        <v>37</v>
      </c>
      <c r="S9" s="5" t="n">
        <v>40</v>
      </c>
      <c r="T9" s="5" t="s">
        <v>38</v>
      </c>
      <c r="U9" s="8" t="str">
        <f aca="false">IF(AND(TRIM(E9)="US",TRIM(G9)="Non-Exempt"),"US Non-Exempt EEs","")</f>
        <v>US Non-Exempt EEs</v>
      </c>
      <c r="V9" s="8" t="str">
        <f aca="false">IF(AND(TRIM(E9)="US",TRIM(G9)="Non-Exempt"),IF(TRIM(D9)="CA","US California Non-Exempt","US Non-California Non-Exempt"),"")</f>
        <v>US California Non-Exempt</v>
      </c>
      <c r="W9" s="8" t="str">
        <f aca="false">_xlfn.XLOOKUP(X9,ShiftCodes[Code],ShiftCodes[Work Schedule],"Unknown code")</f>
        <v>Standard (Mon–Fri 9:00–17:30)</v>
      </c>
      <c r="X9" s="9" t="s">
        <v>39</v>
      </c>
      <c r="Y9" s="13" t="s">
        <v>87</v>
      </c>
    </row>
    <row r="10" customFormat="false" ht="15" hidden="false" customHeight="false" outlineLevel="0" collapsed="false">
      <c r="A10" s="5" t="s">
        <v>88</v>
      </c>
      <c r="B10" s="5" t="s">
        <v>89</v>
      </c>
      <c r="C10" s="5" t="s">
        <v>41</v>
      </c>
      <c r="D10" s="5" t="s">
        <v>90</v>
      </c>
      <c r="E10" s="5" t="s">
        <v>29</v>
      </c>
      <c r="F10" s="5" t="s">
        <v>53</v>
      </c>
      <c r="G10" s="5" t="s">
        <v>31</v>
      </c>
      <c r="H10" s="5" t="s">
        <v>8</v>
      </c>
      <c r="I10" s="5" t="s">
        <v>91</v>
      </c>
      <c r="J10" s="5"/>
      <c r="K10" s="5" t="s">
        <v>33</v>
      </c>
      <c r="L10" s="5" t="s">
        <v>34</v>
      </c>
      <c r="M10" s="6" t="n">
        <v>45383</v>
      </c>
      <c r="N10" s="5"/>
      <c r="O10" s="6" t="n">
        <v>46297</v>
      </c>
      <c r="P10" s="5" t="s">
        <v>92</v>
      </c>
      <c r="Q10" s="5" t="s">
        <v>93</v>
      </c>
      <c r="R10" s="7" t="s">
        <v>37</v>
      </c>
      <c r="S10" s="5" t="n">
        <v>40</v>
      </c>
      <c r="T10" s="5" t="s">
        <v>38</v>
      </c>
      <c r="U10" s="8" t="str">
        <f aca="false">IF(AND(TRIM(E10)="US",TRIM(G10)="Non-Exempt"),"US Non-Exempt EEs","")</f>
        <v/>
      </c>
      <c r="V10" s="8" t="str">
        <f aca="false">IF(AND(TRIM(E10)="US",TRIM(G10)="Non-Exempt"),IF(TRIM(D10)="CA","US California Non-Exempt","US Non-California Non-Exempt"),"")</f>
        <v/>
      </c>
      <c r="W10" s="8" t="str">
        <f aca="false">_xlfn.XLOOKUP(X10,ShiftCodes[Code],ShiftCodes[Work Schedule],"Unknown code")</f>
        <v>Standard (Mon–Fri 9:00–17:30)</v>
      </c>
      <c r="X10" s="9" t="s">
        <v>39</v>
      </c>
      <c r="Y10" s="13"/>
    </row>
    <row r="11" customFormat="false" ht="15" hidden="false" customHeight="false" outlineLevel="0" collapsed="false">
      <c r="A11" s="14" t="s">
        <v>94</v>
      </c>
      <c r="B11" s="14" t="s">
        <v>60</v>
      </c>
      <c r="C11" s="14" t="s">
        <v>27</v>
      </c>
      <c r="D11" s="14" t="s">
        <v>28</v>
      </c>
      <c r="E11" s="14" t="s">
        <v>29</v>
      </c>
      <c r="F11" s="14" t="s">
        <v>53</v>
      </c>
      <c r="G11" s="14" t="s">
        <v>31</v>
      </c>
      <c r="H11" s="14" t="s">
        <v>8</v>
      </c>
      <c r="I11" s="14" t="s">
        <v>95</v>
      </c>
      <c r="J11" s="14"/>
      <c r="K11" s="14" t="s">
        <v>33</v>
      </c>
      <c r="L11" s="14" t="s">
        <v>34</v>
      </c>
      <c r="M11" s="15" t="n">
        <v>46316</v>
      </c>
      <c r="N11" s="14"/>
      <c r="O11" s="14"/>
      <c r="P11" s="14" t="s">
        <v>66</v>
      </c>
      <c r="Q11" s="14" t="s">
        <v>96</v>
      </c>
      <c r="R11" s="7" t="s">
        <v>37</v>
      </c>
      <c r="S11" s="5" t="n">
        <v>40</v>
      </c>
      <c r="T11" s="5" t="s">
        <v>38</v>
      </c>
      <c r="U11" s="8" t="str">
        <f aca="false">IF(AND(TRIM(E11)="US",TRIM(G11)="Non-Exempt"),"US Non-Exempt EEs","")</f>
        <v/>
      </c>
      <c r="V11" s="8" t="str">
        <f aca="false">IF(AND(TRIM(E11)="US",TRIM(G11)="Non-Exempt"),IF(TRIM(D11)="CA","US California Non-Exempt","US Non-California Non-Exempt"),"")</f>
        <v/>
      </c>
      <c r="W11" s="8" t="str">
        <f aca="false">_xlfn.XLOOKUP(X11,ShiftCodes[Code],ShiftCodes[Work Schedule],"Unknown code")</f>
        <v>Standard (Mon–Fri 9:00–17:30)</v>
      </c>
      <c r="X11" s="9" t="s">
        <v>39</v>
      </c>
      <c r="Y11" s="13" t="s">
        <v>97</v>
      </c>
    </row>
    <row r="12" customFormat="false" ht="15" hidden="false" customHeight="false" outlineLevel="0" collapsed="false">
      <c r="A12" s="5" t="s">
        <v>98</v>
      </c>
      <c r="B12" s="5" t="s">
        <v>99</v>
      </c>
      <c r="C12" s="5" t="s">
        <v>100</v>
      </c>
      <c r="D12" s="5" t="s">
        <v>28</v>
      </c>
      <c r="E12" s="5" t="s">
        <v>29</v>
      </c>
      <c r="F12" s="5" t="s">
        <v>101</v>
      </c>
      <c r="G12" s="5" t="s">
        <v>31</v>
      </c>
      <c r="H12" s="5" t="s">
        <v>8</v>
      </c>
      <c r="I12" s="10" t="n">
        <v>383000</v>
      </c>
      <c r="J12" s="12"/>
      <c r="K12" s="5" t="s">
        <v>33</v>
      </c>
      <c r="L12" s="5" t="s">
        <v>34</v>
      </c>
      <c r="M12" s="6" t="n">
        <v>43472</v>
      </c>
      <c r="N12" s="6"/>
      <c r="O12" s="6"/>
      <c r="P12" s="5"/>
      <c r="Q12" s="5" t="s">
        <v>36</v>
      </c>
      <c r="R12" s="16" t="s">
        <v>37</v>
      </c>
      <c r="S12" s="5" t="n">
        <v>40</v>
      </c>
      <c r="T12" s="5" t="s">
        <v>38</v>
      </c>
      <c r="U12" s="8" t="str">
        <f aca="false">IF(AND(TRIM(E12)="US",TRIM(G12)="Non-Exempt"),"US Non-Exempt EEs","")</f>
        <v/>
      </c>
      <c r="V12" s="8" t="str">
        <f aca="false">IF(AND(TRIM(E12)="US",TRIM(G12)="Non-Exempt"),IF(TRIM(D12)="CA","US California Non-Exempt","US Non-California Non-Exempt"),"")</f>
        <v/>
      </c>
      <c r="W12" s="8" t="str">
        <f aca="false">_xlfn.XLOOKUP(X12,ShiftCodes[Code],ShiftCodes[Work Schedule],"Unknown code")</f>
        <v>Standard (Mon–Fri 9:00–17:30)</v>
      </c>
      <c r="X12" s="9" t="s">
        <v>39</v>
      </c>
      <c r="Y12" s="5"/>
    </row>
    <row r="13" customFormat="false" ht="15" hidden="false" customHeight="false" outlineLevel="0" collapsed="false">
      <c r="A13" s="5" t="s">
        <v>102</v>
      </c>
      <c r="B13" s="5" t="s">
        <v>103</v>
      </c>
      <c r="C13" s="5" t="s">
        <v>100</v>
      </c>
      <c r="D13" s="5" t="s">
        <v>28</v>
      </c>
      <c r="E13" s="5" t="s">
        <v>29</v>
      </c>
      <c r="F13" s="5" t="s">
        <v>104</v>
      </c>
      <c r="G13" s="5" t="s">
        <v>31</v>
      </c>
      <c r="H13" s="5" t="s">
        <v>8</v>
      </c>
      <c r="I13" s="10" t="n">
        <v>370000</v>
      </c>
      <c r="J13" s="12"/>
      <c r="K13" s="5" t="s">
        <v>33</v>
      </c>
      <c r="L13" s="5" t="s">
        <v>34</v>
      </c>
      <c r="M13" s="6" t="n">
        <v>43892</v>
      </c>
      <c r="N13" s="6"/>
      <c r="O13" s="6"/>
      <c r="P13" s="5" t="s">
        <v>98</v>
      </c>
      <c r="Q13" s="5" t="s">
        <v>36</v>
      </c>
      <c r="R13" s="16" t="s">
        <v>37</v>
      </c>
      <c r="S13" s="5" t="n">
        <v>40</v>
      </c>
      <c r="T13" s="5" t="s">
        <v>38</v>
      </c>
      <c r="U13" s="8" t="str">
        <f aca="false">IF(AND(TRIM(E13)="US",TRIM(G13)="Non-Exempt"),"US Non-Exempt EEs","")</f>
        <v/>
      </c>
      <c r="V13" s="8" t="str">
        <f aca="false">IF(AND(TRIM(E13)="US",TRIM(G13)="Non-Exempt"),IF(TRIM(D13)="CA","US California Non-Exempt","US Non-California Non-Exempt"),"")</f>
        <v/>
      </c>
      <c r="W13" s="8" t="str">
        <f aca="false">_xlfn.XLOOKUP(X13,ShiftCodes[Code],ShiftCodes[Work Schedule],"Unknown code")</f>
        <v>Standard (Mon–Fri 9:00–17:30)</v>
      </c>
      <c r="X13" s="9" t="s">
        <v>39</v>
      </c>
      <c r="Y13" s="5"/>
    </row>
    <row r="14" customFormat="false" ht="15" hidden="false" customHeight="false" outlineLevel="0" collapsed="false">
      <c r="A14" s="5" t="s">
        <v>105</v>
      </c>
      <c r="B14" s="5" t="s">
        <v>103</v>
      </c>
      <c r="C14" s="5" t="s">
        <v>106</v>
      </c>
      <c r="D14" s="5" t="s">
        <v>42</v>
      </c>
      <c r="E14" s="5" t="s">
        <v>29</v>
      </c>
      <c r="F14" s="5" t="s">
        <v>107</v>
      </c>
      <c r="G14" s="5" t="s">
        <v>31</v>
      </c>
      <c r="H14" s="5" t="s">
        <v>8</v>
      </c>
      <c r="I14" s="10" t="n">
        <v>295000</v>
      </c>
      <c r="J14" s="12"/>
      <c r="K14" s="5" t="s">
        <v>33</v>
      </c>
      <c r="L14" s="5" t="s">
        <v>34</v>
      </c>
      <c r="M14" s="6" t="n">
        <v>44022</v>
      </c>
      <c r="N14" s="6"/>
      <c r="O14" s="6"/>
      <c r="P14" s="5" t="s">
        <v>102</v>
      </c>
      <c r="Q14" s="5" t="s">
        <v>36</v>
      </c>
      <c r="R14" s="16" t="s">
        <v>37</v>
      </c>
      <c r="S14" s="5" t="n">
        <v>40</v>
      </c>
      <c r="T14" s="5" t="s">
        <v>38</v>
      </c>
      <c r="U14" s="8" t="str">
        <f aca="false">IF(AND(TRIM(E14)="US",TRIM(G14)="Non-Exempt"),"US Non-Exempt EEs","")</f>
        <v/>
      </c>
      <c r="V14" s="8" t="str">
        <f aca="false">IF(AND(TRIM(E14)="US",TRIM(G14)="Non-Exempt"),IF(TRIM(D14)="CA","US California Non-Exempt","US Non-California Non-Exempt"),"")</f>
        <v/>
      </c>
      <c r="W14" s="8" t="str">
        <f aca="false">_xlfn.XLOOKUP(X14,ShiftCodes[Code],ShiftCodes[Work Schedule],"Unknown code")</f>
        <v>Standard (Mon–Fri 9:00–17:30)</v>
      </c>
      <c r="X14" s="9" t="s">
        <v>39</v>
      </c>
      <c r="Y14" s="5"/>
    </row>
    <row r="15" customFormat="false" ht="15" hidden="false" customHeight="false" outlineLevel="0" collapsed="false">
      <c r="A15" s="5" t="s">
        <v>108</v>
      </c>
      <c r="B15" s="5" t="s">
        <v>109</v>
      </c>
      <c r="C15" s="5" t="s">
        <v>110</v>
      </c>
      <c r="D15" s="5" t="s">
        <v>84</v>
      </c>
      <c r="E15" s="5" t="s">
        <v>29</v>
      </c>
      <c r="F15" s="5" t="s">
        <v>104</v>
      </c>
      <c r="G15" s="5" t="s">
        <v>31</v>
      </c>
      <c r="H15" s="5" t="s">
        <v>8</v>
      </c>
      <c r="I15" s="10" t="n">
        <v>345000</v>
      </c>
      <c r="J15" s="12"/>
      <c r="K15" s="5" t="s">
        <v>33</v>
      </c>
      <c r="L15" s="5" t="s">
        <v>34</v>
      </c>
      <c r="M15" s="6" t="n">
        <v>43983</v>
      </c>
      <c r="N15" s="6"/>
      <c r="O15" s="6"/>
      <c r="P15" s="5" t="s">
        <v>98</v>
      </c>
      <c r="Q15" s="5" t="s">
        <v>36</v>
      </c>
      <c r="R15" s="16" t="s">
        <v>37</v>
      </c>
      <c r="S15" s="5" t="n">
        <v>40</v>
      </c>
      <c r="T15" s="5" t="s">
        <v>38</v>
      </c>
      <c r="U15" s="8" t="str">
        <f aca="false">IF(AND(TRIM(E15)="US",TRIM(G15)="Non-Exempt"),"US Non-Exempt EEs","")</f>
        <v/>
      </c>
      <c r="V15" s="8" t="str">
        <f aca="false">IF(AND(TRIM(E15)="US",TRIM(G15)="Non-Exempt"),IF(TRIM(D15)="CA","US California Non-Exempt","US Non-California Non-Exempt"),"")</f>
        <v/>
      </c>
      <c r="W15" s="8" t="str">
        <f aca="false">_xlfn.XLOOKUP(X15,ShiftCodes[Code],ShiftCodes[Work Schedule],"Unknown code")</f>
        <v>Standard (Mon–Fri 9:00–17:30)</v>
      </c>
      <c r="X15" s="9" t="s">
        <v>39</v>
      </c>
      <c r="Y15" s="5"/>
    </row>
    <row r="16" customFormat="false" ht="15" hidden="false" customHeight="false" outlineLevel="0" collapsed="false">
      <c r="A16" s="5" t="s">
        <v>111</v>
      </c>
      <c r="B16" s="5" t="s">
        <v>112</v>
      </c>
      <c r="C16" s="5" t="s">
        <v>113</v>
      </c>
      <c r="D16" s="5" t="s">
        <v>84</v>
      </c>
      <c r="E16" s="5" t="s">
        <v>29</v>
      </c>
      <c r="F16" s="5" t="s">
        <v>104</v>
      </c>
      <c r="G16" s="5" t="s">
        <v>31</v>
      </c>
      <c r="H16" s="5" t="s">
        <v>8</v>
      </c>
      <c r="I16" s="10" t="n">
        <v>340000</v>
      </c>
      <c r="J16" s="12"/>
      <c r="K16" s="5" t="s">
        <v>33</v>
      </c>
      <c r="L16" s="5" t="s">
        <v>34</v>
      </c>
      <c r="M16" s="6" t="n">
        <v>43864</v>
      </c>
      <c r="N16" s="6"/>
      <c r="O16" s="6"/>
      <c r="P16" s="5" t="s">
        <v>98</v>
      </c>
      <c r="Q16" s="5" t="s">
        <v>36</v>
      </c>
      <c r="R16" s="16" t="s">
        <v>37</v>
      </c>
      <c r="S16" s="5" t="n">
        <v>40</v>
      </c>
      <c r="T16" s="5" t="s">
        <v>38</v>
      </c>
      <c r="U16" s="8" t="str">
        <f aca="false">IF(AND(TRIM(E16)="US",TRIM(G16)="Non-Exempt"),"US Non-Exempt EEs","")</f>
        <v/>
      </c>
      <c r="V16" s="8" t="str">
        <f aca="false">IF(AND(TRIM(E16)="US",TRIM(G16)="Non-Exempt"),IF(TRIM(D16)="CA","US California Non-Exempt","US Non-California Non-Exempt"),"")</f>
        <v/>
      </c>
      <c r="W16" s="8" t="str">
        <f aca="false">_xlfn.XLOOKUP(X16,ShiftCodes[Code],ShiftCodes[Work Schedule],"Unknown code")</f>
        <v>Standard (Mon–Fri 9:00–17:30)</v>
      </c>
      <c r="X16" s="9" t="s">
        <v>39</v>
      </c>
      <c r="Y16" s="5"/>
    </row>
    <row r="17" customFormat="false" ht="15" hidden="false" customHeight="false" outlineLevel="0" collapsed="false">
      <c r="A17" s="5" t="s">
        <v>114</v>
      </c>
      <c r="B17" s="5" t="s">
        <v>99</v>
      </c>
      <c r="C17" s="5" t="s">
        <v>100</v>
      </c>
      <c r="D17" s="5" t="s">
        <v>28</v>
      </c>
      <c r="E17" s="5" t="s">
        <v>29</v>
      </c>
      <c r="F17" s="5" t="s">
        <v>104</v>
      </c>
      <c r="G17" s="5" t="s">
        <v>31</v>
      </c>
      <c r="H17" s="5" t="s">
        <v>8</v>
      </c>
      <c r="I17" s="10" t="n">
        <v>265000</v>
      </c>
      <c r="J17" s="12"/>
      <c r="K17" s="5" t="s">
        <v>33</v>
      </c>
      <c r="L17" s="5" t="s">
        <v>34</v>
      </c>
      <c r="M17" s="6" t="n">
        <v>44088</v>
      </c>
      <c r="N17" s="6"/>
      <c r="O17" s="6"/>
      <c r="P17" s="5" t="s">
        <v>98</v>
      </c>
      <c r="Q17" s="5" t="s">
        <v>36</v>
      </c>
      <c r="R17" s="16" t="s">
        <v>37</v>
      </c>
      <c r="S17" s="5" t="n">
        <v>40</v>
      </c>
      <c r="T17" s="5" t="s">
        <v>38</v>
      </c>
      <c r="U17" s="8" t="str">
        <f aca="false">IF(AND(TRIM(E17)="US",TRIM(G17)="Non-Exempt"),"US Non-Exempt EEs","")</f>
        <v/>
      </c>
      <c r="V17" s="8" t="str">
        <f aca="false">IF(AND(TRIM(E17)="US",TRIM(G17)="Non-Exempt"),IF(TRIM(D17)="CA","US California Non-Exempt","US Non-California Non-Exempt"),"")</f>
        <v/>
      </c>
      <c r="W17" s="8" t="str">
        <f aca="false">_xlfn.XLOOKUP(X17,ShiftCodes[Code],ShiftCodes[Work Schedule],"Unknown code")</f>
        <v>Standard (Mon–Fri 9:00–17:30)</v>
      </c>
      <c r="X17" s="9" t="s">
        <v>39</v>
      </c>
      <c r="Y17" s="5"/>
    </row>
    <row r="18" customFormat="false" ht="15" hidden="false" customHeight="false" outlineLevel="0" collapsed="false">
      <c r="A18" s="5" t="s">
        <v>115</v>
      </c>
      <c r="B18" s="5" t="s">
        <v>109</v>
      </c>
      <c r="C18" s="5" t="s">
        <v>100</v>
      </c>
      <c r="D18" s="5" t="s">
        <v>28</v>
      </c>
      <c r="E18" s="5" t="s">
        <v>29</v>
      </c>
      <c r="F18" s="5" t="s">
        <v>107</v>
      </c>
      <c r="G18" s="5" t="s">
        <v>31</v>
      </c>
      <c r="H18" s="5" t="s">
        <v>8</v>
      </c>
      <c r="I18" s="10" t="n">
        <v>308000</v>
      </c>
      <c r="J18" s="12"/>
      <c r="K18" s="5" t="s">
        <v>33</v>
      </c>
      <c r="L18" s="5" t="s">
        <v>34</v>
      </c>
      <c r="M18" s="6" t="n">
        <v>44111</v>
      </c>
      <c r="N18" s="6"/>
      <c r="O18" s="6"/>
      <c r="P18" s="5" t="s">
        <v>108</v>
      </c>
      <c r="Q18" s="5" t="s">
        <v>36</v>
      </c>
      <c r="R18" s="16" t="s">
        <v>37</v>
      </c>
      <c r="S18" s="5" t="n">
        <v>40</v>
      </c>
      <c r="T18" s="5" t="s">
        <v>38</v>
      </c>
      <c r="U18" s="8" t="str">
        <f aca="false">IF(AND(TRIM(E18)="US",TRIM(G18)="Non-Exempt"),"US Non-Exempt EEs","")</f>
        <v/>
      </c>
      <c r="V18" s="8" t="str">
        <f aca="false">IF(AND(TRIM(E18)="US",TRIM(G18)="Non-Exempt"),IF(TRIM(D18)="CA","US California Non-Exempt","US Non-California Non-Exempt"),"")</f>
        <v/>
      </c>
      <c r="W18" s="8" t="str">
        <f aca="false">_xlfn.XLOOKUP(X18,ShiftCodes[Code],ShiftCodes[Work Schedule],"Unknown code")</f>
        <v>Standard (Mon–Fri 9:00–17:30)</v>
      </c>
      <c r="X18" s="9" t="s">
        <v>39</v>
      </c>
      <c r="Y18" s="5"/>
    </row>
    <row r="19" customFormat="false" ht="15" hidden="false" customHeight="false" outlineLevel="0" collapsed="false">
      <c r="A19" s="5" t="s">
        <v>116</v>
      </c>
      <c r="B19" s="5" t="s">
        <v>103</v>
      </c>
      <c r="C19" s="5" t="s">
        <v>100</v>
      </c>
      <c r="D19" s="5" t="s">
        <v>28</v>
      </c>
      <c r="E19" s="5" t="s">
        <v>29</v>
      </c>
      <c r="F19" s="5" t="s">
        <v>107</v>
      </c>
      <c r="G19" s="5" t="s">
        <v>31</v>
      </c>
      <c r="H19" s="5" t="s">
        <v>8</v>
      </c>
      <c r="I19" s="10" t="n">
        <v>267000</v>
      </c>
      <c r="J19" s="12"/>
      <c r="K19" s="5" t="s">
        <v>33</v>
      </c>
      <c r="L19" s="5" t="s">
        <v>34</v>
      </c>
      <c r="M19" s="6" t="n">
        <v>44149</v>
      </c>
      <c r="N19" s="6"/>
      <c r="O19" s="6"/>
      <c r="P19" s="5" t="s">
        <v>102</v>
      </c>
      <c r="Q19" s="5" t="s">
        <v>36</v>
      </c>
      <c r="R19" s="16" t="s">
        <v>37</v>
      </c>
      <c r="S19" s="5" t="n">
        <v>40</v>
      </c>
      <c r="T19" s="5" t="s">
        <v>38</v>
      </c>
      <c r="U19" s="8" t="str">
        <f aca="false">IF(AND(TRIM(E19)="US",TRIM(G19)="Non-Exempt"),"US Non-Exempt EEs","")</f>
        <v/>
      </c>
      <c r="V19" s="8" t="str">
        <f aca="false">IF(AND(TRIM(E19)="US",TRIM(G19)="Non-Exempt"),IF(TRIM(D19)="CA","US California Non-Exempt","US Non-California Non-Exempt"),"")</f>
        <v/>
      </c>
      <c r="W19" s="8" t="str">
        <f aca="false">_xlfn.XLOOKUP(X19,ShiftCodes[Code],ShiftCodes[Work Schedule],"Unknown code")</f>
        <v>Standard (Mon–Fri 9:00–17:30)</v>
      </c>
      <c r="X19" s="9" t="s">
        <v>39</v>
      </c>
      <c r="Y19" s="5"/>
    </row>
    <row r="20" customFormat="false" ht="15" hidden="false" customHeight="false" outlineLevel="0" collapsed="false">
      <c r="A20" s="5" t="s">
        <v>117</v>
      </c>
      <c r="B20" s="5" t="s">
        <v>109</v>
      </c>
      <c r="C20" s="5" t="s">
        <v>76</v>
      </c>
      <c r="D20" s="5" t="s">
        <v>28</v>
      </c>
      <c r="E20" s="5" t="s">
        <v>29</v>
      </c>
      <c r="F20" s="5" t="s">
        <v>107</v>
      </c>
      <c r="G20" s="5" t="s">
        <v>31</v>
      </c>
      <c r="H20" s="5" t="s">
        <v>8</v>
      </c>
      <c r="I20" s="10" t="n">
        <v>287000</v>
      </c>
      <c r="J20" s="12"/>
      <c r="K20" s="5" t="s">
        <v>33</v>
      </c>
      <c r="L20" s="5" t="s">
        <v>34</v>
      </c>
      <c r="M20" s="6" t="n">
        <v>44210</v>
      </c>
      <c r="N20" s="6"/>
      <c r="O20" s="6"/>
      <c r="P20" s="5" t="s">
        <v>108</v>
      </c>
      <c r="Q20" s="5" t="s">
        <v>36</v>
      </c>
      <c r="R20" s="16" t="s">
        <v>37</v>
      </c>
      <c r="S20" s="5" t="n">
        <v>40</v>
      </c>
      <c r="T20" s="5" t="s">
        <v>38</v>
      </c>
      <c r="U20" s="8" t="str">
        <f aca="false">IF(AND(TRIM(E20)="US",TRIM(G20)="Non-Exempt"),"US Non-Exempt EEs","")</f>
        <v/>
      </c>
      <c r="V20" s="8" t="str">
        <f aca="false">IF(AND(TRIM(E20)="US",TRIM(G20)="Non-Exempt"),IF(TRIM(D20)="CA","US California Non-Exempt","US Non-California Non-Exempt"),"")</f>
        <v/>
      </c>
      <c r="W20" s="8" t="str">
        <f aca="false">_xlfn.XLOOKUP(X20,ShiftCodes[Code],ShiftCodes[Work Schedule],"Unknown code")</f>
        <v>Standard (Mon–Fri 9:00–17:30)</v>
      </c>
      <c r="X20" s="9" t="s">
        <v>39</v>
      </c>
      <c r="Y20" s="5"/>
    </row>
    <row r="21" customFormat="false" ht="15" hidden="false" customHeight="false" outlineLevel="0" collapsed="false">
      <c r="A21" s="5" t="s">
        <v>118</v>
      </c>
      <c r="B21" s="5" t="s">
        <v>109</v>
      </c>
      <c r="C21" s="5" t="s">
        <v>76</v>
      </c>
      <c r="D21" s="5" t="s">
        <v>28</v>
      </c>
      <c r="E21" s="5" t="s">
        <v>29</v>
      </c>
      <c r="F21" s="5" t="s">
        <v>119</v>
      </c>
      <c r="G21" s="5" t="s">
        <v>31</v>
      </c>
      <c r="H21" s="5" t="s">
        <v>8</v>
      </c>
      <c r="I21" s="10" t="n">
        <v>241000</v>
      </c>
      <c r="J21" s="12"/>
      <c r="K21" s="5" t="s">
        <v>33</v>
      </c>
      <c r="L21" s="5" t="s">
        <v>34</v>
      </c>
      <c r="M21" s="6" t="n">
        <v>44277</v>
      </c>
      <c r="N21" s="6"/>
      <c r="O21" s="6"/>
      <c r="P21" s="5" t="s">
        <v>115</v>
      </c>
      <c r="Q21" s="5" t="s">
        <v>36</v>
      </c>
      <c r="R21" s="16" t="s">
        <v>37</v>
      </c>
      <c r="S21" s="5" t="n">
        <v>40</v>
      </c>
      <c r="T21" s="5" t="s">
        <v>38</v>
      </c>
      <c r="U21" s="8" t="str">
        <f aca="false">IF(AND(TRIM(E21)="US",TRIM(G21)="Non-Exempt"),"US Non-Exempt EEs","")</f>
        <v/>
      </c>
      <c r="V21" s="8" t="str">
        <f aca="false">IF(AND(TRIM(E21)="US",TRIM(G21)="Non-Exempt"),IF(TRIM(D21)="CA","US California Non-Exempt","US Non-California Non-Exempt"),"")</f>
        <v/>
      </c>
      <c r="W21" s="8" t="str">
        <f aca="false">_xlfn.XLOOKUP(X21,ShiftCodes[Code],ShiftCodes[Work Schedule],"Unknown code")</f>
        <v>Standard (Mon–Fri 9:00–17:30)</v>
      </c>
      <c r="X21" s="9" t="s">
        <v>39</v>
      </c>
      <c r="Y21" s="5"/>
    </row>
    <row r="22" customFormat="false" ht="15" hidden="false" customHeight="false" outlineLevel="0" collapsed="false">
      <c r="A22" s="5" t="s">
        <v>120</v>
      </c>
      <c r="B22" s="5" t="s">
        <v>109</v>
      </c>
      <c r="C22" s="5" t="s">
        <v>113</v>
      </c>
      <c r="D22" s="5" t="s">
        <v>84</v>
      </c>
      <c r="E22" s="5" t="s">
        <v>29</v>
      </c>
      <c r="F22" s="5" t="s">
        <v>121</v>
      </c>
      <c r="G22" s="5" t="s">
        <v>78</v>
      </c>
      <c r="H22" s="5" t="s">
        <v>79</v>
      </c>
      <c r="I22" s="10"/>
      <c r="J22" s="12" t="n">
        <v>35</v>
      </c>
      <c r="K22" s="5" t="s">
        <v>33</v>
      </c>
      <c r="L22" s="5" t="s">
        <v>80</v>
      </c>
      <c r="M22" s="6" t="n">
        <v>44305</v>
      </c>
      <c r="N22" s="6"/>
      <c r="O22" s="6"/>
      <c r="P22" s="5" t="s">
        <v>118</v>
      </c>
      <c r="Q22" s="5" t="s">
        <v>36</v>
      </c>
      <c r="R22" s="16" t="s">
        <v>37</v>
      </c>
      <c r="S22" s="5" t="n">
        <v>40</v>
      </c>
      <c r="T22" s="5" t="s">
        <v>38</v>
      </c>
      <c r="U22" s="8" t="str">
        <f aca="false">IF(AND(TRIM(E22)="US",TRIM(G22)="Non-Exempt"),"US Non-Exempt EEs","")</f>
        <v>US Non-Exempt EEs</v>
      </c>
      <c r="V22" s="8" t="str">
        <f aca="false">IF(AND(TRIM(E22)="US",TRIM(G22)="Non-Exempt"),IF(TRIM(D22)="CA","US California Non-Exempt","US Non-California Non-Exempt"),"")</f>
        <v>US Non-California Non-Exempt</v>
      </c>
      <c r="W22" s="8" t="str">
        <f aca="false">_xlfn.XLOOKUP(X22,ShiftCodes[Code],ShiftCodes[Work Schedule],"Unknown code")</f>
        <v>Shift B – Swing (Mon–Fri 14:00–22:30)</v>
      </c>
      <c r="X22" s="9" t="s">
        <v>85</v>
      </c>
      <c r="Y22" s="5"/>
    </row>
    <row r="23" customFormat="false" ht="15" hidden="false" customHeight="false" outlineLevel="0" collapsed="false">
      <c r="A23" s="5" t="s">
        <v>122</v>
      </c>
      <c r="B23" s="5" t="s">
        <v>103</v>
      </c>
      <c r="C23" s="5" t="s">
        <v>106</v>
      </c>
      <c r="D23" s="5" t="s">
        <v>42</v>
      </c>
      <c r="E23" s="5" t="s">
        <v>29</v>
      </c>
      <c r="F23" s="5" t="s">
        <v>119</v>
      </c>
      <c r="G23" s="5" t="s">
        <v>31</v>
      </c>
      <c r="H23" s="5" t="s">
        <v>8</v>
      </c>
      <c r="I23" s="10" t="n">
        <v>223000</v>
      </c>
      <c r="J23" s="12"/>
      <c r="K23" s="5" t="s">
        <v>33</v>
      </c>
      <c r="L23" s="5" t="s">
        <v>34</v>
      </c>
      <c r="M23" s="6" t="n">
        <v>44378</v>
      </c>
      <c r="N23" s="6"/>
      <c r="O23" s="6"/>
      <c r="P23" s="5" t="s">
        <v>105</v>
      </c>
      <c r="Q23" s="5" t="s">
        <v>36</v>
      </c>
      <c r="R23" s="16" t="s">
        <v>37</v>
      </c>
      <c r="S23" s="5" t="n">
        <v>40</v>
      </c>
      <c r="T23" s="5" t="s">
        <v>38</v>
      </c>
      <c r="U23" s="8" t="str">
        <f aca="false">IF(AND(TRIM(E23)="US",TRIM(G23)="Non-Exempt"),"US Non-Exempt EEs","")</f>
        <v/>
      </c>
      <c r="V23" s="8" t="str">
        <f aca="false">IF(AND(TRIM(E23)="US",TRIM(G23)="Non-Exempt"),IF(TRIM(D23)="CA","US California Non-Exempt","US Non-California Non-Exempt"),"")</f>
        <v/>
      </c>
      <c r="W23" s="8" t="str">
        <f aca="false">_xlfn.XLOOKUP(X23,ShiftCodes[Code],ShiftCodes[Work Schedule],"Unknown code")</f>
        <v>Standard (Mon–Fri 9:00–17:30)</v>
      </c>
      <c r="X23" s="9" t="s">
        <v>39</v>
      </c>
      <c r="Y23" s="5"/>
    </row>
    <row r="24" customFormat="false" ht="15" hidden="false" customHeight="false" outlineLevel="0" collapsed="false">
      <c r="A24" s="5" t="s">
        <v>123</v>
      </c>
      <c r="B24" s="5" t="s">
        <v>103</v>
      </c>
      <c r="C24" s="5" t="s">
        <v>41</v>
      </c>
      <c r="D24" s="5" t="s">
        <v>42</v>
      </c>
      <c r="E24" s="5" t="s">
        <v>29</v>
      </c>
      <c r="F24" s="5" t="s">
        <v>124</v>
      </c>
      <c r="G24" s="5" t="s">
        <v>31</v>
      </c>
      <c r="H24" s="5" t="s">
        <v>8</v>
      </c>
      <c r="I24" s="10" t="n">
        <v>137000</v>
      </c>
      <c r="J24" s="12"/>
      <c r="K24" s="5" t="s">
        <v>33</v>
      </c>
      <c r="L24" s="5" t="s">
        <v>34</v>
      </c>
      <c r="M24" s="6" t="n">
        <v>44440</v>
      </c>
      <c r="N24" s="6" t="n">
        <v>46318</v>
      </c>
      <c r="O24" s="6"/>
      <c r="P24" s="5" t="s">
        <v>122</v>
      </c>
      <c r="Q24" s="5" t="s">
        <v>46</v>
      </c>
      <c r="R24" s="16" t="s">
        <v>37</v>
      </c>
      <c r="S24" s="5" t="n">
        <v>40</v>
      </c>
      <c r="T24" s="5" t="s">
        <v>38</v>
      </c>
      <c r="U24" s="8" t="str">
        <f aca="false">IF(AND(TRIM(E24)="US",TRIM(G24)="Non-Exempt"),"US Non-Exempt EEs","")</f>
        <v/>
      </c>
      <c r="V24" s="8" t="str">
        <f aca="false">IF(AND(TRIM(E24)="US",TRIM(G24)="Non-Exempt"),IF(TRIM(D24)="CA","US California Non-Exempt","US Non-California Non-Exempt"),"")</f>
        <v/>
      </c>
      <c r="W24" s="8" t="str">
        <f aca="false">_xlfn.XLOOKUP(X24,ShiftCodes[Code],ShiftCodes[Work Schedule],"Unknown code")</f>
        <v>Standard (Mon–Fri 9:00–17:30)</v>
      </c>
      <c r="X24" s="9" t="s">
        <v>39</v>
      </c>
      <c r="Y24" s="5" t="s">
        <v>125</v>
      </c>
    </row>
    <row r="25" customFormat="false" ht="15" hidden="false" customHeight="false" outlineLevel="0" collapsed="false">
      <c r="A25" s="5" t="s">
        <v>126</v>
      </c>
      <c r="B25" s="5" t="s">
        <v>99</v>
      </c>
      <c r="C25" s="5" t="s">
        <v>127</v>
      </c>
      <c r="D25" s="5" t="s">
        <v>90</v>
      </c>
      <c r="E25" s="5" t="s">
        <v>29</v>
      </c>
      <c r="F25" s="5" t="s">
        <v>107</v>
      </c>
      <c r="G25" s="5" t="s">
        <v>31</v>
      </c>
      <c r="H25" s="5" t="s">
        <v>8</v>
      </c>
      <c r="I25" s="10" t="n">
        <v>257000</v>
      </c>
      <c r="J25" s="12"/>
      <c r="K25" s="5" t="s">
        <v>33</v>
      </c>
      <c r="L25" s="5" t="s">
        <v>34</v>
      </c>
      <c r="M25" s="6" t="n">
        <v>44455</v>
      </c>
      <c r="N25" s="6"/>
      <c r="O25" s="6"/>
      <c r="P25" s="5" t="s">
        <v>114</v>
      </c>
      <c r="Q25" s="5" t="s">
        <v>36</v>
      </c>
      <c r="R25" s="16" t="s">
        <v>37</v>
      </c>
      <c r="S25" s="5" t="n">
        <v>40</v>
      </c>
      <c r="T25" s="5" t="s">
        <v>38</v>
      </c>
      <c r="U25" s="8" t="str">
        <f aca="false">IF(AND(TRIM(E25)="US",TRIM(G25)="Non-Exempt"),"US Non-Exempt EEs","")</f>
        <v/>
      </c>
      <c r="V25" s="8" t="str">
        <f aca="false">IF(AND(TRIM(E25)="US",TRIM(G25)="Non-Exempt"),IF(TRIM(D25)="CA","US California Non-Exempt","US Non-California Non-Exempt"),"")</f>
        <v/>
      </c>
      <c r="W25" s="8" t="str">
        <f aca="false">_xlfn.XLOOKUP(X25,ShiftCodes[Code],ShiftCodes[Work Schedule],"Unknown code")</f>
        <v>Standard (Mon–Fri 9:00–17:30)</v>
      </c>
      <c r="X25" s="9" t="s">
        <v>39</v>
      </c>
      <c r="Y25" s="5"/>
    </row>
    <row r="26" customFormat="false" ht="15" hidden="false" customHeight="false" outlineLevel="0" collapsed="false">
      <c r="A26" s="5" t="s">
        <v>128</v>
      </c>
      <c r="B26" s="5" t="s">
        <v>109</v>
      </c>
      <c r="C26" s="5" t="s">
        <v>76</v>
      </c>
      <c r="D26" s="5" t="s">
        <v>28</v>
      </c>
      <c r="E26" s="5" t="s">
        <v>29</v>
      </c>
      <c r="F26" s="5" t="s">
        <v>119</v>
      </c>
      <c r="G26" s="5" t="s">
        <v>31</v>
      </c>
      <c r="H26" s="5" t="s">
        <v>8</v>
      </c>
      <c r="I26" s="10" t="n">
        <v>213000</v>
      </c>
      <c r="J26" s="12"/>
      <c r="K26" s="5" t="s">
        <v>33</v>
      </c>
      <c r="L26" s="5" t="s">
        <v>34</v>
      </c>
      <c r="M26" s="6" t="n">
        <v>44461</v>
      </c>
      <c r="N26" s="6"/>
      <c r="O26" s="6"/>
      <c r="P26" s="5" t="s">
        <v>115</v>
      </c>
      <c r="Q26" s="5" t="s">
        <v>36</v>
      </c>
      <c r="R26" s="16" t="s">
        <v>37</v>
      </c>
      <c r="S26" s="5" t="n">
        <v>40</v>
      </c>
      <c r="T26" s="5" t="s">
        <v>38</v>
      </c>
      <c r="U26" s="8" t="str">
        <f aca="false">IF(AND(TRIM(E26)="US",TRIM(G26)="Non-Exempt"),"US Non-Exempt EEs","")</f>
        <v/>
      </c>
      <c r="V26" s="8" t="str">
        <f aca="false">IF(AND(TRIM(E26)="US",TRIM(G26)="Non-Exempt"),IF(TRIM(D26)="CA","US California Non-Exempt","US Non-California Non-Exempt"),"")</f>
        <v/>
      </c>
      <c r="W26" s="8" t="str">
        <f aca="false">_xlfn.XLOOKUP(X26,ShiftCodes[Code],ShiftCodes[Work Schedule],"Unknown code")</f>
        <v>Standard (Mon–Fri 9:00–17:30)</v>
      </c>
      <c r="X26" s="9" t="s">
        <v>39</v>
      </c>
      <c r="Y26" s="5"/>
    </row>
    <row r="27" customFormat="false" ht="15" hidden="false" customHeight="false" outlineLevel="0" collapsed="false">
      <c r="A27" s="5" t="s">
        <v>129</v>
      </c>
      <c r="B27" s="5" t="s">
        <v>109</v>
      </c>
      <c r="C27" s="5" t="s">
        <v>76</v>
      </c>
      <c r="D27" s="5" t="s">
        <v>28</v>
      </c>
      <c r="E27" s="5" t="s">
        <v>29</v>
      </c>
      <c r="F27" s="5" t="s">
        <v>130</v>
      </c>
      <c r="G27" s="5" t="s">
        <v>78</v>
      </c>
      <c r="H27" s="5" t="s">
        <v>79</v>
      </c>
      <c r="I27" s="10"/>
      <c r="J27" s="12" t="n">
        <v>30</v>
      </c>
      <c r="K27" s="5" t="s">
        <v>33</v>
      </c>
      <c r="L27" s="5" t="s">
        <v>80</v>
      </c>
      <c r="M27" s="6" t="n">
        <v>44497</v>
      </c>
      <c r="N27" s="6"/>
      <c r="O27" s="6"/>
      <c r="P27" s="5" t="s">
        <v>128</v>
      </c>
      <c r="Q27" s="5" t="s">
        <v>36</v>
      </c>
      <c r="R27" s="16" t="s">
        <v>37</v>
      </c>
      <c r="S27" s="5" t="n">
        <v>40</v>
      </c>
      <c r="T27" s="5" t="s">
        <v>38</v>
      </c>
      <c r="U27" s="8" t="str">
        <f aca="false">IF(AND(TRIM(E27)="US",TRIM(G27)="Non-Exempt"),"US Non-Exempt EEs","")</f>
        <v>US Non-Exempt EEs</v>
      </c>
      <c r="V27" s="8" t="str">
        <f aca="false">IF(AND(TRIM(E27)="US",TRIM(G27)="Non-Exempt"),IF(TRIM(D27)="CA","US California Non-Exempt","US Non-California Non-Exempt"),"")</f>
        <v>US California Non-Exempt</v>
      </c>
      <c r="W27" s="8" t="str">
        <f aca="false">_xlfn.XLOOKUP(X27,ShiftCodes[Code],ShiftCodes[Work Schedule],"Unknown code")</f>
        <v>Shift A – Day (Mon–Fri 06:00–14:30)</v>
      </c>
      <c r="X27" s="9" t="s">
        <v>81</v>
      </c>
      <c r="Y27" s="5"/>
    </row>
    <row r="28" customFormat="false" ht="15" hidden="false" customHeight="false" outlineLevel="0" collapsed="false">
      <c r="A28" s="5" t="s">
        <v>131</v>
      </c>
      <c r="B28" s="5" t="s">
        <v>109</v>
      </c>
      <c r="C28" s="5" t="s">
        <v>76</v>
      </c>
      <c r="D28" s="5" t="s">
        <v>28</v>
      </c>
      <c r="E28" s="5" t="s">
        <v>29</v>
      </c>
      <c r="F28" s="5" t="s">
        <v>132</v>
      </c>
      <c r="G28" s="5" t="s">
        <v>78</v>
      </c>
      <c r="H28" s="5" t="s">
        <v>79</v>
      </c>
      <c r="I28" s="10"/>
      <c r="J28" s="12" t="n">
        <v>42.5</v>
      </c>
      <c r="K28" s="5" t="s">
        <v>33</v>
      </c>
      <c r="L28" s="5" t="s">
        <v>80</v>
      </c>
      <c r="M28" s="6" t="n">
        <v>44629</v>
      </c>
      <c r="N28" s="6"/>
      <c r="O28" s="6"/>
      <c r="P28" s="5" t="s">
        <v>128</v>
      </c>
      <c r="Q28" s="5" t="s">
        <v>36</v>
      </c>
      <c r="R28" s="16" t="s">
        <v>37</v>
      </c>
      <c r="S28" s="5" t="n">
        <v>40</v>
      </c>
      <c r="T28" s="5" t="s">
        <v>38</v>
      </c>
      <c r="U28" s="8" t="str">
        <f aca="false">IF(AND(TRIM(E28)="US",TRIM(G28)="Non-Exempt"),"US Non-Exempt EEs","")</f>
        <v>US Non-Exempt EEs</v>
      </c>
      <c r="V28" s="8" t="str">
        <f aca="false">IF(AND(TRIM(E28)="US",TRIM(G28)="Non-Exempt"),IF(TRIM(D28)="CA","US California Non-Exempt","US Non-California Non-Exempt"),"")</f>
        <v>US California Non-Exempt</v>
      </c>
      <c r="W28" s="8" t="str">
        <f aca="false">_xlfn.XLOOKUP(X28,ShiftCodes[Code],ShiftCodes[Work Schedule],"Unknown code")</f>
        <v>Shift B – Swing (Mon–Fri 14:00–22:30)</v>
      </c>
      <c r="X28" s="9" t="s">
        <v>85</v>
      </c>
      <c r="Y28" s="5"/>
    </row>
    <row r="29" customFormat="false" ht="15" hidden="false" customHeight="false" outlineLevel="0" collapsed="false">
      <c r="A29" s="5" t="s">
        <v>133</v>
      </c>
      <c r="B29" s="5" t="s">
        <v>112</v>
      </c>
      <c r="C29" s="5" t="s">
        <v>100</v>
      </c>
      <c r="D29" s="5" t="s">
        <v>28</v>
      </c>
      <c r="E29" s="5" t="s">
        <v>29</v>
      </c>
      <c r="F29" s="5" t="s">
        <v>107</v>
      </c>
      <c r="G29" s="5" t="s">
        <v>31</v>
      </c>
      <c r="H29" s="5" t="s">
        <v>8</v>
      </c>
      <c r="I29" s="10" t="n">
        <v>272000</v>
      </c>
      <c r="J29" s="12"/>
      <c r="K29" s="5" t="s">
        <v>33</v>
      </c>
      <c r="L29" s="5" t="s">
        <v>34</v>
      </c>
      <c r="M29" s="6" t="n">
        <v>44646</v>
      </c>
      <c r="N29" s="6"/>
      <c r="O29" s="6"/>
      <c r="P29" s="5" t="s">
        <v>111</v>
      </c>
      <c r="Q29" s="5" t="s">
        <v>36</v>
      </c>
      <c r="R29" s="16" t="s">
        <v>37</v>
      </c>
      <c r="S29" s="5" t="n">
        <v>40</v>
      </c>
      <c r="T29" s="5" t="s">
        <v>38</v>
      </c>
      <c r="U29" s="8" t="str">
        <f aca="false">IF(AND(TRIM(E29)="US",TRIM(G29)="Non-Exempt"),"US Non-Exempt EEs","")</f>
        <v/>
      </c>
      <c r="V29" s="8" t="str">
        <f aca="false">IF(AND(TRIM(E29)="US",TRIM(G29)="Non-Exempt"),IF(TRIM(D29)="CA","US California Non-Exempt","US Non-California Non-Exempt"),"")</f>
        <v/>
      </c>
      <c r="W29" s="8" t="str">
        <f aca="false">_xlfn.XLOOKUP(X29,ShiftCodes[Code],ShiftCodes[Work Schedule],"Unknown code")</f>
        <v>Standard (Mon–Fri 9:00–17:30)</v>
      </c>
      <c r="X29" s="9" t="s">
        <v>39</v>
      </c>
      <c r="Y29" s="5"/>
    </row>
    <row r="30" customFormat="false" ht="15" hidden="false" customHeight="false" outlineLevel="0" collapsed="false">
      <c r="A30" s="5" t="s">
        <v>134</v>
      </c>
      <c r="B30" s="5" t="s">
        <v>109</v>
      </c>
      <c r="C30" s="5" t="s">
        <v>76</v>
      </c>
      <c r="D30" s="5" t="s">
        <v>28</v>
      </c>
      <c r="E30" s="5" t="s">
        <v>29</v>
      </c>
      <c r="F30" s="5" t="s">
        <v>121</v>
      </c>
      <c r="G30" s="5" t="s">
        <v>78</v>
      </c>
      <c r="H30" s="5" t="s">
        <v>79</v>
      </c>
      <c r="I30" s="10"/>
      <c r="J30" s="12" t="n">
        <v>34.5</v>
      </c>
      <c r="K30" s="5" t="s">
        <v>33</v>
      </c>
      <c r="L30" s="5" t="s">
        <v>80</v>
      </c>
      <c r="M30" s="6" t="n">
        <v>44657</v>
      </c>
      <c r="N30" s="6"/>
      <c r="O30" s="6"/>
      <c r="P30" s="5" t="s">
        <v>128</v>
      </c>
      <c r="Q30" s="5" t="s">
        <v>36</v>
      </c>
      <c r="R30" s="16" t="s">
        <v>37</v>
      </c>
      <c r="S30" s="5" t="n">
        <v>40</v>
      </c>
      <c r="T30" s="5" t="s">
        <v>38</v>
      </c>
      <c r="U30" s="8" t="str">
        <f aca="false">IF(AND(TRIM(E30)="US",TRIM(G30)="Non-Exempt"),"US Non-Exempt EEs","")</f>
        <v>US Non-Exempt EEs</v>
      </c>
      <c r="V30" s="8" t="str">
        <f aca="false">IF(AND(TRIM(E30)="US",TRIM(G30)="Non-Exempt"),IF(TRIM(D30)="CA","US California Non-Exempt","US Non-California Non-Exempt"),"")</f>
        <v>US California Non-Exempt</v>
      </c>
      <c r="W30" s="8" t="str">
        <f aca="false">_xlfn.XLOOKUP(X30,ShiftCodes[Code],ShiftCodes[Work Schedule],"Unknown code")</f>
        <v>Shift B – Swing (Mon–Fri 14:00–22:30)</v>
      </c>
      <c r="X30" s="9" t="s">
        <v>85</v>
      </c>
      <c r="Y30" s="5"/>
    </row>
    <row r="31" customFormat="false" ht="15" hidden="false" customHeight="false" outlineLevel="0" collapsed="false">
      <c r="A31" s="5" t="s">
        <v>135</v>
      </c>
      <c r="B31" s="5" t="s">
        <v>99</v>
      </c>
      <c r="C31" s="5" t="s">
        <v>100</v>
      </c>
      <c r="D31" s="5" t="s">
        <v>28</v>
      </c>
      <c r="E31" s="5" t="s">
        <v>29</v>
      </c>
      <c r="F31" s="5" t="s">
        <v>107</v>
      </c>
      <c r="G31" s="5" t="s">
        <v>31</v>
      </c>
      <c r="H31" s="5" t="s">
        <v>8</v>
      </c>
      <c r="I31" s="10" t="n">
        <v>246000</v>
      </c>
      <c r="J31" s="12"/>
      <c r="K31" s="5" t="s">
        <v>33</v>
      </c>
      <c r="L31" s="5" t="s">
        <v>34</v>
      </c>
      <c r="M31" s="6" t="n">
        <v>44661</v>
      </c>
      <c r="N31" s="6"/>
      <c r="O31" s="6"/>
      <c r="P31" s="5" t="s">
        <v>114</v>
      </c>
      <c r="Q31" s="5" t="s">
        <v>36</v>
      </c>
      <c r="R31" s="16" t="s">
        <v>37</v>
      </c>
      <c r="S31" s="5" t="n">
        <v>40</v>
      </c>
      <c r="T31" s="5" t="s">
        <v>38</v>
      </c>
      <c r="U31" s="8" t="str">
        <f aca="false">IF(AND(TRIM(E31)="US",TRIM(G31)="Non-Exempt"),"US Non-Exempt EEs","")</f>
        <v/>
      </c>
      <c r="V31" s="8" t="str">
        <f aca="false">IF(AND(TRIM(E31)="US",TRIM(G31)="Non-Exempt"),IF(TRIM(D31)="CA","US California Non-Exempt","US Non-California Non-Exempt"),"")</f>
        <v/>
      </c>
      <c r="W31" s="8" t="str">
        <f aca="false">_xlfn.XLOOKUP(X31,ShiftCodes[Code],ShiftCodes[Work Schedule],"Unknown code")</f>
        <v>Standard (Mon–Fri 9:00–17:30)</v>
      </c>
      <c r="X31" s="9" t="s">
        <v>39</v>
      </c>
      <c r="Y31" s="5"/>
    </row>
    <row r="32" customFormat="false" ht="15" hidden="false" customHeight="false" outlineLevel="0" collapsed="false">
      <c r="A32" s="5" t="s">
        <v>136</v>
      </c>
      <c r="B32" s="5" t="s">
        <v>103</v>
      </c>
      <c r="C32" s="5" t="s">
        <v>100</v>
      </c>
      <c r="D32" s="5" t="s">
        <v>28</v>
      </c>
      <c r="E32" s="5" t="s">
        <v>29</v>
      </c>
      <c r="F32" s="5" t="s">
        <v>119</v>
      </c>
      <c r="G32" s="5" t="s">
        <v>31</v>
      </c>
      <c r="H32" s="5" t="s">
        <v>8</v>
      </c>
      <c r="I32" s="10" t="n">
        <v>209000</v>
      </c>
      <c r="J32" s="12"/>
      <c r="K32" s="5" t="s">
        <v>33</v>
      </c>
      <c r="L32" s="5" t="s">
        <v>34</v>
      </c>
      <c r="M32" s="6" t="n">
        <v>44684</v>
      </c>
      <c r="N32" s="6"/>
      <c r="O32" s="6"/>
      <c r="P32" s="5" t="s">
        <v>116</v>
      </c>
      <c r="Q32" s="5" t="s">
        <v>36</v>
      </c>
      <c r="R32" s="16" t="s">
        <v>37</v>
      </c>
      <c r="S32" s="5" t="n">
        <v>40</v>
      </c>
      <c r="T32" s="5" t="s">
        <v>38</v>
      </c>
      <c r="U32" s="8" t="str">
        <f aca="false">IF(AND(TRIM(E32)="US",TRIM(G32)="Non-Exempt"),"US Non-Exempt EEs","")</f>
        <v/>
      </c>
      <c r="V32" s="8" t="str">
        <f aca="false">IF(AND(TRIM(E32)="US",TRIM(G32)="Non-Exempt"),IF(TRIM(D32)="CA","US California Non-Exempt","US Non-California Non-Exempt"),"")</f>
        <v/>
      </c>
      <c r="W32" s="8" t="str">
        <f aca="false">_xlfn.XLOOKUP(X32,ShiftCodes[Code],ShiftCodes[Work Schedule],"Unknown code")</f>
        <v>Standard (Mon–Fri 9:00–17:30)</v>
      </c>
      <c r="X32" s="9" t="s">
        <v>39</v>
      </c>
      <c r="Y32" s="5"/>
    </row>
    <row r="33" customFormat="false" ht="15" hidden="false" customHeight="false" outlineLevel="0" collapsed="false">
      <c r="A33" s="5" t="s">
        <v>137</v>
      </c>
      <c r="B33" s="5" t="s">
        <v>109</v>
      </c>
      <c r="C33" s="5" t="s">
        <v>76</v>
      </c>
      <c r="D33" s="5" t="s">
        <v>28</v>
      </c>
      <c r="E33" s="5" t="s">
        <v>29</v>
      </c>
      <c r="F33" s="5" t="s">
        <v>130</v>
      </c>
      <c r="G33" s="5" t="s">
        <v>78</v>
      </c>
      <c r="H33" s="5" t="s">
        <v>79</v>
      </c>
      <c r="I33" s="10"/>
      <c r="J33" s="12" t="n">
        <v>31.75</v>
      </c>
      <c r="K33" s="5" t="s">
        <v>33</v>
      </c>
      <c r="L33" s="5" t="s">
        <v>80</v>
      </c>
      <c r="M33" s="6" t="n">
        <v>44684</v>
      </c>
      <c r="N33" s="6" t="n">
        <v>46308</v>
      </c>
      <c r="O33" s="6"/>
      <c r="P33" s="5" t="s">
        <v>128</v>
      </c>
      <c r="Q33" s="5" t="s">
        <v>46</v>
      </c>
      <c r="R33" s="16" t="s">
        <v>37</v>
      </c>
      <c r="S33" s="5" t="n">
        <v>40</v>
      </c>
      <c r="T33" s="5" t="s">
        <v>38</v>
      </c>
      <c r="U33" s="8" t="str">
        <f aca="false">IF(AND(TRIM(E33)="US",TRIM(G33)="Non-Exempt"),"US Non-Exempt EEs","")</f>
        <v>US Non-Exempt EEs</v>
      </c>
      <c r="V33" s="8" t="str">
        <f aca="false">IF(AND(TRIM(E33)="US",TRIM(G33)="Non-Exempt"),IF(TRIM(D33)="CA","US California Non-Exempt","US Non-California Non-Exempt"),"")</f>
        <v>US California Non-Exempt</v>
      </c>
      <c r="W33" s="8" t="str">
        <f aca="false">_xlfn.XLOOKUP(X33,ShiftCodes[Code],ShiftCodes[Work Schedule],"Unknown code")</f>
        <v>Shift A – Day (Mon–Fri 06:00–14:30)</v>
      </c>
      <c r="X33" s="9" t="s">
        <v>81</v>
      </c>
      <c r="Y33" s="5" t="s">
        <v>138</v>
      </c>
    </row>
    <row r="34" customFormat="false" ht="15" hidden="false" customHeight="false" outlineLevel="0" collapsed="false">
      <c r="A34" s="5" t="s">
        <v>139</v>
      </c>
      <c r="B34" s="5" t="s">
        <v>109</v>
      </c>
      <c r="C34" s="5" t="s">
        <v>76</v>
      </c>
      <c r="D34" s="5" t="s">
        <v>28</v>
      </c>
      <c r="E34" s="5" t="s">
        <v>29</v>
      </c>
      <c r="F34" s="5" t="s">
        <v>130</v>
      </c>
      <c r="G34" s="5" t="s">
        <v>78</v>
      </c>
      <c r="H34" s="5" t="s">
        <v>79</v>
      </c>
      <c r="I34" s="10"/>
      <c r="J34" s="12" t="n">
        <v>28</v>
      </c>
      <c r="K34" s="5" t="s">
        <v>33</v>
      </c>
      <c r="L34" s="5" t="s">
        <v>80</v>
      </c>
      <c r="M34" s="6" t="n">
        <v>44725</v>
      </c>
      <c r="N34" s="6" t="n">
        <v>46312</v>
      </c>
      <c r="O34" s="6"/>
      <c r="P34" s="5" t="s">
        <v>128</v>
      </c>
      <c r="Q34" s="5" t="s">
        <v>46</v>
      </c>
      <c r="R34" s="16" t="s">
        <v>37</v>
      </c>
      <c r="S34" s="5" t="n">
        <v>24</v>
      </c>
      <c r="T34" s="5" t="s">
        <v>140</v>
      </c>
      <c r="U34" s="8" t="str">
        <f aca="false">IF(AND(TRIM(E34)="US",TRIM(G34)="Non-Exempt"),"US Non-Exempt EEs","")</f>
        <v>US Non-Exempt EEs</v>
      </c>
      <c r="V34" s="8" t="str">
        <f aca="false">IF(AND(TRIM(E34)="US",TRIM(G34)="Non-Exempt"),IF(TRIM(D34)="CA","US California Non-Exempt","US Non-California Non-Exempt"),"")</f>
        <v>US California Non-Exempt</v>
      </c>
      <c r="W34" s="8" t="str">
        <f aca="false">_xlfn.XLOOKUP(X34,ShiftCodes[Code],ShiftCodes[Work Schedule],"Unknown code")</f>
        <v>Part-time – Day (Mon/Wed/Fri 06:00–14:30)</v>
      </c>
      <c r="X34" s="9" t="s">
        <v>141</v>
      </c>
      <c r="Y34" s="5" t="s">
        <v>142</v>
      </c>
    </row>
    <row r="35" customFormat="false" ht="15" hidden="false" customHeight="false" outlineLevel="0" collapsed="false">
      <c r="A35" s="5" t="s">
        <v>143</v>
      </c>
      <c r="B35" s="5" t="s">
        <v>112</v>
      </c>
      <c r="C35" s="5" t="s">
        <v>100</v>
      </c>
      <c r="D35" s="5" t="s">
        <v>28</v>
      </c>
      <c r="E35" s="5" t="s">
        <v>29</v>
      </c>
      <c r="F35" s="5" t="s">
        <v>119</v>
      </c>
      <c r="G35" s="5" t="s">
        <v>31</v>
      </c>
      <c r="H35" s="5" t="s">
        <v>8</v>
      </c>
      <c r="I35" s="10" t="n">
        <v>230000</v>
      </c>
      <c r="J35" s="12"/>
      <c r="K35" s="5" t="s">
        <v>33</v>
      </c>
      <c r="L35" s="5" t="s">
        <v>34</v>
      </c>
      <c r="M35" s="6" t="n">
        <v>44734</v>
      </c>
      <c r="N35" s="6"/>
      <c r="O35" s="6"/>
      <c r="P35" s="5" t="s">
        <v>133</v>
      </c>
      <c r="Q35" s="5" t="s">
        <v>36</v>
      </c>
      <c r="R35" s="16" t="s">
        <v>37</v>
      </c>
      <c r="S35" s="5" t="n">
        <v>40</v>
      </c>
      <c r="T35" s="5" t="s">
        <v>38</v>
      </c>
      <c r="U35" s="8" t="str">
        <f aca="false">IF(AND(TRIM(E35)="US",TRIM(G35)="Non-Exempt"),"US Non-Exempt EEs","")</f>
        <v/>
      </c>
      <c r="V35" s="8" t="str">
        <f aca="false">IF(AND(TRIM(E35)="US",TRIM(G35)="Non-Exempt"),IF(TRIM(D35)="CA","US California Non-Exempt","US Non-California Non-Exempt"),"")</f>
        <v/>
      </c>
      <c r="W35" s="8" t="str">
        <f aca="false">_xlfn.XLOOKUP(X35,ShiftCodes[Code],ShiftCodes[Work Schedule],"Unknown code")</f>
        <v>Standard (Mon–Fri 9:00–17:30)</v>
      </c>
      <c r="X35" s="9" t="s">
        <v>39</v>
      </c>
      <c r="Y35" s="5"/>
    </row>
    <row r="36" customFormat="false" ht="15" hidden="false" customHeight="false" outlineLevel="0" collapsed="false">
      <c r="A36" s="5" t="s">
        <v>144</v>
      </c>
      <c r="B36" s="5" t="s">
        <v>112</v>
      </c>
      <c r="C36" s="5" t="s">
        <v>100</v>
      </c>
      <c r="D36" s="5" t="s">
        <v>28</v>
      </c>
      <c r="E36" s="5" t="s">
        <v>29</v>
      </c>
      <c r="F36" s="5" t="s">
        <v>124</v>
      </c>
      <c r="G36" s="5" t="s">
        <v>31</v>
      </c>
      <c r="H36" s="5" t="s">
        <v>8</v>
      </c>
      <c r="I36" s="10" t="n">
        <v>143000</v>
      </c>
      <c r="J36" s="12"/>
      <c r="K36" s="5" t="s">
        <v>33</v>
      </c>
      <c r="L36" s="5" t="s">
        <v>34</v>
      </c>
      <c r="M36" s="6" t="n">
        <v>44748</v>
      </c>
      <c r="N36" s="6"/>
      <c r="O36" s="6" t="n">
        <v>46316</v>
      </c>
      <c r="P36" s="5" t="s">
        <v>143</v>
      </c>
      <c r="Q36" s="5" t="s">
        <v>93</v>
      </c>
      <c r="R36" s="16" t="s">
        <v>37</v>
      </c>
      <c r="S36" s="5" t="n">
        <v>40</v>
      </c>
      <c r="T36" s="5" t="s">
        <v>38</v>
      </c>
      <c r="U36" s="8" t="str">
        <f aca="false">IF(AND(TRIM(E36)="US",TRIM(G36)="Non-Exempt"),"US Non-Exempt EEs","")</f>
        <v/>
      </c>
      <c r="V36" s="8" t="str">
        <f aca="false">IF(AND(TRIM(E36)="US",TRIM(G36)="Non-Exempt"),IF(TRIM(D36)="CA","US California Non-Exempt","US Non-California Non-Exempt"),"")</f>
        <v/>
      </c>
      <c r="W36" s="8" t="str">
        <f aca="false">_xlfn.XLOOKUP(X36,ShiftCodes[Code],ShiftCodes[Work Schedule],"Unknown code")</f>
        <v>Standard (Mon–Fri 9:00–17:30)</v>
      </c>
      <c r="X36" s="9" t="s">
        <v>39</v>
      </c>
      <c r="Y36" s="5"/>
    </row>
    <row r="37" customFormat="false" ht="15" hidden="false" customHeight="false" outlineLevel="0" collapsed="false">
      <c r="A37" s="5" t="s">
        <v>145</v>
      </c>
      <c r="B37" s="5" t="s">
        <v>103</v>
      </c>
      <c r="C37" s="5" t="s">
        <v>106</v>
      </c>
      <c r="D37" s="5" t="s">
        <v>42</v>
      </c>
      <c r="E37" s="5" t="s">
        <v>29</v>
      </c>
      <c r="F37" s="5" t="s">
        <v>119</v>
      </c>
      <c r="G37" s="5" t="s">
        <v>31</v>
      </c>
      <c r="H37" s="5" t="s">
        <v>8</v>
      </c>
      <c r="I37" s="10" t="n">
        <v>223000</v>
      </c>
      <c r="J37" s="12"/>
      <c r="K37" s="5" t="s">
        <v>33</v>
      </c>
      <c r="L37" s="5" t="s">
        <v>34</v>
      </c>
      <c r="M37" s="6" t="n">
        <v>44806</v>
      </c>
      <c r="N37" s="6"/>
      <c r="O37" s="6"/>
      <c r="P37" s="5" t="s">
        <v>116</v>
      </c>
      <c r="Q37" s="5" t="s">
        <v>36</v>
      </c>
      <c r="R37" s="16" t="s">
        <v>37</v>
      </c>
      <c r="S37" s="5" t="n">
        <v>40</v>
      </c>
      <c r="T37" s="5" t="s">
        <v>38</v>
      </c>
      <c r="U37" s="8" t="str">
        <f aca="false">IF(AND(TRIM(E37)="US",TRIM(G37)="Non-Exempt"),"US Non-Exempt EEs","")</f>
        <v/>
      </c>
      <c r="V37" s="8" t="str">
        <f aca="false">IF(AND(TRIM(E37)="US",TRIM(G37)="Non-Exempt"),IF(TRIM(D37)="CA","US California Non-Exempt","US Non-California Non-Exempt"),"")</f>
        <v/>
      </c>
      <c r="W37" s="8" t="str">
        <f aca="false">_xlfn.XLOOKUP(X37,ShiftCodes[Code],ShiftCodes[Work Schedule],"Unknown code")</f>
        <v>Standard (Mon–Fri 9:00–17:30)</v>
      </c>
      <c r="X37" s="9" t="s">
        <v>39</v>
      </c>
      <c r="Y37" s="5"/>
    </row>
    <row r="38" customFormat="false" ht="15" hidden="false" customHeight="false" outlineLevel="0" collapsed="false">
      <c r="A38" s="5" t="s">
        <v>146</v>
      </c>
      <c r="B38" s="5" t="s">
        <v>112</v>
      </c>
      <c r="C38" s="5" t="s">
        <v>106</v>
      </c>
      <c r="D38" s="5" t="s">
        <v>42</v>
      </c>
      <c r="E38" s="5" t="s">
        <v>29</v>
      </c>
      <c r="F38" s="5" t="s">
        <v>107</v>
      </c>
      <c r="G38" s="5" t="s">
        <v>31</v>
      </c>
      <c r="H38" s="5" t="s">
        <v>8</v>
      </c>
      <c r="I38" s="10" t="n">
        <v>255000</v>
      </c>
      <c r="J38" s="12"/>
      <c r="K38" s="5" t="s">
        <v>33</v>
      </c>
      <c r="L38" s="5" t="s">
        <v>34</v>
      </c>
      <c r="M38" s="6" t="n">
        <v>44816</v>
      </c>
      <c r="N38" s="6"/>
      <c r="O38" s="6"/>
      <c r="P38" s="5" t="s">
        <v>111</v>
      </c>
      <c r="Q38" s="5" t="s">
        <v>36</v>
      </c>
      <c r="R38" s="16" t="s">
        <v>37</v>
      </c>
      <c r="S38" s="5" t="n">
        <v>40</v>
      </c>
      <c r="T38" s="5" t="s">
        <v>38</v>
      </c>
      <c r="U38" s="8" t="str">
        <f aca="false">IF(AND(TRIM(E38)="US",TRIM(G38)="Non-Exempt"),"US Non-Exempt EEs","")</f>
        <v/>
      </c>
      <c r="V38" s="8" t="str">
        <f aca="false">IF(AND(TRIM(E38)="US",TRIM(G38)="Non-Exempt"),IF(TRIM(D38)="CA","US California Non-Exempt","US Non-California Non-Exempt"),"")</f>
        <v/>
      </c>
      <c r="W38" s="8" t="str">
        <f aca="false">_xlfn.XLOOKUP(X38,ShiftCodes[Code],ShiftCodes[Work Schedule],"Unknown code")</f>
        <v>Standard (Mon–Fri 9:00–17:30)</v>
      </c>
      <c r="X38" s="9" t="s">
        <v>39</v>
      </c>
      <c r="Y38" s="5"/>
    </row>
    <row r="39" customFormat="false" ht="15" hidden="false" customHeight="false" outlineLevel="0" collapsed="false">
      <c r="A39" s="5" t="s">
        <v>147</v>
      </c>
      <c r="B39" s="5" t="s">
        <v>109</v>
      </c>
      <c r="C39" s="5" t="s">
        <v>76</v>
      </c>
      <c r="D39" s="5" t="s">
        <v>28</v>
      </c>
      <c r="E39" s="5" t="s">
        <v>29</v>
      </c>
      <c r="F39" s="5" t="s">
        <v>121</v>
      </c>
      <c r="G39" s="5" t="s">
        <v>78</v>
      </c>
      <c r="H39" s="5" t="s">
        <v>79</v>
      </c>
      <c r="I39" s="10"/>
      <c r="J39" s="12" t="n">
        <v>38.75</v>
      </c>
      <c r="K39" s="5" t="s">
        <v>33</v>
      </c>
      <c r="L39" s="5" t="s">
        <v>80</v>
      </c>
      <c r="M39" s="6" t="n">
        <v>44851</v>
      </c>
      <c r="N39" s="6"/>
      <c r="O39" s="6"/>
      <c r="P39" s="5" t="s">
        <v>128</v>
      </c>
      <c r="Q39" s="5" t="s">
        <v>36</v>
      </c>
      <c r="R39" s="16" t="s">
        <v>37</v>
      </c>
      <c r="S39" s="5" t="n">
        <v>40</v>
      </c>
      <c r="T39" s="5" t="s">
        <v>38</v>
      </c>
      <c r="U39" s="8" t="str">
        <f aca="false">IF(AND(TRIM(E39)="US",TRIM(G39)="Non-Exempt"),"US Non-Exempt EEs","")</f>
        <v>US Non-Exempt EEs</v>
      </c>
      <c r="V39" s="8" t="str">
        <f aca="false">IF(AND(TRIM(E39)="US",TRIM(G39)="Non-Exempt"),IF(TRIM(D39)="CA","US California Non-Exempt","US Non-California Non-Exempt"),"")</f>
        <v>US California Non-Exempt</v>
      </c>
      <c r="W39" s="8" t="str">
        <f aca="false">_xlfn.XLOOKUP(X39,ShiftCodes[Code],ShiftCodes[Work Schedule],"Unknown code")</f>
        <v>Shift A – Day (Mon–Fri 06:00–14:30)</v>
      </c>
      <c r="X39" s="9" t="s">
        <v>81</v>
      </c>
      <c r="Y39" s="5"/>
    </row>
    <row r="40" customFormat="false" ht="15" hidden="false" customHeight="false" outlineLevel="0" collapsed="false">
      <c r="A40" s="5" t="s">
        <v>148</v>
      </c>
      <c r="B40" s="5" t="s">
        <v>112</v>
      </c>
      <c r="C40" s="5" t="s">
        <v>100</v>
      </c>
      <c r="D40" s="5" t="s">
        <v>28</v>
      </c>
      <c r="E40" s="5" t="s">
        <v>29</v>
      </c>
      <c r="F40" s="5" t="s">
        <v>149</v>
      </c>
      <c r="G40" s="5" t="s">
        <v>31</v>
      </c>
      <c r="H40" s="5" t="s">
        <v>8</v>
      </c>
      <c r="I40" s="10" t="n">
        <v>101000</v>
      </c>
      <c r="J40" s="12"/>
      <c r="K40" s="5" t="s">
        <v>33</v>
      </c>
      <c r="L40" s="5" t="s">
        <v>34</v>
      </c>
      <c r="M40" s="6" t="n">
        <v>44863</v>
      </c>
      <c r="N40" s="6"/>
      <c r="O40" s="6"/>
      <c r="P40" s="5" t="s">
        <v>143</v>
      </c>
      <c r="Q40" s="5" t="s">
        <v>36</v>
      </c>
      <c r="R40" s="16" t="s">
        <v>37</v>
      </c>
      <c r="S40" s="5" t="n">
        <v>40</v>
      </c>
      <c r="T40" s="5" t="s">
        <v>38</v>
      </c>
      <c r="U40" s="8" t="str">
        <f aca="false">IF(AND(TRIM(E40)="US",TRIM(G40)="Non-Exempt"),"US Non-Exempt EEs","")</f>
        <v/>
      </c>
      <c r="V40" s="8" t="str">
        <f aca="false">IF(AND(TRIM(E40)="US",TRIM(G40)="Non-Exempt"),IF(TRIM(D40)="CA","US California Non-Exempt","US Non-California Non-Exempt"),"")</f>
        <v/>
      </c>
      <c r="W40" s="8" t="str">
        <f aca="false">_xlfn.XLOOKUP(X40,ShiftCodes[Code],ShiftCodes[Work Schedule],"Unknown code")</f>
        <v>Standard (Mon–Fri 9:00–17:30)</v>
      </c>
      <c r="X40" s="9" t="s">
        <v>39</v>
      </c>
      <c r="Y40" s="5"/>
    </row>
    <row r="41" customFormat="false" ht="15" hidden="false" customHeight="false" outlineLevel="0" collapsed="false">
      <c r="A41" s="5" t="s">
        <v>150</v>
      </c>
      <c r="B41" s="5" t="s">
        <v>109</v>
      </c>
      <c r="C41" s="5" t="s">
        <v>113</v>
      </c>
      <c r="D41" s="5" t="s">
        <v>84</v>
      </c>
      <c r="E41" s="5" t="s">
        <v>29</v>
      </c>
      <c r="F41" s="5" t="s">
        <v>130</v>
      </c>
      <c r="G41" s="5" t="s">
        <v>78</v>
      </c>
      <c r="H41" s="5" t="s">
        <v>79</v>
      </c>
      <c r="I41" s="10"/>
      <c r="J41" s="12" t="n">
        <v>28.5</v>
      </c>
      <c r="K41" s="5" t="s">
        <v>33</v>
      </c>
      <c r="L41" s="5" t="s">
        <v>80</v>
      </c>
      <c r="M41" s="6" t="n">
        <v>44871</v>
      </c>
      <c r="N41" s="6"/>
      <c r="O41" s="6"/>
      <c r="P41" s="5" t="s">
        <v>118</v>
      </c>
      <c r="Q41" s="5" t="s">
        <v>36</v>
      </c>
      <c r="R41" s="16" t="s">
        <v>37</v>
      </c>
      <c r="S41" s="5" t="n">
        <v>36</v>
      </c>
      <c r="T41" s="5" t="s">
        <v>38</v>
      </c>
      <c r="U41" s="8" t="str">
        <f aca="false">IF(AND(TRIM(E41)="US",TRIM(G41)="Non-Exempt"),"US Non-Exempt EEs","")</f>
        <v>US Non-Exempt EEs</v>
      </c>
      <c r="V41" s="8" t="str">
        <f aca="false">IF(AND(TRIM(E41)="US",TRIM(G41)="Non-Exempt"),IF(TRIM(D41)="CA","US California Non-Exempt","US Non-California Non-Exempt"),"")</f>
        <v>US Non-California Non-Exempt</v>
      </c>
      <c r="W41" s="8" t="str">
        <f aca="false">_xlfn.XLOOKUP(X41,ShiftCodes[Code],ShiftCodes[Work Schedule],"Unknown code")</f>
        <v>Shift D – Weekend (Fri–Sun 06:00–18:30)</v>
      </c>
      <c r="X41" s="9" t="s">
        <v>151</v>
      </c>
      <c r="Y41" s="5"/>
    </row>
    <row r="42" customFormat="false" ht="15" hidden="false" customHeight="false" outlineLevel="0" collapsed="false">
      <c r="A42" s="5" t="s">
        <v>152</v>
      </c>
      <c r="B42" s="5" t="s">
        <v>99</v>
      </c>
      <c r="C42" s="5" t="s">
        <v>100</v>
      </c>
      <c r="D42" s="5" t="s">
        <v>28</v>
      </c>
      <c r="E42" s="5" t="s">
        <v>29</v>
      </c>
      <c r="F42" s="5" t="s">
        <v>107</v>
      </c>
      <c r="G42" s="5" t="s">
        <v>31</v>
      </c>
      <c r="H42" s="5" t="s">
        <v>8</v>
      </c>
      <c r="I42" s="10" t="n">
        <v>252000</v>
      </c>
      <c r="J42" s="12"/>
      <c r="K42" s="5" t="s">
        <v>33</v>
      </c>
      <c r="L42" s="5" t="s">
        <v>34</v>
      </c>
      <c r="M42" s="6" t="n">
        <v>44887</v>
      </c>
      <c r="N42" s="6"/>
      <c r="O42" s="6"/>
      <c r="P42" s="5" t="s">
        <v>114</v>
      </c>
      <c r="Q42" s="5" t="s">
        <v>36</v>
      </c>
      <c r="R42" s="16" t="s">
        <v>37</v>
      </c>
      <c r="S42" s="5" t="n">
        <v>40</v>
      </c>
      <c r="T42" s="5" t="s">
        <v>38</v>
      </c>
      <c r="U42" s="8" t="str">
        <f aca="false">IF(AND(TRIM(E42)="US",TRIM(G42)="Non-Exempt"),"US Non-Exempt EEs","")</f>
        <v/>
      </c>
      <c r="V42" s="8" t="str">
        <f aca="false">IF(AND(TRIM(E42)="US",TRIM(G42)="Non-Exempt"),IF(TRIM(D42)="CA","US California Non-Exempt","US Non-California Non-Exempt"),"")</f>
        <v/>
      </c>
      <c r="W42" s="8" t="str">
        <f aca="false">_xlfn.XLOOKUP(X42,ShiftCodes[Code],ShiftCodes[Work Schedule],"Unknown code")</f>
        <v>Standard (Mon–Fri 9:00–17:30)</v>
      </c>
      <c r="X42" s="9" t="s">
        <v>39</v>
      </c>
      <c r="Y42" s="5"/>
    </row>
    <row r="43" customFormat="false" ht="15" hidden="false" customHeight="false" outlineLevel="0" collapsed="false">
      <c r="A43" s="5" t="s">
        <v>153</v>
      </c>
      <c r="B43" s="5" t="s">
        <v>103</v>
      </c>
      <c r="C43" s="5" t="s">
        <v>41</v>
      </c>
      <c r="D43" s="5" t="s">
        <v>154</v>
      </c>
      <c r="E43" s="5" t="s">
        <v>29</v>
      </c>
      <c r="F43" s="5" t="s">
        <v>149</v>
      </c>
      <c r="G43" s="5" t="s">
        <v>31</v>
      </c>
      <c r="H43" s="5" t="s">
        <v>8</v>
      </c>
      <c r="I43" s="10" t="n">
        <v>120000</v>
      </c>
      <c r="J43" s="12"/>
      <c r="K43" s="5" t="s">
        <v>33</v>
      </c>
      <c r="L43" s="5" t="s">
        <v>34</v>
      </c>
      <c r="M43" s="6" t="n">
        <v>44895</v>
      </c>
      <c r="N43" s="6"/>
      <c r="O43" s="6"/>
      <c r="P43" s="5" t="s">
        <v>122</v>
      </c>
      <c r="Q43" s="5" t="s">
        <v>36</v>
      </c>
      <c r="R43" s="16" t="s">
        <v>37</v>
      </c>
      <c r="S43" s="5" t="n">
        <v>40</v>
      </c>
      <c r="T43" s="5" t="s">
        <v>38</v>
      </c>
      <c r="U43" s="8" t="str">
        <f aca="false">IF(AND(TRIM(E43)="US",TRIM(G43)="Non-Exempt"),"US Non-Exempt EEs","")</f>
        <v/>
      </c>
      <c r="V43" s="8" t="str">
        <f aca="false">IF(AND(TRIM(E43)="US",TRIM(G43)="Non-Exempt"),IF(TRIM(D43)="CA","US California Non-Exempt","US Non-California Non-Exempt"),"")</f>
        <v/>
      </c>
      <c r="W43" s="8" t="str">
        <f aca="false">_xlfn.XLOOKUP(X43,ShiftCodes[Code],ShiftCodes[Work Schedule],"Unknown code")</f>
        <v>Standard (Mon–Fri 9:00–17:30)</v>
      </c>
      <c r="X43" s="9" t="s">
        <v>39</v>
      </c>
      <c r="Y43" s="5"/>
    </row>
    <row r="44" customFormat="false" ht="15" hidden="false" customHeight="false" outlineLevel="0" collapsed="false">
      <c r="A44" s="5" t="s">
        <v>155</v>
      </c>
      <c r="B44" s="5" t="s">
        <v>103</v>
      </c>
      <c r="C44" s="5" t="s">
        <v>106</v>
      </c>
      <c r="D44" s="5" t="s">
        <v>42</v>
      </c>
      <c r="E44" s="5" t="s">
        <v>29</v>
      </c>
      <c r="F44" s="5" t="s">
        <v>156</v>
      </c>
      <c r="G44" s="5" t="s">
        <v>31</v>
      </c>
      <c r="H44" s="5" t="s">
        <v>8</v>
      </c>
      <c r="I44" s="10" t="n">
        <v>244000</v>
      </c>
      <c r="J44" s="12"/>
      <c r="K44" s="5" t="s">
        <v>33</v>
      </c>
      <c r="L44" s="5" t="s">
        <v>34</v>
      </c>
      <c r="M44" s="6" t="n">
        <v>44903</v>
      </c>
      <c r="N44" s="6"/>
      <c r="O44" s="6"/>
      <c r="P44" s="5" t="s">
        <v>145</v>
      </c>
      <c r="Q44" s="5" t="s">
        <v>36</v>
      </c>
      <c r="R44" s="16" t="s">
        <v>37</v>
      </c>
      <c r="S44" s="5" t="n">
        <v>40</v>
      </c>
      <c r="T44" s="5" t="s">
        <v>38</v>
      </c>
      <c r="U44" s="8" t="str">
        <f aca="false">IF(AND(TRIM(E44)="US",TRIM(G44)="Non-Exempt"),"US Non-Exempt EEs","")</f>
        <v/>
      </c>
      <c r="V44" s="8" t="str">
        <f aca="false">IF(AND(TRIM(E44)="US",TRIM(G44)="Non-Exempt"),IF(TRIM(D44)="CA","US California Non-Exempt","US Non-California Non-Exempt"),"")</f>
        <v/>
      </c>
      <c r="W44" s="8" t="str">
        <f aca="false">_xlfn.XLOOKUP(X44,ShiftCodes[Code],ShiftCodes[Work Schedule],"Unknown code")</f>
        <v>Standard (Mon–Fri 9:00–17:30)</v>
      </c>
      <c r="X44" s="9" t="s">
        <v>39</v>
      </c>
      <c r="Y44" s="5"/>
    </row>
    <row r="45" customFormat="false" ht="15" hidden="false" customHeight="false" outlineLevel="0" collapsed="false">
      <c r="A45" s="5" t="s">
        <v>157</v>
      </c>
      <c r="B45" s="5" t="s">
        <v>109</v>
      </c>
      <c r="C45" s="5" t="s">
        <v>76</v>
      </c>
      <c r="D45" s="5" t="s">
        <v>28</v>
      </c>
      <c r="E45" s="5" t="s">
        <v>29</v>
      </c>
      <c r="F45" s="5" t="s">
        <v>130</v>
      </c>
      <c r="G45" s="5" t="s">
        <v>78</v>
      </c>
      <c r="H45" s="5" t="s">
        <v>79</v>
      </c>
      <c r="I45" s="10"/>
      <c r="J45" s="12" t="n">
        <v>26.75</v>
      </c>
      <c r="K45" s="5" t="s">
        <v>33</v>
      </c>
      <c r="L45" s="5" t="s">
        <v>80</v>
      </c>
      <c r="M45" s="6" t="n">
        <v>44904</v>
      </c>
      <c r="N45" s="6"/>
      <c r="O45" s="6"/>
      <c r="P45" s="5" t="s">
        <v>128</v>
      </c>
      <c r="Q45" s="5" t="s">
        <v>36</v>
      </c>
      <c r="R45" s="16" t="s">
        <v>37</v>
      </c>
      <c r="S45" s="5" t="n">
        <v>40</v>
      </c>
      <c r="T45" s="5" t="s">
        <v>38</v>
      </c>
      <c r="U45" s="8" t="str">
        <f aca="false">IF(AND(TRIM(E45)="US",TRIM(G45)="Non-Exempt"),"US Non-Exempt EEs","")</f>
        <v>US Non-Exempt EEs</v>
      </c>
      <c r="V45" s="8" t="str">
        <f aca="false">IF(AND(TRIM(E45)="US",TRIM(G45)="Non-Exempt"),IF(TRIM(D45)="CA","US California Non-Exempt","US Non-California Non-Exempt"),"")</f>
        <v>US California Non-Exempt</v>
      </c>
      <c r="W45" s="8" t="str">
        <f aca="false">_xlfn.XLOOKUP(X45,ShiftCodes[Code],ShiftCodes[Work Schedule],"Unknown code")</f>
        <v>Shift A – Day (Mon–Fri 06:00–14:30)</v>
      </c>
      <c r="X45" s="9" t="s">
        <v>81</v>
      </c>
      <c r="Y45" s="5"/>
    </row>
    <row r="46" customFormat="false" ht="15" hidden="false" customHeight="false" outlineLevel="0" collapsed="false">
      <c r="A46" s="5" t="s">
        <v>158</v>
      </c>
      <c r="B46" s="5" t="s">
        <v>112</v>
      </c>
      <c r="C46" s="5" t="s">
        <v>41</v>
      </c>
      <c r="D46" s="5" t="s">
        <v>154</v>
      </c>
      <c r="E46" s="5" t="s">
        <v>29</v>
      </c>
      <c r="F46" s="5" t="s">
        <v>124</v>
      </c>
      <c r="G46" s="5" t="s">
        <v>31</v>
      </c>
      <c r="H46" s="5" t="s">
        <v>8</v>
      </c>
      <c r="I46" s="10" t="n">
        <v>130000</v>
      </c>
      <c r="J46" s="12"/>
      <c r="K46" s="5" t="s">
        <v>33</v>
      </c>
      <c r="L46" s="5" t="s">
        <v>34</v>
      </c>
      <c r="M46" s="6" t="n">
        <v>44920</v>
      </c>
      <c r="N46" s="6"/>
      <c r="O46" s="6"/>
      <c r="P46" s="5" t="s">
        <v>143</v>
      </c>
      <c r="Q46" s="5" t="s">
        <v>36</v>
      </c>
      <c r="R46" s="16" t="s">
        <v>37</v>
      </c>
      <c r="S46" s="5" t="n">
        <v>40</v>
      </c>
      <c r="T46" s="5" t="s">
        <v>38</v>
      </c>
      <c r="U46" s="8" t="str">
        <f aca="false">IF(AND(TRIM(E46)="US",TRIM(G46)="Non-Exempt"),"US Non-Exempt EEs","")</f>
        <v/>
      </c>
      <c r="V46" s="8" t="str">
        <f aca="false">IF(AND(TRIM(E46)="US",TRIM(G46)="Non-Exempt"),IF(TRIM(D46)="CA","US California Non-Exempt","US Non-California Non-Exempt"),"")</f>
        <v/>
      </c>
      <c r="W46" s="8" t="str">
        <f aca="false">_xlfn.XLOOKUP(X46,ShiftCodes[Code],ShiftCodes[Work Schedule],"Unknown code")</f>
        <v>Standard (Mon–Fri 9:00–17:30)</v>
      </c>
      <c r="X46" s="9" t="s">
        <v>39</v>
      </c>
      <c r="Y46" s="5"/>
    </row>
    <row r="47" customFormat="false" ht="15" hidden="false" customHeight="false" outlineLevel="0" collapsed="false">
      <c r="A47" s="5" t="s">
        <v>159</v>
      </c>
      <c r="B47" s="5" t="s">
        <v>99</v>
      </c>
      <c r="C47" s="5" t="s">
        <v>41</v>
      </c>
      <c r="D47" s="5" t="s">
        <v>28</v>
      </c>
      <c r="E47" s="5" t="s">
        <v>29</v>
      </c>
      <c r="F47" s="5" t="s">
        <v>119</v>
      </c>
      <c r="G47" s="5" t="s">
        <v>31</v>
      </c>
      <c r="H47" s="5" t="s">
        <v>8</v>
      </c>
      <c r="I47" s="10" t="n">
        <v>190000</v>
      </c>
      <c r="J47" s="12"/>
      <c r="K47" s="5" t="s">
        <v>33</v>
      </c>
      <c r="L47" s="5" t="s">
        <v>34</v>
      </c>
      <c r="M47" s="6" t="n">
        <v>44961</v>
      </c>
      <c r="N47" s="6"/>
      <c r="O47" s="6"/>
      <c r="P47" s="5" t="s">
        <v>126</v>
      </c>
      <c r="Q47" s="5" t="s">
        <v>36</v>
      </c>
      <c r="R47" s="16" t="s">
        <v>37</v>
      </c>
      <c r="S47" s="5" t="n">
        <v>40</v>
      </c>
      <c r="T47" s="5" t="s">
        <v>38</v>
      </c>
      <c r="U47" s="8" t="str">
        <f aca="false">IF(AND(TRIM(E47)="US",TRIM(G47)="Non-Exempt"),"US Non-Exempt EEs","")</f>
        <v/>
      </c>
      <c r="V47" s="8" t="str">
        <f aca="false">IF(AND(TRIM(E47)="US",TRIM(G47)="Non-Exempt"),IF(TRIM(D47)="CA","US California Non-Exempt","US Non-California Non-Exempt"),"")</f>
        <v/>
      </c>
      <c r="W47" s="8" t="str">
        <f aca="false">_xlfn.XLOOKUP(X47,ShiftCodes[Code],ShiftCodes[Work Schedule],"Unknown code")</f>
        <v>Standard (Mon–Fri 9:00–17:30)</v>
      </c>
      <c r="X47" s="9" t="s">
        <v>39</v>
      </c>
      <c r="Y47" s="5"/>
    </row>
    <row r="48" customFormat="false" ht="15" hidden="false" customHeight="false" outlineLevel="0" collapsed="false">
      <c r="A48" s="5" t="s">
        <v>160</v>
      </c>
      <c r="B48" s="5" t="s">
        <v>112</v>
      </c>
      <c r="C48" s="5" t="s">
        <v>100</v>
      </c>
      <c r="D48" s="5" t="s">
        <v>28</v>
      </c>
      <c r="E48" s="5" t="s">
        <v>29</v>
      </c>
      <c r="F48" s="5" t="s">
        <v>124</v>
      </c>
      <c r="G48" s="5" t="s">
        <v>31</v>
      </c>
      <c r="H48" s="5" t="s">
        <v>8</v>
      </c>
      <c r="I48" s="10" t="n">
        <v>124000</v>
      </c>
      <c r="J48" s="12"/>
      <c r="K48" s="5" t="s">
        <v>33</v>
      </c>
      <c r="L48" s="5" t="s">
        <v>34</v>
      </c>
      <c r="M48" s="6" t="n">
        <v>44987</v>
      </c>
      <c r="N48" s="6"/>
      <c r="O48" s="6"/>
      <c r="P48" s="5" t="s">
        <v>143</v>
      </c>
      <c r="Q48" s="5" t="s">
        <v>36</v>
      </c>
      <c r="R48" s="16" t="s">
        <v>37</v>
      </c>
      <c r="S48" s="5" t="n">
        <v>40</v>
      </c>
      <c r="T48" s="5" t="s">
        <v>38</v>
      </c>
      <c r="U48" s="8" t="str">
        <f aca="false">IF(AND(TRIM(E48)="US",TRIM(G48)="Non-Exempt"),"US Non-Exempt EEs","")</f>
        <v/>
      </c>
      <c r="V48" s="8" t="str">
        <f aca="false">IF(AND(TRIM(E48)="US",TRIM(G48)="Non-Exempt"),IF(TRIM(D48)="CA","US California Non-Exempt","US Non-California Non-Exempt"),"")</f>
        <v/>
      </c>
      <c r="W48" s="8" t="str">
        <f aca="false">_xlfn.XLOOKUP(X48,ShiftCodes[Code],ShiftCodes[Work Schedule],"Unknown code")</f>
        <v>Standard (Mon–Fri 9:00–17:30)</v>
      </c>
      <c r="X48" s="9" t="s">
        <v>39</v>
      </c>
      <c r="Y48" s="5"/>
    </row>
    <row r="49" customFormat="false" ht="15" hidden="false" customHeight="false" outlineLevel="0" collapsed="false">
      <c r="A49" s="5" t="s">
        <v>161</v>
      </c>
      <c r="B49" s="5" t="s">
        <v>109</v>
      </c>
      <c r="C49" s="5" t="s">
        <v>76</v>
      </c>
      <c r="D49" s="5" t="s">
        <v>28</v>
      </c>
      <c r="E49" s="5" t="s">
        <v>29</v>
      </c>
      <c r="F49" s="5" t="s">
        <v>119</v>
      </c>
      <c r="G49" s="5" t="s">
        <v>31</v>
      </c>
      <c r="H49" s="5" t="s">
        <v>8</v>
      </c>
      <c r="I49" s="10" t="n">
        <v>227000</v>
      </c>
      <c r="J49" s="12"/>
      <c r="K49" s="5" t="s">
        <v>33</v>
      </c>
      <c r="L49" s="5" t="s">
        <v>34</v>
      </c>
      <c r="M49" s="6" t="n">
        <v>44987</v>
      </c>
      <c r="N49" s="6"/>
      <c r="O49" s="6"/>
      <c r="P49" s="5" t="s">
        <v>115</v>
      </c>
      <c r="Q49" s="5" t="s">
        <v>36</v>
      </c>
      <c r="R49" s="16" t="s">
        <v>37</v>
      </c>
      <c r="S49" s="5" t="n">
        <v>40</v>
      </c>
      <c r="T49" s="5" t="s">
        <v>38</v>
      </c>
      <c r="U49" s="8" t="str">
        <f aca="false">IF(AND(TRIM(E49)="US",TRIM(G49)="Non-Exempt"),"US Non-Exempt EEs","")</f>
        <v/>
      </c>
      <c r="V49" s="8" t="str">
        <f aca="false">IF(AND(TRIM(E49)="US",TRIM(G49)="Non-Exempt"),IF(TRIM(D49)="CA","US California Non-Exempt","US Non-California Non-Exempt"),"")</f>
        <v/>
      </c>
      <c r="W49" s="8" t="str">
        <f aca="false">_xlfn.XLOOKUP(X49,ShiftCodes[Code],ShiftCodes[Work Schedule],"Unknown code")</f>
        <v>Standard (Mon–Fri 9:00–17:30)</v>
      </c>
      <c r="X49" s="9" t="s">
        <v>39</v>
      </c>
      <c r="Y49" s="5"/>
    </row>
    <row r="50" customFormat="false" ht="15" hidden="false" customHeight="false" outlineLevel="0" collapsed="false">
      <c r="A50" s="5" t="s">
        <v>162</v>
      </c>
      <c r="B50" s="5" t="s">
        <v>99</v>
      </c>
      <c r="C50" s="5" t="s">
        <v>41</v>
      </c>
      <c r="D50" s="5" t="s">
        <v>154</v>
      </c>
      <c r="E50" s="5" t="s">
        <v>29</v>
      </c>
      <c r="F50" s="5" t="s">
        <v>163</v>
      </c>
      <c r="G50" s="5" t="s">
        <v>31</v>
      </c>
      <c r="H50" s="5" t="s">
        <v>8</v>
      </c>
      <c r="I50" s="10" t="n">
        <v>145000</v>
      </c>
      <c r="J50" s="12"/>
      <c r="K50" s="5" t="s">
        <v>33</v>
      </c>
      <c r="L50" s="5" t="s">
        <v>34</v>
      </c>
      <c r="M50" s="6" t="n">
        <v>45004</v>
      </c>
      <c r="N50" s="6"/>
      <c r="O50" s="6"/>
      <c r="P50" s="5" t="s">
        <v>159</v>
      </c>
      <c r="Q50" s="5" t="s">
        <v>36</v>
      </c>
      <c r="R50" s="16" t="s">
        <v>37</v>
      </c>
      <c r="S50" s="5" t="n">
        <v>40</v>
      </c>
      <c r="T50" s="5" t="s">
        <v>38</v>
      </c>
      <c r="U50" s="8" t="str">
        <f aca="false">IF(AND(TRIM(E50)="US",TRIM(G50)="Non-Exempt"),"US Non-Exempt EEs","")</f>
        <v/>
      </c>
      <c r="V50" s="8" t="str">
        <f aca="false">IF(AND(TRIM(E50)="US",TRIM(G50)="Non-Exempt"),IF(TRIM(D50)="CA","US California Non-Exempt","US Non-California Non-Exempt"),"")</f>
        <v/>
      </c>
      <c r="W50" s="8" t="str">
        <f aca="false">_xlfn.XLOOKUP(X50,ShiftCodes[Code],ShiftCodes[Work Schedule],"Unknown code")</f>
        <v>Standard (Mon–Fri 9:00–17:30)</v>
      </c>
      <c r="X50" s="9" t="s">
        <v>39</v>
      </c>
      <c r="Y50" s="5"/>
    </row>
    <row r="51" customFormat="false" ht="15" hidden="false" customHeight="false" outlineLevel="0" collapsed="false">
      <c r="A51" s="5" t="s">
        <v>164</v>
      </c>
      <c r="B51" s="5" t="s">
        <v>103</v>
      </c>
      <c r="C51" s="5" t="s">
        <v>41</v>
      </c>
      <c r="D51" s="5" t="s">
        <v>84</v>
      </c>
      <c r="E51" s="5" t="s">
        <v>29</v>
      </c>
      <c r="F51" s="5" t="s">
        <v>165</v>
      </c>
      <c r="G51" s="5" t="s">
        <v>31</v>
      </c>
      <c r="H51" s="5" t="s">
        <v>8</v>
      </c>
      <c r="I51" s="10" t="n">
        <v>180000</v>
      </c>
      <c r="J51" s="12"/>
      <c r="K51" s="5" t="s">
        <v>33</v>
      </c>
      <c r="L51" s="5" t="s">
        <v>34</v>
      </c>
      <c r="M51" s="6" t="n">
        <v>45014</v>
      </c>
      <c r="N51" s="6"/>
      <c r="O51" s="6"/>
      <c r="P51" s="5" t="s">
        <v>136</v>
      </c>
      <c r="Q51" s="5" t="s">
        <v>36</v>
      </c>
      <c r="R51" s="16" t="s">
        <v>37</v>
      </c>
      <c r="S51" s="5" t="n">
        <v>40</v>
      </c>
      <c r="T51" s="5" t="s">
        <v>38</v>
      </c>
      <c r="U51" s="8" t="str">
        <f aca="false">IF(AND(TRIM(E51)="US",TRIM(G51)="Non-Exempt"),"US Non-Exempt EEs","")</f>
        <v/>
      </c>
      <c r="V51" s="8" t="str">
        <f aca="false">IF(AND(TRIM(E51)="US",TRIM(G51)="Non-Exempt"),IF(TRIM(D51)="CA","US California Non-Exempt","US Non-California Non-Exempt"),"")</f>
        <v/>
      </c>
      <c r="W51" s="8" t="str">
        <f aca="false">_xlfn.XLOOKUP(X51,ShiftCodes[Code],ShiftCodes[Work Schedule],"Unknown code")</f>
        <v>Standard (Mon–Fri 9:00–17:30)</v>
      </c>
      <c r="X51" s="9" t="s">
        <v>39</v>
      </c>
      <c r="Y51" s="5"/>
    </row>
    <row r="52" customFormat="false" ht="15" hidden="false" customHeight="false" outlineLevel="0" collapsed="false">
      <c r="A52" s="5" t="s">
        <v>166</v>
      </c>
      <c r="B52" s="5" t="s">
        <v>109</v>
      </c>
      <c r="C52" s="5" t="s">
        <v>113</v>
      </c>
      <c r="D52" s="5" t="s">
        <v>84</v>
      </c>
      <c r="E52" s="5" t="s">
        <v>29</v>
      </c>
      <c r="F52" s="5" t="s">
        <v>130</v>
      </c>
      <c r="G52" s="5" t="s">
        <v>78</v>
      </c>
      <c r="H52" s="5" t="s">
        <v>79</v>
      </c>
      <c r="I52" s="10"/>
      <c r="J52" s="12" t="n">
        <v>24.75</v>
      </c>
      <c r="K52" s="5" t="s">
        <v>33</v>
      </c>
      <c r="L52" s="5" t="s">
        <v>80</v>
      </c>
      <c r="M52" s="6" t="n">
        <v>45037</v>
      </c>
      <c r="N52" s="6" t="n">
        <v>46312</v>
      </c>
      <c r="O52" s="6"/>
      <c r="P52" s="5" t="s">
        <v>118</v>
      </c>
      <c r="Q52" s="5" t="s">
        <v>46</v>
      </c>
      <c r="R52" s="16" t="s">
        <v>37</v>
      </c>
      <c r="S52" s="5" t="n">
        <v>36</v>
      </c>
      <c r="T52" s="5" t="s">
        <v>38</v>
      </c>
      <c r="U52" s="8" t="str">
        <f aca="false">IF(AND(TRIM(E52)="US",TRIM(G52)="Non-Exempt"),"US Non-Exempt EEs","")</f>
        <v>US Non-Exempt EEs</v>
      </c>
      <c r="V52" s="8" t="str">
        <f aca="false">IF(AND(TRIM(E52)="US",TRIM(G52)="Non-Exempt"),IF(TRIM(D52)="CA","US California Non-Exempt","US Non-California Non-Exempt"),"")</f>
        <v>US Non-California Non-Exempt</v>
      </c>
      <c r="W52" s="8" t="str">
        <f aca="false">_xlfn.XLOOKUP(X52,ShiftCodes[Code],ShiftCodes[Work Schedule],"Unknown code")</f>
        <v>Shift D – Weekend (Fri–Sun 06:00–18:30)</v>
      </c>
      <c r="X52" s="9" t="s">
        <v>151</v>
      </c>
      <c r="Y52" s="5" t="s">
        <v>142</v>
      </c>
    </row>
    <row r="53" customFormat="false" ht="15" hidden="false" customHeight="false" outlineLevel="0" collapsed="false">
      <c r="A53" s="5" t="s">
        <v>167</v>
      </c>
      <c r="B53" s="5" t="s">
        <v>112</v>
      </c>
      <c r="C53" s="5" t="s">
        <v>100</v>
      </c>
      <c r="D53" s="5" t="s">
        <v>28</v>
      </c>
      <c r="E53" s="5" t="s">
        <v>29</v>
      </c>
      <c r="F53" s="5" t="s">
        <v>124</v>
      </c>
      <c r="G53" s="5" t="s">
        <v>31</v>
      </c>
      <c r="H53" s="5" t="s">
        <v>8</v>
      </c>
      <c r="I53" s="10" t="n">
        <v>144000</v>
      </c>
      <c r="J53" s="12"/>
      <c r="K53" s="5" t="s">
        <v>33</v>
      </c>
      <c r="L53" s="5" t="s">
        <v>34</v>
      </c>
      <c r="M53" s="6" t="n">
        <v>45038</v>
      </c>
      <c r="N53" s="6"/>
      <c r="O53" s="6"/>
      <c r="P53" s="5" t="s">
        <v>143</v>
      </c>
      <c r="Q53" s="5" t="s">
        <v>36</v>
      </c>
      <c r="R53" s="16" t="s">
        <v>37</v>
      </c>
      <c r="S53" s="5" t="n">
        <v>40</v>
      </c>
      <c r="T53" s="5" t="s">
        <v>38</v>
      </c>
      <c r="U53" s="8" t="str">
        <f aca="false">IF(AND(TRIM(E53)="US",TRIM(G53)="Non-Exempt"),"US Non-Exempt EEs","")</f>
        <v/>
      </c>
      <c r="V53" s="8" t="str">
        <f aca="false">IF(AND(TRIM(E53)="US",TRIM(G53)="Non-Exempt"),IF(TRIM(D53)="CA","US California Non-Exempt","US Non-California Non-Exempt"),"")</f>
        <v/>
      </c>
      <c r="W53" s="8" t="str">
        <f aca="false">_xlfn.XLOOKUP(X53,ShiftCodes[Code],ShiftCodes[Work Schedule],"Unknown code")</f>
        <v>Standard (Mon–Fri 9:00–17:30)</v>
      </c>
      <c r="X53" s="9" t="s">
        <v>39</v>
      </c>
      <c r="Y53" s="5"/>
    </row>
    <row r="54" customFormat="false" ht="15" hidden="false" customHeight="false" outlineLevel="0" collapsed="false">
      <c r="A54" s="5" t="s">
        <v>168</v>
      </c>
      <c r="B54" s="5" t="s">
        <v>109</v>
      </c>
      <c r="C54" s="5" t="s">
        <v>76</v>
      </c>
      <c r="D54" s="5" t="s">
        <v>28</v>
      </c>
      <c r="E54" s="5" t="s">
        <v>29</v>
      </c>
      <c r="F54" s="5" t="s">
        <v>121</v>
      </c>
      <c r="G54" s="5" t="s">
        <v>78</v>
      </c>
      <c r="H54" s="5" t="s">
        <v>79</v>
      </c>
      <c r="I54" s="10"/>
      <c r="J54" s="12" t="n">
        <v>40</v>
      </c>
      <c r="K54" s="5" t="s">
        <v>33</v>
      </c>
      <c r="L54" s="5" t="s">
        <v>80</v>
      </c>
      <c r="M54" s="6" t="n">
        <v>45048</v>
      </c>
      <c r="N54" s="6"/>
      <c r="O54" s="6"/>
      <c r="P54" s="5" t="s">
        <v>161</v>
      </c>
      <c r="Q54" s="5" t="s">
        <v>36</v>
      </c>
      <c r="R54" s="16" t="s">
        <v>37</v>
      </c>
      <c r="S54" s="5" t="n">
        <v>36</v>
      </c>
      <c r="T54" s="5" t="s">
        <v>38</v>
      </c>
      <c r="U54" s="8" t="str">
        <f aca="false">IF(AND(TRIM(E54)="US",TRIM(G54)="Non-Exempt"),"US Non-Exempt EEs","")</f>
        <v>US Non-Exempt EEs</v>
      </c>
      <c r="V54" s="8" t="str">
        <f aca="false">IF(AND(TRIM(E54)="US",TRIM(G54)="Non-Exempt"),IF(TRIM(D54)="CA","US California Non-Exempt","US Non-California Non-Exempt"),"")</f>
        <v>US California Non-Exempt</v>
      </c>
      <c r="W54" s="8" t="str">
        <f aca="false">_xlfn.XLOOKUP(X54,ShiftCodes[Code],ShiftCodes[Work Schedule],"Unknown code")</f>
        <v>Shift D – Weekend (Fri–Sun 06:00–18:30)</v>
      </c>
      <c r="X54" s="9" t="s">
        <v>151</v>
      </c>
      <c r="Y54" s="5"/>
    </row>
    <row r="55" customFormat="false" ht="15" hidden="false" customHeight="false" outlineLevel="0" collapsed="false">
      <c r="A55" s="5" t="s">
        <v>169</v>
      </c>
      <c r="B55" s="5" t="s">
        <v>112</v>
      </c>
      <c r="C55" s="5" t="s">
        <v>68</v>
      </c>
      <c r="D55" s="5" t="s">
        <v>69</v>
      </c>
      <c r="E55" s="5" t="s">
        <v>70</v>
      </c>
      <c r="F55" s="5" t="s">
        <v>107</v>
      </c>
      <c r="G55" s="5" t="s">
        <v>31</v>
      </c>
      <c r="H55" s="5" t="s">
        <v>8</v>
      </c>
      <c r="I55" s="17" t="n">
        <v>9110000</v>
      </c>
      <c r="J55" s="18"/>
      <c r="K55" s="5" t="s">
        <v>72</v>
      </c>
      <c r="L55" s="5" t="s">
        <v>73</v>
      </c>
      <c r="M55" s="6" t="n">
        <v>45054</v>
      </c>
      <c r="N55" s="6"/>
      <c r="O55" s="6"/>
      <c r="P55" s="5" t="s">
        <v>111</v>
      </c>
      <c r="Q55" s="5" t="s">
        <v>36</v>
      </c>
      <c r="R55" s="16" t="s">
        <v>37</v>
      </c>
      <c r="S55" s="5" t="n">
        <v>40</v>
      </c>
      <c r="T55" s="5" t="s">
        <v>38</v>
      </c>
      <c r="U55" s="8" t="str">
        <f aca="false">IF(AND(TRIM(E55)="US",TRIM(G55)="Non-Exempt"),"US Non-Exempt EEs","")</f>
        <v/>
      </c>
      <c r="V55" s="8" t="str">
        <f aca="false">IF(AND(TRIM(E55)="US",TRIM(G55)="Non-Exempt"),IF(TRIM(D55)="CA","US California Non-Exempt","US Non-California Non-Exempt"),"")</f>
        <v/>
      </c>
      <c r="W55" s="8" t="str">
        <f aca="false">_xlfn.XLOOKUP(X55,ShiftCodes[Code],ShiftCodes[Work Schedule],"Unknown code")</f>
        <v>Standard (Mon–Fri 9:00–17:30)</v>
      </c>
      <c r="X55" s="9" t="s">
        <v>39</v>
      </c>
      <c r="Y55" s="5"/>
    </row>
    <row r="56" customFormat="false" ht="15" hidden="false" customHeight="false" outlineLevel="0" collapsed="false">
      <c r="A56" s="5" t="s">
        <v>170</v>
      </c>
      <c r="B56" s="5" t="s">
        <v>103</v>
      </c>
      <c r="C56" s="5" t="s">
        <v>106</v>
      </c>
      <c r="D56" s="5" t="s">
        <v>42</v>
      </c>
      <c r="E56" s="5" t="s">
        <v>29</v>
      </c>
      <c r="F56" s="5" t="s">
        <v>163</v>
      </c>
      <c r="G56" s="5" t="s">
        <v>31</v>
      </c>
      <c r="H56" s="5" t="s">
        <v>8</v>
      </c>
      <c r="I56" s="10" t="n">
        <v>163000</v>
      </c>
      <c r="J56" s="12"/>
      <c r="K56" s="5" t="s">
        <v>33</v>
      </c>
      <c r="L56" s="5" t="s">
        <v>34</v>
      </c>
      <c r="M56" s="6" t="n">
        <v>45087</v>
      </c>
      <c r="N56" s="6"/>
      <c r="O56" s="6"/>
      <c r="P56" s="5" t="s">
        <v>145</v>
      </c>
      <c r="Q56" s="5" t="s">
        <v>36</v>
      </c>
      <c r="R56" s="16" t="s">
        <v>37</v>
      </c>
      <c r="S56" s="5" t="n">
        <v>40</v>
      </c>
      <c r="T56" s="5" t="s">
        <v>38</v>
      </c>
      <c r="U56" s="8" t="str">
        <f aca="false">IF(AND(TRIM(E56)="US",TRIM(G56)="Non-Exempt"),"US Non-Exempt EEs","")</f>
        <v/>
      </c>
      <c r="V56" s="8" t="str">
        <f aca="false">IF(AND(TRIM(E56)="US",TRIM(G56)="Non-Exempt"),IF(TRIM(D56)="CA","US California Non-Exempt","US Non-California Non-Exempt"),"")</f>
        <v/>
      </c>
      <c r="W56" s="8" t="str">
        <f aca="false">_xlfn.XLOOKUP(X56,ShiftCodes[Code],ShiftCodes[Work Schedule],"Unknown code")</f>
        <v>Standard (Mon–Fri 9:00–17:30)</v>
      </c>
      <c r="X56" s="9" t="s">
        <v>39</v>
      </c>
      <c r="Y56" s="5"/>
    </row>
    <row r="57" customFormat="false" ht="15" hidden="false" customHeight="false" outlineLevel="0" collapsed="false">
      <c r="A57" s="5" t="s">
        <v>171</v>
      </c>
      <c r="B57" s="5" t="s">
        <v>99</v>
      </c>
      <c r="C57" s="5" t="s">
        <v>68</v>
      </c>
      <c r="D57" s="5" t="s">
        <v>69</v>
      </c>
      <c r="E57" s="5" t="s">
        <v>70</v>
      </c>
      <c r="F57" s="5" t="s">
        <v>119</v>
      </c>
      <c r="G57" s="5" t="s">
        <v>31</v>
      </c>
      <c r="H57" s="5" t="s">
        <v>8</v>
      </c>
      <c r="I57" s="17" t="n">
        <v>6170000</v>
      </c>
      <c r="J57" s="18"/>
      <c r="K57" s="5" t="s">
        <v>72</v>
      </c>
      <c r="L57" s="5" t="s">
        <v>73</v>
      </c>
      <c r="M57" s="6" t="n">
        <v>45095</v>
      </c>
      <c r="N57" s="6"/>
      <c r="O57" s="6"/>
      <c r="P57" s="5" t="s">
        <v>152</v>
      </c>
      <c r="Q57" s="5" t="s">
        <v>36</v>
      </c>
      <c r="R57" s="16" t="s">
        <v>37</v>
      </c>
      <c r="S57" s="5" t="n">
        <v>40</v>
      </c>
      <c r="T57" s="5" t="s">
        <v>38</v>
      </c>
      <c r="U57" s="8" t="str">
        <f aca="false">IF(AND(TRIM(E57)="US",TRIM(G57)="Non-Exempt"),"US Non-Exempt EEs","")</f>
        <v/>
      </c>
      <c r="V57" s="8" t="str">
        <f aca="false">IF(AND(TRIM(E57)="US",TRIM(G57)="Non-Exempt"),IF(TRIM(D57)="CA","US California Non-Exempt","US Non-California Non-Exempt"),"")</f>
        <v/>
      </c>
      <c r="W57" s="8" t="str">
        <f aca="false">_xlfn.XLOOKUP(X57,ShiftCodes[Code],ShiftCodes[Work Schedule],"Unknown code")</f>
        <v>Standard (Mon–Fri 9:00–17:30)</v>
      </c>
      <c r="X57" s="9" t="s">
        <v>39</v>
      </c>
      <c r="Y57" s="5"/>
    </row>
    <row r="58" customFormat="false" ht="15" hidden="false" customHeight="false" outlineLevel="0" collapsed="false">
      <c r="A58" s="5" t="s">
        <v>172</v>
      </c>
      <c r="B58" s="5" t="s">
        <v>103</v>
      </c>
      <c r="C58" s="5" t="s">
        <v>100</v>
      </c>
      <c r="D58" s="5" t="s">
        <v>28</v>
      </c>
      <c r="E58" s="5" t="s">
        <v>29</v>
      </c>
      <c r="F58" s="5" t="s">
        <v>149</v>
      </c>
      <c r="G58" s="5" t="s">
        <v>31</v>
      </c>
      <c r="H58" s="5" t="s">
        <v>8</v>
      </c>
      <c r="I58" s="10" t="n">
        <v>101000</v>
      </c>
      <c r="J58" s="12"/>
      <c r="K58" s="5" t="s">
        <v>33</v>
      </c>
      <c r="L58" s="5" t="s">
        <v>34</v>
      </c>
      <c r="M58" s="6" t="n">
        <v>45108</v>
      </c>
      <c r="N58" s="6"/>
      <c r="O58" s="6"/>
      <c r="P58" s="5" t="s">
        <v>136</v>
      </c>
      <c r="Q58" s="5" t="s">
        <v>36</v>
      </c>
      <c r="R58" s="16" t="s">
        <v>37</v>
      </c>
      <c r="S58" s="5" t="n">
        <v>40</v>
      </c>
      <c r="T58" s="5" t="s">
        <v>38</v>
      </c>
      <c r="U58" s="8" t="str">
        <f aca="false">IF(AND(TRIM(E58)="US",TRIM(G58)="Non-Exempt"),"US Non-Exempt EEs","")</f>
        <v/>
      </c>
      <c r="V58" s="8" t="str">
        <f aca="false">IF(AND(TRIM(E58)="US",TRIM(G58)="Non-Exempt"),IF(TRIM(D58)="CA","US California Non-Exempt","US Non-California Non-Exempt"),"")</f>
        <v/>
      </c>
      <c r="W58" s="8" t="str">
        <f aca="false">_xlfn.XLOOKUP(X58,ShiftCodes[Code],ShiftCodes[Work Schedule],"Unknown code")</f>
        <v>Standard (Mon–Fri 9:00–17:30)</v>
      </c>
      <c r="X58" s="9" t="s">
        <v>39</v>
      </c>
      <c r="Y58" s="5"/>
    </row>
    <row r="59" customFormat="false" ht="15" hidden="false" customHeight="false" outlineLevel="0" collapsed="false">
      <c r="A59" s="5" t="s">
        <v>173</v>
      </c>
      <c r="B59" s="5" t="s">
        <v>99</v>
      </c>
      <c r="C59" s="5" t="s">
        <v>41</v>
      </c>
      <c r="D59" s="5" t="s">
        <v>28</v>
      </c>
      <c r="E59" s="5" t="s">
        <v>29</v>
      </c>
      <c r="F59" s="5" t="s">
        <v>124</v>
      </c>
      <c r="G59" s="5" t="s">
        <v>31</v>
      </c>
      <c r="H59" s="5" t="s">
        <v>8</v>
      </c>
      <c r="I59" s="10" t="n">
        <v>105000</v>
      </c>
      <c r="J59" s="12"/>
      <c r="K59" s="5" t="s">
        <v>33</v>
      </c>
      <c r="L59" s="5" t="s">
        <v>34</v>
      </c>
      <c r="M59" s="6" t="n">
        <v>45126</v>
      </c>
      <c r="N59" s="6"/>
      <c r="O59" s="6"/>
      <c r="P59" s="5" t="s">
        <v>159</v>
      </c>
      <c r="Q59" s="5" t="s">
        <v>36</v>
      </c>
      <c r="R59" s="16" t="s">
        <v>37</v>
      </c>
      <c r="S59" s="5" t="n">
        <v>40</v>
      </c>
      <c r="T59" s="5" t="s">
        <v>38</v>
      </c>
      <c r="U59" s="8" t="str">
        <f aca="false">IF(AND(TRIM(E59)="US",TRIM(G59)="Non-Exempt"),"US Non-Exempt EEs","")</f>
        <v/>
      </c>
      <c r="V59" s="8" t="str">
        <f aca="false">IF(AND(TRIM(E59)="US",TRIM(G59)="Non-Exempt"),IF(TRIM(D59)="CA","US California Non-Exempt","US Non-California Non-Exempt"),"")</f>
        <v/>
      </c>
      <c r="W59" s="8" t="str">
        <f aca="false">_xlfn.XLOOKUP(X59,ShiftCodes[Code],ShiftCodes[Work Schedule],"Unknown code")</f>
        <v>Standard (Mon–Fri 9:00–17:30)</v>
      </c>
      <c r="X59" s="9" t="s">
        <v>39</v>
      </c>
      <c r="Y59" s="5"/>
    </row>
    <row r="60" customFormat="false" ht="15" hidden="false" customHeight="false" outlineLevel="0" collapsed="false">
      <c r="A60" s="5" t="s">
        <v>174</v>
      </c>
      <c r="B60" s="5" t="s">
        <v>103</v>
      </c>
      <c r="C60" s="5" t="s">
        <v>100</v>
      </c>
      <c r="D60" s="5" t="s">
        <v>28</v>
      </c>
      <c r="E60" s="5" t="s">
        <v>29</v>
      </c>
      <c r="F60" s="5" t="s">
        <v>124</v>
      </c>
      <c r="G60" s="5" t="s">
        <v>31</v>
      </c>
      <c r="H60" s="5" t="s">
        <v>8</v>
      </c>
      <c r="I60" s="10" t="n">
        <v>128000</v>
      </c>
      <c r="J60" s="12"/>
      <c r="K60" s="5" t="s">
        <v>33</v>
      </c>
      <c r="L60" s="5" t="s">
        <v>34</v>
      </c>
      <c r="M60" s="6" t="n">
        <v>45127</v>
      </c>
      <c r="N60" s="6"/>
      <c r="O60" s="6"/>
      <c r="P60" s="5" t="s">
        <v>136</v>
      </c>
      <c r="Q60" s="5" t="s">
        <v>36</v>
      </c>
      <c r="R60" s="16" t="s">
        <v>37</v>
      </c>
      <c r="S60" s="5" t="n">
        <v>40</v>
      </c>
      <c r="T60" s="5" t="s">
        <v>38</v>
      </c>
      <c r="U60" s="8" t="str">
        <f aca="false">IF(AND(TRIM(E60)="US",TRIM(G60)="Non-Exempt"),"US Non-Exempt EEs","")</f>
        <v/>
      </c>
      <c r="V60" s="8" t="str">
        <f aca="false">IF(AND(TRIM(E60)="US",TRIM(G60)="Non-Exempt"),IF(TRIM(D60)="CA","US California Non-Exempt","US Non-California Non-Exempt"),"")</f>
        <v/>
      </c>
      <c r="W60" s="8" t="str">
        <f aca="false">_xlfn.XLOOKUP(X60,ShiftCodes[Code],ShiftCodes[Work Schedule],"Unknown code")</f>
        <v>Standard (Mon–Fri 9:00–17:30)</v>
      </c>
      <c r="X60" s="9" t="s">
        <v>39</v>
      </c>
      <c r="Y60" s="5"/>
    </row>
    <row r="61" customFormat="false" ht="15" hidden="false" customHeight="false" outlineLevel="0" collapsed="false">
      <c r="A61" s="5" t="s">
        <v>175</v>
      </c>
      <c r="B61" s="5" t="s">
        <v>103</v>
      </c>
      <c r="C61" s="5" t="s">
        <v>100</v>
      </c>
      <c r="D61" s="5" t="s">
        <v>28</v>
      </c>
      <c r="E61" s="5" t="s">
        <v>29</v>
      </c>
      <c r="F61" s="5" t="s">
        <v>119</v>
      </c>
      <c r="G61" s="5" t="s">
        <v>31</v>
      </c>
      <c r="H61" s="5" t="s">
        <v>8</v>
      </c>
      <c r="I61" s="10" t="n">
        <v>241000</v>
      </c>
      <c r="J61" s="12"/>
      <c r="K61" s="5" t="s">
        <v>33</v>
      </c>
      <c r="L61" s="5" t="s">
        <v>34</v>
      </c>
      <c r="M61" s="6" t="n">
        <v>45153</v>
      </c>
      <c r="N61" s="6"/>
      <c r="O61" s="6"/>
      <c r="P61" s="5" t="s">
        <v>176</v>
      </c>
      <c r="Q61" s="5" t="s">
        <v>36</v>
      </c>
      <c r="R61" s="16" t="s">
        <v>37</v>
      </c>
      <c r="S61" s="5" t="n">
        <v>40</v>
      </c>
      <c r="T61" s="5" t="s">
        <v>38</v>
      </c>
      <c r="U61" s="8" t="str">
        <f aca="false">IF(AND(TRIM(E61)="US",TRIM(G61)="Non-Exempt"),"US Non-Exempt EEs","")</f>
        <v/>
      </c>
      <c r="V61" s="8" t="str">
        <f aca="false">IF(AND(TRIM(E61)="US",TRIM(G61)="Non-Exempt"),IF(TRIM(D61)="CA","US California Non-Exempt","US Non-California Non-Exempt"),"")</f>
        <v/>
      </c>
      <c r="W61" s="8" t="str">
        <f aca="false">_xlfn.XLOOKUP(X61,ShiftCodes[Code],ShiftCodes[Work Schedule],"Unknown code")</f>
        <v>Standard (Mon–Fri 9:00–17:30)</v>
      </c>
      <c r="X61" s="9" t="s">
        <v>39</v>
      </c>
      <c r="Y61" s="5"/>
    </row>
    <row r="62" customFormat="false" ht="15" hidden="false" customHeight="false" outlineLevel="0" collapsed="false">
      <c r="A62" s="5" t="s">
        <v>177</v>
      </c>
      <c r="B62" s="5" t="s">
        <v>109</v>
      </c>
      <c r="C62" s="5" t="s">
        <v>76</v>
      </c>
      <c r="D62" s="5" t="s">
        <v>28</v>
      </c>
      <c r="E62" s="5" t="s">
        <v>29</v>
      </c>
      <c r="F62" s="5" t="s">
        <v>132</v>
      </c>
      <c r="G62" s="5" t="s">
        <v>78</v>
      </c>
      <c r="H62" s="5" t="s">
        <v>79</v>
      </c>
      <c r="I62" s="10"/>
      <c r="J62" s="12" t="n">
        <v>43.5</v>
      </c>
      <c r="K62" s="5" t="s">
        <v>33</v>
      </c>
      <c r="L62" s="5" t="s">
        <v>80</v>
      </c>
      <c r="M62" s="6" t="n">
        <v>45153</v>
      </c>
      <c r="N62" s="6" t="n">
        <v>46312</v>
      </c>
      <c r="O62" s="6"/>
      <c r="P62" s="5" t="s">
        <v>161</v>
      </c>
      <c r="Q62" s="5" t="s">
        <v>46</v>
      </c>
      <c r="R62" s="16" t="s">
        <v>37</v>
      </c>
      <c r="S62" s="5" t="n">
        <v>36</v>
      </c>
      <c r="T62" s="5" t="s">
        <v>38</v>
      </c>
      <c r="U62" s="8" t="str">
        <f aca="false">IF(AND(TRIM(E62)="US",TRIM(G62)="Non-Exempt"),"US Non-Exempt EEs","")</f>
        <v>US Non-Exempt EEs</v>
      </c>
      <c r="V62" s="8" t="str">
        <f aca="false">IF(AND(TRIM(E62)="US",TRIM(G62)="Non-Exempt"),IF(TRIM(D62)="CA","US California Non-Exempt","US Non-California Non-Exempt"),"")</f>
        <v>US California Non-Exempt</v>
      </c>
      <c r="W62" s="8" t="str">
        <f aca="false">_xlfn.XLOOKUP(X62,ShiftCodes[Code],ShiftCodes[Work Schedule],"Unknown code")</f>
        <v>Shift D – Weekend (Fri–Sun 06:00–18:30)</v>
      </c>
      <c r="X62" s="9" t="s">
        <v>151</v>
      </c>
      <c r="Y62" s="5" t="s">
        <v>142</v>
      </c>
    </row>
    <row r="63" customFormat="false" ht="15" hidden="false" customHeight="false" outlineLevel="0" collapsed="false">
      <c r="A63" s="5" t="s">
        <v>178</v>
      </c>
      <c r="B63" s="5" t="s">
        <v>109</v>
      </c>
      <c r="C63" s="5" t="s">
        <v>113</v>
      </c>
      <c r="D63" s="5" t="s">
        <v>84</v>
      </c>
      <c r="E63" s="5" t="s">
        <v>29</v>
      </c>
      <c r="F63" s="5" t="s">
        <v>119</v>
      </c>
      <c r="G63" s="5" t="s">
        <v>31</v>
      </c>
      <c r="H63" s="5" t="s">
        <v>8</v>
      </c>
      <c r="I63" s="10" t="n">
        <v>218000</v>
      </c>
      <c r="J63" s="12"/>
      <c r="K63" s="5" t="s">
        <v>33</v>
      </c>
      <c r="L63" s="5" t="s">
        <v>34</v>
      </c>
      <c r="M63" s="6" t="n">
        <v>45159</v>
      </c>
      <c r="N63" s="6"/>
      <c r="O63" s="6"/>
      <c r="P63" s="5" t="s">
        <v>117</v>
      </c>
      <c r="Q63" s="5" t="s">
        <v>36</v>
      </c>
      <c r="R63" s="16" t="s">
        <v>37</v>
      </c>
      <c r="S63" s="5" t="n">
        <v>40</v>
      </c>
      <c r="T63" s="5" t="s">
        <v>38</v>
      </c>
      <c r="U63" s="8" t="str">
        <f aca="false">IF(AND(TRIM(E63)="US",TRIM(G63)="Non-Exempt"),"US Non-Exempt EEs","")</f>
        <v/>
      </c>
      <c r="V63" s="8" t="str">
        <f aca="false">IF(AND(TRIM(E63)="US",TRIM(G63)="Non-Exempt"),IF(TRIM(D63)="CA","US California Non-Exempt","US Non-California Non-Exempt"),"")</f>
        <v/>
      </c>
      <c r="W63" s="8" t="str">
        <f aca="false">_xlfn.XLOOKUP(X63,ShiftCodes[Code],ShiftCodes[Work Schedule],"Unknown code")</f>
        <v>Standard (Mon–Fri 9:00–17:30)</v>
      </c>
      <c r="X63" s="9" t="s">
        <v>39</v>
      </c>
      <c r="Y63" s="5"/>
    </row>
    <row r="64" customFormat="false" ht="15" hidden="false" customHeight="false" outlineLevel="0" collapsed="false">
      <c r="A64" s="5" t="s">
        <v>179</v>
      </c>
      <c r="B64" s="5" t="s">
        <v>112</v>
      </c>
      <c r="C64" s="5" t="s">
        <v>180</v>
      </c>
      <c r="D64" s="5" t="s">
        <v>52</v>
      </c>
      <c r="E64" s="5" t="s">
        <v>52</v>
      </c>
      <c r="F64" s="5" t="s">
        <v>119</v>
      </c>
      <c r="G64" s="5" t="s">
        <v>31</v>
      </c>
      <c r="H64" s="5" t="s">
        <v>8</v>
      </c>
      <c r="I64" s="10" t="n">
        <v>113000</v>
      </c>
      <c r="J64" s="19"/>
      <c r="K64" s="5" t="s">
        <v>55</v>
      </c>
      <c r="L64" s="5" t="s">
        <v>56</v>
      </c>
      <c r="M64" s="6" t="n">
        <v>45164</v>
      </c>
      <c r="N64" s="6"/>
      <c r="O64" s="6"/>
      <c r="P64" s="5" t="s">
        <v>133</v>
      </c>
      <c r="Q64" s="5" t="s">
        <v>36</v>
      </c>
      <c r="R64" s="16" t="s">
        <v>37</v>
      </c>
      <c r="S64" s="5" t="n">
        <v>37.5</v>
      </c>
      <c r="T64" s="5" t="s">
        <v>38</v>
      </c>
      <c r="U64" s="8" t="str">
        <f aca="false">IF(AND(TRIM(E64)="US",TRIM(G64)="Non-Exempt"),"US Non-Exempt EEs","")</f>
        <v/>
      </c>
      <c r="V64" s="8" t="str">
        <f aca="false">IF(AND(TRIM(E64)="US",TRIM(G64)="Non-Exempt"),IF(TRIM(D64)="CA","US California Non-Exempt","US Non-California Non-Exempt"),"")</f>
        <v/>
      </c>
      <c r="W64" s="8" t="str">
        <f aca="false">_xlfn.XLOOKUP(X64,ShiftCodes[Code],ShiftCodes[Work Schedule],"Unknown code")</f>
        <v>Standard (Mon–Fri 9:00–17:30)</v>
      </c>
      <c r="X64" s="9" t="s">
        <v>39</v>
      </c>
      <c r="Y64" s="5"/>
    </row>
    <row r="65" customFormat="false" ht="15" hidden="false" customHeight="false" outlineLevel="0" collapsed="false">
      <c r="A65" s="5" t="s">
        <v>181</v>
      </c>
      <c r="B65" s="5" t="s">
        <v>103</v>
      </c>
      <c r="C65" s="5" t="s">
        <v>41</v>
      </c>
      <c r="D65" s="5" t="s">
        <v>90</v>
      </c>
      <c r="E65" s="5" t="s">
        <v>29</v>
      </c>
      <c r="F65" s="5" t="s">
        <v>119</v>
      </c>
      <c r="G65" s="5" t="s">
        <v>31</v>
      </c>
      <c r="H65" s="5" t="s">
        <v>8</v>
      </c>
      <c r="I65" s="10" t="n">
        <v>210000</v>
      </c>
      <c r="J65" s="12"/>
      <c r="K65" s="5" t="s">
        <v>33</v>
      </c>
      <c r="L65" s="5" t="s">
        <v>34</v>
      </c>
      <c r="M65" s="6" t="n">
        <v>45168</v>
      </c>
      <c r="N65" s="6"/>
      <c r="O65" s="6"/>
      <c r="P65" s="5" t="s">
        <v>105</v>
      </c>
      <c r="Q65" s="5" t="s">
        <v>36</v>
      </c>
      <c r="R65" s="16" t="s">
        <v>37</v>
      </c>
      <c r="S65" s="5" t="n">
        <v>40</v>
      </c>
      <c r="T65" s="5" t="s">
        <v>38</v>
      </c>
      <c r="U65" s="8" t="str">
        <f aca="false">IF(AND(TRIM(E65)="US",TRIM(G65)="Non-Exempt"),"US Non-Exempt EEs","")</f>
        <v/>
      </c>
      <c r="V65" s="8" t="str">
        <f aca="false">IF(AND(TRIM(E65)="US",TRIM(G65)="Non-Exempt"),IF(TRIM(D65)="CA","US California Non-Exempt","US Non-California Non-Exempt"),"")</f>
        <v/>
      </c>
      <c r="W65" s="8" t="str">
        <f aca="false">_xlfn.XLOOKUP(X65,ShiftCodes[Code],ShiftCodes[Work Schedule],"Unknown code")</f>
        <v>Standard (Mon–Fri 9:00–17:30)</v>
      </c>
      <c r="X65" s="9" t="s">
        <v>39</v>
      </c>
      <c r="Y65" s="5"/>
    </row>
    <row r="66" customFormat="false" ht="15" hidden="false" customHeight="false" outlineLevel="0" collapsed="false">
      <c r="A66" s="5" t="s">
        <v>182</v>
      </c>
      <c r="B66" s="5" t="s">
        <v>112</v>
      </c>
      <c r="C66" s="5" t="s">
        <v>106</v>
      </c>
      <c r="D66" s="5" t="s">
        <v>42</v>
      </c>
      <c r="E66" s="5" t="s">
        <v>29</v>
      </c>
      <c r="F66" s="5" t="s">
        <v>119</v>
      </c>
      <c r="G66" s="5" t="s">
        <v>31</v>
      </c>
      <c r="H66" s="5" t="s">
        <v>8</v>
      </c>
      <c r="I66" s="10" t="n">
        <v>230000</v>
      </c>
      <c r="J66" s="12"/>
      <c r="K66" s="5" t="s">
        <v>33</v>
      </c>
      <c r="L66" s="5" t="s">
        <v>34</v>
      </c>
      <c r="M66" s="6" t="n">
        <v>45177</v>
      </c>
      <c r="N66" s="6"/>
      <c r="O66" s="6"/>
      <c r="P66" s="5" t="s">
        <v>146</v>
      </c>
      <c r="Q66" s="5" t="s">
        <v>36</v>
      </c>
      <c r="R66" s="16" t="s">
        <v>37</v>
      </c>
      <c r="S66" s="5" t="n">
        <v>40</v>
      </c>
      <c r="T66" s="5" t="s">
        <v>38</v>
      </c>
      <c r="U66" s="8" t="str">
        <f aca="false">IF(AND(TRIM(E66)="US",TRIM(G66)="Non-Exempt"),"US Non-Exempt EEs","")</f>
        <v/>
      </c>
      <c r="V66" s="8" t="str">
        <f aca="false">IF(AND(TRIM(E66)="US",TRIM(G66)="Non-Exempt"),IF(TRIM(D66)="CA","US California Non-Exempt","US Non-California Non-Exempt"),"")</f>
        <v/>
      </c>
      <c r="W66" s="8" t="str">
        <f aca="false">_xlfn.XLOOKUP(X66,ShiftCodes[Code],ShiftCodes[Work Schedule],"Unknown code")</f>
        <v>Standard (Mon–Fri 9:00–17:30)</v>
      </c>
      <c r="X66" s="9" t="s">
        <v>39</v>
      </c>
      <c r="Y66" s="5"/>
    </row>
    <row r="67" customFormat="false" ht="15" hidden="false" customHeight="false" outlineLevel="0" collapsed="false">
      <c r="A67" s="5" t="s">
        <v>183</v>
      </c>
      <c r="B67" s="5" t="s">
        <v>112</v>
      </c>
      <c r="C67" s="5" t="s">
        <v>100</v>
      </c>
      <c r="D67" s="5" t="s">
        <v>28</v>
      </c>
      <c r="E67" s="5" t="s">
        <v>29</v>
      </c>
      <c r="F67" s="5" t="s">
        <v>165</v>
      </c>
      <c r="G67" s="5" t="s">
        <v>31</v>
      </c>
      <c r="H67" s="5" t="s">
        <v>8</v>
      </c>
      <c r="I67" s="10" t="n">
        <v>176000</v>
      </c>
      <c r="J67" s="12"/>
      <c r="K67" s="5" t="s">
        <v>33</v>
      </c>
      <c r="L67" s="5" t="s">
        <v>34</v>
      </c>
      <c r="M67" s="6" t="n">
        <v>45179</v>
      </c>
      <c r="N67" s="6"/>
      <c r="O67" s="6"/>
      <c r="P67" s="5" t="s">
        <v>143</v>
      </c>
      <c r="Q67" s="5" t="s">
        <v>36</v>
      </c>
      <c r="R67" s="16" t="s">
        <v>37</v>
      </c>
      <c r="S67" s="5" t="n">
        <v>40</v>
      </c>
      <c r="T67" s="5" t="s">
        <v>38</v>
      </c>
      <c r="U67" s="8" t="str">
        <f aca="false">IF(AND(TRIM(E67)="US",TRIM(G67)="Non-Exempt"),"US Non-Exempt EEs","")</f>
        <v/>
      </c>
      <c r="V67" s="8" t="str">
        <f aca="false">IF(AND(TRIM(E67)="US",TRIM(G67)="Non-Exempt"),IF(TRIM(D67)="CA","US California Non-Exempt","US Non-California Non-Exempt"),"")</f>
        <v/>
      </c>
      <c r="W67" s="8" t="str">
        <f aca="false">_xlfn.XLOOKUP(X67,ShiftCodes[Code],ShiftCodes[Work Schedule],"Unknown code")</f>
        <v>Standard (Mon–Fri 9:00–17:30)</v>
      </c>
      <c r="X67" s="9" t="s">
        <v>39</v>
      </c>
      <c r="Y67" s="5"/>
    </row>
    <row r="68" customFormat="false" ht="15" hidden="false" customHeight="false" outlineLevel="0" collapsed="false">
      <c r="A68" s="5" t="s">
        <v>184</v>
      </c>
      <c r="B68" s="5" t="s">
        <v>99</v>
      </c>
      <c r="C68" s="5" t="s">
        <v>41</v>
      </c>
      <c r="D68" s="5" t="s">
        <v>185</v>
      </c>
      <c r="E68" s="5" t="s">
        <v>29</v>
      </c>
      <c r="F68" s="5" t="s">
        <v>124</v>
      </c>
      <c r="G68" s="5" t="s">
        <v>31</v>
      </c>
      <c r="H68" s="5" t="s">
        <v>8</v>
      </c>
      <c r="I68" s="10" t="n">
        <v>102000</v>
      </c>
      <c r="J68" s="12"/>
      <c r="K68" s="5" t="s">
        <v>33</v>
      </c>
      <c r="L68" s="5" t="s">
        <v>34</v>
      </c>
      <c r="M68" s="6" t="n">
        <v>45189</v>
      </c>
      <c r="N68" s="6"/>
      <c r="O68" s="6"/>
      <c r="P68" s="5" t="s">
        <v>159</v>
      </c>
      <c r="Q68" s="5" t="s">
        <v>36</v>
      </c>
      <c r="R68" s="16" t="s">
        <v>37</v>
      </c>
      <c r="S68" s="5" t="n">
        <v>40</v>
      </c>
      <c r="T68" s="5" t="s">
        <v>38</v>
      </c>
      <c r="U68" s="8" t="str">
        <f aca="false">IF(AND(TRIM(E68)="US",TRIM(G68)="Non-Exempt"),"US Non-Exempt EEs","")</f>
        <v/>
      </c>
      <c r="V68" s="8" t="str">
        <f aca="false">IF(AND(TRIM(E68)="US",TRIM(G68)="Non-Exempt"),IF(TRIM(D68)="CA","US California Non-Exempt","US Non-California Non-Exempt"),"")</f>
        <v/>
      </c>
      <c r="W68" s="8" t="str">
        <f aca="false">_xlfn.XLOOKUP(X68,ShiftCodes[Code],ShiftCodes[Work Schedule],"Unknown code")</f>
        <v>Standard (Mon–Fri 9:00–17:30)</v>
      </c>
      <c r="X68" s="9" t="s">
        <v>39</v>
      </c>
      <c r="Y68" s="5"/>
    </row>
    <row r="69" customFormat="false" ht="15" hidden="false" customHeight="false" outlineLevel="0" collapsed="false">
      <c r="A69" s="5" t="s">
        <v>186</v>
      </c>
      <c r="B69" s="5" t="s">
        <v>99</v>
      </c>
      <c r="C69" s="5" t="s">
        <v>100</v>
      </c>
      <c r="D69" s="5" t="s">
        <v>28</v>
      </c>
      <c r="E69" s="5" t="s">
        <v>29</v>
      </c>
      <c r="F69" s="5" t="s">
        <v>119</v>
      </c>
      <c r="G69" s="5" t="s">
        <v>31</v>
      </c>
      <c r="H69" s="5" t="s">
        <v>8</v>
      </c>
      <c r="I69" s="10" t="n">
        <v>192000</v>
      </c>
      <c r="J69" s="12"/>
      <c r="K69" s="5" t="s">
        <v>33</v>
      </c>
      <c r="L69" s="5" t="s">
        <v>34</v>
      </c>
      <c r="M69" s="6" t="n">
        <v>45196</v>
      </c>
      <c r="N69" s="6"/>
      <c r="O69" s="6"/>
      <c r="P69" s="5" t="s">
        <v>135</v>
      </c>
      <c r="Q69" s="5" t="s">
        <v>36</v>
      </c>
      <c r="R69" s="16" t="s">
        <v>37</v>
      </c>
      <c r="S69" s="5" t="n">
        <v>40</v>
      </c>
      <c r="T69" s="5" t="s">
        <v>38</v>
      </c>
      <c r="U69" s="8" t="str">
        <f aca="false">IF(AND(TRIM(E69)="US",TRIM(G69)="Non-Exempt"),"US Non-Exempt EEs","")</f>
        <v/>
      </c>
      <c r="V69" s="8" t="str">
        <f aca="false">IF(AND(TRIM(E69)="US",TRIM(G69)="Non-Exempt"),IF(TRIM(D69)="CA","US California Non-Exempt","US Non-California Non-Exempt"),"")</f>
        <v/>
      </c>
      <c r="W69" s="8" t="str">
        <f aca="false">_xlfn.XLOOKUP(X69,ShiftCodes[Code],ShiftCodes[Work Schedule],"Unknown code")</f>
        <v>Standard (Mon–Fri 9:00–17:30)</v>
      </c>
      <c r="X69" s="9" t="s">
        <v>39</v>
      </c>
      <c r="Y69" s="5"/>
    </row>
    <row r="70" customFormat="false" ht="15" hidden="false" customHeight="false" outlineLevel="0" collapsed="false">
      <c r="A70" s="5" t="s">
        <v>187</v>
      </c>
      <c r="B70" s="5" t="s">
        <v>112</v>
      </c>
      <c r="C70" s="5" t="s">
        <v>106</v>
      </c>
      <c r="D70" s="5" t="s">
        <v>42</v>
      </c>
      <c r="E70" s="5" t="s">
        <v>29</v>
      </c>
      <c r="F70" s="5" t="s">
        <v>119</v>
      </c>
      <c r="G70" s="5" t="s">
        <v>31</v>
      </c>
      <c r="H70" s="5" t="s">
        <v>8</v>
      </c>
      <c r="I70" s="10" t="n">
        <v>205000</v>
      </c>
      <c r="J70" s="12"/>
      <c r="K70" s="5" t="s">
        <v>33</v>
      </c>
      <c r="L70" s="5" t="s">
        <v>34</v>
      </c>
      <c r="M70" s="6" t="n">
        <v>45201</v>
      </c>
      <c r="N70" s="6"/>
      <c r="O70" s="6"/>
      <c r="P70" s="5" t="s">
        <v>133</v>
      </c>
      <c r="Q70" s="5" t="s">
        <v>36</v>
      </c>
      <c r="R70" s="16" t="s">
        <v>37</v>
      </c>
      <c r="S70" s="5" t="n">
        <v>40</v>
      </c>
      <c r="T70" s="5" t="s">
        <v>38</v>
      </c>
      <c r="U70" s="8" t="str">
        <f aca="false">IF(AND(TRIM(E70)="US",TRIM(G70)="Non-Exempt"),"US Non-Exempt EEs","")</f>
        <v/>
      </c>
      <c r="V70" s="8" t="str">
        <f aca="false">IF(AND(TRIM(E70)="US",TRIM(G70)="Non-Exempt"),IF(TRIM(D70)="CA","US California Non-Exempt","US Non-California Non-Exempt"),"")</f>
        <v/>
      </c>
      <c r="W70" s="8" t="str">
        <f aca="false">_xlfn.XLOOKUP(X70,ShiftCodes[Code],ShiftCodes[Work Schedule],"Unknown code")</f>
        <v>Standard (Mon–Fri 9:00–17:30)</v>
      </c>
      <c r="X70" s="9" t="s">
        <v>39</v>
      </c>
      <c r="Y70" s="5"/>
    </row>
    <row r="71" customFormat="false" ht="15" hidden="false" customHeight="false" outlineLevel="0" collapsed="false">
      <c r="A71" s="5" t="s">
        <v>188</v>
      </c>
      <c r="B71" s="5" t="s">
        <v>103</v>
      </c>
      <c r="C71" s="5" t="s">
        <v>41</v>
      </c>
      <c r="D71" s="5" t="s">
        <v>189</v>
      </c>
      <c r="E71" s="5" t="s">
        <v>29</v>
      </c>
      <c r="F71" s="5" t="s">
        <v>163</v>
      </c>
      <c r="G71" s="5" t="s">
        <v>31</v>
      </c>
      <c r="H71" s="5" t="s">
        <v>8</v>
      </c>
      <c r="I71" s="10" t="n">
        <v>174000</v>
      </c>
      <c r="J71" s="12"/>
      <c r="K71" s="5" t="s">
        <v>33</v>
      </c>
      <c r="L71" s="5" t="s">
        <v>34</v>
      </c>
      <c r="M71" s="6" t="n">
        <v>45211</v>
      </c>
      <c r="N71" s="6"/>
      <c r="O71" s="6"/>
      <c r="P71" s="5" t="s">
        <v>181</v>
      </c>
      <c r="Q71" s="5" t="s">
        <v>36</v>
      </c>
      <c r="R71" s="16" t="s">
        <v>37</v>
      </c>
      <c r="S71" s="5" t="n">
        <v>40</v>
      </c>
      <c r="T71" s="5" t="s">
        <v>38</v>
      </c>
      <c r="U71" s="8" t="str">
        <f aca="false">IF(AND(TRIM(E71)="US",TRIM(G71)="Non-Exempt"),"US Non-Exempt EEs","")</f>
        <v/>
      </c>
      <c r="V71" s="8" t="str">
        <f aca="false">IF(AND(TRIM(E71)="US",TRIM(G71)="Non-Exempt"),IF(TRIM(D71)="CA","US California Non-Exempt","US Non-California Non-Exempt"),"")</f>
        <v/>
      </c>
      <c r="W71" s="8" t="str">
        <f aca="false">_xlfn.XLOOKUP(X71,ShiftCodes[Code],ShiftCodes[Work Schedule],"Unknown code")</f>
        <v>Standard (Mon–Fri 9:00–17:30)</v>
      </c>
      <c r="X71" s="9" t="s">
        <v>39</v>
      </c>
      <c r="Y71" s="5"/>
    </row>
    <row r="72" customFormat="false" ht="15" hidden="false" customHeight="false" outlineLevel="0" collapsed="false">
      <c r="A72" s="5" t="s">
        <v>190</v>
      </c>
      <c r="B72" s="5" t="s">
        <v>112</v>
      </c>
      <c r="C72" s="5" t="s">
        <v>106</v>
      </c>
      <c r="D72" s="5" t="s">
        <v>42</v>
      </c>
      <c r="E72" s="5" t="s">
        <v>29</v>
      </c>
      <c r="F72" s="5" t="s">
        <v>165</v>
      </c>
      <c r="G72" s="5" t="s">
        <v>31</v>
      </c>
      <c r="H72" s="5" t="s">
        <v>8</v>
      </c>
      <c r="I72" s="10" t="n">
        <v>198000</v>
      </c>
      <c r="J72" s="12"/>
      <c r="K72" s="5" t="s">
        <v>33</v>
      </c>
      <c r="L72" s="5" t="s">
        <v>34</v>
      </c>
      <c r="M72" s="6" t="n">
        <v>45213</v>
      </c>
      <c r="N72" s="6"/>
      <c r="O72" s="6"/>
      <c r="P72" s="5" t="s">
        <v>187</v>
      </c>
      <c r="Q72" s="5" t="s">
        <v>36</v>
      </c>
      <c r="R72" s="16" t="s">
        <v>37</v>
      </c>
      <c r="S72" s="5" t="n">
        <v>40</v>
      </c>
      <c r="T72" s="5" t="s">
        <v>38</v>
      </c>
      <c r="U72" s="8" t="str">
        <f aca="false">IF(AND(TRIM(E72)="US",TRIM(G72)="Non-Exempt"),"US Non-Exempt EEs","")</f>
        <v/>
      </c>
      <c r="V72" s="8" t="str">
        <f aca="false">IF(AND(TRIM(E72)="US",TRIM(G72)="Non-Exempt"),IF(TRIM(D72)="CA","US California Non-Exempt","US Non-California Non-Exempt"),"")</f>
        <v/>
      </c>
      <c r="W72" s="8" t="str">
        <f aca="false">_xlfn.XLOOKUP(X72,ShiftCodes[Code],ShiftCodes[Work Schedule],"Unknown code")</f>
        <v>Standard (Mon–Fri 9:00–17:30)</v>
      </c>
      <c r="X72" s="9" t="s">
        <v>39</v>
      </c>
      <c r="Y72" s="5"/>
    </row>
    <row r="73" customFormat="false" ht="15" hidden="false" customHeight="false" outlineLevel="0" collapsed="false">
      <c r="A73" s="5" t="s">
        <v>191</v>
      </c>
      <c r="B73" s="5" t="s">
        <v>99</v>
      </c>
      <c r="C73" s="5" t="s">
        <v>180</v>
      </c>
      <c r="D73" s="5" t="s">
        <v>52</v>
      </c>
      <c r="E73" s="5" t="s">
        <v>52</v>
      </c>
      <c r="F73" s="5" t="s">
        <v>119</v>
      </c>
      <c r="G73" s="5" t="s">
        <v>31</v>
      </c>
      <c r="H73" s="5" t="s">
        <v>8</v>
      </c>
      <c r="I73" s="10" t="n">
        <v>108000</v>
      </c>
      <c r="J73" s="19"/>
      <c r="K73" s="5" t="s">
        <v>55</v>
      </c>
      <c r="L73" s="5" t="s">
        <v>56</v>
      </c>
      <c r="M73" s="6" t="n">
        <v>45219</v>
      </c>
      <c r="N73" s="6"/>
      <c r="O73" s="6"/>
      <c r="P73" s="5" t="s">
        <v>135</v>
      </c>
      <c r="Q73" s="5" t="s">
        <v>36</v>
      </c>
      <c r="R73" s="16" t="s">
        <v>37</v>
      </c>
      <c r="S73" s="5" t="n">
        <v>37.5</v>
      </c>
      <c r="T73" s="5" t="s">
        <v>38</v>
      </c>
      <c r="U73" s="8" t="str">
        <f aca="false">IF(AND(TRIM(E73)="US",TRIM(G73)="Non-Exempt"),"US Non-Exempt EEs","")</f>
        <v/>
      </c>
      <c r="V73" s="8" t="str">
        <f aca="false">IF(AND(TRIM(E73)="US",TRIM(G73)="Non-Exempt"),IF(TRIM(D73)="CA","US California Non-Exempt","US Non-California Non-Exempt"),"")</f>
        <v/>
      </c>
      <c r="W73" s="8" t="str">
        <f aca="false">_xlfn.XLOOKUP(X73,ShiftCodes[Code],ShiftCodes[Work Schedule],"Unknown code")</f>
        <v>Standard (Mon–Fri 9:00–17:30)</v>
      </c>
      <c r="X73" s="9" t="s">
        <v>39</v>
      </c>
      <c r="Y73" s="5"/>
    </row>
    <row r="74" customFormat="false" ht="15" hidden="false" customHeight="false" outlineLevel="0" collapsed="false">
      <c r="A74" s="5" t="s">
        <v>192</v>
      </c>
      <c r="B74" s="5" t="s">
        <v>109</v>
      </c>
      <c r="C74" s="5" t="s">
        <v>113</v>
      </c>
      <c r="D74" s="5" t="s">
        <v>84</v>
      </c>
      <c r="E74" s="5" t="s">
        <v>29</v>
      </c>
      <c r="F74" s="5" t="s">
        <v>163</v>
      </c>
      <c r="G74" s="5" t="s">
        <v>31</v>
      </c>
      <c r="H74" s="5" t="s">
        <v>8</v>
      </c>
      <c r="I74" s="10" t="n">
        <v>158000</v>
      </c>
      <c r="J74" s="12"/>
      <c r="K74" s="5" t="s">
        <v>33</v>
      </c>
      <c r="L74" s="5" t="s">
        <v>34</v>
      </c>
      <c r="M74" s="6" t="n">
        <v>45240</v>
      </c>
      <c r="N74" s="6"/>
      <c r="O74" s="6"/>
      <c r="P74" s="5" t="s">
        <v>178</v>
      </c>
      <c r="Q74" s="5" t="s">
        <v>36</v>
      </c>
      <c r="R74" s="16" t="s">
        <v>37</v>
      </c>
      <c r="S74" s="5" t="n">
        <v>40</v>
      </c>
      <c r="T74" s="5" t="s">
        <v>38</v>
      </c>
      <c r="U74" s="8" t="str">
        <f aca="false">IF(AND(TRIM(E74)="US",TRIM(G74)="Non-Exempt"),"US Non-Exempt EEs","")</f>
        <v/>
      </c>
      <c r="V74" s="8" t="str">
        <f aca="false">IF(AND(TRIM(E74)="US",TRIM(G74)="Non-Exempt"),IF(TRIM(D74)="CA","US California Non-Exempt","US Non-California Non-Exempt"),"")</f>
        <v/>
      </c>
      <c r="W74" s="8" t="str">
        <f aca="false">_xlfn.XLOOKUP(X74,ShiftCodes[Code],ShiftCodes[Work Schedule],"Unknown code")</f>
        <v>Standard (Mon–Fri 9:00–17:30)</v>
      </c>
      <c r="X74" s="9" t="s">
        <v>39</v>
      </c>
      <c r="Y74" s="5"/>
    </row>
    <row r="75" customFormat="false" ht="15" hidden="false" customHeight="false" outlineLevel="0" collapsed="false">
      <c r="A75" s="5" t="s">
        <v>193</v>
      </c>
      <c r="B75" s="5" t="s">
        <v>112</v>
      </c>
      <c r="C75" s="5" t="s">
        <v>180</v>
      </c>
      <c r="D75" s="5" t="s">
        <v>52</v>
      </c>
      <c r="E75" s="5" t="s">
        <v>52</v>
      </c>
      <c r="F75" s="5" t="s">
        <v>124</v>
      </c>
      <c r="G75" s="5" t="s">
        <v>31</v>
      </c>
      <c r="H75" s="5" t="s">
        <v>8</v>
      </c>
      <c r="I75" s="10" t="n">
        <v>73000</v>
      </c>
      <c r="J75" s="19"/>
      <c r="K75" s="5" t="s">
        <v>55</v>
      </c>
      <c r="L75" s="5" t="s">
        <v>56</v>
      </c>
      <c r="M75" s="6" t="n">
        <v>45247</v>
      </c>
      <c r="N75" s="6"/>
      <c r="O75" s="6" t="n">
        <v>46314</v>
      </c>
      <c r="P75" s="5" t="s">
        <v>179</v>
      </c>
      <c r="Q75" s="5" t="s">
        <v>93</v>
      </c>
      <c r="R75" s="16" t="s">
        <v>37</v>
      </c>
      <c r="S75" s="5" t="n">
        <v>37.5</v>
      </c>
      <c r="T75" s="5" t="s">
        <v>38</v>
      </c>
      <c r="U75" s="8" t="str">
        <f aca="false">IF(AND(TRIM(E75)="US",TRIM(G75)="Non-Exempt"),"US Non-Exempt EEs","")</f>
        <v/>
      </c>
      <c r="V75" s="8" t="str">
        <f aca="false">IF(AND(TRIM(E75)="US",TRIM(G75)="Non-Exempt"),IF(TRIM(D75)="CA","US California Non-Exempt","US Non-California Non-Exempt"),"")</f>
        <v/>
      </c>
      <c r="W75" s="8" t="str">
        <f aca="false">_xlfn.XLOOKUP(X75,ShiftCodes[Code],ShiftCodes[Work Schedule],"Unknown code")</f>
        <v>Standard (Mon–Fri 9:00–17:30)</v>
      </c>
      <c r="X75" s="9" t="s">
        <v>39</v>
      </c>
      <c r="Y75" s="5"/>
    </row>
    <row r="76" customFormat="false" ht="15" hidden="false" customHeight="false" outlineLevel="0" collapsed="false">
      <c r="A76" s="5" t="s">
        <v>194</v>
      </c>
      <c r="B76" s="5" t="s">
        <v>109</v>
      </c>
      <c r="C76" s="5" t="s">
        <v>76</v>
      </c>
      <c r="D76" s="5" t="s">
        <v>28</v>
      </c>
      <c r="E76" s="5" t="s">
        <v>29</v>
      </c>
      <c r="F76" s="5" t="s">
        <v>130</v>
      </c>
      <c r="G76" s="5" t="s">
        <v>78</v>
      </c>
      <c r="H76" s="5" t="s">
        <v>79</v>
      </c>
      <c r="I76" s="10"/>
      <c r="J76" s="12" t="n">
        <v>30</v>
      </c>
      <c r="K76" s="5" t="s">
        <v>33</v>
      </c>
      <c r="L76" s="5" t="s">
        <v>80</v>
      </c>
      <c r="M76" s="6" t="n">
        <v>45253</v>
      </c>
      <c r="N76" s="6"/>
      <c r="O76" s="6"/>
      <c r="P76" s="5" t="s">
        <v>128</v>
      </c>
      <c r="Q76" s="5" t="s">
        <v>36</v>
      </c>
      <c r="R76" s="16" t="s">
        <v>37</v>
      </c>
      <c r="S76" s="5" t="n">
        <v>40</v>
      </c>
      <c r="T76" s="5" t="s">
        <v>38</v>
      </c>
      <c r="U76" s="8" t="str">
        <f aca="false">IF(AND(TRIM(E76)="US",TRIM(G76)="Non-Exempt"),"US Non-Exempt EEs","")</f>
        <v>US Non-Exempt EEs</v>
      </c>
      <c r="V76" s="8" t="str">
        <f aca="false">IF(AND(TRIM(E76)="US",TRIM(G76)="Non-Exempt"),IF(TRIM(D76)="CA","US California Non-Exempt","US Non-California Non-Exempt"),"")</f>
        <v>US California Non-Exempt</v>
      </c>
      <c r="W76" s="8" t="str">
        <f aca="false">_xlfn.XLOOKUP(X76,ShiftCodes[Code],ShiftCodes[Work Schedule],"Unknown code")</f>
        <v>Shift A – Day (Mon–Fri 06:00–14:30)</v>
      </c>
      <c r="X76" s="9" t="s">
        <v>81</v>
      </c>
      <c r="Y76" s="5"/>
    </row>
    <row r="77" customFormat="false" ht="15" hidden="false" customHeight="false" outlineLevel="0" collapsed="false">
      <c r="A77" s="5" t="s">
        <v>195</v>
      </c>
      <c r="B77" s="5" t="s">
        <v>103</v>
      </c>
      <c r="C77" s="5" t="s">
        <v>100</v>
      </c>
      <c r="D77" s="5" t="s">
        <v>28</v>
      </c>
      <c r="E77" s="5" t="s">
        <v>29</v>
      </c>
      <c r="F77" s="5" t="s">
        <v>163</v>
      </c>
      <c r="G77" s="5" t="s">
        <v>31</v>
      </c>
      <c r="H77" s="5" t="s">
        <v>8</v>
      </c>
      <c r="I77" s="10" t="n">
        <v>142000</v>
      </c>
      <c r="J77" s="12"/>
      <c r="K77" s="5" t="s">
        <v>33</v>
      </c>
      <c r="L77" s="5" t="s">
        <v>34</v>
      </c>
      <c r="M77" s="6" t="n">
        <v>45268</v>
      </c>
      <c r="N77" s="6"/>
      <c r="O77" s="6"/>
      <c r="P77" s="5" t="s">
        <v>175</v>
      </c>
      <c r="Q77" s="5" t="s">
        <v>36</v>
      </c>
      <c r="R77" s="16" t="s">
        <v>37</v>
      </c>
      <c r="S77" s="5" t="n">
        <v>40</v>
      </c>
      <c r="T77" s="5" t="s">
        <v>38</v>
      </c>
      <c r="U77" s="8" t="str">
        <f aca="false">IF(AND(TRIM(E77)="US",TRIM(G77)="Non-Exempt"),"US Non-Exempt EEs","")</f>
        <v/>
      </c>
      <c r="V77" s="8" t="str">
        <f aca="false">IF(AND(TRIM(E77)="US",TRIM(G77)="Non-Exempt"),IF(TRIM(D77)="CA","US California Non-Exempt","US Non-California Non-Exempt"),"")</f>
        <v/>
      </c>
      <c r="W77" s="8" t="str">
        <f aca="false">_xlfn.XLOOKUP(X77,ShiftCodes[Code],ShiftCodes[Work Schedule],"Unknown code")</f>
        <v>Standard (Mon–Fri 9:00–17:30)</v>
      </c>
      <c r="X77" s="9" t="s">
        <v>39</v>
      </c>
      <c r="Y77" s="5"/>
    </row>
    <row r="78" customFormat="false" ht="15" hidden="false" customHeight="false" outlineLevel="0" collapsed="false">
      <c r="A78" s="5" t="s">
        <v>196</v>
      </c>
      <c r="B78" s="5" t="s">
        <v>109</v>
      </c>
      <c r="C78" s="5" t="s">
        <v>113</v>
      </c>
      <c r="D78" s="5" t="s">
        <v>84</v>
      </c>
      <c r="E78" s="5" t="s">
        <v>29</v>
      </c>
      <c r="F78" s="5" t="s">
        <v>132</v>
      </c>
      <c r="G78" s="5" t="s">
        <v>78</v>
      </c>
      <c r="H78" s="5" t="s">
        <v>79</v>
      </c>
      <c r="I78" s="10"/>
      <c r="J78" s="12" t="n">
        <v>42.5</v>
      </c>
      <c r="K78" s="5" t="s">
        <v>33</v>
      </c>
      <c r="L78" s="5" t="s">
        <v>80</v>
      </c>
      <c r="M78" s="6" t="n">
        <v>45276</v>
      </c>
      <c r="N78" s="6"/>
      <c r="O78" s="6"/>
      <c r="P78" s="5" t="s">
        <v>118</v>
      </c>
      <c r="Q78" s="5" t="s">
        <v>36</v>
      </c>
      <c r="R78" s="16" t="s">
        <v>37</v>
      </c>
      <c r="S78" s="5" t="n">
        <v>24</v>
      </c>
      <c r="T78" s="5" t="s">
        <v>140</v>
      </c>
      <c r="U78" s="8" t="str">
        <f aca="false">IF(AND(TRIM(E78)="US",TRIM(G78)="Non-Exempt"),"US Non-Exempt EEs","")</f>
        <v>US Non-Exempt EEs</v>
      </c>
      <c r="V78" s="8" t="str">
        <f aca="false">IF(AND(TRIM(E78)="US",TRIM(G78)="Non-Exempt"),IF(TRIM(D78)="CA","US California Non-Exempt","US Non-California Non-Exempt"),"")</f>
        <v>US Non-California Non-Exempt</v>
      </c>
      <c r="W78" s="8" t="str">
        <f aca="false">_xlfn.XLOOKUP(X78,ShiftCodes[Code],ShiftCodes[Work Schedule],"Unknown code")</f>
        <v>Part-time – Day (Mon/Wed/Fri 06:00–14:30)</v>
      </c>
      <c r="X78" s="9" t="s">
        <v>141</v>
      </c>
      <c r="Y78" s="5"/>
    </row>
    <row r="79" customFormat="false" ht="15" hidden="false" customHeight="false" outlineLevel="0" collapsed="false">
      <c r="A79" s="5" t="s">
        <v>197</v>
      </c>
      <c r="B79" s="5" t="s">
        <v>109</v>
      </c>
      <c r="C79" s="5" t="s">
        <v>76</v>
      </c>
      <c r="D79" s="5" t="s">
        <v>28</v>
      </c>
      <c r="E79" s="5" t="s">
        <v>29</v>
      </c>
      <c r="F79" s="5" t="s">
        <v>121</v>
      </c>
      <c r="G79" s="5" t="s">
        <v>78</v>
      </c>
      <c r="H79" s="5" t="s">
        <v>79</v>
      </c>
      <c r="I79" s="10"/>
      <c r="J79" s="12" t="n">
        <v>36.5</v>
      </c>
      <c r="K79" s="5" t="s">
        <v>33</v>
      </c>
      <c r="L79" s="5" t="s">
        <v>80</v>
      </c>
      <c r="M79" s="6" t="n">
        <v>45282</v>
      </c>
      <c r="N79" s="6"/>
      <c r="O79" s="6"/>
      <c r="P79" s="5" t="s">
        <v>161</v>
      </c>
      <c r="Q79" s="5" t="s">
        <v>36</v>
      </c>
      <c r="R79" s="16" t="s">
        <v>37</v>
      </c>
      <c r="S79" s="5" t="n">
        <v>40</v>
      </c>
      <c r="T79" s="5" t="s">
        <v>38</v>
      </c>
      <c r="U79" s="8" t="str">
        <f aca="false">IF(AND(TRIM(E79)="US",TRIM(G79)="Non-Exempt"),"US Non-Exempt EEs","")</f>
        <v>US Non-Exempt EEs</v>
      </c>
      <c r="V79" s="8" t="str">
        <f aca="false">IF(AND(TRIM(E79)="US",TRIM(G79)="Non-Exempt"),IF(TRIM(D79)="CA","US California Non-Exempt","US Non-California Non-Exempt"),"")</f>
        <v>US California Non-Exempt</v>
      </c>
      <c r="W79" s="8" t="str">
        <f aca="false">_xlfn.XLOOKUP(X79,ShiftCodes[Code],ShiftCodes[Work Schedule],"Unknown code")</f>
        <v>Shift B – Swing (Mon–Fri 14:00–22:30)</v>
      </c>
      <c r="X79" s="9" t="s">
        <v>85</v>
      </c>
      <c r="Y79" s="5"/>
    </row>
    <row r="80" customFormat="false" ht="15" hidden="false" customHeight="false" outlineLevel="0" collapsed="false">
      <c r="A80" s="5" t="s">
        <v>198</v>
      </c>
      <c r="B80" s="5" t="s">
        <v>99</v>
      </c>
      <c r="C80" s="5" t="s">
        <v>100</v>
      </c>
      <c r="D80" s="5" t="s">
        <v>28</v>
      </c>
      <c r="E80" s="5" t="s">
        <v>29</v>
      </c>
      <c r="F80" s="5" t="s">
        <v>165</v>
      </c>
      <c r="G80" s="5" t="s">
        <v>31</v>
      </c>
      <c r="H80" s="5" t="s">
        <v>8</v>
      </c>
      <c r="I80" s="10" t="n">
        <v>152000</v>
      </c>
      <c r="J80" s="12"/>
      <c r="K80" s="5" t="s">
        <v>33</v>
      </c>
      <c r="L80" s="5" t="s">
        <v>34</v>
      </c>
      <c r="M80" s="6" t="n">
        <v>45285</v>
      </c>
      <c r="N80" s="6"/>
      <c r="O80" s="6"/>
      <c r="P80" s="5" t="s">
        <v>186</v>
      </c>
      <c r="Q80" s="5" t="s">
        <v>36</v>
      </c>
      <c r="R80" s="16" t="s">
        <v>37</v>
      </c>
      <c r="S80" s="5" t="n">
        <v>40</v>
      </c>
      <c r="T80" s="5" t="s">
        <v>38</v>
      </c>
      <c r="U80" s="8" t="str">
        <f aca="false">IF(AND(TRIM(E80)="US",TRIM(G80)="Non-Exempt"),"US Non-Exempt EEs","")</f>
        <v/>
      </c>
      <c r="V80" s="8" t="str">
        <f aca="false">IF(AND(TRIM(E80)="US",TRIM(G80)="Non-Exempt"),IF(TRIM(D80)="CA","US California Non-Exempt","US Non-California Non-Exempt"),"")</f>
        <v/>
      </c>
      <c r="W80" s="8" t="str">
        <f aca="false">_xlfn.XLOOKUP(X80,ShiftCodes[Code],ShiftCodes[Work Schedule],"Unknown code")</f>
        <v>Standard (Mon–Fri 9:00–17:30)</v>
      </c>
      <c r="X80" s="9" t="s">
        <v>39</v>
      </c>
      <c r="Y80" s="5"/>
    </row>
    <row r="81" customFormat="false" ht="15" hidden="false" customHeight="false" outlineLevel="0" collapsed="false">
      <c r="A81" s="5" t="s">
        <v>199</v>
      </c>
      <c r="B81" s="5" t="s">
        <v>112</v>
      </c>
      <c r="C81" s="5" t="s">
        <v>106</v>
      </c>
      <c r="D81" s="5" t="s">
        <v>42</v>
      </c>
      <c r="E81" s="5" t="s">
        <v>29</v>
      </c>
      <c r="F81" s="5" t="s">
        <v>163</v>
      </c>
      <c r="G81" s="5" t="s">
        <v>31</v>
      </c>
      <c r="H81" s="5" t="s">
        <v>8</v>
      </c>
      <c r="I81" s="10" t="n">
        <v>168000</v>
      </c>
      <c r="J81" s="12"/>
      <c r="K81" s="5" t="s">
        <v>33</v>
      </c>
      <c r="L81" s="5" t="s">
        <v>34</v>
      </c>
      <c r="M81" s="6" t="n">
        <v>45289</v>
      </c>
      <c r="N81" s="6"/>
      <c r="O81" s="6"/>
      <c r="P81" s="5" t="s">
        <v>187</v>
      </c>
      <c r="Q81" s="5" t="s">
        <v>36</v>
      </c>
      <c r="R81" s="16" t="s">
        <v>37</v>
      </c>
      <c r="S81" s="5" t="n">
        <v>40</v>
      </c>
      <c r="T81" s="5" t="s">
        <v>38</v>
      </c>
      <c r="U81" s="8" t="str">
        <f aca="false">IF(AND(TRIM(E81)="US",TRIM(G81)="Non-Exempt"),"US Non-Exempt EEs","")</f>
        <v/>
      </c>
      <c r="V81" s="8" t="str">
        <f aca="false">IF(AND(TRIM(E81)="US",TRIM(G81)="Non-Exempt"),IF(TRIM(D81)="CA","US California Non-Exempt","US Non-California Non-Exempt"),"")</f>
        <v/>
      </c>
      <c r="W81" s="8" t="str">
        <f aca="false">_xlfn.XLOOKUP(X81,ShiftCodes[Code],ShiftCodes[Work Schedule],"Unknown code")</f>
        <v>Standard (Mon–Fri 9:00–17:30)</v>
      </c>
      <c r="X81" s="9" t="s">
        <v>39</v>
      </c>
      <c r="Y81" s="5"/>
    </row>
    <row r="82" customFormat="false" ht="15" hidden="false" customHeight="false" outlineLevel="0" collapsed="false">
      <c r="A82" s="5" t="s">
        <v>200</v>
      </c>
      <c r="B82" s="5" t="s">
        <v>109</v>
      </c>
      <c r="C82" s="5" t="s">
        <v>76</v>
      </c>
      <c r="D82" s="5" t="s">
        <v>28</v>
      </c>
      <c r="E82" s="5" t="s">
        <v>29</v>
      </c>
      <c r="F82" s="5" t="s">
        <v>119</v>
      </c>
      <c r="G82" s="5" t="s">
        <v>31</v>
      </c>
      <c r="H82" s="5" t="s">
        <v>8</v>
      </c>
      <c r="I82" s="10" t="n">
        <v>224000</v>
      </c>
      <c r="J82" s="12"/>
      <c r="K82" s="5" t="s">
        <v>33</v>
      </c>
      <c r="L82" s="5" t="s">
        <v>34</v>
      </c>
      <c r="M82" s="6" t="n">
        <v>45292</v>
      </c>
      <c r="N82" s="6"/>
      <c r="O82" s="6"/>
      <c r="P82" s="5" t="s">
        <v>117</v>
      </c>
      <c r="Q82" s="5" t="s">
        <v>36</v>
      </c>
      <c r="R82" s="16" t="s">
        <v>37</v>
      </c>
      <c r="S82" s="5" t="n">
        <v>40</v>
      </c>
      <c r="T82" s="5" t="s">
        <v>38</v>
      </c>
      <c r="U82" s="8" t="str">
        <f aca="false">IF(AND(TRIM(E82)="US",TRIM(G82)="Non-Exempt"),"US Non-Exempt EEs","")</f>
        <v/>
      </c>
      <c r="V82" s="8" t="str">
        <f aca="false">IF(AND(TRIM(E82)="US",TRIM(G82)="Non-Exempt"),IF(TRIM(D82)="CA","US California Non-Exempt","US Non-California Non-Exempt"),"")</f>
        <v/>
      </c>
      <c r="W82" s="8" t="str">
        <f aca="false">_xlfn.XLOOKUP(X82,ShiftCodes[Code],ShiftCodes[Work Schedule],"Unknown code")</f>
        <v>Standard (Mon–Fri 9:00–17:30)</v>
      </c>
      <c r="X82" s="9" t="s">
        <v>39</v>
      </c>
      <c r="Y82" s="5"/>
    </row>
    <row r="83" customFormat="false" ht="15" hidden="false" customHeight="false" outlineLevel="0" collapsed="false">
      <c r="A83" s="5" t="s">
        <v>201</v>
      </c>
      <c r="B83" s="5" t="s">
        <v>109</v>
      </c>
      <c r="C83" s="5" t="s">
        <v>76</v>
      </c>
      <c r="D83" s="5" t="s">
        <v>28</v>
      </c>
      <c r="E83" s="5" t="s">
        <v>29</v>
      </c>
      <c r="F83" s="5" t="s">
        <v>130</v>
      </c>
      <c r="G83" s="5" t="s">
        <v>78</v>
      </c>
      <c r="H83" s="5" t="s">
        <v>79</v>
      </c>
      <c r="I83" s="10"/>
      <c r="J83" s="12" t="n">
        <v>31</v>
      </c>
      <c r="K83" s="5" t="s">
        <v>33</v>
      </c>
      <c r="L83" s="5" t="s">
        <v>80</v>
      </c>
      <c r="M83" s="6" t="n">
        <v>45293</v>
      </c>
      <c r="N83" s="6"/>
      <c r="O83" s="6"/>
      <c r="P83" s="5" t="s">
        <v>161</v>
      </c>
      <c r="Q83" s="5" t="s">
        <v>36</v>
      </c>
      <c r="R83" s="16" t="s">
        <v>37</v>
      </c>
      <c r="S83" s="5" t="n">
        <v>40</v>
      </c>
      <c r="T83" s="5" t="s">
        <v>38</v>
      </c>
      <c r="U83" s="8" t="str">
        <f aca="false">IF(AND(TRIM(E83)="US",TRIM(G83)="Non-Exempt"),"US Non-Exempt EEs","")</f>
        <v>US Non-Exempt EEs</v>
      </c>
      <c r="V83" s="8" t="str">
        <f aca="false">IF(AND(TRIM(E83)="US",TRIM(G83)="Non-Exempt"),IF(TRIM(D83)="CA","US California Non-Exempt","US Non-California Non-Exempt"),"")</f>
        <v>US California Non-Exempt</v>
      </c>
      <c r="W83" s="8" t="str">
        <f aca="false">_xlfn.XLOOKUP(X83,ShiftCodes[Code],ShiftCodes[Work Schedule],"Unknown code")</f>
        <v>Shift A – Day (Mon–Fri 06:00–14:30)</v>
      </c>
      <c r="X83" s="9" t="s">
        <v>81</v>
      </c>
      <c r="Y83" s="5"/>
    </row>
    <row r="84" customFormat="false" ht="15" hidden="false" customHeight="false" outlineLevel="0" collapsed="false">
      <c r="A84" s="5" t="s">
        <v>202</v>
      </c>
      <c r="B84" s="5" t="s">
        <v>109</v>
      </c>
      <c r="C84" s="5" t="s">
        <v>113</v>
      </c>
      <c r="D84" s="5" t="s">
        <v>84</v>
      </c>
      <c r="E84" s="5" t="s">
        <v>29</v>
      </c>
      <c r="F84" s="5" t="s">
        <v>119</v>
      </c>
      <c r="G84" s="5" t="s">
        <v>31</v>
      </c>
      <c r="H84" s="5" t="s">
        <v>8</v>
      </c>
      <c r="I84" s="10" t="n">
        <v>244000</v>
      </c>
      <c r="J84" s="12"/>
      <c r="K84" s="5" t="s">
        <v>33</v>
      </c>
      <c r="L84" s="5" t="s">
        <v>34</v>
      </c>
      <c r="M84" s="6" t="n">
        <v>45294</v>
      </c>
      <c r="N84" s="6"/>
      <c r="O84" s="6"/>
      <c r="P84" s="5" t="s">
        <v>115</v>
      </c>
      <c r="Q84" s="5" t="s">
        <v>36</v>
      </c>
      <c r="R84" s="16" t="s">
        <v>37</v>
      </c>
      <c r="S84" s="5" t="n">
        <v>40</v>
      </c>
      <c r="T84" s="5" t="s">
        <v>38</v>
      </c>
      <c r="U84" s="8" t="str">
        <f aca="false">IF(AND(TRIM(E84)="US",TRIM(G84)="Non-Exempt"),"US Non-Exempt EEs","")</f>
        <v/>
      </c>
      <c r="V84" s="8" t="str">
        <f aca="false">IF(AND(TRIM(E84)="US",TRIM(G84)="Non-Exempt"),IF(TRIM(D84)="CA","US California Non-Exempt","US Non-California Non-Exempt"),"")</f>
        <v/>
      </c>
      <c r="W84" s="8" t="str">
        <f aca="false">_xlfn.XLOOKUP(X84,ShiftCodes[Code],ShiftCodes[Work Schedule],"Unknown code")</f>
        <v>Standard (Mon–Fri 9:00–17:30)</v>
      </c>
      <c r="X84" s="9" t="s">
        <v>39</v>
      </c>
      <c r="Y84" s="5"/>
    </row>
    <row r="85" customFormat="false" ht="15" hidden="false" customHeight="false" outlineLevel="0" collapsed="false">
      <c r="A85" s="5" t="s">
        <v>203</v>
      </c>
      <c r="B85" s="5" t="s">
        <v>103</v>
      </c>
      <c r="C85" s="5" t="s">
        <v>106</v>
      </c>
      <c r="D85" s="5" t="s">
        <v>42</v>
      </c>
      <c r="E85" s="5" t="s">
        <v>29</v>
      </c>
      <c r="F85" s="5" t="s">
        <v>165</v>
      </c>
      <c r="G85" s="5" t="s">
        <v>31</v>
      </c>
      <c r="H85" s="5" t="s">
        <v>8</v>
      </c>
      <c r="I85" s="10" t="n">
        <v>189000</v>
      </c>
      <c r="J85" s="12"/>
      <c r="K85" s="5" t="s">
        <v>33</v>
      </c>
      <c r="L85" s="5" t="s">
        <v>34</v>
      </c>
      <c r="M85" s="6" t="n">
        <v>45295</v>
      </c>
      <c r="N85" s="6"/>
      <c r="O85" s="6"/>
      <c r="P85" s="5" t="s">
        <v>145</v>
      </c>
      <c r="Q85" s="5" t="s">
        <v>36</v>
      </c>
      <c r="R85" s="16" t="s">
        <v>37</v>
      </c>
      <c r="S85" s="5" t="n">
        <v>40</v>
      </c>
      <c r="T85" s="5" t="s">
        <v>38</v>
      </c>
      <c r="U85" s="8" t="str">
        <f aca="false">IF(AND(TRIM(E85)="US",TRIM(G85)="Non-Exempt"),"US Non-Exempt EEs","")</f>
        <v/>
      </c>
      <c r="V85" s="8" t="str">
        <f aca="false">IF(AND(TRIM(E85)="US",TRIM(G85)="Non-Exempt"),IF(TRIM(D85)="CA","US California Non-Exempt","US Non-California Non-Exempt"),"")</f>
        <v/>
      </c>
      <c r="W85" s="8" t="str">
        <f aca="false">_xlfn.XLOOKUP(X85,ShiftCodes[Code],ShiftCodes[Work Schedule],"Unknown code")</f>
        <v>Standard (Mon–Fri 9:00–17:30)</v>
      </c>
      <c r="X85" s="9" t="s">
        <v>39</v>
      </c>
      <c r="Y85" s="5"/>
    </row>
    <row r="86" customFormat="false" ht="15" hidden="false" customHeight="false" outlineLevel="0" collapsed="false">
      <c r="A86" s="5" t="s">
        <v>204</v>
      </c>
      <c r="B86" s="5" t="s">
        <v>112</v>
      </c>
      <c r="C86" s="5" t="s">
        <v>100</v>
      </c>
      <c r="D86" s="5" t="s">
        <v>28</v>
      </c>
      <c r="E86" s="5" t="s">
        <v>29</v>
      </c>
      <c r="F86" s="5" t="s">
        <v>119</v>
      </c>
      <c r="G86" s="5" t="s">
        <v>31</v>
      </c>
      <c r="H86" s="5" t="s">
        <v>8</v>
      </c>
      <c r="I86" s="10" t="n">
        <v>234000</v>
      </c>
      <c r="J86" s="12"/>
      <c r="K86" s="5" t="s">
        <v>33</v>
      </c>
      <c r="L86" s="5" t="s">
        <v>34</v>
      </c>
      <c r="M86" s="6" t="n">
        <v>45297</v>
      </c>
      <c r="N86" s="6"/>
      <c r="O86" s="6"/>
      <c r="P86" s="5" t="s">
        <v>169</v>
      </c>
      <c r="Q86" s="5" t="s">
        <v>36</v>
      </c>
      <c r="R86" s="16" t="s">
        <v>37</v>
      </c>
      <c r="S86" s="5" t="n">
        <v>40</v>
      </c>
      <c r="T86" s="5" t="s">
        <v>38</v>
      </c>
      <c r="U86" s="8" t="str">
        <f aca="false">IF(AND(TRIM(E86)="US",TRIM(G86)="Non-Exempt"),"US Non-Exempt EEs","")</f>
        <v/>
      </c>
      <c r="V86" s="8" t="str">
        <f aca="false">IF(AND(TRIM(E86)="US",TRIM(G86)="Non-Exempt"),IF(TRIM(D86)="CA","US California Non-Exempt","US Non-California Non-Exempt"),"")</f>
        <v/>
      </c>
      <c r="W86" s="8" t="str">
        <f aca="false">_xlfn.XLOOKUP(X86,ShiftCodes[Code],ShiftCodes[Work Schedule],"Unknown code")</f>
        <v>Standard (Mon–Fri 9:00–17:30)</v>
      </c>
      <c r="X86" s="9" t="s">
        <v>39</v>
      </c>
      <c r="Y86" s="5"/>
    </row>
    <row r="87" customFormat="false" ht="15" hidden="false" customHeight="false" outlineLevel="0" collapsed="false">
      <c r="A87" s="5" t="s">
        <v>205</v>
      </c>
      <c r="B87" s="5" t="s">
        <v>109</v>
      </c>
      <c r="C87" s="5" t="s">
        <v>76</v>
      </c>
      <c r="D87" s="5" t="s">
        <v>28</v>
      </c>
      <c r="E87" s="5" t="s">
        <v>29</v>
      </c>
      <c r="F87" s="5" t="s">
        <v>163</v>
      </c>
      <c r="G87" s="5" t="s">
        <v>31</v>
      </c>
      <c r="H87" s="5" t="s">
        <v>8</v>
      </c>
      <c r="I87" s="10" t="n">
        <v>157000</v>
      </c>
      <c r="J87" s="12"/>
      <c r="K87" s="5" t="s">
        <v>33</v>
      </c>
      <c r="L87" s="5" t="s">
        <v>34</v>
      </c>
      <c r="M87" s="6" t="n">
        <v>45307</v>
      </c>
      <c r="N87" s="6"/>
      <c r="O87" s="6"/>
      <c r="P87" s="5" t="s">
        <v>200</v>
      </c>
      <c r="Q87" s="5" t="s">
        <v>36</v>
      </c>
      <c r="R87" s="16" t="s">
        <v>37</v>
      </c>
      <c r="S87" s="5" t="n">
        <v>40</v>
      </c>
      <c r="T87" s="5" t="s">
        <v>38</v>
      </c>
      <c r="U87" s="8" t="str">
        <f aca="false">IF(AND(TRIM(E87)="US",TRIM(G87)="Non-Exempt"),"US Non-Exempt EEs","")</f>
        <v/>
      </c>
      <c r="V87" s="8" t="str">
        <f aca="false">IF(AND(TRIM(E87)="US",TRIM(G87)="Non-Exempt"),IF(TRIM(D87)="CA","US California Non-Exempt","US Non-California Non-Exempt"),"")</f>
        <v/>
      </c>
      <c r="W87" s="8" t="str">
        <f aca="false">_xlfn.XLOOKUP(X87,ShiftCodes[Code],ShiftCodes[Work Schedule],"Unknown code")</f>
        <v>Standard (Mon–Fri 9:00–17:30)</v>
      </c>
      <c r="X87" s="9" t="s">
        <v>39</v>
      </c>
      <c r="Y87" s="5"/>
    </row>
    <row r="88" customFormat="false" ht="15" hidden="false" customHeight="false" outlineLevel="0" collapsed="false">
      <c r="A88" s="5" t="s">
        <v>206</v>
      </c>
      <c r="B88" s="5" t="s">
        <v>103</v>
      </c>
      <c r="C88" s="5" t="s">
        <v>41</v>
      </c>
      <c r="D88" s="5" t="s">
        <v>42</v>
      </c>
      <c r="E88" s="5" t="s">
        <v>29</v>
      </c>
      <c r="F88" s="5" t="s">
        <v>156</v>
      </c>
      <c r="G88" s="5" t="s">
        <v>31</v>
      </c>
      <c r="H88" s="5" t="s">
        <v>8</v>
      </c>
      <c r="I88" s="10" t="n">
        <v>233000</v>
      </c>
      <c r="J88" s="12"/>
      <c r="K88" s="5" t="s">
        <v>33</v>
      </c>
      <c r="L88" s="5" t="s">
        <v>34</v>
      </c>
      <c r="M88" s="6" t="n">
        <v>45320</v>
      </c>
      <c r="N88" s="6"/>
      <c r="O88" s="6"/>
      <c r="P88" s="5" t="s">
        <v>181</v>
      </c>
      <c r="Q88" s="5" t="s">
        <v>36</v>
      </c>
      <c r="R88" s="16" t="s">
        <v>37</v>
      </c>
      <c r="S88" s="5" t="n">
        <v>40</v>
      </c>
      <c r="T88" s="5" t="s">
        <v>38</v>
      </c>
      <c r="U88" s="8" t="str">
        <f aca="false">IF(AND(TRIM(E88)="US",TRIM(G88)="Non-Exempt"),"US Non-Exempt EEs","")</f>
        <v/>
      </c>
      <c r="V88" s="8" t="str">
        <f aca="false">IF(AND(TRIM(E88)="US",TRIM(G88)="Non-Exempt"),IF(TRIM(D88)="CA","US California Non-Exempt","US Non-California Non-Exempt"),"")</f>
        <v/>
      </c>
      <c r="W88" s="8" t="str">
        <f aca="false">_xlfn.XLOOKUP(X88,ShiftCodes[Code],ShiftCodes[Work Schedule],"Unknown code")</f>
        <v>Standard (Mon–Fri 9:00–17:30)</v>
      </c>
      <c r="X88" s="9" t="s">
        <v>39</v>
      </c>
      <c r="Y88" s="5"/>
    </row>
    <row r="89" customFormat="false" ht="15" hidden="false" customHeight="false" outlineLevel="0" collapsed="false">
      <c r="A89" s="5" t="s">
        <v>207</v>
      </c>
      <c r="B89" s="5" t="s">
        <v>99</v>
      </c>
      <c r="C89" s="5" t="s">
        <v>180</v>
      </c>
      <c r="D89" s="5" t="s">
        <v>52</v>
      </c>
      <c r="E89" s="5" t="s">
        <v>52</v>
      </c>
      <c r="F89" s="5" t="s">
        <v>163</v>
      </c>
      <c r="G89" s="5" t="s">
        <v>31</v>
      </c>
      <c r="H89" s="5" t="s">
        <v>8</v>
      </c>
      <c r="I89" s="10" t="n">
        <v>88000</v>
      </c>
      <c r="J89" s="19"/>
      <c r="K89" s="5" t="s">
        <v>55</v>
      </c>
      <c r="L89" s="5" t="s">
        <v>56</v>
      </c>
      <c r="M89" s="6" t="n">
        <v>45322</v>
      </c>
      <c r="N89" s="6"/>
      <c r="O89" s="6"/>
      <c r="P89" s="5" t="s">
        <v>191</v>
      </c>
      <c r="Q89" s="5" t="s">
        <v>36</v>
      </c>
      <c r="R89" s="16" t="s">
        <v>37</v>
      </c>
      <c r="S89" s="5" t="n">
        <v>37.5</v>
      </c>
      <c r="T89" s="5" t="s">
        <v>38</v>
      </c>
      <c r="U89" s="8" t="str">
        <f aca="false">IF(AND(TRIM(E89)="US",TRIM(G89)="Non-Exempt"),"US Non-Exempt EEs","")</f>
        <v/>
      </c>
      <c r="V89" s="8" t="str">
        <f aca="false">IF(AND(TRIM(E89)="US",TRIM(G89)="Non-Exempt"),IF(TRIM(D89)="CA","US California Non-Exempt","US Non-California Non-Exempt"),"")</f>
        <v/>
      </c>
      <c r="W89" s="8" t="str">
        <f aca="false">_xlfn.XLOOKUP(X89,ShiftCodes[Code],ShiftCodes[Work Schedule],"Unknown code")</f>
        <v>Standard (Mon–Fri 9:00–17:30)</v>
      </c>
      <c r="X89" s="9" t="s">
        <v>39</v>
      </c>
      <c r="Y89" s="5"/>
    </row>
    <row r="90" customFormat="false" ht="15" hidden="false" customHeight="false" outlineLevel="0" collapsed="false">
      <c r="A90" s="5" t="s">
        <v>208</v>
      </c>
      <c r="B90" s="5" t="s">
        <v>112</v>
      </c>
      <c r="C90" s="5" t="s">
        <v>100</v>
      </c>
      <c r="D90" s="5" t="s">
        <v>28</v>
      </c>
      <c r="E90" s="5" t="s">
        <v>29</v>
      </c>
      <c r="F90" s="5" t="s">
        <v>119</v>
      </c>
      <c r="G90" s="5" t="s">
        <v>31</v>
      </c>
      <c r="H90" s="5" t="s">
        <v>8</v>
      </c>
      <c r="I90" s="10" t="n">
        <v>215000</v>
      </c>
      <c r="J90" s="12"/>
      <c r="K90" s="5" t="s">
        <v>33</v>
      </c>
      <c r="L90" s="5" t="s">
        <v>34</v>
      </c>
      <c r="M90" s="6" t="n">
        <v>45323</v>
      </c>
      <c r="N90" s="6"/>
      <c r="O90" s="6"/>
      <c r="P90" s="5" t="s">
        <v>146</v>
      </c>
      <c r="Q90" s="5" t="s">
        <v>36</v>
      </c>
      <c r="R90" s="16" t="s">
        <v>37</v>
      </c>
      <c r="S90" s="5" t="n">
        <v>40</v>
      </c>
      <c r="T90" s="5" t="s">
        <v>38</v>
      </c>
      <c r="U90" s="8" t="str">
        <f aca="false">IF(AND(TRIM(E90)="US",TRIM(G90)="Non-Exempt"),"US Non-Exempt EEs","")</f>
        <v/>
      </c>
      <c r="V90" s="8" t="str">
        <f aca="false">IF(AND(TRIM(E90)="US",TRIM(G90)="Non-Exempt"),IF(TRIM(D90)="CA","US California Non-Exempt","US Non-California Non-Exempt"),"")</f>
        <v/>
      </c>
      <c r="W90" s="8" t="str">
        <f aca="false">_xlfn.XLOOKUP(X90,ShiftCodes[Code],ShiftCodes[Work Schedule],"Unknown code")</f>
        <v>Standard (Mon–Fri 9:00–17:30)</v>
      </c>
      <c r="X90" s="9" t="s">
        <v>39</v>
      </c>
      <c r="Y90" s="5"/>
    </row>
    <row r="91" customFormat="false" ht="15" hidden="false" customHeight="false" outlineLevel="0" collapsed="false">
      <c r="A91" s="5" t="s">
        <v>209</v>
      </c>
      <c r="B91" s="5" t="s">
        <v>112</v>
      </c>
      <c r="C91" s="5" t="s">
        <v>68</v>
      </c>
      <c r="D91" s="5" t="s">
        <v>69</v>
      </c>
      <c r="E91" s="5" t="s">
        <v>70</v>
      </c>
      <c r="F91" s="5" t="s">
        <v>119</v>
      </c>
      <c r="G91" s="5" t="s">
        <v>31</v>
      </c>
      <c r="H91" s="5" t="s">
        <v>8</v>
      </c>
      <c r="I91" s="17" t="n">
        <v>7300000</v>
      </c>
      <c r="J91" s="18"/>
      <c r="K91" s="5" t="s">
        <v>72</v>
      </c>
      <c r="L91" s="5" t="s">
        <v>73</v>
      </c>
      <c r="M91" s="6" t="n">
        <v>45331</v>
      </c>
      <c r="N91" s="6"/>
      <c r="O91" s="6"/>
      <c r="P91" s="5" t="s">
        <v>169</v>
      </c>
      <c r="Q91" s="5" t="s">
        <v>36</v>
      </c>
      <c r="R91" s="16" t="s">
        <v>37</v>
      </c>
      <c r="S91" s="5" t="n">
        <v>40</v>
      </c>
      <c r="T91" s="5" t="s">
        <v>38</v>
      </c>
      <c r="U91" s="8" t="str">
        <f aca="false">IF(AND(TRIM(E91)="US",TRIM(G91)="Non-Exempt"),"US Non-Exempt EEs","")</f>
        <v/>
      </c>
      <c r="V91" s="8" t="str">
        <f aca="false">IF(AND(TRIM(E91)="US",TRIM(G91)="Non-Exempt"),IF(TRIM(D91)="CA","US California Non-Exempt","US Non-California Non-Exempt"),"")</f>
        <v/>
      </c>
      <c r="W91" s="8" t="str">
        <f aca="false">_xlfn.XLOOKUP(X91,ShiftCodes[Code],ShiftCodes[Work Schedule],"Unknown code")</f>
        <v>Standard (Mon–Fri 9:00–17:30)</v>
      </c>
      <c r="X91" s="9" t="s">
        <v>39</v>
      </c>
      <c r="Y91" s="5"/>
    </row>
    <row r="92" customFormat="false" ht="15" hidden="false" customHeight="false" outlineLevel="0" collapsed="false">
      <c r="A92" s="5" t="s">
        <v>210</v>
      </c>
      <c r="B92" s="5" t="s">
        <v>103</v>
      </c>
      <c r="C92" s="5" t="s">
        <v>100</v>
      </c>
      <c r="D92" s="5" t="s">
        <v>28</v>
      </c>
      <c r="E92" s="5" t="s">
        <v>29</v>
      </c>
      <c r="F92" s="5" t="s">
        <v>156</v>
      </c>
      <c r="G92" s="5" t="s">
        <v>31</v>
      </c>
      <c r="H92" s="5" t="s">
        <v>8</v>
      </c>
      <c r="I92" s="10" t="n">
        <v>217000</v>
      </c>
      <c r="J92" s="12"/>
      <c r="K92" s="5" t="s">
        <v>33</v>
      </c>
      <c r="L92" s="5" t="s">
        <v>34</v>
      </c>
      <c r="M92" s="6" t="n">
        <v>45334</v>
      </c>
      <c r="N92" s="6"/>
      <c r="O92" s="6"/>
      <c r="P92" s="5" t="s">
        <v>175</v>
      </c>
      <c r="Q92" s="5" t="s">
        <v>36</v>
      </c>
      <c r="R92" s="16" t="s">
        <v>37</v>
      </c>
      <c r="S92" s="5" t="n">
        <v>40</v>
      </c>
      <c r="T92" s="5" t="s">
        <v>38</v>
      </c>
      <c r="U92" s="8" t="str">
        <f aca="false">IF(AND(TRIM(E92)="US",TRIM(G92)="Non-Exempt"),"US Non-Exempt EEs","")</f>
        <v/>
      </c>
      <c r="V92" s="8" t="str">
        <f aca="false">IF(AND(TRIM(E92)="US",TRIM(G92)="Non-Exempt"),IF(TRIM(D92)="CA","US California Non-Exempt","US Non-California Non-Exempt"),"")</f>
        <v/>
      </c>
      <c r="W92" s="8" t="str">
        <f aca="false">_xlfn.XLOOKUP(X92,ShiftCodes[Code],ShiftCodes[Work Schedule],"Unknown code")</f>
        <v>Standard (Mon–Fri 9:00–17:30)</v>
      </c>
      <c r="X92" s="9" t="s">
        <v>39</v>
      </c>
      <c r="Y92" s="5"/>
    </row>
    <row r="93" customFormat="false" ht="15" hidden="false" customHeight="false" outlineLevel="0" collapsed="false">
      <c r="A93" s="5" t="s">
        <v>211</v>
      </c>
      <c r="B93" s="5" t="s">
        <v>109</v>
      </c>
      <c r="C93" s="5" t="s">
        <v>76</v>
      </c>
      <c r="D93" s="5" t="s">
        <v>28</v>
      </c>
      <c r="E93" s="5" t="s">
        <v>29</v>
      </c>
      <c r="F93" s="5" t="s">
        <v>121</v>
      </c>
      <c r="G93" s="5" t="s">
        <v>78</v>
      </c>
      <c r="H93" s="5" t="s">
        <v>79</v>
      </c>
      <c r="I93" s="10"/>
      <c r="J93" s="12" t="n">
        <v>39</v>
      </c>
      <c r="K93" s="5" t="s">
        <v>33</v>
      </c>
      <c r="L93" s="5" t="s">
        <v>80</v>
      </c>
      <c r="M93" s="6" t="n">
        <v>45343</v>
      </c>
      <c r="N93" s="6"/>
      <c r="O93" s="6"/>
      <c r="P93" s="5" t="s">
        <v>128</v>
      </c>
      <c r="Q93" s="5" t="s">
        <v>36</v>
      </c>
      <c r="R93" s="16" t="s">
        <v>37</v>
      </c>
      <c r="S93" s="5" t="n">
        <v>36</v>
      </c>
      <c r="T93" s="5" t="s">
        <v>38</v>
      </c>
      <c r="U93" s="8" t="str">
        <f aca="false">IF(AND(TRIM(E93)="US",TRIM(G93)="Non-Exempt"),"US Non-Exempt EEs","")</f>
        <v>US Non-Exempt EEs</v>
      </c>
      <c r="V93" s="8" t="str">
        <f aca="false">IF(AND(TRIM(E93)="US",TRIM(G93)="Non-Exempt"),IF(TRIM(D93)="CA","US California Non-Exempt","US Non-California Non-Exempt"),"")</f>
        <v>US California Non-Exempt</v>
      </c>
      <c r="W93" s="8" t="str">
        <f aca="false">_xlfn.XLOOKUP(X93,ShiftCodes[Code],ShiftCodes[Work Schedule],"Unknown code")</f>
        <v>Shift D – Weekend (Fri–Sun 06:00–18:30)</v>
      </c>
      <c r="X93" s="9" t="s">
        <v>151</v>
      </c>
      <c r="Y93" s="5"/>
    </row>
    <row r="94" customFormat="false" ht="15" hidden="false" customHeight="false" outlineLevel="0" collapsed="false">
      <c r="A94" s="5" t="s">
        <v>212</v>
      </c>
      <c r="B94" s="5" t="s">
        <v>109</v>
      </c>
      <c r="C94" s="5" t="s">
        <v>76</v>
      </c>
      <c r="D94" s="5" t="s">
        <v>28</v>
      </c>
      <c r="E94" s="5" t="s">
        <v>29</v>
      </c>
      <c r="F94" s="5" t="s">
        <v>124</v>
      </c>
      <c r="G94" s="5" t="s">
        <v>31</v>
      </c>
      <c r="H94" s="5" t="s">
        <v>8</v>
      </c>
      <c r="I94" s="10" t="n">
        <v>115000</v>
      </c>
      <c r="J94" s="12"/>
      <c r="K94" s="5" t="s">
        <v>33</v>
      </c>
      <c r="L94" s="5" t="s">
        <v>34</v>
      </c>
      <c r="M94" s="6" t="n">
        <v>45354</v>
      </c>
      <c r="N94" s="6"/>
      <c r="O94" s="6"/>
      <c r="P94" s="5" t="s">
        <v>200</v>
      </c>
      <c r="Q94" s="5" t="s">
        <v>36</v>
      </c>
      <c r="R94" s="16" t="s">
        <v>37</v>
      </c>
      <c r="S94" s="5" t="n">
        <v>40</v>
      </c>
      <c r="T94" s="5" t="s">
        <v>38</v>
      </c>
      <c r="U94" s="8" t="str">
        <f aca="false">IF(AND(TRIM(E94)="US",TRIM(G94)="Non-Exempt"),"US Non-Exempt EEs","")</f>
        <v/>
      </c>
      <c r="V94" s="8" t="str">
        <f aca="false">IF(AND(TRIM(E94)="US",TRIM(G94)="Non-Exempt"),IF(TRIM(D94)="CA","US California Non-Exempt","US Non-California Non-Exempt"),"")</f>
        <v/>
      </c>
      <c r="W94" s="8" t="str">
        <f aca="false">_xlfn.XLOOKUP(X94,ShiftCodes[Code],ShiftCodes[Work Schedule],"Unknown code")</f>
        <v>Standard (Mon–Fri 9:00–17:30)</v>
      </c>
      <c r="X94" s="9" t="s">
        <v>39</v>
      </c>
      <c r="Y94" s="5"/>
    </row>
    <row r="95" customFormat="false" ht="15" hidden="false" customHeight="false" outlineLevel="0" collapsed="false">
      <c r="A95" s="5" t="s">
        <v>213</v>
      </c>
      <c r="B95" s="5" t="s">
        <v>109</v>
      </c>
      <c r="C95" s="5" t="s">
        <v>76</v>
      </c>
      <c r="D95" s="5" t="s">
        <v>28</v>
      </c>
      <c r="E95" s="5" t="s">
        <v>29</v>
      </c>
      <c r="F95" s="5" t="s">
        <v>119</v>
      </c>
      <c r="G95" s="5" t="s">
        <v>31</v>
      </c>
      <c r="H95" s="5" t="s">
        <v>8</v>
      </c>
      <c r="I95" s="10" t="n">
        <v>205000</v>
      </c>
      <c r="J95" s="12"/>
      <c r="K95" s="5" t="s">
        <v>33</v>
      </c>
      <c r="L95" s="5" t="s">
        <v>34</v>
      </c>
      <c r="M95" s="6" t="n">
        <v>45355</v>
      </c>
      <c r="N95" s="6"/>
      <c r="O95" s="6"/>
      <c r="P95" s="5" t="s">
        <v>117</v>
      </c>
      <c r="Q95" s="5" t="s">
        <v>36</v>
      </c>
      <c r="R95" s="16" t="s">
        <v>37</v>
      </c>
      <c r="S95" s="5" t="n">
        <v>40</v>
      </c>
      <c r="T95" s="5" t="s">
        <v>38</v>
      </c>
      <c r="U95" s="8" t="str">
        <f aca="false">IF(AND(TRIM(E95)="US",TRIM(G95)="Non-Exempt"),"US Non-Exempt EEs","")</f>
        <v/>
      </c>
      <c r="V95" s="8" t="str">
        <f aca="false">IF(AND(TRIM(E95)="US",TRIM(G95)="Non-Exempt"),IF(TRIM(D95)="CA","US California Non-Exempt","US Non-California Non-Exempt"),"")</f>
        <v/>
      </c>
      <c r="W95" s="8" t="str">
        <f aca="false">_xlfn.XLOOKUP(X95,ShiftCodes[Code],ShiftCodes[Work Schedule],"Unknown code")</f>
        <v>Standard (Mon–Fri 9:00–17:30)</v>
      </c>
      <c r="X95" s="9" t="s">
        <v>39</v>
      </c>
      <c r="Y95" s="5"/>
    </row>
    <row r="96" customFormat="false" ht="15" hidden="false" customHeight="false" outlineLevel="0" collapsed="false">
      <c r="A96" s="5" t="s">
        <v>214</v>
      </c>
      <c r="B96" s="5" t="s">
        <v>112</v>
      </c>
      <c r="C96" s="5" t="s">
        <v>68</v>
      </c>
      <c r="D96" s="5" t="s">
        <v>69</v>
      </c>
      <c r="E96" s="5" t="s">
        <v>70</v>
      </c>
      <c r="F96" s="5" t="s">
        <v>165</v>
      </c>
      <c r="G96" s="5" t="s">
        <v>31</v>
      </c>
      <c r="H96" s="5" t="s">
        <v>8</v>
      </c>
      <c r="I96" s="17" t="n">
        <v>5500000</v>
      </c>
      <c r="J96" s="18"/>
      <c r="K96" s="5" t="s">
        <v>72</v>
      </c>
      <c r="L96" s="5" t="s">
        <v>73</v>
      </c>
      <c r="M96" s="6" t="n">
        <v>45357</v>
      </c>
      <c r="N96" s="6"/>
      <c r="O96" s="6"/>
      <c r="P96" s="5" t="s">
        <v>209</v>
      </c>
      <c r="Q96" s="5" t="s">
        <v>36</v>
      </c>
      <c r="R96" s="16" t="s">
        <v>37</v>
      </c>
      <c r="S96" s="5" t="n">
        <v>40</v>
      </c>
      <c r="T96" s="5" t="s">
        <v>38</v>
      </c>
      <c r="U96" s="8" t="str">
        <f aca="false">IF(AND(TRIM(E96)="US",TRIM(G96)="Non-Exempt"),"US Non-Exempt EEs","")</f>
        <v/>
      </c>
      <c r="V96" s="8" t="str">
        <f aca="false">IF(AND(TRIM(E96)="US",TRIM(G96)="Non-Exempt"),IF(TRIM(D96)="CA","US California Non-Exempt","US Non-California Non-Exempt"),"")</f>
        <v/>
      </c>
      <c r="W96" s="8" t="str">
        <f aca="false">_xlfn.XLOOKUP(X96,ShiftCodes[Code],ShiftCodes[Work Schedule],"Unknown code")</f>
        <v>Standard (Mon–Fri 9:00–17:30)</v>
      </c>
      <c r="X96" s="9" t="s">
        <v>39</v>
      </c>
      <c r="Y96" s="5"/>
    </row>
    <row r="97" customFormat="false" ht="15" hidden="false" customHeight="false" outlineLevel="0" collapsed="false">
      <c r="A97" s="5" t="s">
        <v>215</v>
      </c>
      <c r="B97" s="5" t="s">
        <v>103</v>
      </c>
      <c r="C97" s="5" t="s">
        <v>41</v>
      </c>
      <c r="D97" s="5" t="s">
        <v>189</v>
      </c>
      <c r="E97" s="5" t="s">
        <v>29</v>
      </c>
      <c r="F97" s="5" t="s">
        <v>165</v>
      </c>
      <c r="G97" s="5" t="s">
        <v>31</v>
      </c>
      <c r="H97" s="5" t="s">
        <v>8</v>
      </c>
      <c r="I97" s="10" t="n">
        <v>202000</v>
      </c>
      <c r="J97" s="12"/>
      <c r="K97" s="5" t="s">
        <v>33</v>
      </c>
      <c r="L97" s="5" t="s">
        <v>34</v>
      </c>
      <c r="M97" s="6" t="n">
        <v>45360</v>
      </c>
      <c r="N97" s="6"/>
      <c r="O97" s="6"/>
      <c r="P97" s="5" t="s">
        <v>175</v>
      </c>
      <c r="Q97" s="5" t="s">
        <v>36</v>
      </c>
      <c r="R97" s="16" t="s">
        <v>37</v>
      </c>
      <c r="S97" s="5" t="n">
        <v>40</v>
      </c>
      <c r="T97" s="5" t="s">
        <v>38</v>
      </c>
      <c r="U97" s="8" t="str">
        <f aca="false">IF(AND(TRIM(E97)="US",TRIM(G97)="Non-Exempt"),"US Non-Exempt EEs","")</f>
        <v/>
      </c>
      <c r="V97" s="8" t="str">
        <f aca="false">IF(AND(TRIM(E97)="US",TRIM(G97)="Non-Exempt"),IF(TRIM(D97)="CA","US California Non-Exempt","US Non-California Non-Exempt"),"")</f>
        <v/>
      </c>
      <c r="W97" s="8" t="str">
        <f aca="false">_xlfn.XLOOKUP(X97,ShiftCodes[Code],ShiftCodes[Work Schedule],"Unknown code")</f>
        <v>Standard (Mon–Fri 9:00–17:30)</v>
      </c>
      <c r="X97" s="9" t="s">
        <v>39</v>
      </c>
      <c r="Y97" s="5"/>
    </row>
    <row r="98" customFormat="false" ht="15" hidden="false" customHeight="false" outlineLevel="0" collapsed="false">
      <c r="A98" s="5" t="s">
        <v>216</v>
      </c>
      <c r="B98" s="5" t="s">
        <v>112</v>
      </c>
      <c r="C98" s="5" t="s">
        <v>106</v>
      </c>
      <c r="D98" s="5" t="s">
        <v>42</v>
      </c>
      <c r="E98" s="5" t="s">
        <v>29</v>
      </c>
      <c r="F98" s="5" t="s">
        <v>163</v>
      </c>
      <c r="G98" s="5" t="s">
        <v>31</v>
      </c>
      <c r="H98" s="5" t="s">
        <v>8</v>
      </c>
      <c r="I98" s="10" t="n">
        <v>167000</v>
      </c>
      <c r="J98" s="12"/>
      <c r="K98" s="5" t="s">
        <v>33</v>
      </c>
      <c r="L98" s="5" t="s">
        <v>34</v>
      </c>
      <c r="M98" s="6" t="n">
        <v>45363</v>
      </c>
      <c r="N98" s="6"/>
      <c r="O98" s="6"/>
      <c r="P98" s="5" t="s">
        <v>187</v>
      </c>
      <c r="Q98" s="5" t="s">
        <v>36</v>
      </c>
      <c r="R98" s="16" t="s">
        <v>37</v>
      </c>
      <c r="S98" s="5" t="n">
        <v>40</v>
      </c>
      <c r="T98" s="5" t="s">
        <v>38</v>
      </c>
      <c r="U98" s="8" t="str">
        <f aca="false">IF(AND(TRIM(E98)="US",TRIM(G98)="Non-Exempt"),"US Non-Exempt EEs","")</f>
        <v/>
      </c>
      <c r="V98" s="8" t="str">
        <f aca="false">IF(AND(TRIM(E98)="US",TRIM(G98)="Non-Exempt"),IF(TRIM(D98)="CA","US California Non-Exempt","US Non-California Non-Exempt"),"")</f>
        <v/>
      </c>
      <c r="W98" s="8" t="str">
        <f aca="false">_xlfn.XLOOKUP(X98,ShiftCodes[Code],ShiftCodes[Work Schedule],"Unknown code")</f>
        <v>Standard (Mon–Fri 9:00–17:30)</v>
      </c>
      <c r="X98" s="9" t="s">
        <v>39</v>
      </c>
      <c r="Y98" s="5"/>
    </row>
    <row r="99" customFormat="false" ht="15" hidden="false" customHeight="false" outlineLevel="0" collapsed="false">
      <c r="A99" s="5" t="s">
        <v>217</v>
      </c>
      <c r="B99" s="5" t="s">
        <v>99</v>
      </c>
      <c r="C99" s="5" t="s">
        <v>68</v>
      </c>
      <c r="D99" s="5" t="s">
        <v>69</v>
      </c>
      <c r="E99" s="5" t="s">
        <v>70</v>
      </c>
      <c r="F99" s="5" t="s">
        <v>124</v>
      </c>
      <c r="G99" s="5" t="s">
        <v>31</v>
      </c>
      <c r="H99" s="5" t="s">
        <v>8</v>
      </c>
      <c r="I99" s="17" t="n">
        <v>2260000</v>
      </c>
      <c r="J99" s="18"/>
      <c r="K99" s="5" t="s">
        <v>72</v>
      </c>
      <c r="L99" s="5" t="s">
        <v>73</v>
      </c>
      <c r="M99" s="6" t="n">
        <v>45363</v>
      </c>
      <c r="N99" s="6"/>
      <c r="O99" s="6"/>
      <c r="P99" s="5" t="s">
        <v>171</v>
      </c>
      <c r="Q99" s="5" t="s">
        <v>36</v>
      </c>
      <c r="R99" s="16" t="s">
        <v>37</v>
      </c>
      <c r="S99" s="5" t="n">
        <v>40</v>
      </c>
      <c r="T99" s="5" t="s">
        <v>38</v>
      </c>
      <c r="U99" s="8" t="str">
        <f aca="false">IF(AND(TRIM(E99)="US",TRIM(G99)="Non-Exempt"),"US Non-Exempt EEs","")</f>
        <v/>
      </c>
      <c r="V99" s="8" t="str">
        <f aca="false">IF(AND(TRIM(E99)="US",TRIM(G99)="Non-Exempt"),IF(TRIM(D99)="CA","US California Non-Exempt","US Non-California Non-Exempt"),"")</f>
        <v/>
      </c>
      <c r="W99" s="8" t="str">
        <f aca="false">_xlfn.XLOOKUP(X99,ShiftCodes[Code],ShiftCodes[Work Schedule],"Unknown code")</f>
        <v>Standard (Mon–Fri 9:00–17:30)</v>
      </c>
      <c r="X99" s="9" t="s">
        <v>39</v>
      </c>
      <c r="Y99" s="5"/>
    </row>
    <row r="100" customFormat="false" ht="15" hidden="false" customHeight="false" outlineLevel="0" collapsed="false">
      <c r="A100" s="5" t="s">
        <v>218</v>
      </c>
      <c r="B100" s="5" t="s">
        <v>103</v>
      </c>
      <c r="C100" s="5" t="s">
        <v>180</v>
      </c>
      <c r="D100" s="5" t="s">
        <v>52</v>
      </c>
      <c r="E100" s="5" t="s">
        <v>52</v>
      </c>
      <c r="F100" s="5" t="s">
        <v>119</v>
      </c>
      <c r="G100" s="5" t="s">
        <v>31</v>
      </c>
      <c r="H100" s="5" t="s">
        <v>8</v>
      </c>
      <c r="I100" s="10" t="n">
        <v>133000</v>
      </c>
      <c r="J100" s="19"/>
      <c r="K100" s="5" t="s">
        <v>55</v>
      </c>
      <c r="L100" s="5" t="s">
        <v>56</v>
      </c>
      <c r="M100" s="6" t="n">
        <v>45365</v>
      </c>
      <c r="N100" s="6"/>
      <c r="O100" s="6"/>
      <c r="P100" s="5" t="s">
        <v>105</v>
      </c>
      <c r="Q100" s="5" t="s">
        <v>36</v>
      </c>
      <c r="R100" s="16" t="s">
        <v>37</v>
      </c>
      <c r="S100" s="5" t="n">
        <v>37.5</v>
      </c>
      <c r="T100" s="5" t="s">
        <v>38</v>
      </c>
      <c r="U100" s="8" t="str">
        <f aca="false">IF(AND(TRIM(E100)="US",TRIM(G100)="Non-Exempt"),"US Non-Exempt EEs","")</f>
        <v/>
      </c>
      <c r="V100" s="8" t="str">
        <f aca="false">IF(AND(TRIM(E100)="US",TRIM(G100)="Non-Exempt"),IF(TRIM(D100)="CA","US California Non-Exempt","US Non-California Non-Exempt"),"")</f>
        <v/>
      </c>
      <c r="W100" s="8" t="str">
        <f aca="false">_xlfn.XLOOKUP(X100,ShiftCodes[Code],ShiftCodes[Work Schedule],"Unknown code")</f>
        <v>Standard (Mon–Fri 9:00–17:30)</v>
      </c>
      <c r="X100" s="9" t="s">
        <v>39</v>
      </c>
      <c r="Y100" s="5"/>
    </row>
    <row r="101" customFormat="false" ht="15" hidden="false" customHeight="false" outlineLevel="0" collapsed="false">
      <c r="A101" s="5" t="s">
        <v>219</v>
      </c>
      <c r="B101" s="5" t="s">
        <v>109</v>
      </c>
      <c r="C101" s="5" t="s">
        <v>113</v>
      </c>
      <c r="D101" s="5" t="s">
        <v>84</v>
      </c>
      <c r="E101" s="5" t="s">
        <v>29</v>
      </c>
      <c r="F101" s="5" t="s">
        <v>121</v>
      </c>
      <c r="G101" s="5" t="s">
        <v>78</v>
      </c>
      <c r="H101" s="5" t="s">
        <v>79</v>
      </c>
      <c r="I101" s="10"/>
      <c r="J101" s="12" t="n">
        <v>32.25</v>
      </c>
      <c r="K101" s="5" t="s">
        <v>33</v>
      </c>
      <c r="L101" s="5" t="s">
        <v>80</v>
      </c>
      <c r="M101" s="6" t="n">
        <v>45372</v>
      </c>
      <c r="N101" s="6"/>
      <c r="O101" s="6"/>
      <c r="P101" s="5" t="s">
        <v>118</v>
      </c>
      <c r="Q101" s="5" t="s">
        <v>36</v>
      </c>
      <c r="R101" s="16" t="s">
        <v>37</v>
      </c>
      <c r="S101" s="5" t="n">
        <v>36</v>
      </c>
      <c r="T101" s="5" t="s">
        <v>38</v>
      </c>
      <c r="U101" s="8" t="str">
        <f aca="false">IF(AND(TRIM(E101)="US",TRIM(G101)="Non-Exempt"),"US Non-Exempt EEs","")</f>
        <v>US Non-Exempt EEs</v>
      </c>
      <c r="V101" s="8" t="str">
        <f aca="false">IF(AND(TRIM(E101)="US",TRIM(G101)="Non-Exempt"),IF(TRIM(D101)="CA","US California Non-Exempt","US Non-California Non-Exempt"),"")</f>
        <v>US Non-California Non-Exempt</v>
      </c>
      <c r="W101" s="8" t="str">
        <f aca="false">_xlfn.XLOOKUP(X101,ShiftCodes[Code],ShiftCodes[Work Schedule],"Unknown code")</f>
        <v>Shift D – Weekend (Fri–Sun 06:00–18:30)</v>
      </c>
      <c r="X101" s="9" t="s">
        <v>151</v>
      </c>
      <c r="Y101" s="5"/>
    </row>
    <row r="102" customFormat="false" ht="15" hidden="false" customHeight="false" outlineLevel="0" collapsed="false">
      <c r="A102" s="5" t="s">
        <v>220</v>
      </c>
      <c r="B102" s="5" t="s">
        <v>112</v>
      </c>
      <c r="C102" s="5" t="s">
        <v>100</v>
      </c>
      <c r="D102" s="5" t="s">
        <v>28</v>
      </c>
      <c r="E102" s="5" t="s">
        <v>29</v>
      </c>
      <c r="F102" s="5" t="s">
        <v>124</v>
      </c>
      <c r="G102" s="5" t="s">
        <v>31</v>
      </c>
      <c r="H102" s="5" t="s">
        <v>8</v>
      </c>
      <c r="I102" s="10" t="n">
        <v>118000</v>
      </c>
      <c r="J102" s="12"/>
      <c r="K102" s="5" t="s">
        <v>33</v>
      </c>
      <c r="L102" s="5" t="s">
        <v>34</v>
      </c>
      <c r="M102" s="6" t="n">
        <v>45379</v>
      </c>
      <c r="N102" s="6"/>
      <c r="O102" s="6"/>
      <c r="P102" s="5" t="s">
        <v>208</v>
      </c>
      <c r="Q102" s="5" t="s">
        <v>36</v>
      </c>
      <c r="R102" s="16" t="s">
        <v>37</v>
      </c>
      <c r="S102" s="5" t="n">
        <v>40</v>
      </c>
      <c r="T102" s="5" t="s">
        <v>38</v>
      </c>
      <c r="U102" s="8" t="str">
        <f aca="false">IF(AND(TRIM(E102)="US",TRIM(G102)="Non-Exempt"),"US Non-Exempt EEs","")</f>
        <v/>
      </c>
      <c r="V102" s="8" t="str">
        <f aca="false">IF(AND(TRIM(E102)="US",TRIM(G102)="Non-Exempt"),IF(TRIM(D102)="CA","US California Non-Exempt","US Non-California Non-Exempt"),"")</f>
        <v/>
      </c>
      <c r="W102" s="8" t="str">
        <f aca="false">_xlfn.XLOOKUP(X102,ShiftCodes[Code],ShiftCodes[Work Schedule],"Unknown code")</f>
        <v>Standard (Mon–Fri 9:00–17:30)</v>
      </c>
      <c r="X102" s="9" t="s">
        <v>39</v>
      </c>
      <c r="Y102" s="5"/>
    </row>
    <row r="103" customFormat="false" ht="15" hidden="false" customHeight="false" outlineLevel="0" collapsed="false">
      <c r="A103" s="5" t="s">
        <v>221</v>
      </c>
      <c r="B103" s="5" t="s">
        <v>103</v>
      </c>
      <c r="C103" s="5" t="s">
        <v>180</v>
      </c>
      <c r="D103" s="5" t="s">
        <v>52</v>
      </c>
      <c r="E103" s="5" t="s">
        <v>52</v>
      </c>
      <c r="F103" s="5" t="s">
        <v>124</v>
      </c>
      <c r="G103" s="5" t="s">
        <v>31</v>
      </c>
      <c r="H103" s="5" t="s">
        <v>8</v>
      </c>
      <c r="I103" s="10" t="n">
        <v>71000</v>
      </c>
      <c r="J103" s="19"/>
      <c r="K103" s="5" t="s">
        <v>55</v>
      </c>
      <c r="L103" s="5" t="s">
        <v>56</v>
      </c>
      <c r="M103" s="6" t="n">
        <v>45384</v>
      </c>
      <c r="N103" s="6"/>
      <c r="O103" s="6"/>
      <c r="P103" s="5" t="s">
        <v>218</v>
      </c>
      <c r="Q103" s="5" t="s">
        <v>36</v>
      </c>
      <c r="R103" s="16" t="s">
        <v>37</v>
      </c>
      <c r="S103" s="5" t="n">
        <v>37.5</v>
      </c>
      <c r="T103" s="5" t="s">
        <v>38</v>
      </c>
      <c r="U103" s="8" t="str">
        <f aca="false">IF(AND(TRIM(E103)="US",TRIM(G103)="Non-Exempt"),"US Non-Exempt EEs","")</f>
        <v/>
      </c>
      <c r="V103" s="8" t="str">
        <f aca="false">IF(AND(TRIM(E103)="US",TRIM(G103)="Non-Exempt"),IF(TRIM(D103)="CA","US California Non-Exempt","US Non-California Non-Exempt"),"")</f>
        <v/>
      </c>
      <c r="W103" s="8" t="str">
        <f aca="false">_xlfn.XLOOKUP(X103,ShiftCodes[Code],ShiftCodes[Work Schedule],"Unknown code")</f>
        <v>Standard (Mon–Fri 9:00–17:30)</v>
      </c>
      <c r="X103" s="9" t="s">
        <v>39</v>
      </c>
      <c r="Y103" s="5"/>
    </row>
    <row r="104" customFormat="false" ht="15" hidden="false" customHeight="false" outlineLevel="0" collapsed="false">
      <c r="A104" s="5" t="s">
        <v>222</v>
      </c>
      <c r="B104" s="5" t="s">
        <v>103</v>
      </c>
      <c r="C104" s="5" t="s">
        <v>41</v>
      </c>
      <c r="D104" s="5" t="s">
        <v>154</v>
      </c>
      <c r="E104" s="5" t="s">
        <v>29</v>
      </c>
      <c r="F104" s="5" t="s">
        <v>163</v>
      </c>
      <c r="G104" s="5" t="s">
        <v>31</v>
      </c>
      <c r="H104" s="5" t="s">
        <v>8</v>
      </c>
      <c r="I104" s="10" t="n">
        <v>171000</v>
      </c>
      <c r="J104" s="12"/>
      <c r="K104" s="5" t="s">
        <v>33</v>
      </c>
      <c r="L104" s="5" t="s">
        <v>34</v>
      </c>
      <c r="M104" s="6" t="n">
        <v>45386</v>
      </c>
      <c r="N104" s="6"/>
      <c r="O104" s="6"/>
      <c r="P104" s="5" t="s">
        <v>122</v>
      </c>
      <c r="Q104" s="5" t="s">
        <v>36</v>
      </c>
      <c r="R104" s="16" t="s">
        <v>37</v>
      </c>
      <c r="S104" s="5" t="n">
        <v>40</v>
      </c>
      <c r="T104" s="5" t="s">
        <v>38</v>
      </c>
      <c r="U104" s="8" t="str">
        <f aca="false">IF(AND(TRIM(E104)="US",TRIM(G104)="Non-Exempt"),"US Non-Exempt EEs","")</f>
        <v/>
      </c>
      <c r="V104" s="8" t="str">
        <f aca="false">IF(AND(TRIM(E104)="US",TRIM(G104)="Non-Exempt"),IF(TRIM(D104)="CA","US California Non-Exempt","US Non-California Non-Exempt"),"")</f>
        <v/>
      </c>
      <c r="W104" s="8" t="str">
        <f aca="false">_xlfn.XLOOKUP(X104,ShiftCodes[Code],ShiftCodes[Work Schedule],"Unknown code")</f>
        <v>Standard (Mon–Fri 9:00–17:30)</v>
      </c>
      <c r="X104" s="9" t="s">
        <v>39</v>
      </c>
      <c r="Y104" s="5"/>
    </row>
    <row r="105" customFormat="false" ht="15" hidden="false" customHeight="false" outlineLevel="0" collapsed="false">
      <c r="A105" s="5" t="s">
        <v>223</v>
      </c>
      <c r="B105" s="5" t="s">
        <v>112</v>
      </c>
      <c r="C105" s="5" t="s">
        <v>224</v>
      </c>
      <c r="D105" s="5" t="s">
        <v>225</v>
      </c>
      <c r="E105" s="5" t="s">
        <v>70</v>
      </c>
      <c r="F105" s="5" t="s">
        <v>119</v>
      </c>
      <c r="G105" s="5" t="s">
        <v>31</v>
      </c>
      <c r="H105" s="5" t="s">
        <v>8</v>
      </c>
      <c r="I105" s="17" t="n">
        <v>7530000</v>
      </c>
      <c r="J105" s="18"/>
      <c r="K105" s="5" t="s">
        <v>72</v>
      </c>
      <c r="L105" s="5" t="s">
        <v>73</v>
      </c>
      <c r="M105" s="6" t="n">
        <v>45387</v>
      </c>
      <c r="N105" s="6"/>
      <c r="O105" s="6"/>
      <c r="P105" s="5" t="s">
        <v>146</v>
      </c>
      <c r="Q105" s="5" t="s">
        <v>36</v>
      </c>
      <c r="R105" s="16" t="s">
        <v>37</v>
      </c>
      <c r="S105" s="5" t="n">
        <v>40</v>
      </c>
      <c r="T105" s="5" t="s">
        <v>38</v>
      </c>
      <c r="U105" s="8" t="str">
        <f aca="false">IF(AND(TRIM(E105)="US",TRIM(G105)="Non-Exempt"),"US Non-Exempt EEs","")</f>
        <v/>
      </c>
      <c r="V105" s="8" t="str">
        <f aca="false">IF(AND(TRIM(E105)="US",TRIM(G105)="Non-Exempt"),IF(TRIM(D105)="CA","US California Non-Exempt","US Non-California Non-Exempt"),"")</f>
        <v/>
      </c>
      <c r="W105" s="8" t="str">
        <f aca="false">_xlfn.XLOOKUP(X105,ShiftCodes[Code],ShiftCodes[Work Schedule],"Unknown code")</f>
        <v>Standard (Mon–Fri 9:00–17:30)</v>
      </c>
      <c r="X105" s="9" t="s">
        <v>39</v>
      </c>
      <c r="Y105" s="5"/>
    </row>
    <row r="106" customFormat="false" ht="15" hidden="false" customHeight="false" outlineLevel="0" collapsed="false">
      <c r="A106" s="5" t="s">
        <v>226</v>
      </c>
      <c r="B106" s="5" t="s">
        <v>103</v>
      </c>
      <c r="C106" s="5" t="s">
        <v>106</v>
      </c>
      <c r="D106" s="5" t="s">
        <v>42</v>
      </c>
      <c r="E106" s="5" t="s">
        <v>29</v>
      </c>
      <c r="F106" s="5" t="s">
        <v>119</v>
      </c>
      <c r="G106" s="5" t="s">
        <v>31</v>
      </c>
      <c r="H106" s="5" t="s">
        <v>8</v>
      </c>
      <c r="I106" s="10" t="n">
        <v>247000</v>
      </c>
      <c r="J106" s="12"/>
      <c r="K106" s="5" t="s">
        <v>33</v>
      </c>
      <c r="L106" s="5" t="s">
        <v>34</v>
      </c>
      <c r="M106" s="6" t="n">
        <v>45388</v>
      </c>
      <c r="N106" s="6"/>
      <c r="O106" s="6"/>
      <c r="P106" s="5" t="s">
        <v>176</v>
      </c>
      <c r="Q106" s="5" t="s">
        <v>36</v>
      </c>
      <c r="R106" s="16" t="s">
        <v>37</v>
      </c>
      <c r="S106" s="5" t="n">
        <v>40</v>
      </c>
      <c r="T106" s="5" t="s">
        <v>38</v>
      </c>
      <c r="U106" s="8" t="str">
        <f aca="false">IF(AND(TRIM(E106)="US",TRIM(G106)="Non-Exempt"),"US Non-Exempt EEs","")</f>
        <v/>
      </c>
      <c r="V106" s="8" t="str">
        <f aca="false">IF(AND(TRIM(E106)="US",TRIM(G106)="Non-Exempt"),IF(TRIM(D106)="CA","US California Non-Exempt","US Non-California Non-Exempt"),"")</f>
        <v/>
      </c>
      <c r="W106" s="8" t="str">
        <f aca="false">_xlfn.XLOOKUP(X106,ShiftCodes[Code],ShiftCodes[Work Schedule],"Unknown code")</f>
        <v>Standard (Mon–Fri 9:00–17:30)</v>
      </c>
      <c r="X106" s="9" t="s">
        <v>39</v>
      </c>
      <c r="Y106" s="5"/>
    </row>
    <row r="107" customFormat="false" ht="15" hidden="false" customHeight="false" outlineLevel="0" collapsed="false">
      <c r="A107" s="5" t="s">
        <v>227</v>
      </c>
      <c r="B107" s="5" t="s">
        <v>109</v>
      </c>
      <c r="C107" s="5" t="s">
        <v>76</v>
      </c>
      <c r="D107" s="5" t="s">
        <v>28</v>
      </c>
      <c r="E107" s="5" t="s">
        <v>29</v>
      </c>
      <c r="F107" s="5" t="s">
        <v>124</v>
      </c>
      <c r="G107" s="5" t="s">
        <v>31</v>
      </c>
      <c r="H107" s="5" t="s">
        <v>8</v>
      </c>
      <c r="I107" s="10" t="n">
        <v>118000</v>
      </c>
      <c r="J107" s="12"/>
      <c r="K107" s="5" t="s">
        <v>33</v>
      </c>
      <c r="L107" s="5" t="s">
        <v>34</v>
      </c>
      <c r="M107" s="6" t="n">
        <v>45402</v>
      </c>
      <c r="N107" s="6"/>
      <c r="O107" s="6"/>
      <c r="P107" s="5" t="s">
        <v>213</v>
      </c>
      <c r="Q107" s="5" t="s">
        <v>36</v>
      </c>
      <c r="R107" s="16" t="s">
        <v>37</v>
      </c>
      <c r="S107" s="5" t="n">
        <v>40</v>
      </c>
      <c r="T107" s="5" t="s">
        <v>38</v>
      </c>
      <c r="U107" s="8" t="str">
        <f aca="false">IF(AND(TRIM(E107)="US",TRIM(G107)="Non-Exempt"),"US Non-Exempt EEs","")</f>
        <v/>
      </c>
      <c r="V107" s="8" t="str">
        <f aca="false">IF(AND(TRIM(E107)="US",TRIM(G107)="Non-Exempt"),IF(TRIM(D107)="CA","US California Non-Exempt","US Non-California Non-Exempt"),"")</f>
        <v/>
      </c>
      <c r="W107" s="8" t="str">
        <f aca="false">_xlfn.XLOOKUP(X107,ShiftCodes[Code],ShiftCodes[Work Schedule],"Unknown code")</f>
        <v>Standard (Mon–Fri 9:00–17:30)</v>
      </c>
      <c r="X107" s="9" t="s">
        <v>39</v>
      </c>
      <c r="Y107" s="5"/>
    </row>
    <row r="108" customFormat="false" ht="15" hidden="false" customHeight="false" outlineLevel="0" collapsed="false">
      <c r="A108" s="5" t="s">
        <v>228</v>
      </c>
      <c r="B108" s="5" t="s">
        <v>103</v>
      </c>
      <c r="C108" s="5" t="s">
        <v>106</v>
      </c>
      <c r="D108" s="5" t="s">
        <v>42</v>
      </c>
      <c r="E108" s="5" t="s">
        <v>29</v>
      </c>
      <c r="F108" s="5" t="s">
        <v>165</v>
      </c>
      <c r="G108" s="5" t="s">
        <v>31</v>
      </c>
      <c r="H108" s="5" t="s">
        <v>8</v>
      </c>
      <c r="I108" s="10" t="n">
        <v>194000</v>
      </c>
      <c r="J108" s="12"/>
      <c r="K108" s="5" t="s">
        <v>33</v>
      </c>
      <c r="L108" s="5" t="s">
        <v>34</v>
      </c>
      <c r="M108" s="6" t="n">
        <v>45407</v>
      </c>
      <c r="N108" s="6"/>
      <c r="O108" s="6"/>
      <c r="P108" s="5" t="s">
        <v>122</v>
      </c>
      <c r="Q108" s="5" t="s">
        <v>36</v>
      </c>
      <c r="R108" s="16" t="s">
        <v>37</v>
      </c>
      <c r="S108" s="5" t="n">
        <v>40</v>
      </c>
      <c r="T108" s="5" t="s">
        <v>38</v>
      </c>
      <c r="U108" s="8" t="str">
        <f aca="false">IF(AND(TRIM(E108)="US",TRIM(G108)="Non-Exempt"),"US Non-Exempt EEs","")</f>
        <v/>
      </c>
      <c r="V108" s="8" t="str">
        <f aca="false">IF(AND(TRIM(E108)="US",TRIM(G108)="Non-Exempt"),IF(TRIM(D108)="CA","US California Non-Exempt","US Non-California Non-Exempt"),"")</f>
        <v/>
      </c>
      <c r="W108" s="8" t="str">
        <f aca="false">_xlfn.XLOOKUP(X108,ShiftCodes[Code],ShiftCodes[Work Schedule],"Unknown code")</f>
        <v>Standard (Mon–Fri 9:00–17:30)</v>
      </c>
      <c r="X108" s="9" t="s">
        <v>39</v>
      </c>
      <c r="Y108" s="5"/>
    </row>
    <row r="109" customFormat="false" ht="15" hidden="false" customHeight="false" outlineLevel="0" collapsed="false">
      <c r="A109" s="5" t="s">
        <v>229</v>
      </c>
      <c r="B109" s="5" t="s">
        <v>112</v>
      </c>
      <c r="C109" s="5" t="s">
        <v>100</v>
      </c>
      <c r="D109" s="5" t="s">
        <v>28</v>
      </c>
      <c r="E109" s="5" t="s">
        <v>29</v>
      </c>
      <c r="F109" s="5" t="s">
        <v>119</v>
      </c>
      <c r="G109" s="5" t="s">
        <v>31</v>
      </c>
      <c r="H109" s="5" t="s">
        <v>8</v>
      </c>
      <c r="I109" s="10" t="n">
        <v>236000</v>
      </c>
      <c r="J109" s="12"/>
      <c r="K109" s="5" t="s">
        <v>33</v>
      </c>
      <c r="L109" s="5" t="s">
        <v>34</v>
      </c>
      <c r="M109" s="6" t="n">
        <v>45415</v>
      </c>
      <c r="N109" s="6"/>
      <c r="O109" s="6"/>
      <c r="P109" s="5" t="s">
        <v>169</v>
      </c>
      <c r="Q109" s="5" t="s">
        <v>36</v>
      </c>
      <c r="R109" s="16" t="s">
        <v>37</v>
      </c>
      <c r="S109" s="5" t="n">
        <v>40</v>
      </c>
      <c r="T109" s="5" t="s">
        <v>38</v>
      </c>
      <c r="U109" s="8" t="str">
        <f aca="false">IF(AND(TRIM(E109)="US",TRIM(G109)="Non-Exempt"),"US Non-Exempt EEs","")</f>
        <v/>
      </c>
      <c r="V109" s="8" t="str">
        <f aca="false">IF(AND(TRIM(E109)="US",TRIM(G109)="Non-Exempt"),IF(TRIM(D109)="CA","US California Non-Exempt","US Non-California Non-Exempt"),"")</f>
        <v/>
      </c>
      <c r="W109" s="8" t="str">
        <f aca="false">_xlfn.XLOOKUP(X109,ShiftCodes[Code],ShiftCodes[Work Schedule],"Unknown code")</f>
        <v>Standard (Mon–Fri 9:00–17:30)</v>
      </c>
      <c r="X109" s="9" t="s">
        <v>39</v>
      </c>
      <c r="Y109" s="5"/>
    </row>
    <row r="110" customFormat="false" ht="15" hidden="false" customHeight="false" outlineLevel="0" collapsed="false">
      <c r="A110" s="5" t="s">
        <v>230</v>
      </c>
      <c r="B110" s="5" t="s">
        <v>112</v>
      </c>
      <c r="C110" s="5" t="s">
        <v>100</v>
      </c>
      <c r="D110" s="5" t="s">
        <v>28</v>
      </c>
      <c r="E110" s="5" t="s">
        <v>29</v>
      </c>
      <c r="F110" s="5" t="s">
        <v>165</v>
      </c>
      <c r="G110" s="5" t="s">
        <v>31</v>
      </c>
      <c r="H110" s="5" t="s">
        <v>8</v>
      </c>
      <c r="I110" s="10" t="n">
        <v>175000</v>
      </c>
      <c r="J110" s="12"/>
      <c r="K110" s="5" t="s">
        <v>33</v>
      </c>
      <c r="L110" s="5" t="s">
        <v>34</v>
      </c>
      <c r="M110" s="6" t="n">
        <v>45430</v>
      </c>
      <c r="N110" s="6"/>
      <c r="O110" s="6"/>
      <c r="P110" s="5" t="s">
        <v>229</v>
      </c>
      <c r="Q110" s="5" t="s">
        <v>36</v>
      </c>
      <c r="R110" s="16" t="s">
        <v>37</v>
      </c>
      <c r="S110" s="5" t="n">
        <v>40</v>
      </c>
      <c r="T110" s="5" t="s">
        <v>38</v>
      </c>
      <c r="U110" s="8" t="str">
        <f aca="false">IF(AND(TRIM(E110)="US",TRIM(G110)="Non-Exempt"),"US Non-Exempt EEs","")</f>
        <v/>
      </c>
      <c r="V110" s="8" t="str">
        <f aca="false">IF(AND(TRIM(E110)="US",TRIM(G110)="Non-Exempt"),IF(TRIM(D110)="CA","US California Non-Exempt","US Non-California Non-Exempt"),"")</f>
        <v/>
      </c>
      <c r="W110" s="8" t="str">
        <f aca="false">_xlfn.XLOOKUP(X110,ShiftCodes[Code],ShiftCodes[Work Schedule],"Unknown code")</f>
        <v>Standard (Mon–Fri 9:00–17:30)</v>
      </c>
      <c r="X110" s="9" t="s">
        <v>39</v>
      </c>
      <c r="Y110" s="5"/>
    </row>
    <row r="111" customFormat="false" ht="15" hidden="false" customHeight="false" outlineLevel="0" collapsed="false">
      <c r="A111" s="5" t="s">
        <v>231</v>
      </c>
      <c r="B111" s="5" t="s">
        <v>99</v>
      </c>
      <c r="C111" s="5" t="s">
        <v>127</v>
      </c>
      <c r="D111" s="5" t="s">
        <v>90</v>
      </c>
      <c r="E111" s="5" t="s">
        <v>29</v>
      </c>
      <c r="F111" s="5" t="s">
        <v>119</v>
      </c>
      <c r="G111" s="5" t="s">
        <v>31</v>
      </c>
      <c r="H111" s="5" t="s">
        <v>8</v>
      </c>
      <c r="I111" s="10" t="n">
        <v>207000</v>
      </c>
      <c r="J111" s="12"/>
      <c r="K111" s="5" t="s">
        <v>33</v>
      </c>
      <c r="L111" s="5" t="s">
        <v>34</v>
      </c>
      <c r="M111" s="6" t="n">
        <v>45430</v>
      </c>
      <c r="N111" s="6"/>
      <c r="O111" s="6"/>
      <c r="P111" s="5" t="s">
        <v>126</v>
      </c>
      <c r="Q111" s="5" t="s">
        <v>36</v>
      </c>
      <c r="R111" s="16" t="s">
        <v>37</v>
      </c>
      <c r="S111" s="5" t="n">
        <v>40</v>
      </c>
      <c r="T111" s="5" t="s">
        <v>38</v>
      </c>
      <c r="U111" s="8" t="str">
        <f aca="false">IF(AND(TRIM(E111)="US",TRIM(G111)="Non-Exempt"),"US Non-Exempt EEs","")</f>
        <v/>
      </c>
      <c r="V111" s="8" t="str">
        <f aca="false">IF(AND(TRIM(E111)="US",TRIM(G111)="Non-Exempt"),IF(TRIM(D111)="CA","US California Non-Exempt","US Non-California Non-Exempt"),"")</f>
        <v/>
      </c>
      <c r="W111" s="8" t="str">
        <f aca="false">_xlfn.XLOOKUP(X111,ShiftCodes[Code],ShiftCodes[Work Schedule],"Unknown code")</f>
        <v>Standard (Mon–Fri 9:00–17:30)</v>
      </c>
      <c r="X111" s="9" t="s">
        <v>39</v>
      </c>
      <c r="Y111" s="5"/>
    </row>
    <row r="112" customFormat="false" ht="15" hidden="false" customHeight="false" outlineLevel="0" collapsed="false">
      <c r="A112" s="5" t="s">
        <v>232</v>
      </c>
      <c r="B112" s="5" t="s">
        <v>103</v>
      </c>
      <c r="C112" s="5" t="s">
        <v>100</v>
      </c>
      <c r="D112" s="5" t="s">
        <v>28</v>
      </c>
      <c r="E112" s="5" t="s">
        <v>29</v>
      </c>
      <c r="F112" s="5" t="s">
        <v>149</v>
      </c>
      <c r="G112" s="5" t="s">
        <v>31</v>
      </c>
      <c r="H112" s="5" t="s">
        <v>8</v>
      </c>
      <c r="I112" s="10" t="n">
        <v>106000</v>
      </c>
      <c r="J112" s="12"/>
      <c r="K112" s="5" t="s">
        <v>33</v>
      </c>
      <c r="L112" s="5" t="s">
        <v>34</v>
      </c>
      <c r="M112" s="6" t="n">
        <v>45438</v>
      </c>
      <c r="N112" s="6"/>
      <c r="O112" s="6"/>
      <c r="P112" s="5" t="s">
        <v>175</v>
      </c>
      <c r="Q112" s="5" t="s">
        <v>36</v>
      </c>
      <c r="R112" s="16" t="s">
        <v>37</v>
      </c>
      <c r="S112" s="5" t="n">
        <v>40</v>
      </c>
      <c r="T112" s="5" t="s">
        <v>38</v>
      </c>
      <c r="U112" s="8" t="str">
        <f aca="false">IF(AND(TRIM(E112)="US",TRIM(G112)="Non-Exempt"),"US Non-Exempt EEs","")</f>
        <v/>
      </c>
      <c r="V112" s="8" t="str">
        <f aca="false">IF(AND(TRIM(E112)="US",TRIM(G112)="Non-Exempt"),IF(TRIM(D112)="CA","US California Non-Exempt","US Non-California Non-Exempt"),"")</f>
        <v/>
      </c>
      <c r="W112" s="8" t="str">
        <f aca="false">_xlfn.XLOOKUP(X112,ShiftCodes[Code],ShiftCodes[Work Schedule],"Unknown code")</f>
        <v>Standard (Mon–Fri 9:00–17:30)</v>
      </c>
      <c r="X112" s="9" t="s">
        <v>39</v>
      </c>
      <c r="Y112" s="5"/>
    </row>
    <row r="113" customFormat="false" ht="15" hidden="false" customHeight="false" outlineLevel="0" collapsed="false">
      <c r="A113" s="5" t="s">
        <v>233</v>
      </c>
      <c r="B113" s="5" t="s">
        <v>103</v>
      </c>
      <c r="C113" s="5" t="s">
        <v>100</v>
      </c>
      <c r="D113" s="5" t="s">
        <v>28</v>
      </c>
      <c r="E113" s="5" t="s">
        <v>29</v>
      </c>
      <c r="F113" s="5" t="s">
        <v>163</v>
      </c>
      <c r="G113" s="5" t="s">
        <v>31</v>
      </c>
      <c r="H113" s="5" t="s">
        <v>8</v>
      </c>
      <c r="I113" s="10" t="n">
        <v>144000</v>
      </c>
      <c r="J113" s="12"/>
      <c r="K113" s="5" t="s">
        <v>33</v>
      </c>
      <c r="L113" s="5" t="s">
        <v>34</v>
      </c>
      <c r="M113" s="6" t="n">
        <v>45446</v>
      </c>
      <c r="N113" s="6"/>
      <c r="O113" s="6"/>
      <c r="P113" s="5" t="s">
        <v>136</v>
      </c>
      <c r="Q113" s="5" t="s">
        <v>36</v>
      </c>
      <c r="R113" s="16" t="s">
        <v>37</v>
      </c>
      <c r="S113" s="5" t="n">
        <v>40</v>
      </c>
      <c r="T113" s="5" t="s">
        <v>38</v>
      </c>
      <c r="U113" s="8" t="str">
        <f aca="false">IF(AND(TRIM(E113)="US",TRIM(G113)="Non-Exempt"),"US Non-Exempt EEs","")</f>
        <v/>
      </c>
      <c r="V113" s="8" t="str">
        <f aca="false">IF(AND(TRIM(E113)="US",TRIM(G113)="Non-Exempt"),IF(TRIM(D113)="CA","US California Non-Exempt","US Non-California Non-Exempt"),"")</f>
        <v/>
      </c>
      <c r="W113" s="8" t="str">
        <f aca="false">_xlfn.XLOOKUP(X113,ShiftCodes[Code],ShiftCodes[Work Schedule],"Unknown code")</f>
        <v>Standard (Mon–Fri 9:00–17:30)</v>
      </c>
      <c r="X113" s="9" t="s">
        <v>39</v>
      </c>
      <c r="Y113" s="5"/>
    </row>
    <row r="114" customFormat="false" ht="15" hidden="false" customHeight="false" outlineLevel="0" collapsed="false">
      <c r="A114" s="5" t="s">
        <v>234</v>
      </c>
      <c r="B114" s="5" t="s">
        <v>112</v>
      </c>
      <c r="C114" s="5" t="s">
        <v>41</v>
      </c>
      <c r="D114" s="5" t="s">
        <v>154</v>
      </c>
      <c r="E114" s="5" t="s">
        <v>29</v>
      </c>
      <c r="F114" s="5" t="s">
        <v>124</v>
      </c>
      <c r="G114" s="5" t="s">
        <v>31</v>
      </c>
      <c r="H114" s="5" t="s">
        <v>8</v>
      </c>
      <c r="I114" s="10" t="n">
        <v>134000</v>
      </c>
      <c r="J114" s="12"/>
      <c r="K114" s="5" t="s">
        <v>33</v>
      </c>
      <c r="L114" s="5" t="s">
        <v>34</v>
      </c>
      <c r="M114" s="6" t="n">
        <v>45447</v>
      </c>
      <c r="N114" s="6"/>
      <c r="O114" s="6"/>
      <c r="P114" s="5" t="s">
        <v>208</v>
      </c>
      <c r="Q114" s="5" t="s">
        <v>36</v>
      </c>
      <c r="R114" s="16" t="s">
        <v>37</v>
      </c>
      <c r="S114" s="5" t="n">
        <v>40</v>
      </c>
      <c r="T114" s="5" t="s">
        <v>38</v>
      </c>
      <c r="U114" s="8" t="str">
        <f aca="false">IF(AND(TRIM(E114)="US",TRIM(G114)="Non-Exempt"),"US Non-Exempt EEs","")</f>
        <v/>
      </c>
      <c r="V114" s="8" t="str">
        <f aca="false">IF(AND(TRIM(E114)="US",TRIM(G114)="Non-Exempt"),IF(TRIM(D114)="CA","US California Non-Exempt","US Non-California Non-Exempt"),"")</f>
        <v/>
      </c>
      <c r="W114" s="8" t="str">
        <f aca="false">_xlfn.XLOOKUP(X114,ShiftCodes[Code],ShiftCodes[Work Schedule],"Unknown code")</f>
        <v>Standard (Mon–Fri 9:00–17:30)</v>
      </c>
      <c r="X114" s="9" t="s">
        <v>39</v>
      </c>
      <c r="Y114" s="5"/>
    </row>
    <row r="115" customFormat="false" ht="15" hidden="false" customHeight="false" outlineLevel="0" collapsed="false">
      <c r="A115" s="5" t="s">
        <v>235</v>
      </c>
      <c r="B115" s="5" t="s">
        <v>103</v>
      </c>
      <c r="C115" s="5" t="s">
        <v>106</v>
      </c>
      <c r="D115" s="5" t="s">
        <v>42</v>
      </c>
      <c r="E115" s="5" t="s">
        <v>29</v>
      </c>
      <c r="F115" s="5" t="s">
        <v>236</v>
      </c>
      <c r="G115" s="5" t="s">
        <v>31</v>
      </c>
      <c r="H115" s="5" t="s">
        <v>8</v>
      </c>
      <c r="I115" s="10" t="n">
        <v>248000</v>
      </c>
      <c r="J115" s="12"/>
      <c r="K115" s="5" t="s">
        <v>33</v>
      </c>
      <c r="L115" s="5" t="s">
        <v>34</v>
      </c>
      <c r="M115" s="6" t="n">
        <v>45449</v>
      </c>
      <c r="N115" s="6"/>
      <c r="O115" s="6"/>
      <c r="P115" s="5" t="s">
        <v>226</v>
      </c>
      <c r="Q115" s="5" t="s">
        <v>36</v>
      </c>
      <c r="R115" s="16" t="s">
        <v>37</v>
      </c>
      <c r="S115" s="5" t="n">
        <v>40</v>
      </c>
      <c r="T115" s="5" t="s">
        <v>38</v>
      </c>
      <c r="U115" s="8" t="str">
        <f aca="false">IF(AND(TRIM(E115)="US",TRIM(G115)="Non-Exempt"),"US Non-Exempt EEs","")</f>
        <v/>
      </c>
      <c r="V115" s="8" t="str">
        <f aca="false">IF(AND(TRIM(E115)="US",TRIM(G115)="Non-Exempt"),IF(TRIM(D115)="CA","US California Non-Exempt","US Non-California Non-Exempt"),"")</f>
        <v/>
      </c>
      <c r="W115" s="8" t="str">
        <f aca="false">_xlfn.XLOOKUP(X115,ShiftCodes[Code],ShiftCodes[Work Schedule],"Unknown code")</f>
        <v>Standard (Mon–Fri 9:00–17:30)</v>
      </c>
      <c r="X115" s="9" t="s">
        <v>39</v>
      </c>
      <c r="Y115" s="5"/>
    </row>
    <row r="116" customFormat="false" ht="15" hidden="false" customHeight="false" outlineLevel="0" collapsed="false">
      <c r="A116" s="5" t="s">
        <v>237</v>
      </c>
      <c r="B116" s="5" t="s">
        <v>112</v>
      </c>
      <c r="C116" s="5" t="s">
        <v>100</v>
      </c>
      <c r="D116" s="5" t="s">
        <v>28</v>
      </c>
      <c r="E116" s="5" t="s">
        <v>29</v>
      </c>
      <c r="F116" s="5" t="s">
        <v>149</v>
      </c>
      <c r="G116" s="5" t="s">
        <v>31</v>
      </c>
      <c r="H116" s="5" t="s">
        <v>8</v>
      </c>
      <c r="I116" s="10" t="n">
        <v>115000</v>
      </c>
      <c r="J116" s="12"/>
      <c r="K116" s="5" t="s">
        <v>33</v>
      </c>
      <c r="L116" s="5" t="s">
        <v>34</v>
      </c>
      <c r="M116" s="6" t="n">
        <v>45450</v>
      </c>
      <c r="N116" s="6"/>
      <c r="O116" s="6"/>
      <c r="P116" s="5" t="s">
        <v>204</v>
      </c>
      <c r="Q116" s="5" t="s">
        <v>36</v>
      </c>
      <c r="R116" s="16" t="s">
        <v>37</v>
      </c>
      <c r="S116" s="5" t="n">
        <v>40</v>
      </c>
      <c r="T116" s="5" t="s">
        <v>38</v>
      </c>
      <c r="U116" s="8" t="str">
        <f aca="false">IF(AND(TRIM(E116)="US",TRIM(G116)="Non-Exempt"),"US Non-Exempt EEs","")</f>
        <v/>
      </c>
      <c r="V116" s="8" t="str">
        <f aca="false">IF(AND(TRIM(E116)="US",TRIM(G116)="Non-Exempt"),IF(TRIM(D116)="CA","US California Non-Exempt","US Non-California Non-Exempt"),"")</f>
        <v/>
      </c>
      <c r="W116" s="8" t="str">
        <f aca="false">_xlfn.XLOOKUP(X116,ShiftCodes[Code],ShiftCodes[Work Schedule],"Unknown code")</f>
        <v>Standard (Mon–Fri 9:00–17:30)</v>
      </c>
      <c r="X116" s="9" t="s">
        <v>39</v>
      </c>
      <c r="Y116" s="5"/>
    </row>
    <row r="117" customFormat="false" ht="15" hidden="false" customHeight="false" outlineLevel="0" collapsed="false">
      <c r="A117" s="5" t="s">
        <v>238</v>
      </c>
      <c r="B117" s="5" t="s">
        <v>109</v>
      </c>
      <c r="C117" s="5" t="s">
        <v>76</v>
      </c>
      <c r="D117" s="5" t="s">
        <v>28</v>
      </c>
      <c r="E117" s="5" t="s">
        <v>29</v>
      </c>
      <c r="F117" s="5" t="s">
        <v>121</v>
      </c>
      <c r="G117" s="5" t="s">
        <v>78</v>
      </c>
      <c r="H117" s="5" t="s">
        <v>79</v>
      </c>
      <c r="I117" s="10"/>
      <c r="J117" s="12" t="n">
        <v>38</v>
      </c>
      <c r="K117" s="5" t="s">
        <v>33</v>
      </c>
      <c r="L117" s="5" t="s">
        <v>80</v>
      </c>
      <c r="M117" s="6" t="n">
        <v>45450</v>
      </c>
      <c r="N117" s="6"/>
      <c r="O117" s="6"/>
      <c r="P117" s="5" t="s">
        <v>128</v>
      </c>
      <c r="Q117" s="5" t="s">
        <v>36</v>
      </c>
      <c r="R117" s="16" t="s">
        <v>37</v>
      </c>
      <c r="S117" s="5" t="n">
        <v>40</v>
      </c>
      <c r="T117" s="5" t="s">
        <v>38</v>
      </c>
      <c r="U117" s="8" t="str">
        <f aca="false">IF(AND(TRIM(E117)="US",TRIM(G117)="Non-Exempt"),"US Non-Exempt EEs","")</f>
        <v>US Non-Exempt EEs</v>
      </c>
      <c r="V117" s="8" t="str">
        <f aca="false">IF(AND(TRIM(E117)="US",TRIM(G117)="Non-Exempt"),IF(TRIM(D117)="CA","US California Non-Exempt","US Non-California Non-Exempt"),"")</f>
        <v>US California Non-Exempt</v>
      </c>
      <c r="W117" s="8" t="str">
        <f aca="false">_xlfn.XLOOKUP(X117,ShiftCodes[Code],ShiftCodes[Work Schedule],"Unknown code")</f>
        <v>Shift C – Night (Sun–Thu 22:00–06:30)</v>
      </c>
      <c r="X117" s="9" t="s">
        <v>239</v>
      </c>
      <c r="Y117" s="5"/>
    </row>
    <row r="118" customFormat="false" ht="15" hidden="false" customHeight="false" outlineLevel="0" collapsed="false">
      <c r="A118" s="5" t="s">
        <v>240</v>
      </c>
      <c r="B118" s="5" t="s">
        <v>109</v>
      </c>
      <c r="C118" s="5" t="s">
        <v>113</v>
      </c>
      <c r="D118" s="5" t="s">
        <v>84</v>
      </c>
      <c r="E118" s="5" t="s">
        <v>29</v>
      </c>
      <c r="F118" s="5" t="s">
        <v>121</v>
      </c>
      <c r="G118" s="5" t="s">
        <v>78</v>
      </c>
      <c r="H118" s="5" t="s">
        <v>79</v>
      </c>
      <c r="I118" s="10"/>
      <c r="J118" s="12" t="n">
        <v>31</v>
      </c>
      <c r="K118" s="5" t="s">
        <v>33</v>
      </c>
      <c r="L118" s="5" t="s">
        <v>80</v>
      </c>
      <c r="M118" s="6" t="n">
        <v>45450</v>
      </c>
      <c r="N118" s="6"/>
      <c r="O118" s="6"/>
      <c r="P118" s="5" t="s">
        <v>118</v>
      </c>
      <c r="Q118" s="5" t="s">
        <v>36</v>
      </c>
      <c r="R118" s="16" t="s">
        <v>37</v>
      </c>
      <c r="S118" s="5" t="n">
        <v>40</v>
      </c>
      <c r="T118" s="5" t="s">
        <v>38</v>
      </c>
      <c r="U118" s="8" t="str">
        <f aca="false">IF(AND(TRIM(E118)="US",TRIM(G118)="Non-Exempt"),"US Non-Exempt EEs","")</f>
        <v>US Non-Exempt EEs</v>
      </c>
      <c r="V118" s="8" t="str">
        <f aca="false">IF(AND(TRIM(E118)="US",TRIM(G118)="Non-Exempt"),IF(TRIM(D118)="CA","US California Non-Exempt","US Non-California Non-Exempt"),"")</f>
        <v>US Non-California Non-Exempt</v>
      </c>
      <c r="W118" s="8" t="str">
        <f aca="false">_xlfn.XLOOKUP(X118,ShiftCodes[Code],ShiftCodes[Work Schedule],"Unknown code")</f>
        <v>Shift A – Day (Mon–Fri 06:00–14:30)</v>
      </c>
      <c r="X118" s="9" t="s">
        <v>81</v>
      </c>
      <c r="Y118" s="5"/>
    </row>
    <row r="119" customFormat="false" ht="15" hidden="false" customHeight="false" outlineLevel="0" collapsed="false">
      <c r="A119" s="5" t="s">
        <v>241</v>
      </c>
      <c r="B119" s="5" t="s">
        <v>112</v>
      </c>
      <c r="C119" s="5" t="s">
        <v>106</v>
      </c>
      <c r="D119" s="5" t="s">
        <v>42</v>
      </c>
      <c r="E119" s="5" t="s">
        <v>29</v>
      </c>
      <c r="F119" s="5" t="s">
        <v>124</v>
      </c>
      <c r="G119" s="5" t="s">
        <v>31</v>
      </c>
      <c r="H119" s="5" t="s">
        <v>8</v>
      </c>
      <c r="I119" s="10" t="n">
        <v>136000</v>
      </c>
      <c r="J119" s="12"/>
      <c r="K119" s="5" t="s">
        <v>33</v>
      </c>
      <c r="L119" s="5" t="s">
        <v>34</v>
      </c>
      <c r="M119" s="6" t="n">
        <v>45455</v>
      </c>
      <c r="N119" s="6"/>
      <c r="O119" s="6"/>
      <c r="P119" s="5" t="s">
        <v>187</v>
      </c>
      <c r="Q119" s="5" t="s">
        <v>36</v>
      </c>
      <c r="R119" s="16" t="s">
        <v>37</v>
      </c>
      <c r="S119" s="5" t="n">
        <v>40</v>
      </c>
      <c r="T119" s="5" t="s">
        <v>38</v>
      </c>
      <c r="U119" s="8" t="str">
        <f aca="false">IF(AND(TRIM(E119)="US",TRIM(G119)="Non-Exempt"),"US Non-Exempt EEs","")</f>
        <v/>
      </c>
      <c r="V119" s="8" t="str">
        <f aca="false">IF(AND(TRIM(E119)="US",TRIM(G119)="Non-Exempt"),IF(TRIM(D119)="CA","US California Non-Exempt","US Non-California Non-Exempt"),"")</f>
        <v/>
      </c>
      <c r="W119" s="8" t="str">
        <f aca="false">_xlfn.XLOOKUP(X119,ShiftCodes[Code],ShiftCodes[Work Schedule],"Unknown code")</f>
        <v>Standard (Mon–Fri 9:00–17:30)</v>
      </c>
      <c r="X119" s="9" t="s">
        <v>39</v>
      </c>
      <c r="Y119" s="5"/>
    </row>
    <row r="120" customFormat="false" ht="15" hidden="false" customHeight="false" outlineLevel="0" collapsed="false">
      <c r="A120" s="5" t="s">
        <v>242</v>
      </c>
      <c r="B120" s="5" t="s">
        <v>112</v>
      </c>
      <c r="C120" s="5" t="s">
        <v>68</v>
      </c>
      <c r="D120" s="5" t="s">
        <v>69</v>
      </c>
      <c r="E120" s="5" t="s">
        <v>70</v>
      </c>
      <c r="F120" s="5" t="s">
        <v>163</v>
      </c>
      <c r="G120" s="5" t="s">
        <v>31</v>
      </c>
      <c r="H120" s="5" t="s">
        <v>8</v>
      </c>
      <c r="I120" s="17" t="n">
        <v>3440000</v>
      </c>
      <c r="J120" s="18"/>
      <c r="K120" s="5" t="s">
        <v>72</v>
      </c>
      <c r="L120" s="5" t="s">
        <v>73</v>
      </c>
      <c r="M120" s="6" t="n">
        <v>45464</v>
      </c>
      <c r="N120" s="6"/>
      <c r="O120" s="6"/>
      <c r="P120" s="5" t="s">
        <v>209</v>
      </c>
      <c r="Q120" s="5" t="s">
        <v>36</v>
      </c>
      <c r="R120" s="16" t="s">
        <v>37</v>
      </c>
      <c r="S120" s="5" t="n">
        <v>40</v>
      </c>
      <c r="T120" s="5" t="s">
        <v>38</v>
      </c>
      <c r="U120" s="8" t="str">
        <f aca="false">IF(AND(TRIM(E120)="US",TRIM(G120)="Non-Exempt"),"US Non-Exempt EEs","")</f>
        <v/>
      </c>
      <c r="V120" s="8" t="str">
        <f aca="false">IF(AND(TRIM(E120)="US",TRIM(G120)="Non-Exempt"),IF(TRIM(D120)="CA","US California Non-Exempt","US Non-California Non-Exempt"),"")</f>
        <v/>
      </c>
      <c r="W120" s="8" t="str">
        <f aca="false">_xlfn.XLOOKUP(X120,ShiftCodes[Code],ShiftCodes[Work Schedule],"Unknown code")</f>
        <v>Standard (Mon–Fri 9:00–17:30)</v>
      </c>
      <c r="X120" s="9" t="s">
        <v>39</v>
      </c>
      <c r="Y120" s="5"/>
    </row>
    <row r="121" customFormat="false" ht="15" hidden="false" customHeight="false" outlineLevel="0" collapsed="false">
      <c r="A121" s="5" t="s">
        <v>243</v>
      </c>
      <c r="B121" s="5" t="s">
        <v>112</v>
      </c>
      <c r="C121" s="5" t="s">
        <v>68</v>
      </c>
      <c r="D121" s="5" t="s">
        <v>69</v>
      </c>
      <c r="E121" s="5" t="s">
        <v>70</v>
      </c>
      <c r="F121" s="5" t="s">
        <v>156</v>
      </c>
      <c r="G121" s="5" t="s">
        <v>31</v>
      </c>
      <c r="H121" s="5" t="s">
        <v>8</v>
      </c>
      <c r="I121" s="17" t="n">
        <v>5810000</v>
      </c>
      <c r="J121" s="18"/>
      <c r="K121" s="5" t="s">
        <v>72</v>
      </c>
      <c r="L121" s="5" t="s">
        <v>73</v>
      </c>
      <c r="M121" s="6" t="n">
        <v>45470</v>
      </c>
      <c r="N121" s="6"/>
      <c r="O121" s="6"/>
      <c r="P121" s="5" t="s">
        <v>209</v>
      </c>
      <c r="Q121" s="5" t="s">
        <v>36</v>
      </c>
      <c r="R121" s="16" t="s">
        <v>37</v>
      </c>
      <c r="S121" s="5" t="n">
        <v>40</v>
      </c>
      <c r="T121" s="5" t="s">
        <v>38</v>
      </c>
      <c r="U121" s="8" t="str">
        <f aca="false">IF(AND(TRIM(E121)="US",TRIM(G121)="Non-Exempt"),"US Non-Exempt EEs","")</f>
        <v/>
      </c>
      <c r="V121" s="8" t="str">
        <f aca="false">IF(AND(TRIM(E121)="US",TRIM(G121)="Non-Exempt"),IF(TRIM(D121)="CA","US California Non-Exempt","US Non-California Non-Exempt"),"")</f>
        <v/>
      </c>
      <c r="W121" s="8" t="str">
        <f aca="false">_xlfn.XLOOKUP(X121,ShiftCodes[Code],ShiftCodes[Work Schedule],"Unknown code")</f>
        <v>Standard (Mon–Fri 9:00–17:30)</v>
      </c>
      <c r="X121" s="9" t="s">
        <v>39</v>
      </c>
      <c r="Y121" s="5"/>
    </row>
    <row r="122" customFormat="false" ht="15" hidden="false" customHeight="false" outlineLevel="0" collapsed="false">
      <c r="A122" s="5" t="s">
        <v>244</v>
      </c>
      <c r="B122" s="5" t="s">
        <v>109</v>
      </c>
      <c r="C122" s="5" t="s">
        <v>41</v>
      </c>
      <c r="D122" s="5" t="s">
        <v>154</v>
      </c>
      <c r="E122" s="5" t="s">
        <v>29</v>
      </c>
      <c r="F122" s="5" t="s">
        <v>163</v>
      </c>
      <c r="G122" s="5" t="s">
        <v>31</v>
      </c>
      <c r="H122" s="5" t="s">
        <v>8</v>
      </c>
      <c r="I122" s="10" t="n">
        <v>165000</v>
      </c>
      <c r="J122" s="12"/>
      <c r="K122" s="5" t="s">
        <v>33</v>
      </c>
      <c r="L122" s="5" t="s">
        <v>34</v>
      </c>
      <c r="M122" s="6" t="n">
        <v>45472</v>
      </c>
      <c r="N122" s="6"/>
      <c r="O122" s="6"/>
      <c r="P122" s="5" t="s">
        <v>178</v>
      </c>
      <c r="Q122" s="5" t="s">
        <v>36</v>
      </c>
      <c r="R122" s="16" t="s">
        <v>37</v>
      </c>
      <c r="S122" s="5" t="n">
        <v>40</v>
      </c>
      <c r="T122" s="5" t="s">
        <v>38</v>
      </c>
      <c r="U122" s="8" t="str">
        <f aca="false">IF(AND(TRIM(E122)="US",TRIM(G122)="Non-Exempt"),"US Non-Exempt EEs","")</f>
        <v/>
      </c>
      <c r="V122" s="8" t="str">
        <f aca="false">IF(AND(TRIM(E122)="US",TRIM(G122)="Non-Exempt"),IF(TRIM(D122)="CA","US California Non-Exempt","US Non-California Non-Exempt"),"")</f>
        <v/>
      </c>
      <c r="W122" s="8" t="str">
        <f aca="false">_xlfn.XLOOKUP(X122,ShiftCodes[Code],ShiftCodes[Work Schedule],"Unknown code")</f>
        <v>Standard (Mon–Fri 9:00–17:30)</v>
      </c>
      <c r="X122" s="9" t="s">
        <v>39</v>
      </c>
      <c r="Y122" s="5"/>
    </row>
    <row r="123" customFormat="false" ht="15" hidden="false" customHeight="false" outlineLevel="0" collapsed="false">
      <c r="A123" s="5" t="s">
        <v>245</v>
      </c>
      <c r="B123" s="5" t="s">
        <v>109</v>
      </c>
      <c r="C123" s="5" t="s">
        <v>76</v>
      </c>
      <c r="D123" s="5" t="s">
        <v>28</v>
      </c>
      <c r="E123" s="5" t="s">
        <v>29</v>
      </c>
      <c r="F123" s="5" t="s">
        <v>163</v>
      </c>
      <c r="G123" s="5" t="s">
        <v>31</v>
      </c>
      <c r="H123" s="5" t="s">
        <v>8</v>
      </c>
      <c r="I123" s="10" t="n">
        <v>144000</v>
      </c>
      <c r="J123" s="12"/>
      <c r="K123" s="5" t="s">
        <v>33</v>
      </c>
      <c r="L123" s="5" t="s">
        <v>34</v>
      </c>
      <c r="M123" s="6" t="n">
        <v>45477</v>
      </c>
      <c r="N123" s="6"/>
      <c r="O123" s="6"/>
      <c r="P123" s="5" t="s">
        <v>213</v>
      </c>
      <c r="Q123" s="5" t="s">
        <v>36</v>
      </c>
      <c r="R123" s="16" t="s">
        <v>37</v>
      </c>
      <c r="S123" s="5" t="n">
        <v>40</v>
      </c>
      <c r="T123" s="5" t="s">
        <v>38</v>
      </c>
      <c r="U123" s="8" t="str">
        <f aca="false">IF(AND(TRIM(E123)="US",TRIM(G123)="Non-Exempt"),"US Non-Exempt EEs","")</f>
        <v/>
      </c>
      <c r="V123" s="8" t="str">
        <f aca="false">IF(AND(TRIM(E123)="US",TRIM(G123)="Non-Exempt"),IF(TRIM(D123)="CA","US California Non-Exempt","US Non-California Non-Exempt"),"")</f>
        <v/>
      </c>
      <c r="W123" s="8" t="str">
        <f aca="false">_xlfn.XLOOKUP(X123,ShiftCodes[Code],ShiftCodes[Work Schedule],"Unknown code")</f>
        <v>Standard (Mon–Fri 9:00–17:30)</v>
      </c>
      <c r="X123" s="9" t="s">
        <v>39</v>
      </c>
      <c r="Y123" s="5"/>
    </row>
    <row r="124" customFormat="false" ht="15" hidden="false" customHeight="false" outlineLevel="0" collapsed="false">
      <c r="A124" s="5" t="s">
        <v>246</v>
      </c>
      <c r="B124" s="5" t="s">
        <v>109</v>
      </c>
      <c r="C124" s="5" t="s">
        <v>41</v>
      </c>
      <c r="D124" s="5" t="s">
        <v>42</v>
      </c>
      <c r="E124" s="5" t="s">
        <v>29</v>
      </c>
      <c r="F124" s="5" t="s">
        <v>165</v>
      </c>
      <c r="G124" s="5" t="s">
        <v>31</v>
      </c>
      <c r="H124" s="5" t="s">
        <v>8</v>
      </c>
      <c r="I124" s="10" t="n">
        <v>178000</v>
      </c>
      <c r="J124" s="12"/>
      <c r="K124" s="5" t="s">
        <v>33</v>
      </c>
      <c r="L124" s="5" t="s">
        <v>34</v>
      </c>
      <c r="M124" s="6" t="n">
        <v>45480</v>
      </c>
      <c r="N124" s="6"/>
      <c r="O124" s="6"/>
      <c r="P124" s="5" t="s">
        <v>213</v>
      </c>
      <c r="Q124" s="5" t="s">
        <v>36</v>
      </c>
      <c r="R124" s="16" t="s">
        <v>37</v>
      </c>
      <c r="S124" s="5" t="n">
        <v>40</v>
      </c>
      <c r="T124" s="5" t="s">
        <v>38</v>
      </c>
      <c r="U124" s="8" t="str">
        <f aca="false">IF(AND(TRIM(E124)="US",TRIM(G124)="Non-Exempt"),"US Non-Exempt EEs","")</f>
        <v/>
      </c>
      <c r="V124" s="8" t="str">
        <f aca="false">IF(AND(TRIM(E124)="US",TRIM(G124)="Non-Exempt"),IF(TRIM(D124)="CA","US California Non-Exempt","US Non-California Non-Exempt"),"")</f>
        <v/>
      </c>
      <c r="W124" s="8" t="str">
        <f aca="false">_xlfn.XLOOKUP(X124,ShiftCodes[Code],ShiftCodes[Work Schedule],"Unknown code")</f>
        <v>Standard (Mon–Fri 9:00–17:30)</v>
      </c>
      <c r="X124" s="9" t="s">
        <v>39</v>
      </c>
      <c r="Y124" s="5"/>
    </row>
    <row r="125" customFormat="false" ht="15" hidden="false" customHeight="false" outlineLevel="0" collapsed="false">
      <c r="A125" s="5" t="s">
        <v>247</v>
      </c>
      <c r="B125" s="5" t="s">
        <v>112</v>
      </c>
      <c r="C125" s="5" t="s">
        <v>68</v>
      </c>
      <c r="D125" s="5" t="s">
        <v>69</v>
      </c>
      <c r="E125" s="5" t="s">
        <v>70</v>
      </c>
      <c r="F125" s="5" t="s">
        <v>124</v>
      </c>
      <c r="G125" s="5" t="s">
        <v>31</v>
      </c>
      <c r="H125" s="5" t="s">
        <v>8</v>
      </c>
      <c r="I125" s="17" t="n">
        <v>2340000</v>
      </c>
      <c r="J125" s="18"/>
      <c r="K125" s="5" t="s">
        <v>72</v>
      </c>
      <c r="L125" s="5" t="s">
        <v>73</v>
      </c>
      <c r="M125" s="6" t="n">
        <v>45482</v>
      </c>
      <c r="N125" s="6"/>
      <c r="O125" s="6"/>
      <c r="P125" s="5" t="s">
        <v>209</v>
      </c>
      <c r="Q125" s="5" t="s">
        <v>36</v>
      </c>
      <c r="R125" s="16" t="s">
        <v>37</v>
      </c>
      <c r="S125" s="5" t="n">
        <v>40</v>
      </c>
      <c r="T125" s="5" t="s">
        <v>38</v>
      </c>
      <c r="U125" s="8" t="str">
        <f aca="false">IF(AND(TRIM(E125)="US",TRIM(G125)="Non-Exempt"),"US Non-Exempt EEs","")</f>
        <v/>
      </c>
      <c r="V125" s="8" t="str">
        <f aca="false">IF(AND(TRIM(E125)="US",TRIM(G125)="Non-Exempt"),IF(TRIM(D125)="CA","US California Non-Exempt","US Non-California Non-Exempt"),"")</f>
        <v/>
      </c>
      <c r="W125" s="8" t="str">
        <f aca="false">_xlfn.XLOOKUP(X125,ShiftCodes[Code],ShiftCodes[Work Schedule],"Unknown code")</f>
        <v>Standard (Mon–Fri 9:00–17:30)</v>
      </c>
      <c r="X125" s="9" t="s">
        <v>39</v>
      </c>
      <c r="Y125" s="5"/>
    </row>
    <row r="126" customFormat="false" ht="15" hidden="false" customHeight="false" outlineLevel="0" collapsed="false">
      <c r="A126" s="5" t="s">
        <v>248</v>
      </c>
      <c r="B126" s="5" t="s">
        <v>103</v>
      </c>
      <c r="C126" s="5" t="s">
        <v>180</v>
      </c>
      <c r="D126" s="5" t="s">
        <v>52</v>
      </c>
      <c r="E126" s="5" t="s">
        <v>52</v>
      </c>
      <c r="F126" s="5" t="s">
        <v>156</v>
      </c>
      <c r="G126" s="5" t="s">
        <v>31</v>
      </c>
      <c r="H126" s="5" t="s">
        <v>8</v>
      </c>
      <c r="I126" s="10" t="n">
        <v>124000</v>
      </c>
      <c r="J126" s="19"/>
      <c r="K126" s="5" t="s">
        <v>55</v>
      </c>
      <c r="L126" s="5" t="s">
        <v>56</v>
      </c>
      <c r="M126" s="6" t="n">
        <v>45485</v>
      </c>
      <c r="N126" s="6"/>
      <c r="O126" s="6"/>
      <c r="P126" s="5" t="s">
        <v>218</v>
      </c>
      <c r="Q126" s="5" t="s">
        <v>36</v>
      </c>
      <c r="R126" s="16" t="s">
        <v>37</v>
      </c>
      <c r="S126" s="5" t="n">
        <v>37.5</v>
      </c>
      <c r="T126" s="5" t="s">
        <v>38</v>
      </c>
      <c r="U126" s="8" t="str">
        <f aca="false">IF(AND(TRIM(E126)="US",TRIM(G126)="Non-Exempt"),"US Non-Exempt EEs","")</f>
        <v/>
      </c>
      <c r="V126" s="8" t="str">
        <f aca="false">IF(AND(TRIM(E126)="US",TRIM(G126)="Non-Exempt"),IF(TRIM(D126)="CA","US California Non-Exempt","US Non-California Non-Exempt"),"")</f>
        <v/>
      </c>
      <c r="W126" s="8" t="str">
        <f aca="false">_xlfn.XLOOKUP(X126,ShiftCodes[Code],ShiftCodes[Work Schedule],"Unknown code")</f>
        <v>Standard (Mon–Fri 9:00–17:30)</v>
      </c>
      <c r="X126" s="9" t="s">
        <v>39</v>
      </c>
      <c r="Y126" s="5"/>
    </row>
    <row r="127" customFormat="false" ht="15" hidden="false" customHeight="false" outlineLevel="0" collapsed="false">
      <c r="A127" s="5" t="s">
        <v>249</v>
      </c>
      <c r="B127" s="5" t="s">
        <v>112</v>
      </c>
      <c r="C127" s="5" t="s">
        <v>224</v>
      </c>
      <c r="D127" s="5" t="s">
        <v>225</v>
      </c>
      <c r="E127" s="5" t="s">
        <v>70</v>
      </c>
      <c r="F127" s="5" t="s">
        <v>163</v>
      </c>
      <c r="G127" s="5" t="s">
        <v>31</v>
      </c>
      <c r="H127" s="5" t="s">
        <v>8</v>
      </c>
      <c r="I127" s="17" t="n">
        <v>3760000</v>
      </c>
      <c r="J127" s="18"/>
      <c r="K127" s="5" t="s">
        <v>72</v>
      </c>
      <c r="L127" s="5" t="s">
        <v>73</v>
      </c>
      <c r="M127" s="6" t="n">
        <v>45498</v>
      </c>
      <c r="N127" s="6"/>
      <c r="O127" s="6"/>
      <c r="P127" s="5" t="s">
        <v>223</v>
      </c>
      <c r="Q127" s="5" t="s">
        <v>36</v>
      </c>
      <c r="R127" s="16" t="s">
        <v>37</v>
      </c>
      <c r="S127" s="5" t="n">
        <v>40</v>
      </c>
      <c r="T127" s="5" t="s">
        <v>38</v>
      </c>
      <c r="U127" s="8" t="str">
        <f aca="false">IF(AND(TRIM(E127)="US",TRIM(G127)="Non-Exempt"),"US Non-Exempt EEs","")</f>
        <v/>
      </c>
      <c r="V127" s="8" t="str">
        <f aca="false">IF(AND(TRIM(E127)="US",TRIM(G127)="Non-Exempt"),IF(TRIM(D127)="CA","US California Non-Exempt","US Non-California Non-Exempt"),"")</f>
        <v/>
      </c>
      <c r="W127" s="8" t="str">
        <f aca="false">_xlfn.XLOOKUP(X127,ShiftCodes[Code],ShiftCodes[Work Schedule],"Unknown code")</f>
        <v>Standard (Mon–Fri 9:00–17:30)</v>
      </c>
      <c r="X127" s="9" t="s">
        <v>39</v>
      </c>
      <c r="Y127" s="5"/>
    </row>
    <row r="128" customFormat="false" ht="15" hidden="false" customHeight="false" outlineLevel="0" collapsed="false">
      <c r="A128" s="5" t="s">
        <v>250</v>
      </c>
      <c r="B128" s="5" t="s">
        <v>103</v>
      </c>
      <c r="C128" s="5" t="s">
        <v>106</v>
      </c>
      <c r="D128" s="5" t="s">
        <v>42</v>
      </c>
      <c r="E128" s="5" t="s">
        <v>29</v>
      </c>
      <c r="F128" s="5" t="s">
        <v>165</v>
      </c>
      <c r="G128" s="5" t="s">
        <v>31</v>
      </c>
      <c r="H128" s="5" t="s">
        <v>8</v>
      </c>
      <c r="I128" s="10" t="n">
        <v>180000</v>
      </c>
      <c r="J128" s="12"/>
      <c r="K128" s="5" t="s">
        <v>33</v>
      </c>
      <c r="L128" s="5" t="s">
        <v>34</v>
      </c>
      <c r="M128" s="6" t="n">
        <v>45499</v>
      </c>
      <c r="N128" s="6"/>
      <c r="O128" s="6"/>
      <c r="P128" s="5" t="s">
        <v>145</v>
      </c>
      <c r="Q128" s="5" t="s">
        <v>36</v>
      </c>
      <c r="R128" s="16" t="s">
        <v>37</v>
      </c>
      <c r="S128" s="5" t="n">
        <v>40</v>
      </c>
      <c r="T128" s="5" t="s">
        <v>38</v>
      </c>
      <c r="U128" s="8" t="str">
        <f aca="false">IF(AND(TRIM(E128)="US",TRIM(G128)="Non-Exempt"),"US Non-Exempt EEs","")</f>
        <v/>
      </c>
      <c r="V128" s="8" t="str">
        <f aca="false">IF(AND(TRIM(E128)="US",TRIM(G128)="Non-Exempt"),IF(TRIM(D128)="CA","US California Non-Exempt","US Non-California Non-Exempt"),"")</f>
        <v/>
      </c>
      <c r="W128" s="8" t="str">
        <f aca="false">_xlfn.XLOOKUP(X128,ShiftCodes[Code],ShiftCodes[Work Schedule],"Unknown code")</f>
        <v>Standard (Mon–Fri 9:00–17:30)</v>
      </c>
      <c r="X128" s="9" t="s">
        <v>39</v>
      </c>
      <c r="Y128" s="5"/>
    </row>
    <row r="129" customFormat="false" ht="15" hidden="false" customHeight="false" outlineLevel="0" collapsed="false">
      <c r="A129" s="5" t="s">
        <v>251</v>
      </c>
      <c r="B129" s="5" t="s">
        <v>103</v>
      </c>
      <c r="C129" s="5" t="s">
        <v>100</v>
      </c>
      <c r="D129" s="5" t="s">
        <v>28</v>
      </c>
      <c r="E129" s="5" t="s">
        <v>29</v>
      </c>
      <c r="F129" s="5" t="s">
        <v>124</v>
      </c>
      <c r="G129" s="5" t="s">
        <v>31</v>
      </c>
      <c r="H129" s="5" t="s">
        <v>8</v>
      </c>
      <c r="I129" s="10" t="n">
        <v>126000</v>
      </c>
      <c r="J129" s="12"/>
      <c r="K129" s="5" t="s">
        <v>33</v>
      </c>
      <c r="L129" s="5" t="s">
        <v>34</v>
      </c>
      <c r="M129" s="6" t="n">
        <v>45501</v>
      </c>
      <c r="N129" s="6"/>
      <c r="O129" s="6"/>
      <c r="P129" s="5" t="s">
        <v>175</v>
      </c>
      <c r="Q129" s="5" t="s">
        <v>36</v>
      </c>
      <c r="R129" s="16" t="s">
        <v>37</v>
      </c>
      <c r="S129" s="5" t="n">
        <v>40</v>
      </c>
      <c r="T129" s="5" t="s">
        <v>38</v>
      </c>
      <c r="U129" s="8" t="str">
        <f aca="false">IF(AND(TRIM(E129)="US",TRIM(G129)="Non-Exempt"),"US Non-Exempt EEs","")</f>
        <v/>
      </c>
      <c r="V129" s="8" t="str">
        <f aca="false">IF(AND(TRIM(E129)="US",TRIM(G129)="Non-Exempt"),IF(TRIM(D129)="CA","US California Non-Exempt","US Non-California Non-Exempt"),"")</f>
        <v/>
      </c>
      <c r="W129" s="8" t="str">
        <f aca="false">_xlfn.XLOOKUP(X129,ShiftCodes[Code],ShiftCodes[Work Schedule],"Unknown code")</f>
        <v>Standard (Mon–Fri 9:00–17:30)</v>
      </c>
      <c r="X129" s="9" t="s">
        <v>39</v>
      </c>
      <c r="Y129" s="5"/>
    </row>
    <row r="130" customFormat="false" ht="15" hidden="false" customHeight="false" outlineLevel="0" collapsed="false">
      <c r="A130" s="5" t="s">
        <v>252</v>
      </c>
      <c r="B130" s="5" t="s">
        <v>112</v>
      </c>
      <c r="C130" s="5" t="s">
        <v>180</v>
      </c>
      <c r="D130" s="5" t="s">
        <v>52</v>
      </c>
      <c r="E130" s="5" t="s">
        <v>52</v>
      </c>
      <c r="F130" s="5" t="s">
        <v>156</v>
      </c>
      <c r="G130" s="5" t="s">
        <v>31</v>
      </c>
      <c r="H130" s="5" t="s">
        <v>8</v>
      </c>
      <c r="I130" s="10" t="n">
        <v>116000</v>
      </c>
      <c r="J130" s="19"/>
      <c r="K130" s="5" t="s">
        <v>55</v>
      </c>
      <c r="L130" s="5" t="s">
        <v>56</v>
      </c>
      <c r="M130" s="6" t="n">
        <v>45505</v>
      </c>
      <c r="N130" s="6"/>
      <c r="O130" s="6"/>
      <c r="P130" s="5" t="s">
        <v>179</v>
      </c>
      <c r="Q130" s="5" t="s">
        <v>36</v>
      </c>
      <c r="R130" s="16" t="s">
        <v>37</v>
      </c>
      <c r="S130" s="5" t="n">
        <v>37.5</v>
      </c>
      <c r="T130" s="5" t="s">
        <v>38</v>
      </c>
      <c r="U130" s="8" t="str">
        <f aca="false">IF(AND(TRIM(E130)="US",TRIM(G130)="Non-Exempt"),"US Non-Exempt EEs","")</f>
        <v/>
      </c>
      <c r="V130" s="8" t="str">
        <f aca="false">IF(AND(TRIM(E130)="US",TRIM(G130)="Non-Exempt"),IF(TRIM(D130)="CA","US California Non-Exempt","US Non-California Non-Exempt"),"")</f>
        <v/>
      </c>
      <c r="W130" s="8" t="str">
        <f aca="false">_xlfn.XLOOKUP(X130,ShiftCodes[Code],ShiftCodes[Work Schedule],"Unknown code")</f>
        <v>Standard (Mon–Fri 9:00–17:30)</v>
      </c>
      <c r="X130" s="9" t="s">
        <v>39</v>
      </c>
      <c r="Y130" s="5"/>
    </row>
    <row r="131" customFormat="false" ht="15" hidden="false" customHeight="false" outlineLevel="0" collapsed="false">
      <c r="A131" s="5" t="s">
        <v>253</v>
      </c>
      <c r="B131" s="5" t="s">
        <v>112</v>
      </c>
      <c r="C131" s="5" t="s">
        <v>100</v>
      </c>
      <c r="D131" s="5" t="s">
        <v>28</v>
      </c>
      <c r="E131" s="5" t="s">
        <v>29</v>
      </c>
      <c r="F131" s="5" t="s">
        <v>163</v>
      </c>
      <c r="G131" s="5" t="s">
        <v>31</v>
      </c>
      <c r="H131" s="5" t="s">
        <v>8</v>
      </c>
      <c r="I131" s="10" t="n">
        <v>161000</v>
      </c>
      <c r="J131" s="12"/>
      <c r="K131" s="5" t="s">
        <v>33</v>
      </c>
      <c r="L131" s="5" t="s">
        <v>34</v>
      </c>
      <c r="M131" s="6" t="n">
        <v>45507</v>
      </c>
      <c r="N131" s="6"/>
      <c r="O131" s="6"/>
      <c r="P131" s="5" t="s">
        <v>208</v>
      </c>
      <c r="Q131" s="5" t="s">
        <v>36</v>
      </c>
      <c r="R131" s="16" t="s">
        <v>37</v>
      </c>
      <c r="S131" s="5" t="n">
        <v>40</v>
      </c>
      <c r="T131" s="5" t="s">
        <v>38</v>
      </c>
      <c r="U131" s="8" t="str">
        <f aca="false">IF(AND(TRIM(E131)="US",TRIM(G131)="Non-Exempt"),"US Non-Exempt EEs","")</f>
        <v/>
      </c>
      <c r="V131" s="8" t="str">
        <f aca="false">IF(AND(TRIM(E131)="US",TRIM(G131)="Non-Exempt"),IF(TRIM(D131)="CA","US California Non-Exempt","US Non-California Non-Exempt"),"")</f>
        <v/>
      </c>
      <c r="W131" s="8" t="str">
        <f aca="false">_xlfn.XLOOKUP(X131,ShiftCodes[Code],ShiftCodes[Work Schedule],"Unknown code")</f>
        <v>Standard (Mon–Fri 9:00–17:30)</v>
      </c>
      <c r="X131" s="9" t="s">
        <v>39</v>
      </c>
      <c r="Y131" s="5"/>
    </row>
    <row r="132" customFormat="false" ht="15" hidden="false" customHeight="false" outlineLevel="0" collapsed="false">
      <c r="A132" s="5" t="s">
        <v>254</v>
      </c>
      <c r="B132" s="5" t="s">
        <v>112</v>
      </c>
      <c r="C132" s="5" t="s">
        <v>68</v>
      </c>
      <c r="D132" s="5" t="s">
        <v>69</v>
      </c>
      <c r="E132" s="5" t="s">
        <v>70</v>
      </c>
      <c r="F132" s="5" t="s">
        <v>124</v>
      </c>
      <c r="G132" s="5" t="s">
        <v>31</v>
      </c>
      <c r="H132" s="5" t="s">
        <v>8</v>
      </c>
      <c r="I132" s="17" t="n">
        <v>2570000</v>
      </c>
      <c r="J132" s="18"/>
      <c r="K132" s="5" t="s">
        <v>72</v>
      </c>
      <c r="L132" s="5" t="s">
        <v>73</v>
      </c>
      <c r="M132" s="6" t="n">
        <v>45517</v>
      </c>
      <c r="N132" s="6"/>
      <c r="O132" s="6"/>
      <c r="P132" s="5" t="s">
        <v>209</v>
      </c>
      <c r="Q132" s="5" t="s">
        <v>36</v>
      </c>
      <c r="R132" s="16" t="s">
        <v>37</v>
      </c>
      <c r="S132" s="5" t="n">
        <v>40</v>
      </c>
      <c r="T132" s="5" t="s">
        <v>38</v>
      </c>
      <c r="U132" s="8" t="str">
        <f aca="false">IF(AND(TRIM(E132)="US",TRIM(G132)="Non-Exempt"),"US Non-Exempt EEs","")</f>
        <v/>
      </c>
      <c r="V132" s="8" t="str">
        <f aca="false">IF(AND(TRIM(E132)="US",TRIM(G132)="Non-Exempt"),IF(TRIM(D132)="CA","US California Non-Exempt","US Non-California Non-Exempt"),"")</f>
        <v/>
      </c>
      <c r="W132" s="8" t="str">
        <f aca="false">_xlfn.XLOOKUP(X132,ShiftCodes[Code],ShiftCodes[Work Schedule],"Unknown code")</f>
        <v>Standard (Mon–Fri 9:00–17:30)</v>
      </c>
      <c r="X132" s="9" t="s">
        <v>39</v>
      </c>
      <c r="Y132" s="5"/>
    </row>
    <row r="133" customFormat="false" ht="15" hidden="false" customHeight="false" outlineLevel="0" collapsed="false">
      <c r="A133" s="5" t="s">
        <v>255</v>
      </c>
      <c r="B133" s="5" t="s">
        <v>103</v>
      </c>
      <c r="C133" s="5" t="s">
        <v>100</v>
      </c>
      <c r="D133" s="5" t="s">
        <v>28</v>
      </c>
      <c r="E133" s="5" t="s">
        <v>29</v>
      </c>
      <c r="F133" s="5" t="s">
        <v>119</v>
      </c>
      <c r="G133" s="5" t="s">
        <v>31</v>
      </c>
      <c r="H133" s="5" t="s">
        <v>8</v>
      </c>
      <c r="I133" s="10" t="n">
        <v>218000</v>
      </c>
      <c r="J133" s="12"/>
      <c r="K133" s="5" t="s">
        <v>33</v>
      </c>
      <c r="L133" s="5" t="s">
        <v>34</v>
      </c>
      <c r="M133" s="6" t="n">
        <v>45518</v>
      </c>
      <c r="N133" s="6"/>
      <c r="O133" s="6"/>
      <c r="P133" s="5" t="s">
        <v>116</v>
      </c>
      <c r="Q133" s="5" t="s">
        <v>36</v>
      </c>
      <c r="R133" s="16" t="s">
        <v>37</v>
      </c>
      <c r="S133" s="5" t="n">
        <v>40</v>
      </c>
      <c r="T133" s="5" t="s">
        <v>38</v>
      </c>
      <c r="U133" s="8" t="str">
        <f aca="false">IF(AND(TRIM(E133)="US",TRIM(G133)="Non-Exempt"),"US Non-Exempt EEs","")</f>
        <v/>
      </c>
      <c r="V133" s="8" t="str">
        <f aca="false">IF(AND(TRIM(E133)="US",TRIM(G133)="Non-Exempt"),IF(TRIM(D133)="CA","US California Non-Exempt","US Non-California Non-Exempt"),"")</f>
        <v/>
      </c>
      <c r="W133" s="8" t="str">
        <f aca="false">_xlfn.XLOOKUP(X133,ShiftCodes[Code],ShiftCodes[Work Schedule],"Unknown code")</f>
        <v>Standard (Mon–Fri 9:00–17:30)</v>
      </c>
      <c r="X133" s="9" t="s">
        <v>39</v>
      </c>
      <c r="Y133" s="5"/>
    </row>
    <row r="134" customFormat="false" ht="15" hidden="false" customHeight="false" outlineLevel="0" collapsed="false">
      <c r="A134" s="5" t="s">
        <v>256</v>
      </c>
      <c r="B134" s="5" t="s">
        <v>109</v>
      </c>
      <c r="C134" s="5" t="s">
        <v>113</v>
      </c>
      <c r="D134" s="5" t="s">
        <v>84</v>
      </c>
      <c r="E134" s="5" t="s">
        <v>29</v>
      </c>
      <c r="F134" s="5" t="s">
        <v>132</v>
      </c>
      <c r="G134" s="5" t="s">
        <v>78</v>
      </c>
      <c r="H134" s="5" t="s">
        <v>79</v>
      </c>
      <c r="I134" s="10"/>
      <c r="J134" s="12" t="n">
        <v>38</v>
      </c>
      <c r="K134" s="5" t="s">
        <v>33</v>
      </c>
      <c r="L134" s="5" t="s">
        <v>80</v>
      </c>
      <c r="M134" s="6" t="n">
        <v>45530</v>
      </c>
      <c r="N134" s="6"/>
      <c r="O134" s="6"/>
      <c r="P134" s="5" t="s">
        <v>202</v>
      </c>
      <c r="Q134" s="5" t="s">
        <v>36</v>
      </c>
      <c r="R134" s="16" t="s">
        <v>37</v>
      </c>
      <c r="S134" s="5" t="n">
        <v>24</v>
      </c>
      <c r="T134" s="5" t="s">
        <v>140</v>
      </c>
      <c r="U134" s="8" t="str">
        <f aca="false">IF(AND(TRIM(E134)="US",TRIM(G134)="Non-Exempt"),"US Non-Exempt EEs","")</f>
        <v>US Non-Exempt EEs</v>
      </c>
      <c r="V134" s="8" t="str">
        <f aca="false">IF(AND(TRIM(E134)="US",TRIM(G134)="Non-Exempt"),IF(TRIM(D134)="CA","US California Non-Exempt","US Non-California Non-Exempt"),"")</f>
        <v>US Non-California Non-Exempt</v>
      </c>
      <c r="W134" s="8" t="str">
        <f aca="false">_xlfn.XLOOKUP(X134,ShiftCodes[Code],ShiftCodes[Work Schedule],"Unknown code")</f>
        <v>Part-time – Day (Mon/Wed/Fri 06:00–14:30)</v>
      </c>
      <c r="X134" s="9" t="s">
        <v>141</v>
      </c>
      <c r="Y134" s="5"/>
    </row>
    <row r="135" customFormat="false" ht="15" hidden="false" customHeight="false" outlineLevel="0" collapsed="false">
      <c r="A135" s="5" t="s">
        <v>257</v>
      </c>
      <c r="B135" s="5" t="s">
        <v>112</v>
      </c>
      <c r="C135" s="5" t="s">
        <v>41</v>
      </c>
      <c r="D135" s="5" t="s">
        <v>90</v>
      </c>
      <c r="E135" s="5" t="s">
        <v>29</v>
      </c>
      <c r="F135" s="5" t="s">
        <v>124</v>
      </c>
      <c r="G135" s="5" t="s">
        <v>31</v>
      </c>
      <c r="H135" s="5" t="s">
        <v>8</v>
      </c>
      <c r="I135" s="10" t="n">
        <v>132000</v>
      </c>
      <c r="J135" s="12"/>
      <c r="K135" s="5" t="s">
        <v>33</v>
      </c>
      <c r="L135" s="5" t="s">
        <v>34</v>
      </c>
      <c r="M135" s="6" t="n">
        <v>45534</v>
      </c>
      <c r="N135" s="6"/>
      <c r="O135" s="6"/>
      <c r="P135" s="5" t="s">
        <v>182</v>
      </c>
      <c r="Q135" s="5" t="s">
        <v>36</v>
      </c>
      <c r="R135" s="16" t="s">
        <v>37</v>
      </c>
      <c r="S135" s="5" t="n">
        <v>40</v>
      </c>
      <c r="T135" s="5" t="s">
        <v>38</v>
      </c>
      <c r="U135" s="8" t="str">
        <f aca="false">IF(AND(TRIM(E135)="US",TRIM(G135)="Non-Exempt"),"US Non-Exempt EEs","")</f>
        <v/>
      </c>
      <c r="V135" s="8" t="str">
        <f aca="false">IF(AND(TRIM(E135)="US",TRIM(G135)="Non-Exempt"),IF(TRIM(D135)="CA","US California Non-Exempt","US Non-California Non-Exempt"),"")</f>
        <v/>
      </c>
      <c r="W135" s="8" t="str">
        <f aca="false">_xlfn.XLOOKUP(X135,ShiftCodes[Code],ShiftCodes[Work Schedule],"Unknown code")</f>
        <v>Standard (Mon–Fri 9:00–17:30)</v>
      </c>
      <c r="X135" s="9" t="s">
        <v>39</v>
      </c>
      <c r="Y135" s="5"/>
    </row>
    <row r="136" customFormat="false" ht="15" hidden="false" customHeight="false" outlineLevel="0" collapsed="false">
      <c r="A136" s="5" t="s">
        <v>258</v>
      </c>
      <c r="B136" s="5" t="s">
        <v>112</v>
      </c>
      <c r="C136" s="5" t="s">
        <v>224</v>
      </c>
      <c r="D136" s="5" t="s">
        <v>225</v>
      </c>
      <c r="E136" s="5" t="s">
        <v>70</v>
      </c>
      <c r="F136" s="5" t="s">
        <v>165</v>
      </c>
      <c r="G136" s="5" t="s">
        <v>31</v>
      </c>
      <c r="H136" s="5" t="s">
        <v>8</v>
      </c>
      <c r="I136" s="17" t="n">
        <v>5210000</v>
      </c>
      <c r="J136" s="18"/>
      <c r="K136" s="5" t="s">
        <v>72</v>
      </c>
      <c r="L136" s="5" t="s">
        <v>73</v>
      </c>
      <c r="M136" s="6" t="n">
        <v>45534</v>
      </c>
      <c r="N136" s="6"/>
      <c r="O136" s="6"/>
      <c r="P136" s="5" t="s">
        <v>223</v>
      </c>
      <c r="Q136" s="5" t="s">
        <v>36</v>
      </c>
      <c r="R136" s="16" t="s">
        <v>37</v>
      </c>
      <c r="S136" s="5" t="n">
        <v>40</v>
      </c>
      <c r="T136" s="5" t="s">
        <v>38</v>
      </c>
      <c r="U136" s="8" t="str">
        <f aca="false">IF(AND(TRIM(E136)="US",TRIM(G136)="Non-Exempt"),"US Non-Exempt EEs","")</f>
        <v/>
      </c>
      <c r="V136" s="8" t="str">
        <f aca="false">IF(AND(TRIM(E136)="US",TRIM(G136)="Non-Exempt"),IF(TRIM(D136)="CA","US California Non-Exempt","US Non-California Non-Exempt"),"")</f>
        <v/>
      </c>
      <c r="W136" s="8" t="str">
        <f aca="false">_xlfn.XLOOKUP(X136,ShiftCodes[Code],ShiftCodes[Work Schedule],"Unknown code")</f>
        <v>Standard (Mon–Fri 9:00–17:30)</v>
      </c>
      <c r="X136" s="9" t="s">
        <v>39</v>
      </c>
      <c r="Y136" s="5"/>
    </row>
    <row r="137" customFormat="false" ht="15" hidden="false" customHeight="false" outlineLevel="0" collapsed="false">
      <c r="A137" s="5" t="s">
        <v>259</v>
      </c>
      <c r="B137" s="5" t="s">
        <v>109</v>
      </c>
      <c r="C137" s="5" t="s">
        <v>113</v>
      </c>
      <c r="D137" s="5" t="s">
        <v>84</v>
      </c>
      <c r="E137" s="5" t="s">
        <v>29</v>
      </c>
      <c r="F137" s="5" t="s">
        <v>165</v>
      </c>
      <c r="G137" s="5" t="s">
        <v>31</v>
      </c>
      <c r="H137" s="5" t="s">
        <v>8</v>
      </c>
      <c r="I137" s="10" t="n">
        <v>173000</v>
      </c>
      <c r="J137" s="12"/>
      <c r="K137" s="5" t="s">
        <v>33</v>
      </c>
      <c r="L137" s="5" t="s">
        <v>34</v>
      </c>
      <c r="M137" s="6" t="n">
        <v>45547</v>
      </c>
      <c r="N137" s="6"/>
      <c r="O137" s="6"/>
      <c r="P137" s="5" t="s">
        <v>178</v>
      </c>
      <c r="Q137" s="5" t="s">
        <v>36</v>
      </c>
      <c r="R137" s="16" t="s">
        <v>37</v>
      </c>
      <c r="S137" s="5" t="n">
        <v>40</v>
      </c>
      <c r="T137" s="5" t="s">
        <v>38</v>
      </c>
      <c r="U137" s="8" t="str">
        <f aca="false">IF(AND(TRIM(E137)="US",TRIM(G137)="Non-Exempt"),"US Non-Exempt EEs","")</f>
        <v/>
      </c>
      <c r="V137" s="8" t="str">
        <f aca="false">IF(AND(TRIM(E137)="US",TRIM(G137)="Non-Exempt"),IF(TRIM(D137)="CA","US California Non-Exempt","US Non-California Non-Exempt"),"")</f>
        <v/>
      </c>
      <c r="W137" s="8" t="str">
        <f aca="false">_xlfn.XLOOKUP(X137,ShiftCodes[Code],ShiftCodes[Work Schedule],"Unknown code")</f>
        <v>Standard (Mon–Fri 9:00–17:30)</v>
      </c>
      <c r="X137" s="9" t="s">
        <v>39</v>
      </c>
      <c r="Y137" s="5"/>
    </row>
    <row r="138" customFormat="false" ht="15" hidden="false" customHeight="false" outlineLevel="0" collapsed="false">
      <c r="A138" s="5" t="s">
        <v>260</v>
      </c>
      <c r="B138" s="5" t="s">
        <v>103</v>
      </c>
      <c r="C138" s="5" t="s">
        <v>41</v>
      </c>
      <c r="D138" s="5" t="s">
        <v>154</v>
      </c>
      <c r="E138" s="5" t="s">
        <v>29</v>
      </c>
      <c r="F138" s="5" t="s">
        <v>149</v>
      </c>
      <c r="G138" s="5" t="s">
        <v>31</v>
      </c>
      <c r="H138" s="5" t="s">
        <v>8</v>
      </c>
      <c r="I138" s="10" t="n">
        <v>109000</v>
      </c>
      <c r="J138" s="12"/>
      <c r="K138" s="5" t="s">
        <v>33</v>
      </c>
      <c r="L138" s="5" t="s">
        <v>34</v>
      </c>
      <c r="M138" s="6" t="n">
        <v>45551</v>
      </c>
      <c r="N138" s="6"/>
      <c r="O138" s="6"/>
      <c r="P138" s="5" t="s">
        <v>181</v>
      </c>
      <c r="Q138" s="5" t="s">
        <v>36</v>
      </c>
      <c r="R138" s="16" t="s">
        <v>37</v>
      </c>
      <c r="S138" s="5" t="n">
        <v>40</v>
      </c>
      <c r="T138" s="5" t="s">
        <v>38</v>
      </c>
      <c r="U138" s="8" t="str">
        <f aca="false">IF(AND(TRIM(E138)="US",TRIM(G138)="Non-Exempt"),"US Non-Exempt EEs","")</f>
        <v/>
      </c>
      <c r="V138" s="8" t="str">
        <f aca="false">IF(AND(TRIM(E138)="US",TRIM(G138)="Non-Exempt"),IF(TRIM(D138)="CA","US California Non-Exempt","US Non-California Non-Exempt"),"")</f>
        <v/>
      </c>
      <c r="W138" s="8" t="str">
        <f aca="false">_xlfn.XLOOKUP(X138,ShiftCodes[Code],ShiftCodes[Work Schedule],"Unknown code")</f>
        <v>Standard (Mon–Fri 9:00–17:30)</v>
      </c>
      <c r="X138" s="9" t="s">
        <v>39</v>
      </c>
      <c r="Y138" s="5"/>
    </row>
    <row r="139" customFormat="false" ht="15" hidden="false" customHeight="false" outlineLevel="0" collapsed="false">
      <c r="A139" s="5" t="s">
        <v>261</v>
      </c>
      <c r="B139" s="5" t="s">
        <v>109</v>
      </c>
      <c r="C139" s="5" t="s">
        <v>76</v>
      </c>
      <c r="D139" s="5" t="s">
        <v>28</v>
      </c>
      <c r="E139" s="5" t="s">
        <v>29</v>
      </c>
      <c r="F139" s="5" t="s">
        <v>121</v>
      </c>
      <c r="G139" s="5" t="s">
        <v>78</v>
      </c>
      <c r="H139" s="5" t="s">
        <v>79</v>
      </c>
      <c r="I139" s="10"/>
      <c r="J139" s="12" t="n">
        <v>40</v>
      </c>
      <c r="K139" s="5" t="s">
        <v>33</v>
      </c>
      <c r="L139" s="5" t="s">
        <v>80</v>
      </c>
      <c r="M139" s="6" t="n">
        <v>45553</v>
      </c>
      <c r="N139" s="6"/>
      <c r="O139" s="6" t="n">
        <v>46304</v>
      </c>
      <c r="P139" s="5" t="s">
        <v>161</v>
      </c>
      <c r="Q139" s="5" t="s">
        <v>93</v>
      </c>
      <c r="R139" s="16" t="s">
        <v>37</v>
      </c>
      <c r="S139" s="5" t="n">
        <v>36</v>
      </c>
      <c r="T139" s="5" t="s">
        <v>38</v>
      </c>
      <c r="U139" s="8" t="str">
        <f aca="false">IF(AND(TRIM(E139)="US",TRIM(G139)="Non-Exempt"),"US Non-Exempt EEs","")</f>
        <v>US Non-Exempt EEs</v>
      </c>
      <c r="V139" s="8" t="str">
        <f aca="false">IF(AND(TRIM(E139)="US",TRIM(G139)="Non-Exempt"),IF(TRIM(D139)="CA","US California Non-Exempt","US Non-California Non-Exempt"),"")</f>
        <v>US California Non-Exempt</v>
      </c>
      <c r="W139" s="8" t="str">
        <f aca="false">_xlfn.XLOOKUP(X139,ShiftCodes[Code],ShiftCodes[Work Schedule],"Unknown code")</f>
        <v>Shift D – Weekend (Fri–Sun 06:00–18:30)</v>
      </c>
      <c r="X139" s="9" t="s">
        <v>151</v>
      </c>
      <c r="Y139" s="5"/>
    </row>
    <row r="140" customFormat="false" ht="15" hidden="false" customHeight="false" outlineLevel="0" collapsed="false">
      <c r="A140" s="5" t="s">
        <v>262</v>
      </c>
      <c r="B140" s="5" t="s">
        <v>103</v>
      </c>
      <c r="C140" s="5" t="s">
        <v>41</v>
      </c>
      <c r="D140" s="5" t="s">
        <v>189</v>
      </c>
      <c r="E140" s="5" t="s">
        <v>29</v>
      </c>
      <c r="F140" s="5" t="s">
        <v>163</v>
      </c>
      <c r="G140" s="5" t="s">
        <v>31</v>
      </c>
      <c r="H140" s="5" t="s">
        <v>8</v>
      </c>
      <c r="I140" s="10" t="n">
        <v>151000</v>
      </c>
      <c r="J140" s="12"/>
      <c r="K140" s="5" t="s">
        <v>33</v>
      </c>
      <c r="L140" s="5" t="s">
        <v>34</v>
      </c>
      <c r="M140" s="6" t="n">
        <v>45556</v>
      </c>
      <c r="N140" s="6"/>
      <c r="O140" s="6"/>
      <c r="P140" s="5" t="s">
        <v>136</v>
      </c>
      <c r="Q140" s="5" t="s">
        <v>36</v>
      </c>
      <c r="R140" s="16" t="s">
        <v>37</v>
      </c>
      <c r="S140" s="5" t="n">
        <v>40</v>
      </c>
      <c r="T140" s="5" t="s">
        <v>38</v>
      </c>
      <c r="U140" s="8" t="str">
        <f aca="false">IF(AND(TRIM(E140)="US",TRIM(G140)="Non-Exempt"),"US Non-Exempt EEs","")</f>
        <v/>
      </c>
      <c r="V140" s="8" t="str">
        <f aca="false">IF(AND(TRIM(E140)="US",TRIM(G140)="Non-Exempt"),IF(TRIM(D140)="CA","US California Non-Exempt","US Non-California Non-Exempt"),"")</f>
        <v/>
      </c>
      <c r="W140" s="8" t="str">
        <f aca="false">_xlfn.XLOOKUP(X140,ShiftCodes[Code],ShiftCodes[Work Schedule],"Unknown code")</f>
        <v>Standard (Mon–Fri 9:00–17:30)</v>
      </c>
      <c r="X140" s="9" t="s">
        <v>39</v>
      </c>
      <c r="Y140" s="5"/>
    </row>
    <row r="141" customFormat="false" ht="15" hidden="false" customHeight="false" outlineLevel="0" collapsed="false">
      <c r="A141" s="5" t="s">
        <v>263</v>
      </c>
      <c r="B141" s="5" t="s">
        <v>109</v>
      </c>
      <c r="C141" s="5" t="s">
        <v>76</v>
      </c>
      <c r="D141" s="5" t="s">
        <v>28</v>
      </c>
      <c r="E141" s="5" t="s">
        <v>29</v>
      </c>
      <c r="F141" s="5" t="s">
        <v>132</v>
      </c>
      <c r="G141" s="5" t="s">
        <v>78</v>
      </c>
      <c r="H141" s="5" t="s">
        <v>79</v>
      </c>
      <c r="I141" s="10"/>
      <c r="J141" s="12" t="n">
        <v>41.5</v>
      </c>
      <c r="K141" s="5" t="s">
        <v>33</v>
      </c>
      <c r="L141" s="5" t="s">
        <v>80</v>
      </c>
      <c r="M141" s="6" t="n">
        <v>45560</v>
      </c>
      <c r="N141" s="6"/>
      <c r="O141" s="6"/>
      <c r="P141" s="5" t="s">
        <v>161</v>
      </c>
      <c r="Q141" s="5" t="s">
        <v>36</v>
      </c>
      <c r="R141" s="16" t="s">
        <v>37</v>
      </c>
      <c r="S141" s="5" t="n">
        <v>36</v>
      </c>
      <c r="T141" s="5" t="s">
        <v>38</v>
      </c>
      <c r="U141" s="8" t="str">
        <f aca="false">IF(AND(TRIM(E141)="US",TRIM(G141)="Non-Exempt"),"US Non-Exempt EEs","")</f>
        <v>US Non-Exempt EEs</v>
      </c>
      <c r="V141" s="8" t="str">
        <f aca="false">IF(AND(TRIM(E141)="US",TRIM(G141)="Non-Exempt"),IF(TRIM(D141)="CA","US California Non-Exempt","US Non-California Non-Exempt"),"")</f>
        <v>US California Non-Exempt</v>
      </c>
      <c r="W141" s="8" t="str">
        <f aca="false">_xlfn.XLOOKUP(X141,ShiftCodes[Code],ShiftCodes[Work Schedule],"Unknown code")</f>
        <v>Shift D – Weekend (Fri–Sun 06:00–18:30)</v>
      </c>
      <c r="X141" s="9" t="s">
        <v>151</v>
      </c>
      <c r="Y141" s="5"/>
    </row>
    <row r="142" customFormat="false" ht="15" hidden="false" customHeight="false" outlineLevel="0" collapsed="false">
      <c r="A142" s="5" t="s">
        <v>264</v>
      </c>
      <c r="B142" s="5" t="s">
        <v>112</v>
      </c>
      <c r="C142" s="5" t="s">
        <v>224</v>
      </c>
      <c r="D142" s="5" t="s">
        <v>225</v>
      </c>
      <c r="E142" s="5" t="s">
        <v>70</v>
      </c>
      <c r="F142" s="5" t="s">
        <v>124</v>
      </c>
      <c r="G142" s="5" t="s">
        <v>31</v>
      </c>
      <c r="H142" s="5" t="s">
        <v>8</v>
      </c>
      <c r="I142" s="17" t="n">
        <v>2710000</v>
      </c>
      <c r="J142" s="18"/>
      <c r="K142" s="5" t="s">
        <v>72</v>
      </c>
      <c r="L142" s="5" t="s">
        <v>73</v>
      </c>
      <c r="M142" s="6" t="n">
        <v>45562</v>
      </c>
      <c r="N142" s="6"/>
      <c r="O142" s="6"/>
      <c r="P142" s="5" t="s">
        <v>223</v>
      </c>
      <c r="Q142" s="5" t="s">
        <v>36</v>
      </c>
      <c r="R142" s="16" t="s">
        <v>37</v>
      </c>
      <c r="S142" s="5" t="n">
        <v>40</v>
      </c>
      <c r="T142" s="5" t="s">
        <v>38</v>
      </c>
      <c r="U142" s="8" t="str">
        <f aca="false">IF(AND(TRIM(E142)="US",TRIM(G142)="Non-Exempt"),"US Non-Exempt EEs","")</f>
        <v/>
      </c>
      <c r="V142" s="8" t="str">
        <f aca="false">IF(AND(TRIM(E142)="US",TRIM(G142)="Non-Exempt"),IF(TRIM(D142)="CA","US California Non-Exempt","US Non-California Non-Exempt"),"")</f>
        <v/>
      </c>
      <c r="W142" s="8" t="str">
        <f aca="false">_xlfn.XLOOKUP(X142,ShiftCodes[Code],ShiftCodes[Work Schedule],"Unknown code")</f>
        <v>Standard (Mon–Fri 9:00–17:30)</v>
      </c>
      <c r="X142" s="9" t="s">
        <v>39</v>
      </c>
      <c r="Y142" s="5"/>
    </row>
    <row r="143" customFormat="false" ht="15" hidden="false" customHeight="false" outlineLevel="0" collapsed="false">
      <c r="A143" s="5" t="s">
        <v>265</v>
      </c>
      <c r="B143" s="5" t="s">
        <v>103</v>
      </c>
      <c r="C143" s="5" t="s">
        <v>41</v>
      </c>
      <c r="D143" s="5" t="s">
        <v>266</v>
      </c>
      <c r="E143" s="5" t="s">
        <v>29</v>
      </c>
      <c r="F143" s="5" t="s">
        <v>236</v>
      </c>
      <c r="G143" s="5" t="s">
        <v>31</v>
      </c>
      <c r="H143" s="5" t="s">
        <v>8</v>
      </c>
      <c r="I143" s="10" t="n">
        <v>298000</v>
      </c>
      <c r="J143" s="12"/>
      <c r="K143" s="5" t="s">
        <v>33</v>
      </c>
      <c r="L143" s="5" t="s">
        <v>34</v>
      </c>
      <c r="M143" s="6" t="n">
        <v>45567</v>
      </c>
      <c r="N143" s="6"/>
      <c r="O143" s="6"/>
      <c r="P143" s="5" t="s">
        <v>181</v>
      </c>
      <c r="Q143" s="5" t="s">
        <v>36</v>
      </c>
      <c r="R143" s="16" t="s">
        <v>37</v>
      </c>
      <c r="S143" s="5" t="n">
        <v>40</v>
      </c>
      <c r="T143" s="5" t="s">
        <v>38</v>
      </c>
      <c r="U143" s="8" t="str">
        <f aca="false">IF(AND(TRIM(E143)="US",TRIM(G143)="Non-Exempt"),"US Non-Exempt EEs","")</f>
        <v/>
      </c>
      <c r="V143" s="8" t="str">
        <f aca="false">IF(AND(TRIM(E143)="US",TRIM(G143)="Non-Exempt"),IF(TRIM(D143)="CA","US California Non-Exempt","US Non-California Non-Exempt"),"")</f>
        <v/>
      </c>
      <c r="W143" s="8" t="str">
        <f aca="false">_xlfn.XLOOKUP(X143,ShiftCodes[Code],ShiftCodes[Work Schedule],"Unknown code")</f>
        <v>Standard (Mon–Fri 9:00–17:30)</v>
      </c>
      <c r="X143" s="9" t="s">
        <v>39</v>
      </c>
      <c r="Y143" s="5"/>
    </row>
    <row r="144" customFormat="false" ht="15" hidden="false" customHeight="false" outlineLevel="0" collapsed="false">
      <c r="A144" s="5" t="s">
        <v>267</v>
      </c>
      <c r="B144" s="5" t="s">
        <v>103</v>
      </c>
      <c r="C144" s="5" t="s">
        <v>106</v>
      </c>
      <c r="D144" s="5" t="s">
        <v>42</v>
      </c>
      <c r="E144" s="5" t="s">
        <v>29</v>
      </c>
      <c r="F144" s="5" t="s">
        <v>149</v>
      </c>
      <c r="G144" s="5" t="s">
        <v>31</v>
      </c>
      <c r="H144" s="5" t="s">
        <v>8</v>
      </c>
      <c r="I144" s="10" t="n">
        <v>101000</v>
      </c>
      <c r="J144" s="12"/>
      <c r="K144" s="5" t="s">
        <v>33</v>
      </c>
      <c r="L144" s="5" t="s">
        <v>34</v>
      </c>
      <c r="M144" s="6" t="n">
        <v>45580</v>
      </c>
      <c r="N144" s="6"/>
      <c r="O144" s="6"/>
      <c r="P144" s="5" t="s">
        <v>226</v>
      </c>
      <c r="Q144" s="5" t="s">
        <v>36</v>
      </c>
      <c r="R144" s="16" t="s">
        <v>37</v>
      </c>
      <c r="S144" s="5" t="n">
        <v>40</v>
      </c>
      <c r="T144" s="5" t="s">
        <v>38</v>
      </c>
      <c r="U144" s="8" t="str">
        <f aca="false">IF(AND(TRIM(E144)="US",TRIM(G144)="Non-Exempt"),"US Non-Exempt EEs","")</f>
        <v/>
      </c>
      <c r="V144" s="8" t="str">
        <f aca="false">IF(AND(TRIM(E144)="US",TRIM(G144)="Non-Exempt"),IF(TRIM(D144)="CA","US California Non-Exempt","US Non-California Non-Exempt"),"")</f>
        <v/>
      </c>
      <c r="W144" s="8" t="str">
        <f aca="false">_xlfn.XLOOKUP(X144,ShiftCodes[Code],ShiftCodes[Work Schedule],"Unknown code")</f>
        <v>Standard (Mon–Fri 9:00–17:30)</v>
      </c>
      <c r="X144" s="9" t="s">
        <v>39</v>
      </c>
      <c r="Y144" s="5"/>
    </row>
    <row r="145" customFormat="false" ht="15" hidden="false" customHeight="false" outlineLevel="0" collapsed="false">
      <c r="A145" s="5" t="s">
        <v>268</v>
      </c>
      <c r="B145" s="5" t="s">
        <v>103</v>
      </c>
      <c r="C145" s="5" t="s">
        <v>100</v>
      </c>
      <c r="D145" s="5" t="s">
        <v>28</v>
      </c>
      <c r="E145" s="5" t="s">
        <v>29</v>
      </c>
      <c r="F145" s="5" t="s">
        <v>124</v>
      </c>
      <c r="G145" s="5" t="s">
        <v>31</v>
      </c>
      <c r="H145" s="5" t="s">
        <v>8</v>
      </c>
      <c r="I145" s="10" t="n">
        <v>119000</v>
      </c>
      <c r="J145" s="12"/>
      <c r="K145" s="5" t="s">
        <v>33</v>
      </c>
      <c r="L145" s="5" t="s">
        <v>34</v>
      </c>
      <c r="M145" s="6" t="n">
        <v>45581</v>
      </c>
      <c r="N145" s="6"/>
      <c r="O145" s="6"/>
      <c r="P145" s="5" t="s">
        <v>255</v>
      </c>
      <c r="Q145" s="5" t="s">
        <v>36</v>
      </c>
      <c r="R145" s="16" t="s">
        <v>37</v>
      </c>
      <c r="S145" s="5" t="n">
        <v>40</v>
      </c>
      <c r="T145" s="5" t="s">
        <v>38</v>
      </c>
      <c r="U145" s="8" t="str">
        <f aca="false">IF(AND(TRIM(E145)="US",TRIM(G145)="Non-Exempt"),"US Non-Exempt EEs","")</f>
        <v/>
      </c>
      <c r="V145" s="8" t="str">
        <f aca="false">IF(AND(TRIM(E145)="US",TRIM(G145)="Non-Exempt"),IF(TRIM(D145)="CA","US California Non-Exempt","US Non-California Non-Exempt"),"")</f>
        <v/>
      </c>
      <c r="W145" s="8" t="str">
        <f aca="false">_xlfn.XLOOKUP(X145,ShiftCodes[Code],ShiftCodes[Work Schedule],"Unknown code")</f>
        <v>Standard (Mon–Fri 9:00–17:30)</v>
      </c>
      <c r="X145" s="9" t="s">
        <v>39</v>
      </c>
      <c r="Y145" s="5"/>
    </row>
    <row r="146" customFormat="false" ht="15" hidden="false" customHeight="false" outlineLevel="0" collapsed="false">
      <c r="A146" s="5" t="s">
        <v>269</v>
      </c>
      <c r="B146" s="5" t="s">
        <v>103</v>
      </c>
      <c r="C146" s="5" t="s">
        <v>41</v>
      </c>
      <c r="D146" s="5" t="s">
        <v>42</v>
      </c>
      <c r="E146" s="5" t="s">
        <v>29</v>
      </c>
      <c r="F146" s="5" t="s">
        <v>163</v>
      </c>
      <c r="G146" s="5" t="s">
        <v>31</v>
      </c>
      <c r="H146" s="5" t="s">
        <v>8</v>
      </c>
      <c r="I146" s="10" t="n">
        <v>159000</v>
      </c>
      <c r="J146" s="12"/>
      <c r="K146" s="5" t="s">
        <v>33</v>
      </c>
      <c r="L146" s="5" t="s">
        <v>34</v>
      </c>
      <c r="M146" s="6" t="n">
        <v>45582</v>
      </c>
      <c r="N146" s="6"/>
      <c r="O146" s="6"/>
      <c r="P146" s="5" t="s">
        <v>226</v>
      </c>
      <c r="Q146" s="5" t="s">
        <v>36</v>
      </c>
      <c r="R146" s="16" t="s">
        <v>37</v>
      </c>
      <c r="S146" s="5" t="n">
        <v>40</v>
      </c>
      <c r="T146" s="5" t="s">
        <v>38</v>
      </c>
      <c r="U146" s="8" t="str">
        <f aca="false">IF(AND(TRIM(E146)="US",TRIM(G146)="Non-Exempt"),"US Non-Exempt EEs","")</f>
        <v/>
      </c>
      <c r="V146" s="8" t="str">
        <f aca="false">IF(AND(TRIM(E146)="US",TRIM(G146)="Non-Exempt"),IF(TRIM(D146)="CA","US California Non-Exempt","US Non-California Non-Exempt"),"")</f>
        <v/>
      </c>
      <c r="W146" s="8" t="str">
        <f aca="false">_xlfn.XLOOKUP(X146,ShiftCodes[Code],ShiftCodes[Work Schedule],"Unknown code")</f>
        <v>Standard (Mon–Fri 9:00–17:30)</v>
      </c>
      <c r="X146" s="9" t="s">
        <v>39</v>
      </c>
      <c r="Y146" s="5"/>
    </row>
    <row r="147" customFormat="false" ht="15" hidden="false" customHeight="false" outlineLevel="0" collapsed="false">
      <c r="A147" s="5" t="s">
        <v>270</v>
      </c>
      <c r="B147" s="5" t="s">
        <v>109</v>
      </c>
      <c r="C147" s="5" t="s">
        <v>113</v>
      </c>
      <c r="D147" s="5" t="s">
        <v>84</v>
      </c>
      <c r="E147" s="5" t="s">
        <v>29</v>
      </c>
      <c r="F147" s="5" t="s">
        <v>130</v>
      </c>
      <c r="G147" s="5" t="s">
        <v>78</v>
      </c>
      <c r="H147" s="5" t="s">
        <v>79</v>
      </c>
      <c r="I147" s="10"/>
      <c r="J147" s="12" t="n">
        <v>28.5</v>
      </c>
      <c r="K147" s="5" t="s">
        <v>33</v>
      </c>
      <c r="L147" s="5" t="s">
        <v>80</v>
      </c>
      <c r="M147" s="6" t="n">
        <v>45587</v>
      </c>
      <c r="N147" s="6"/>
      <c r="O147" s="6"/>
      <c r="P147" s="5" t="s">
        <v>202</v>
      </c>
      <c r="Q147" s="5" t="s">
        <v>36</v>
      </c>
      <c r="R147" s="16" t="s">
        <v>37</v>
      </c>
      <c r="S147" s="5" t="n">
        <v>40</v>
      </c>
      <c r="T147" s="5" t="s">
        <v>38</v>
      </c>
      <c r="U147" s="8" t="str">
        <f aca="false">IF(AND(TRIM(E147)="US",TRIM(G147)="Non-Exempt"),"US Non-Exempt EEs","")</f>
        <v>US Non-Exempt EEs</v>
      </c>
      <c r="V147" s="8" t="str">
        <f aca="false">IF(AND(TRIM(E147)="US",TRIM(G147)="Non-Exempt"),IF(TRIM(D147)="CA","US California Non-Exempt","US Non-California Non-Exempt"),"")</f>
        <v>US Non-California Non-Exempt</v>
      </c>
      <c r="W147" s="8" t="str">
        <f aca="false">_xlfn.XLOOKUP(X147,ShiftCodes[Code],ShiftCodes[Work Schedule],"Unknown code")</f>
        <v>Shift C – Night (Sun–Thu 22:00–06:30)</v>
      </c>
      <c r="X147" s="9" t="s">
        <v>239</v>
      </c>
      <c r="Y147" s="5"/>
    </row>
    <row r="148" customFormat="false" ht="15" hidden="false" customHeight="false" outlineLevel="0" collapsed="false">
      <c r="A148" s="5" t="s">
        <v>271</v>
      </c>
      <c r="B148" s="5" t="s">
        <v>99</v>
      </c>
      <c r="C148" s="5" t="s">
        <v>100</v>
      </c>
      <c r="D148" s="5" t="s">
        <v>28</v>
      </c>
      <c r="E148" s="5" t="s">
        <v>29</v>
      </c>
      <c r="F148" s="5" t="s">
        <v>163</v>
      </c>
      <c r="G148" s="5" t="s">
        <v>31</v>
      </c>
      <c r="H148" s="5" t="s">
        <v>8</v>
      </c>
      <c r="I148" s="10" t="n">
        <v>138000</v>
      </c>
      <c r="J148" s="12"/>
      <c r="K148" s="5" t="s">
        <v>33</v>
      </c>
      <c r="L148" s="5" t="s">
        <v>34</v>
      </c>
      <c r="M148" s="6" t="n">
        <v>45591</v>
      </c>
      <c r="N148" s="6"/>
      <c r="O148" s="6"/>
      <c r="P148" s="5" t="s">
        <v>186</v>
      </c>
      <c r="Q148" s="5" t="s">
        <v>36</v>
      </c>
      <c r="R148" s="16" t="s">
        <v>37</v>
      </c>
      <c r="S148" s="5" t="n">
        <v>40</v>
      </c>
      <c r="T148" s="5" t="s">
        <v>38</v>
      </c>
      <c r="U148" s="8" t="str">
        <f aca="false">IF(AND(TRIM(E148)="US",TRIM(G148)="Non-Exempt"),"US Non-Exempt EEs","")</f>
        <v/>
      </c>
      <c r="V148" s="8" t="str">
        <f aca="false">IF(AND(TRIM(E148)="US",TRIM(G148)="Non-Exempt"),IF(TRIM(D148)="CA","US California Non-Exempt","US Non-California Non-Exempt"),"")</f>
        <v/>
      </c>
      <c r="W148" s="8" t="str">
        <f aca="false">_xlfn.XLOOKUP(X148,ShiftCodes[Code],ShiftCodes[Work Schedule],"Unknown code")</f>
        <v>Standard (Mon–Fri 9:00–17:30)</v>
      </c>
      <c r="X148" s="9" t="s">
        <v>39</v>
      </c>
      <c r="Y148" s="5"/>
    </row>
    <row r="149" customFormat="false" ht="15" hidden="false" customHeight="false" outlineLevel="0" collapsed="false">
      <c r="A149" s="5" t="s">
        <v>272</v>
      </c>
      <c r="B149" s="5" t="s">
        <v>109</v>
      </c>
      <c r="C149" s="5" t="s">
        <v>76</v>
      </c>
      <c r="D149" s="5" t="s">
        <v>28</v>
      </c>
      <c r="E149" s="5" t="s">
        <v>29</v>
      </c>
      <c r="F149" s="5" t="s">
        <v>124</v>
      </c>
      <c r="G149" s="5" t="s">
        <v>31</v>
      </c>
      <c r="H149" s="5" t="s">
        <v>8</v>
      </c>
      <c r="I149" s="10" t="n">
        <v>122000</v>
      </c>
      <c r="J149" s="12"/>
      <c r="K149" s="5" t="s">
        <v>33</v>
      </c>
      <c r="L149" s="5" t="s">
        <v>34</v>
      </c>
      <c r="M149" s="6" t="n">
        <v>45593</v>
      </c>
      <c r="N149" s="6" t="n">
        <v>46339</v>
      </c>
      <c r="O149" s="6"/>
      <c r="P149" s="5" t="s">
        <v>200</v>
      </c>
      <c r="Q149" s="5" t="s">
        <v>46</v>
      </c>
      <c r="R149" s="16" t="s">
        <v>37</v>
      </c>
      <c r="S149" s="5" t="n">
        <v>40</v>
      </c>
      <c r="T149" s="5" t="s">
        <v>38</v>
      </c>
      <c r="U149" s="8" t="str">
        <f aca="false">IF(AND(TRIM(E149)="US",TRIM(G149)="Non-Exempt"),"US Non-Exempt EEs","")</f>
        <v/>
      </c>
      <c r="V149" s="8" t="str">
        <f aca="false">IF(AND(TRIM(E149)="US",TRIM(G149)="Non-Exempt"),IF(TRIM(D149)="CA","US California Non-Exempt","US Non-California Non-Exempt"),"")</f>
        <v/>
      </c>
      <c r="W149" s="8" t="str">
        <f aca="false">_xlfn.XLOOKUP(X149,ShiftCodes[Code],ShiftCodes[Work Schedule],"Unknown code")</f>
        <v>Standard (Mon–Fri 9:00–17:30)</v>
      </c>
      <c r="X149" s="9" t="s">
        <v>39</v>
      </c>
      <c r="Y149" s="5"/>
    </row>
    <row r="150" customFormat="false" ht="15" hidden="false" customHeight="false" outlineLevel="0" collapsed="false">
      <c r="A150" s="5" t="s">
        <v>273</v>
      </c>
      <c r="B150" s="5" t="s">
        <v>112</v>
      </c>
      <c r="C150" s="5" t="s">
        <v>100</v>
      </c>
      <c r="D150" s="5" t="s">
        <v>28</v>
      </c>
      <c r="E150" s="5" t="s">
        <v>29</v>
      </c>
      <c r="F150" s="5" t="s">
        <v>163</v>
      </c>
      <c r="G150" s="5" t="s">
        <v>31</v>
      </c>
      <c r="H150" s="5" t="s">
        <v>8</v>
      </c>
      <c r="I150" s="10" t="n">
        <v>160000</v>
      </c>
      <c r="J150" s="12"/>
      <c r="K150" s="5" t="s">
        <v>33</v>
      </c>
      <c r="L150" s="5" t="s">
        <v>34</v>
      </c>
      <c r="M150" s="6" t="n">
        <v>45607</v>
      </c>
      <c r="N150" s="6" t="n">
        <v>46332</v>
      </c>
      <c r="O150" s="6"/>
      <c r="P150" s="5" t="s">
        <v>229</v>
      </c>
      <c r="Q150" s="5" t="s">
        <v>46</v>
      </c>
      <c r="R150" s="16" t="s">
        <v>37</v>
      </c>
      <c r="S150" s="5" t="n">
        <v>40</v>
      </c>
      <c r="T150" s="5" t="s">
        <v>38</v>
      </c>
      <c r="U150" s="8" t="str">
        <f aca="false">IF(AND(TRIM(E150)="US",TRIM(G150)="Non-Exempt"),"US Non-Exempt EEs","")</f>
        <v/>
      </c>
      <c r="V150" s="8" t="str">
        <f aca="false">IF(AND(TRIM(E150)="US",TRIM(G150)="Non-Exempt"),IF(TRIM(D150)="CA","US California Non-Exempt","US Non-California Non-Exempt"),"")</f>
        <v/>
      </c>
      <c r="W150" s="8" t="str">
        <f aca="false">_xlfn.XLOOKUP(X150,ShiftCodes[Code],ShiftCodes[Work Schedule],"Unknown code")</f>
        <v>Standard (Mon–Fri 9:00–17:30)</v>
      </c>
      <c r="X150" s="9" t="s">
        <v>39</v>
      </c>
      <c r="Y150" s="5"/>
    </row>
    <row r="151" customFormat="false" ht="15" hidden="false" customHeight="false" outlineLevel="0" collapsed="false">
      <c r="A151" s="5" t="s">
        <v>274</v>
      </c>
      <c r="B151" s="5" t="s">
        <v>103</v>
      </c>
      <c r="C151" s="5" t="s">
        <v>100</v>
      </c>
      <c r="D151" s="5" t="s">
        <v>28</v>
      </c>
      <c r="E151" s="5" t="s">
        <v>29</v>
      </c>
      <c r="F151" s="5" t="s">
        <v>119</v>
      </c>
      <c r="G151" s="5" t="s">
        <v>31</v>
      </c>
      <c r="H151" s="5" t="s">
        <v>8</v>
      </c>
      <c r="I151" s="10" t="n">
        <v>247000</v>
      </c>
      <c r="J151" s="12"/>
      <c r="K151" s="5" t="s">
        <v>33</v>
      </c>
      <c r="L151" s="5" t="s">
        <v>34</v>
      </c>
      <c r="M151" s="6" t="n">
        <v>45609</v>
      </c>
      <c r="N151" s="6"/>
      <c r="O151" s="6"/>
      <c r="P151" s="5" t="s">
        <v>176</v>
      </c>
      <c r="Q151" s="5" t="s">
        <v>36</v>
      </c>
      <c r="R151" s="16" t="s">
        <v>37</v>
      </c>
      <c r="S151" s="5" t="n">
        <v>40</v>
      </c>
      <c r="T151" s="5" t="s">
        <v>38</v>
      </c>
      <c r="U151" s="8" t="str">
        <f aca="false">IF(AND(TRIM(E151)="US",TRIM(G151)="Non-Exempt"),"US Non-Exempt EEs","")</f>
        <v/>
      </c>
      <c r="V151" s="8" t="str">
        <f aca="false">IF(AND(TRIM(E151)="US",TRIM(G151)="Non-Exempt"),IF(TRIM(D151)="CA","US California Non-Exempt","US Non-California Non-Exempt"),"")</f>
        <v/>
      </c>
      <c r="W151" s="8" t="str">
        <f aca="false">_xlfn.XLOOKUP(X151,ShiftCodes[Code],ShiftCodes[Work Schedule],"Unknown code")</f>
        <v>Standard (Mon–Fri 9:00–17:30)</v>
      </c>
      <c r="X151" s="9" t="s">
        <v>39</v>
      </c>
      <c r="Y151" s="5"/>
    </row>
    <row r="152" customFormat="false" ht="15" hidden="false" customHeight="false" outlineLevel="0" collapsed="false">
      <c r="A152" s="5" t="s">
        <v>275</v>
      </c>
      <c r="B152" s="5" t="s">
        <v>109</v>
      </c>
      <c r="C152" s="5" t="s">
        <v>76</v>
      </c>
      <c r="D152" s="5" t="s">
        <v>28</v>
      </c>
      <c r="E152" s="5" t="s">
        <v>29</v>
      </c>
      <c r="F152" s="5" t="s">
        <v>165</v>
      </c>
      <c r="G152" s="5" t="s">
        <v>31</v>
      </c>
      <c r="H152" s="5" t="s">
        <v>8</v>
      </c>
      <c r="I152" s="10" t="n">
        <v>177000</v>
      </c>
      <c r="J152" s="12"/>
      <c r="K152" s="5" t="s">
        <v>33</v>
      </c>
      <c r="L152" s="5" t="s">
        <v>34</v>
      </c>
      <c r="M152" s="6" t="n">
        <v>45612</v>
      </c>
      <c r="N152" s="6"/>
      <c r="O152" s="6"/>
      <c r="P152" s="5" t="s">
        <v>200</v>
      </c>
      <c r="Q152" s="5" t="s">
        <v>36</v>
      </c>
      <c r="R152" s="16" t="s">
        <v>37</v>
      </c>
      <c r="S152" s="5" t="n">
        <v>40</v>
      </c>
      <c r="T152" s="5" t="s">
        <v>38</v>
      </c>
      <c r="U152" s="8" t="str">
        <f aca="false">IF(AND(TRIM(E152)="US",TRIM(G152)="Non-Exempt"),"US Non-Exempt EEs","")</f>
        <v/>
      </c>
      <c r="V152" s="8" t="str">
        <f aca="false">IF(AND(TRIM(E152)="US",TRIM(G152)="Non-Exempt"),IF(TRIM(D152)="CA","US California Non-Exempt","US Non-California Non-Exempt"),"")</f>
        <v/>
      </c>
      <c r="W152" s="8" t="str">
        <f aca="false">_xlfn.XLOOKUP(X152,ShiftCodes[Code],ShiftCodes[Work Schedule],"Unknown code")</f>
        <v>Standard (Mon–Fri 9:00–17:30)</v>
      </c>
      <c r="X152" s="9" t="s">
        <v>39</v>
      </c>
      <c r="Y152" s="5"/>
    </row>
    <row r="153" customFormat="false" ht="15" hidden="false" customHeight="false" outlineLevel="0" collapsed="false">
      <c r="A153" s="5" t="s">
        <v>276</v>
      </c>
      <c r="B153" s="5" t="s">
        <v>112</v>
      </c>
      <c r="C153" s="5" t="s">
        <v>224</v>
      </c>
      <c r="D153" s="5" t="s">
        <v>225</v>
      </c>
      <c r="E153" s="5" t="s">
        <v>70</v>
      </c>
      <c r="F153" s="5" t="s">
        <v>124</v>
      </c>
      <c r="G153" s="5" t="s">
        <v>31</v>
      </c>
      <c r="H153" s="5" t="s">
        <v>8</v>
      </c>
      <c r="I153" s="17" t="n">
        <v>1820000</v>
      </c>
      <c r="J153" s="18"/>
      <c r="K153" s="5" t="s">
        <v>72</v>
      </c>
      <c r="L153" s="5" t="s">
        <v>73</v>
      </c>
      <c r="M153" s="6" t="n">
        <v>45613</v>
      </c>
      <c r="N153" s="6"/>
      <c r="O153" s="6"/>
      <c r="P153" s="5" t="s">
        <v>223</v>
      </c>
      <c r="Q153" s="5" t="s">
        <v>36</v>
      </c>
      <c r="R153" s="16" t="s">
        <v>37</v>
      </c>
      <c r="S153" s="5" t="n">
        <v>40</v>
      </c>
      <c r="T153" s="5" t="s">
        <v>38</v>
      </c>
      <c r="U153" s="8" t="str">
        <f aca="false">IF(AND(TRIM(E153)="US",TRIM(G153)="Non-Exempt"),"US Non-Exempt EEs","")</f>
        <v/>
      </c>
      <c r="V153" s="8" t="str">
        <f aca="false">IF(AND(TRIM(E153)="US",TRIM(G153)="Non-Exempt"),IF(TRIM(D153)="CA","US California Non-Exempt","US Non-California Non-Exempt"),"")</f>
        <v/>
      </c>
      <c r="W153" s="8" t="str">
        <f aca="false">_xlfn.XLOOKUP(X153,ShiftCodes[Code],ShiftCodes[Work Schedule],"Unknown code")</f>
        <v>Standard (Mon–Fri 9:00–17:30)</v>
      </c>
      <c r="X153" s="9" t="s">
        <v>39</v>
      </c>
      <c r="Y153" s="5"/>
    </row>
    <row r="154" customFormat="false" ht="15" hidden="false" customHeight="false" outlineLevel="0" collapsed="false">
      <c r="A154" s="5" t="s">
        <v>277</v>
      </c>
      <c r="B154" s="5" t="s">
        <v>99</v>
      </c>
      <c r="C154" s="5" t="s">
        <v>68</v>
      </c>
      <c r="D154" s="5" t="s">
        <v>69</v>
      </c>
      <c r="E154" s="5" t="s">
        <v>70</v>
      </c>
      <c r="F154" s="5" t="s">
        <v>156</v>
      </c>
      <c r="G154" s="5" t="s">
        <v>31</v>
      </c>
      <c r="H154" s="5" t="s">
        <v>8</v>
      </c>
      <c r="I154" s="17" t="n">
        <v>7500000</v>
      </c>
      <c r="J154" s="18"/>
      <c r="K154" s="5" t="s">
        <v>72</v>
      </c>
      <c r="L154" s="5" t="s">
        <v>73</v>
      </c>
      <c r="M154" s="6" t="n">
        <v>45614</v>
      </c>
      <c r="N154" s="6"/>
      <c r="O154" s="6"/>
      <c r="P154" s="5" t="s">
        <v>171</v>
      </c>
      <c r="Q154" s="5" t="s">
        <v>36</v>
      </c>
      <c r="R154" s="16" t="s">
        <v>37</v>
      </c>
      <c r="S154" s="5" t="n">
        <v>40</v>
      </c>
      <c r="T154" s="5" t="s">
        <v>38</v>
      </c>
      <c r="U154" s="8" t="str">
        <f aca="false">IF(AND(TRIM(E154)="US",TRIM(G154)="Non-Exempt"),"US Non-Exempt EEs","")</f>
        <v/>
      </c>
      <c r="V154" s="8" t="str">
        <f aca="false">IF(AND(TRIM(E154)="US",TRIM(G154)="Non-Exempt"),IF(TRIM(D154)="CA","US California Non-Exempt","US Non-California Non-Exempt"),"")</f>
        <v/>
      </c>
      <c r="W154" s="8" t="str">
        <f aca="false">_xlfn.XLOOKUP(X154,ShiftCodes[Code],ShiftCodes[Work Schedule],"Unknown code")</f>
        <v>Standard (Mon–Fri 9:00–17:30)</v>
      </c>
      <c r="X154" s="9" t="s">
        <v>39</v>
      </c>
      <c r="Y154" s="5"/>
    </row>
    <row r="155" customFormat="false" ht="15" hidden="false" customHeight="false" outlineLevel="0" collapsed="false">
      <c r="A155" s="5" t="s">
        <v>278</v>
      </c>
      <c r="B155" s="5" t="s">
        <v>112</v>
      </c>
      <c r="C155" s="5" t="s">
        <v>41</v>
      </c>
      <c r="D155" s="5" t="s">
        <v>28</v>
      </c>
      <c r="E155" s="5" t="s">
        <v>29</v>
      </c>
      <c r="F155" s="5" t="s">
        <v>165</v>
      </c>
      <c r="G155" s="5" t="s">
        <v>31</v>
      </c>
      <c r="H155" s="5" t="s">
        <v>8</v>
      </c>
      <c r="I155" s="10" t="n">
        <v>180000</v>
      </c>
      <c r="J155" s="12"/>
      <c r="K155" s="5" t="s">
        <v>33</v>
      </c>
      <c r="L155" s="5" t="s">
        <v>34</v>
      </c>
      <c r="M155" s="6" t="n">
        <v>45620</v>
      </c>
      <c r="N155" s="6"/>
      <c r="O155" s="6"/>
      <c r="P155" s="5" t="s">
        <v>229</v>
      </c>
      <c r="Q155" s="5" t="s">
        <v>36</v>
      </c>
      <c r="R155" s="16" t="s">
        <v>37</v>
      </c>
      <c r="S155" s="5" t="n">
        <v>40</v>
      </c>
      <c r="T155" s="5" t="s">
        <v>38</v>
      </c>
      <c r="U155" s="8" t="str">
        <f aca="false">IF(AND(TRIM(E155)="US",TRIM(G155)="Non-Exempt"),"US Non-Exempt EEs","")</f>
        <v/>
      </c>
      <c r="V155" s="8" t="str">
        <f aca="false">IF(AND(TRIM(E155)="US",TRIM(G155)="Non-Exempt"),IF(TRIM(D155)="CA","US California Non-Exempt","US Non-California Non-Exempt"),"")</f>
        <v/>
      </c>
      <c r="W155" s="8" t="str">
        <f aca="false">_xlfn.XLOOKUP(X155,ShiftCodes[Code],ShiftCodes[Work Schedule],"Unknown code")</f>
        <v>Standard (Mon–Fri 9:00–17:30)</v>
      </c>
      <c r="X155" s="9" t="s">
        <v>39</v>
      </c>
      <c r="Y155" s="5"/>
    </row>
    <row r="156" customFormat="false" ht="15" hidden="false" customHeight="false" outlineLevel="0" collapsed="false">
      <c r="A156" s="5" t="s">
        <v>279</v>
      </c>
      <c r="B156" s="5" t="s">
        <v>109</v>
      </c>
      <c r="C156" s="5" t="s">
        <v>113</v>
      </c>
      <c r="D156" s="5" t="s">
        <v>84</v>
      </c>
      <c r="E156" s="5" t="s">
        <v>29</v>
      </c>
      <c r="F156" s="5" t="s">
        <v>121</v>
      </c>
      <c r="G156" s="5" t="s">
        <v>78</v>
      </c>
      <c r="H156" s="5" t="s">
        <v>79</v>
      </c>
      <c r="I156" s="10"/>
      <c r="J156" s="12" t="n">
        <v>34.75</v>
      </c>
      <c r="K156" s="5" t="s">
        <v>33</v>
      </c>
      <c r="L156" s="5" t="s">
        <v>80</v>
      </c>
      <c r="M156" s="6" t="n">
        <v>45621</v>
      </c>
      <c r="N156" s="6"/>
      <c r="O156" s="6"/>
      <c r="P156" s="5" t="s">
        <v>202</v>
      </c>
      <c r="Q156" s="5" t="s">
        <v>36</v>
      </c>
      <c r="R156" s="16" t="s">
        <v>37</v>
      </c>
      <c r="S156" s="5" t="n">
        <v>40</v>
      </c>
      <c r="T156" s="5" t="s">
        <v>38</v>
      </c>
      <c r="U156" s="8" t="str">
        <f aca="false">IF(AND(TRIM(E156)="US",TRIM(G156)="Non-Exempt"),"US Non-Exempt EEs","")</f>
        <v>US Non-Exempt EEs</v>
      </c>
      <c r="V156" s="8" t="str">
        <f aca="false">IF(AND(TRIM(E156)="US",TRIM(G156)="Non-Exempt"),IF(TRIM(D156)="CA","US California Non-Exempt","US Non-California Non-Exempt"),"")</f>
        <v>US Non-California Non-Exempt</v>
      </c>
      <c r="W156" s="8" t="str">
        <f aca="false">_xlfn.XLOOKUP(X156,ShiftCodes[Code],ShiftCodes[Work Schedule],"Unknown code")</f>
        <v>Shift C – Night (Sun–Thu 22:00–06:30)</v>
      </c>
      <c r="X156" s="9" t="s">
        <v>239</v>
      </c>
      <c r="Y156" s="5"/>
    </row>
    <row r="157" customFormat="false" ht="15" hidden="false" customHeight="false" outlineLevel="0" collapsed="false">
      <c r="A157" s="5" t="s">
        <v>280</v>
      </c>
      <c r="B157" s="5" t="s">
        <v>103</v>
      </c>
      <c r="C157" s="5" t="s">
        <v>106</v>
      </c>
      <c r="D157" s="5" t="s">
        <v>42</v>
      </c>
      <c r="E157" s="5" t="s">
        <v>29</v>
      </c>
      <c r="F157" s="5" t="s">
        <v>165</v>
      </c>
      <c r="G157" s="5" t="s">
        <v>31</v>
      </c>
      <c r="H157" s="5" t="s">
        <v>8</v>
      </c>
      <c r="I157" s="10" t="n">
        <v>181000</v>
      </c>
      <c r="J157" s="12"/>
      <c r="K157" s="5" t="s">
        <v>33</v>
      </c>
      <c r="L157" s="5" t="s">
        <v>34</v>
      </c>
      <c r="M157" s="6" t="n">
        <v>45626</v>
      </c>
      <c r="N157" s="6"/>
      <c r="O157" s="6"/>
      <c r="P157" s="5" t="s">
        <v>226</v>
      </c>
      <c r="Q157" s="5" t="s">
        <v>36</v>
      </c>
      <c r="R157" s="16" t="s">
        <v>37</v>
      </c>
      <c r="S157" s="5" t="n">
        <v>40</v>
      </c>
      <c r="T157" s="5" t="s">
        <v>38</v>
      </c>
      <c r="U157" s="8" t="str">
        <f aca="false">IF(AND(TRIM(E157)="US",TRIM(G157)="Non-Exempt"),"US Non-Exempt EEs","")</f>
        <v/>
      </c>
      <c r="V157" s="8" t="str">
        <f aca="false">IF(AND(TRIM(E157)="US",TRIM(G157)="Non-Exempt"),IF(TRIM(D157)="CA","US California Non-Exempt","US Non-California Non-Exempt"),"")</f>
        <v/>
      </c>
      <c r="W157" s="8" t="str">
        <f aca="false">_xlfn.XLOOKUP(X157,ShiftCodes[Code],ShiftCodes[Work Schedule],"Unknown code")</f>
        <v>Standard (Mon–Fri 9:00–17:30)</v>
      </c>
      <c r="X157" s="9" t="s">
        <v>39</v>
      </c>
      <c r="Y157" s="5"/>
    </row>
    <row r="158" customFormat="false" ht="15" hidden="false" customHeight="false" outlineLevel="0" collapsed="false">
      <c r="A158" s="5" t="s">
        <v>281</v>
      </c>
      <c r="B158" s="5" t="s">
        <v>112</v>
      </c>
      <c r="C158" s="5" t="s">
        <v>180</v>
      </c>
      <c r="D158" s="5" t="s">
        <v>52</v>
      </c>
      <c r="E158" s="5" t="s">
        <v>52</v>
      </c>
      <c r="F158" s="5" t="s">
        <v>124</v>
      </c>
      <c r="G158" s="5" t="s">
        <v>31</v>
      </c>
      <c r="H158" s="5" t="s">
        <v>8</v>
      </c>
      <c r="I158" s="10" t="n">
        <v>76000</v>
      </c>
      <c r="J158" s="19"/>
      <c r="K158" s="5" t="s">
        <v>55</v>
      </c>
      <c r="L158" s="5" t="s">
        <v>56</v>
      </c>
      <c r="M158" s="6" t="n">
        <v>45627</v>
      </c>
      <c r="N158" s="6"/>
      <c r="O158" s="6"/>
      <c r="P158" s="5" t="s">
        <v>179</v>
      </c>
      <c r="Q158" s="5" t="s">
        <v>36</v>
      </c>
      <c r="R158" s="16" t="s">
        <v>37</v>
      </c>
      <c r="S158" s="5" t="n">
        <v>37.5</v>
      </c>
      <c r="T158" s="5" t="s">
        <v>38</v>
      </c>
      <c r="U158" s="8" t="str">
        <f aca="false">IF(AND(TRIM(E158)="US",TRIM(G158)="Non-Exempt"),"US Non-Exempt EEs","")</f>
        <v/>
      </c>
      <c r="V158" s="8" t="str">
        <f aca="false">IF(AND(TRIM(E158)="US",TRIM(G158)="Non-Exempt"),IF(TRIM(D158)="CA","US California Non-Exempt","US Non-California Non-Exempt"),"")</f>
        <v/>
      </c>
      <c r="W158" s="8" t="str">
        <f aca="false">_xlfn.XLOOKUP(X158,ShiftCodes[Code],ShiftCodes[Work Schedule],"Unknown code")</f>
        <v>Standard (Mon–Fri 9:00–17:30)</v>
      </c>
      <c r="X158" s="9" t="s">
        <v>39</v>
      </c>
      <c r="Y158" s="5"/>
    </row>
    <row r="159" customFormat="false" ht="15" hidden="false" customHeight="false" outlineLevel="0" collapsed="false">
      <c r="A159" s="5" t="s">
        <v>282</v>
      </c>
      <c r="B159" s="5" t="s">
        <v>112</v>
      </c>
      <c r="C159" s="5" t="s">
        <v>68</v>
      </c>
      <c r="D159" s="5" t="s">
        <v>69</v>
      </c>
      <c r="E159" s="5" t="s">
        <v>70</v>
      </c>
      <c r="F159" s="5" t="s">
        <v>149</v>
      </c>
      <c r="G159" s="5" t="s">
        <v>31</v>
      </c>
      <c r="H159" s="5" t="s">
        <v>8</v>
      </c>
      <c r="I159" s="17" t="n">
        <v>1630000</v>
      </c>
      <c r="J159" s="18"/>
      <c r="K159" s="5" t="s">
        <v>72</v>
      </c>
      <c r="L159" s="5" t="s">
        <v>73</v>
      </c>
      <c r="M159" s="6" t="n">
        <v>45631</v>
      </c>
      <c r="N159" s="6"/>
      <c r="O159" s="6"/>
      <c r="P159" s="5" t="s">
        <v>209</v>
      </c>
      <c r="Q159" s="5" t="s">
        <v>36</v>
      </c>
      <c r="R159" s="16" t="s">
        <v>37</v>
      </c>
      <c r="S159" s="5" t="n">
        <v>40</v>
      </c>
      <c r="T159" s="5" t="s">
        <v>38</v>
      </c>
      <c r="U159" s="8" t="str">
        <f aca="false">IF(AND(TRIM(E159)="US",TRIM(G159)="Non-Exempt"),"US Non-Exempt EEs","")</f>
        <v/>
      </c>
      <c r="V159" s="8" t="str">
        <f aca="false">IF(AND(TRIM(E159)="US",TRIM(G159)="Non-Exempt"),IF(TRIM(D159)="CA","US California Non-Exempt","US Non-California Non-Exempt"),"")</f>
        <v/>
      </c>
      <c r="W159" s="8" t="str">
        <f aca="false">_xlfn.XLOOKUP(X159,ShiftCodes[Code],ShiftCodes[Work Schedule],"Unknown code")</f>
        <v>Standard (Mon–Fri 9:00–17:30)</v>
      </c>
      <c r="X159" s="9" t="s">
        <v>39</v>
      </c>
      <c r="Y159" s="5"/>
    </row>
    <row r="160" customFormat="false" ht="15" hidden="false" customHeight="false" outlineLevel="0" collapsed="false">
      <c r="A160" s="5" t="s">
        <v>283</v>
      </c>
      <c r="B160" s="5" t="s">
        <v>103</v>
      </c>
      <c r="C160" s="5" t="s">
        <v>106</v>
      </c>
      <c r="D160" s="5" t="s">
        <v>42</v>
      </c>
      <c r="E160" s="5" t="s">
        <v>29</v>
      </c>
      <c r="F160" s="5" t="s">
        <v>163</v>
      </c>
      <c r="G160" s="5" t="s">
        <v>31</v>
      </c>
      <c r="H160" s="5" t="s">
        <v>8</v>
      </c>
      <c r="I160" s="10" t="n">
        <v>173000</v>
      </c>
      <c r="J160" s="12"/>
      <c r="K160" s="5" t="s">
        <v>33</v>
      </c>
      <c r="L160" s="5" t="s">
        <v>34</v>
      </c>
      <c r="M160" s="6" t="n">
        <v>45636</v>
      </c>
      <c r="N160" s="6"/>
      <c r="O160" s="6"/>
      <c r="P160" s="5" t="s">
        <v>122</v>
      </c>
      <c r="Q160" s="5" t="s">
        <v>36</v>
      </c>
      <c r="R160" s="16" t="s">
        <v>37</v>
      </c>
      <c r="S160" s="5" t="n">
        <v>40</v>
      </c>
      <c r="T160" s="5" t="s">
        <v>38</v>
      </c>
      <c r="U160" s="8" t="str">
        <f aca="false">IF(AND(TRIM(E160)="US",TRIM(G160)="Non-Exempt"),"US Non-Exempt EEs","")</f>
        <v/>
      </c>
      <c r="V160" s="8" t="str">
        <f aca="false">IF(AND(TRIM(E160)="US",TRIM(G160)="Non-Exempt"),IF(TRIM(D160)="CA","US California Non-Exempt","US Non-California Non-Exempt"),"")</f>
        <v/>
      </c>
      <c r="W160" s="8" t="str">
        <f aca="false">_xlfn.XLOOKUP(X160,ShiftCodes[Code],ShiftCodes[Work Schedule],"Unknown code")</f>
        <v>Standard (Mon–Fri 9:00–17:30)</v>
      </c>
      <c r="X160" s="9" t="s">
        <v>39</v>
      </c>
      <c r="Y160" s="5"/>
    </row>
    <row r="161" customFormat="false" ht="15" hidden="false" customHeight="false" outlineLevel="0" collapsed="false">
      <c r="A161" s="5" t="s">
        <v>284</v>
      </c>
      <c r="B161" s="5" t="s">
        <v>112</v>
      </c>
      <c r="C161" s="5" t="s">
        <v>68</v>
      </c>
      <c r="D161" s="5" t="s">
        <v>69</v>
      </c>
      <c r="E161" s="5" t="s">
        <v>70</v>
      </c>
      <c r="F161" s="5" t="s">
        <v>124</v>
      </c>
      <c r="G161" s="5" t="s">
        <v>31</v>
      </c>
      <c r="H161" s="5" t="s">
        <v>8</v>
      </c>
      <c r="I161" s="17" t="n">
        <v>2790000</v>
      </c>
      <c r="J161" s="18"/>
      <c r="K161" s="5" t="s">
        <v>72</v>
      </c>
      <c r="L161" s="5" t="s">
        <v>73</v>
      </c>
      <c r="M161" s="6" t="n">
        <v>45644</v>
      </c>
      <c r="N161" s="6"/>
      <c r="O161" s="6"/>
      <c r="P161" s="5" t="s">
        <v>209</v>
      </c>
      <c r="Q161" s="5" t="s">
        <v>36</v>
      </c>
      <c r="R161" s="16" t="s">
        <v>37</v>
      </c>
      <c r="S161" s="5" t="n">
        <v>40</v>
      </c>
      <c r="T161" s="5" t="s">
        <v>38</v>
      </c>
      <c r="U161" s="8" t="str">
        <f aca="false">IF(AND(TRIM(E161)="US",TRIM(G161)="Non-Exempt"),"US Non-Exempt EEs","")</f>
        <v/>
      </c>
      <c r="V161" s="8" t="str">
        <f aca="false">IF(AND(TRIM(E161)="US",TRIM(G161)="Non-Exempt"),IF(TRIM(D161)="CA","US California Non-Exempt","US Non-California Non-Exempt"),"")</f>
        <v/>
      </c>
      <c r="W161" s="8" t="str">
        <f aca="false">_xlfn.XLOOKUP(X161,ShiftCodes[Code],ShiftCodes[Work Schedule],"Unknown code")</f>
        <v>Standard (Mon–Fri 9:00–17:30)</v>
      </c>
      <c r="X161" s="9" t="s">
        <v>39</v>
      </c>
      <c r="Y161" s="5"/>
    </row>
    <row r="162" customFormat="false" ht="15" hidden="false" customHeight="false" outlineLevel="0" collapsed="false">
      <c r="A162" s="5" t="s">
        <v>285</v>
      </c>
      <c r="B162" s="5" t="s">
        <v>99</v>
      </c>
      <c r="C162" s="5" t="s">
        <v>127</v>
      </c>
      <c r="D162" s="5" t="s">
        <v>90</v>
      </c>
      <c r="E162" s="5" t="s">
        <v>29</v>
      </c>
      <c r="F162" s="5" t="s">
        <v>163</v>
      </c>
      <c r="G162" s="5" t="s">
        <v>31</v>
      </c>
      <c r="H162" s="5" t="s">
        <v>8</v>
      </c>
      <c r="I162" s="10" t="n">
        <v>145000</v>
      </c>
      <c r="J162" s="12"/>
      <c r="K162" s="5" t="s">
        <v>33</v>
      </c>
      <c r="L162" s="5" t="s">
        <v>34</v>
      </c>
      <c r="M162" s="6" t="n">
        <v>45645</v>
      </c>
      <c r="N162" s="6"/>
      <c r="O162" s="6"/>
      <c r="P162" s="5" t="s">
        <v>231</v>
      </c>
      <c r="Q162" s="5" t="s">
        <v>36</v>
      </c>
      <c r="R162" s="16" t="s">
        <v>37</v>
      </c>
      <c r="S162" s="5" t="n">
        <v>40</v>
      </c>
      <c r="T162" s="5" t="s">
        <v>38</v>
      </c>
      <c r="U162" s="8" t="str">
        <f aca="false">IF(AND(TRIM(E162)="US",TRIM(G162)="Non-Exempt"),"US Non-Exempt EEs","")</f>
        <v/>
      </c>
      <c r="V162" s="8" t="str">
        <f aca="false">IF(AND(TRIM(E162)="US",TRIM(G162)="Non-Exempt"),IF(TRIM(D162)="CA","US California Non-Exempt","US Non-California Non-Exempt"),"")</f>
        <v/>
      </c>
      <c r="W162" s="8" t="str">
        <f aca="false">_xlfn.XLOOKUP(X162,ShiftCodes[Code],ShiftCodes[Work Schedule],"Unknown code")</f>
        <v>Standard (Mon–Fri 9:00–17:30)</v>
      </c>
      <c r="X162" s="9" t="s">
        <v>39</v>
      </c>
      <c r="Y162" s="5"/>
    </row>
    <row r="163" customFormat="false" ht="15" hidden="false" customHeight="false" outlineLevel="0" collapsed="false">
      <c r="A163" s="5" t="s">
        <v>286</v>
      </c>
      <c r="B163" s="5" t="s">
        <v>112</v>
      </c>
      <c r="C163" s="5" t="s">
        <v>100</v>
      </c>
      <c r="D163" s="5" t="s">
        <v>28</v>
      </c>
      <c r="E163" s="5" t="s">
        <v>29</v>
      </c>
      <c r="F163" s="5" t="s">
        <v>165</v>
      </c>
      <c r="G163" s="5" t="s">
        <v>31</v>
      </c>
      <c r="H163" s="5" t="s">
        <v>8</v>
      </c>
      <c r="I163" s="10" t="n">
        <v>193000</v>
      </c>
      <c r="J163" s="12"/>
      <c r="K163" s="5" t="s">
        <v>33</v>
      </c>
      <c r="L163" s="5" t="s">
        <v>34</v>
      </c>
      <c r="M163" s="6" t="n">
        <v>45647</v>
      </c>
      <c r="N163" s="6"/>
      <c r="O163" s="6" t="n">
        <v>46241</v>
      </c>
      <c r="P163" s="5" t="s">
        <v>204</v>
      </c>
      <c r="Q163" s="5" t="s">
        <v>287</v>
      </c>
      <c r="R163" s="16" t="s">
        <v>37</v>
      </c>
      <c r="S163" s="5" t="n">
        <v>40</v>
      </c>
      <c r="T163" s="5" t="s">
        <v>38</v>
      </c>
      <c r="U163" s="8" t="str">
        <f aca="false">IF(AND(TRIM(E163)="US",TRIM(G163)="Non-Exempt"),"US Non-Exempt EEs","")</f>
        <v/>
      </c>
      <c r="V163" s="8" t="str">
        <f aca="false">IF(AND(TRIM(E163)="US",TRIM(G163)="Non-Exempt"),IF(TRIM(D163)="CA","US California Non-Exempt","US Non-California Non-Exempt"),"")</f>
        <v/>
      </c>
      <c r="W163" s="8" t="str">
        <f aca="false">_xlfn.XLOOKUP(X163,ShiftCodes[Code],ShiftCodes[Work Schedule],"Unknown code")</f>
        <v>Standard (Mon–Fri 9:00–17:30)</v>
      </c>
      <c r="X163" s="9" t="s">
        <v>39</v>
      </c>
      <c r="Y163" s="5"/>
    </row>
    <row r="164" customFormat="false" ht="15" hidden="false" customHeight="false" outlineLevel="0" collapsed="false">
      <c r="A164" s="5" t="s">
        <v>288</v>
      </c>
      <c r="B164" s="5" t="s">
        <v>103</v>
      </c>
      <c r="C164" s="5" t="s">
        <v>106</v>
      </c>
      <c r="D164" s="5" t="s">
        <v>42</v>
      </c>
      <c r="E164" s="5" t="s">
        <v>29</v>
      </c>
      <c r="F164" s="5" t="s">
        <v>165</v>
      </c>
      <c r="G164" s="5" t="s">
        <v>31</v>
      </c>
      <c r="H164" s="5" t="s">
        <v>8</v>
      </c>
      <c r="I164" s="10" t="n">
        <v>193000</v>
      </c>
      <c r="J164" s="12"/>
      <c r="K164" s="5" t="s">
        <v>33</v>
      </c>
      <c r="L164" s="5" t="s">
        <v>34</v>
      </c>
      <c r="M164" s="6" t="n">
        <v>45648</v>
      </c>
      <c r="N164" s="6"/>
      <c r="O164" s="6"/>
      <c r="P164" s="5" t="s">
        <v>145</v>
      </c>
      <c r="Q164" s="5" t="s">
        <v>36</v>
      </c>
      <c r="R164" s="16" t="s">
        <v>37</v>
      </c>
      <c r="S164" s="5" t="n">
        <v>40</v>
      </c>
      <c r="T164" s="5" t="s">
        <v>38</v>
      </c>
      <c r="U164" s="8" t="str">
        <f aca="false">IF(AND(TRIM(E164)="US",TRIM(G164)="Non-Exempt"),"US Non-Exempt EEs","")</f>
        <v/>
      </c>
      <c r="V164" s="8" t="str">
        <f aca="false">IF(AND(TRIM(E164)="US",TRIM(G164)="Non-Exempt"),IF(TRIM(D164)="CA","US California Non-Exempt","US Non-California Non-Exempt"),"")</f>
        <v/>
      </c>
      <c r="W164" s="8" t="str">
        <f aca="false">_xlfn.XLOOKUP(X164,ShiftCodes[Code],ShiftCodes[Work Schedule],"Unknown code")</f>
        <v>Standard (Mon–Fri 9:00–17:30)</v>
      </c>
      <c r="X164" s="9" t="s">
        <v>39</v>
      </c>
      <c r="Y164" s="5"/>
    </row>
    <row r="165" customFormat="false" ht="15" hidden="false" customHeight="false" outlineLevel="0" collapsed="false">
      <c r="A165" s="5" t="s">
        <v>289</v>
      </c>
      <c r="B165" s="5" t="s">
        <v>103</v>
      </c>
      <c r="C165" s="5" t="s">
        <v>100</v>
      </c>
      <c r="D165" s="5" t="s">
        <v>28</v>
      </c>
      <c r="E165" s="5" t="s">
        <v>29</v>
      </c>
      <c r="F165" s="5" t="s">
        <v>163</v>
      </c>
      <c r="G165" s="5" t="s">
        <v>31</v>
      </c>
      <c r="H165" s="5" t="s">
        <v>8</v>
      </c>
      <c r="I165" s="10" t="n">
        <v>173000</v>
      </c>
      <c r="J165" s="12"/>
      <c r="K165" s="5" t="s">
        <v>33</v>
      </c>
      <c r="L165" s="5" t="s">
        <v>34</v>
      </c>
      <c r="M165" s="6" t="n">
        <v>45663</v>
      </c>
      <c r="N165" s="6"/>
      <c r="O165" s="6"/>
      <c r="P165" s="5" t="s">
        <v>274</v>
      </c>
      <c r="Q165" s="5" t="s">
        <v>36</v>
      </c>
      <c r="R165" s="16" t="s">
        <v>37</v>
      </c>
      <c r="S165" s="5" t="n">
        <v>40</v>
      </c>
      <c r="T165" s="5" t="s">
        <v>38</v>
      </c>
      <c r="U165" s="8" t="str">
        <f aca="false">IF(AND(TRIM(E165)="US",TRIM(G165)="Non-Exempt"),"US Non-Exempt EEs","")</f>
        <v/>
      </c>
      <c r="V165" s="8" t="str">
        <f aca="false">IF(AND(TRIM(E165)="US",TRIM(G165)="Non-Exempt"),IF(TRIM(D165)="CA","US California Non-Exempt","US Non-California Non-Exempt"),"")</f>
        <v/>
      </c>
      <c r="W165" s="8" t="str">
        <f aca="false">_xlfn.XLOOKUP(X165,ShiftCodes[Code],ShiftCodes[Work Schedule],"Unknown code")</f>
        <v>Standard (Mon–Fri 9:00–17:30)</v>
      </c>
      <c r="X165" s="9" t="s">
        <v>39</v>
      </c>
      <c r="Y165" s="5"/>
    </row>
    <row r="166" customFormat="false" ht="15" hidden="false" customHeight="false" outlineLevel="0" collapsed="false">
      <c r="A166" s="5" t="s">
        <v>290</v>
      </c>
      <c r="B166" s="5" t="s">
        <v>112</v>
      </c>
      <c r="C166" s="5" t="s">
        <v>100</v>
      </c>
      <c r="D166" s="5" t="s">
        <v>28</v>
      </c>
      <c r="E166" s="5" t="s">
        <v>29</v>
      </c>
      <c r="F166" s="5" t="s">
        <v>124</v>
      </c>
      <c r="G166" s="5" t="s">
        <v>31</v>
      </c>
      <c r="H166" s="5" t="s">
        <v>8</v>
      </c>
      <c r="I166" s="10" t="n">
        <v>124000</v>
      </c>
      <c r="J166" s="12"/>
      <c r="K166" s="5" t="s">
        <v>33</v>
      </c>
      <c r="L166" s="5" t="s">
        <v>34</v>
      </c>
      <c r="M166" s="6" t="n">
        <v>45672</v>
      </c>
      <c r="N166" s="6"/>
      <c r="O166" s="6"/>
      <c r="P166" s="5" t="s">
        <v>204</v>
      </c>
      <c r="Q166" s="5" t="s">
        <v>36</v>
      </c>
      <c r="R166" s="16" t="s">
        <v>37</v>
      </c>
      <c r="S166" s="5" t="n">
        <v>40</v>
      </c>
      <c r="T166" s="5" t="s">
        <v>38</v>
      </c>
      <c r="U166" s="8" t="str">
        <f aca="false">IF(AND(TRIM(E166)="US",TRIM(G166)="Non-Exempt"),"US Non-Exempt EEs","")</f>
        <v/>
      </c>
      <c r="V166" s="8" t="str">
        <f aca="false">IF(AND(TRIM(E166)="US",TRIM(G166)="Non-Exempt"),IF(TRIM(D166)="CA","US California Non-Exempt","US Non-California Non-Exempt"),"")</f>
        <v/>
      </c>
      <c r="W166" s="8" t="str">
        <f aca="false">_xlfn.XLOOKUP(X166,ShiftCodes[Code],ShiftCodes[Work Schedule],"Unknown code")</f>
        <v>Standard (Mon–Fri 9:00–17:30)</v>
      </c>
      <c r="X166" s="9" t="s">
        <v>39</v>
      </c>
      <c r="Y166" s="5"/>
    </row>
    <row r="167" customFormat="false" ht="15" hidden="false" customHeight="false" outlineLevel="0" collapsed="false">
      <c r="A167" s="5" t="s">
        <v>291</v>
      </c>
      <c r="B167" s="5" t="s">
        <v>109</v>
      </c>
      <c r="C167" s="5" t="s">
        <v>76</v>
      </c>
      <c r="D167" s="5" t="s">
        <v>28</v>
      </c>
      <c r="E167" s="5" t="s">
        <v>29</v>
      </c>
      <c r="F167" s="5" t="s">
        <v>124</v>
      </c>
      <c r="G167" s="5" t="s">
        <v>31</v>
      </c>
      <c r="H167" s="5" t="s">
        <v>8</v>
      </c>
      <c r="I167" s="10" t="n">
        <v>141000</v>
      </c>
      <c r="J167" s="12"/>
      <c r="K167" s="5" t="s">
        <v>33</v>
      </c>
      <c r="L167" s="5" t="s">
        <v>34</v>
      </c>
      <c r="M167" s="6" t="n">
        <v>45673</v>
      </c>
      <c r="N167" s="6"/>
      <c r="O167" s="6"/>
      <c r="P167" s="5" t="s">
        <v>213</v>
      </c>
      <c r="Q167" s="5" t="s">
        <v>36</v>
      </c>
      <c r="R167" s="16" t="s">
        <v>37</v>
      </c>
      <c r="S167" s="5" t="n">
        <v>40</v>
      </c>
      <c r="T167" s="5" t="s">
        <v>38</v>
      </c>
      <c r="U167" s="8" t="str">
        <f aca="false">IF(AND(TRIM(E167)="US",TRIM(G167)="Non-Exempt"),"US Non-Exempt EEs","")</f>
        <v/>
      </c>
      <c r="V167" s="8" t="str">
        <f aca="false">IF(AND(TRIM(E167)="US",TRIM(G167)="Non-Exempt"),IF(TRIM(D167)="CA","US California Non-Exempt","US Non-California Non-Exempt"),"")</f>
        <v/>
      </c>
      <c r="W167" s="8" t="str">
        <f aca="false">_xlfn.XLOOKUP(X167,ShiftCodes[Code],ShiftCodes[Work Schedule],"Unknown code")</f>
        <v>Standard (Mon–Fri 9:00–17:30)</v>
      </c>
      <c r="X167" s="9" t="s">
        <v>39</v>
      </c>
      <c r="Y167" s="5"/>
    </row>
    <row r="168" customFormat="false" ht="15" hidden="false" customHeight="false" outlineLevel="0" collapsed="false">
      <c r="A168" s="5" t="s">
        <v>292</v>
      </c>
      <c r="B168" s="5" t="s">
        <v>103</v>
      </c>
      <c r="C168" s="5" t="s">
        <v>41</v>
      </c>
      <c r="D168" s="5" t="s">
        <v>42</v>
      </c>
      <c r="E168" s="5" t="s">
        <v>29</v>
      </c>
      <c r="F168" s="5" t="s">
        <v>165</v>
      </c>
      <c r="G168" s="5" t="s">
        <v>31</v>
      </c>
      <c r="H168" s="5" t="s">
        <v>8</v>
      </c>
      <c r="I168" s="10" t="n">
        <v>205000</v>
      </c>
      <c r="J168" s="12"/>
      <c r="K168" s="5" t="s">
        <v>33</v>
      </c>
      <c r="L168" s="5" t="s">
        <v>34</v>
      </c>
      <c r="M168" s="6" t="n">
        <v>45677</v>
      </c>
      <c r="N168" s="6"/>
      <c r="O168" s="6"/>
      <c r="P168" s="5" t="s">
        <v>181</v>
      </c>
      <c r="Q168" s="5" t="s">
        <v>36</v>
      </c>
      <c r="R168" s="16" t="s">
        <v>37</v>
      </c>
      <c r="S168" s="5" t="n">
        <v>40</v>
      </c>
      <c r="T168" s="5" t="s">
        <v>38</v>
      </c>
      <c r="U168" s="8" t="str">
        <f aca="false">IF(AND(TRIM(E168)="US",TRIM(G168)="Non-Exempt"),"US Non-Exempt EEs","")</f>
        <v/>
      </c>
      <c r="V168" s="8" t="str">
        <f aca="false">IF(AND(TRIM(E168)="US",TRIM(G168)="Non-Exempt"),IF(TRIM(D168)="CA","US California Non-Exempt","US Non-California Non-Exempt"),"")</f>
        <v/>
      </c>
      <c r="W168" s="8" t="str">
        <f aca="false">_xlfn.XLOOKUP(X168,ShiftCodes[Code],ShiftCodes[Work Schedule],"Unknown code")</f>
        <v>Standard (Mon–Fri 9:00–17:30)</v>
      </c>
      <c r="X168" s="9" t="s">
        <v>39</v>
      </c>
      <c r="Y168" s="5"/>
    </row>
    <row r="169" customFormat="false" ht="15" hidden="false" customHeight="false" outlineLevel="0" collapsed="false">
      <c r="A169" s="5" t="s">
        <v>293</v>
      </c>
      <c r="B169" s="5" t="s">
        <v>99</v>
      </c>
      <c r="C169" s="5" t="s">
        <v>68</v>
      </c>
      <c r="D169" s="5" t="s">
        <v>69</v>
      </c>
      <c r="E169" s="5" t="s">
        <v>70</v>
      </c>
      <c r="F169" s="5" t="s">
        <v>163</v>
      </c>
      <c r="G169" s="5" t="s">
        <v>31</v>
      </c>
      <c r="H169" s="5" t="s">
        <v>8</v>
      </c>
      <c r="I169" s="17" t="n">
        <v>2820000</v>
      </c>
      <c r="J169" s="18"/>
      <c r="K169" s="5" t="s">
        <v>72</v>
      </c>
      <c r="L169" s="5" t="s">
        <v>73</v>
      </c>
      <c r="M169" s="6" t="n">
        <v>45679</v>
      </c>
      <c r="N169" s="6"/>
      <c r="O169" s="6"/>
      <c r="P169" s="5" t="s">
        <v>171</v>
      </c>
      <c r="Q169" s="5" t="s">
        <v>36</v>
      </c>
      <c r="R169" s="16" t="s">
        <v>37</v>
      </c>
      <c r="S169" s="5" t="n">
        <v>40</v>
      </c>
      <c r="T169" s="5" t="s">
        <v>38</v>
      </c>
      <c r="U169" s="8" t="str">
        <f aca="false">IF(AND(TRIM(E169)="US",TRIM(G169)="Non-Exempt"),"US Non-Exempt EEs","")</f>
        <v/>
      </c>
      <c r="V169" s="8" t="str">
        <f aca="false">IF(AND(TRIM(E169)="US",TRIM(G169)="Non-Exempt"),IF(TRIM(D169)="CA","US California Non-Exempt","US Non-California Non-Exempt"),"")</f>
        <v/>
      </c>
      <c r="W169" s="8" t="str">
        <f aca="false">_xlfn.XLOOKUP(X169,ShiftCodes[Code],ShiftCodes[Work Schedule],"Unknown code")</f>
        <v>Standard (Mon–Fri 9:00–17:30)</v>
      </c>
      <c r="X169" s="9" t="s">
        <v>39</v>
      </c>
      <c r="Y169" s="5"/>
    </row>
    <row r="170" customFormat="false" ht="15" hidden="false" customHeight="false" outlineLevel="0" collapsed="false">
      <c r="A170" s="5" t="s">
        <v>294</v>
      </c>
      <c r="B170" s="5" t="s">
        <v>103</v>
      </c>
      <c r="C170" s="5" t="s">
        <v>100</v>
      </c>
      <c r="D170" s="5" t="s">
        <v>28</v>
      </c>
      <c r="E170" s="5" t="s">
        <v>29</v>
      </c>
      <c r="F170" s="5" t="s">
        <v>163</v>
      </c>
      <c r="G170" s="5" t="s">
        <v>31</v>
      </c>
      <c r="H170" s="5" t="s">
        <v>8</v>
      </c>
      <c r="I170" s="10" t="n">
        <v>166000</v>
      </c>
      <c r="J170" s="12"/>
      <c r="K170" s="5" t="s">
        <v>33</v>
      </c>
      <c r="L170" s="5" t="s">
        <v>34</v>
      </c>
      <c r="M170" s="6" t="n">
        <v>45680</v>
      </c>
      <c r="N170" s="6"/>
      <c r="O170" s="6"/>
      <c r="P170" s="5" t="s">
        <v>255</v>
      </c>
      <c r="Q170" s="5" t="s">
        <v>36</v>
      </c>
      <c r="R170" s="16" t="s">
        <v>37</v>
      </c>
      <c r="S170" s="5" t="n">
        <v>40</v>
      </c>
      <c r="T170" s="5" t="s">
        <v>38</v>
      </c>
      <c r="U170" s="8" t="str">
        <f aca="false">IF(AND(TRIM(E170)="US",TRIM(G170)="Non-Exempt"),"US Non-Exempt EEs","")</f>
        <v/>
      </c>
      <c r="V170" s="8" t="str">
        <f aca="false">IF(AND(TRIM(E170)="US",TRIM(G170)="Non-Exempt"),IF(TRIM(D170)="CA","US California Non-Exempt","US Non-California Non-Exempt"),"")</f>
        <v/>
      </c>
      <c r="W170" s="8" t="str">
        <f aca="false">_xlfn.XLOOKUP(X170,ShiftCodes[Code],ShiftCodes[Work Schedule],"Unknown code")</f>
        <v>Standard (Mon–Fri 9:00–17:30)</v>
      </c>
      <c r="X170" s="9" t="s">
        <v>39</v>
      </c>
      <c r="Y170" s="5"/>
    </row>
    <row r="171" customFormat="false" ht="15" hidden="false" customHeight="false" outlineLevel="0" collapsed="false">
      <c r="A171" s="5" t="s">
        <v>295</v>
      </c>
      <c r="B171" s="5" t="s">
        <v>112</v>
      </c>
      <c r="C171" s="5" t="s">
        <v>41</v>
      </c>
      <c r="D171" s="5" t="s">
        <v>185</v>
      </c>
      <c r="E171" s="5" t="s">
        <v>29</v>
      </c>
      <c r="F171" s="5" t="s">
        <v>124</v>
      </c>
      <c r="G171" s="5" t="s">
        <v>31</v>
      </c>
      <c r="H171" s="5" t="s">
        <v>8</v>
      </c>
      <c r="I171" s="10" t="n">
        <v>118000</v>
      </c>
      <c r="J171" s="12"/>
      <c r="K171" s="5" t="s">
        <v>33</v>
      </c>
      <c r="L171" s="5" t="s">
        <v>34</v>
      </c>
      <c r="M171" s="6" t="n">
        <v>45681</v>
      </c>
      <c r="N171" s="6"/>
      <c r="O171" s="6"/>
      <c r="P171" s="5" t="s">
        <v>143</v>
      </c>
      <c r="Q171" s="5" t="s">
        <v>36</v>
      </c>
      <c r="R171" s="16" t="s">
        <v>37</v>
      </c>
      <c r="S171" s="5" t="n">
        <v>40</v>
      </c>
      <c r="T171" s="5" t="s">
        <v>38</v>
      </c>
      <c r="U171" s="8" t="str">
        <f aca="false">IF(AND(TRIM(E171)="US",TRIM(G171)="Non-Exempt"),"US Non-Exempt EEs","")</f>
        <v/>
      </c>
      <c r="V171" s="8" t="str">
        <f aca="false">IF(AND(TRIM(E171)="US",TRIM(G171)="Non-Exempt"),IF(TRIM(D171)="CA","US California Non-Exempt","US Non-California Non-Exempt"),"")</f>
        <v/>
      </c>
      <c r="W171" s="8" t="str">
        <f aca="false">_xlfn.XLOOKUP(X171,ShiftCodes[Code],ShiftCodes[Work Schedule],"Unknown code")</f>
        <v>Standard (Mon–Fri 9:00–17:30)</v>
      </c>
      <c r="X171" s="9" t="s">
        <v>39</v>
      </c>
      <c r="Y171" s="5"/>
    </row>
    <row r="172" customFormat="false" ht="15" hidden="false" customHeight="false" outlineLevel="0" collapsed="false">
      <c r="A172" s="5" t="s">
        <v>296</v>
      </c>
      <c r="B172" s="5" t="s">
        <v>103</v>
      </c>
      <c r="C172" s="5" t="s">
        <v>100</v>
      </c>
      <c r="D172" s="5" t="s">
        <v>28</v>
      </c>
      <c r="E172" s="5" t="s">
        <v>29</v>
      </c>
      <c r="F172" s="5" t="s">
        <v>165</v>
      </c>
      <c r="G172" s="5" t="s">
        <v>31</v>
      </c>
      <c r="H172" s="5" t="s">
        <v>8</v>
      </c>
      <c r="I172" s="10" t="n">
        <v>196000</v>
      </c>
      <c r="J172" s="12"/>
      <c r="K172" s="5" t="s">
        <v>33</v>
      </c>
      <c r="L172" s="5" t="s">
        <v>34</v>
      </c>
      <c r="M172" s="6" t="n">
        <v>45683</v>
      </c>
      <c r="N172" s="6"/>
      <c r="O172" s="6"/>
      <c r="P172" s="5" t="s">
        <v>255</v>
      </c>
      <c r="Q172" s="5" t="s">
        <v>36</v>
      </c>
      <c r="R172" s="16" t="s">
        <v>37</v>
      </c>
      <c r="S172" s="5" t="n">
        <v>40</v>
      </c>
      <c r="T172" s="5" t="s">
        <v>38</v>
      </c>
      <c r="U172" s="8" t="str">
        <f aca="false">IF(AND(TRIM(E172)="US",TRIM(G172)="Non-Exempt"),"US Non-Exempt EEs","")</f>
        <v/>
      </c>
      <c r="V172" s="8" t="str">
        <f aca="false">IF(AND(TRIM(E172)="US",TRIM(G172)="Non-Exempt"),IF(TRIM(D172)="CA","US California Non-Exempt","US Non-California Non-Exempt"),"")</f>
        <v/>
      </c>
      <c r="W172" s="8" t="str">
        <f aca="false">_xlfn.XLOOKUP(X172,ShiftCodes[Code],ShiftCodes[Work Schedule],"Unknown code")</f>
        <v>Standard (Mon–Fri 9:00–17:30)</v>
      </c>
      <c r="X172" s="9" t="s">
        <v>39</v>
      </c>
      <c r="Y172" s="5"/>
    </row>
    <row r="173" customFormat="false" ht="15" hidden="false" customHeight="false" outlineLevel="0" collapsed="false">
      <c r="A173" s="5" t="s">
        <v>297</v>
      </c>
      <c r="B173" s="5" t="s">
        <v>109</v>
      </c>
      <c r="C173" s="5" t="s">
        <v>76</v>
      </c>
      <c r="D173" s="5" t="s">
        <v>28</v>
      </c>
      <c r="E173" s="5" t="s">
        <v>29</v>
      </c>
      <c r="F173" s="5" t="s">
        <v>132</v>
      </c>
      <c r="G173" s="5" t="s">
        <v>78</v>
      </c>
      <c r="H173" s="5" t="s">
        <v>79</v>
      </c>
      <c r="I173" s="10"/>
      <c r="J173" s="12" t="n">
        <v>47.5</v>
      </c>
      <c r="K173" s="5" t="s">
        <v>33</v>
      </c>
      <c r="L173" s="5" t="s">
        <v>80</v>
      </c>
      <c r="M173" s="6" t="n">
        <v>45685</v>
      </c>
      <c r="N173" s="6"/>
      <c r="O173" s="6"/>
      <c r="P173" s="5" t="s">
        <v>128</v>
      </c>
      <c r="Q173" s="5" t="s">
        <v>36</v>
      </c>
      <c r="R173" s="16" t="s">
        <v>37</v>
      </c>
      <c r="S173" s="5" t="n">
        <v>36</v>
      </c>
      <c r="T173" s="5" t="s">
        <v>38</v>
      </c>
      <c r="U173" s="8" t="str">
        <f aca="false">IF(AND(TRIM(E173)="US",TRIM(G173)="Non-Exempt"),"US Non-Exempt EEs","")</f>
        <v>US Non-Exempt EEs</v>
      </c>
      <c r="V173" s="8" t="str">
        <f aca="false">IF(AND(TRIM(E173)="US",TRIM(G173)="Non-Exempt"),IF(TRIM(D173)="CA","US California Non-Exempt","US Non-California Non-Exempt"),"")</f>
        <v>US California Non-Exempt</v>
      </c>
      <c r="W173" s="8" t="str">
        <f aca="false">_xlfn.XLOOKUP(X173,ShiftCodes[Code],ShiftCodes[Work Schedule],"Unknown code")</f>
        <v>Shift D – Weekend (Fri–Sun 06:00–18:30)</v>
      </c>
      <c r="X173" s="9" t="s">
        <v>151</v>
      </c>
      <c r="Y173" s="5"/>
    </row>
    <row r="174" customFormat="false" ht="15" hidden="false" customHeight="false" outlineLevel="0" collapsed="false">
      <c r="A174" s="5" t="s">
        <v>298</v>
      </c>
      <c r="B174" s="5" t="s">
        <v>99</v>
      </c>
      <c r="C174" s="5" t="s">
        <v>180</v>
      </c>
      <c r="D174" s="5" t="s">
        <v>52</v>
      </c>
      <c r="E174" s="5" t="s">
        <v>52</v>
      </c>
      <c r="F174" s="5" t="s">
        <v>163</v>
      </c>
      <c r="G174" s="5" t="s">
        <v>31</v>
      </c>
      <c r="H174" s="5" t="s">
        <v>8</v>
      </c>
      <c r="I174" s="10" t="n">
        <v>82000</v>
      </c>
      <c r="J174" s="19"/>
      <c r="K174" s="5" t="s">
        <v>55</v>
      </c>
      <c r="L174" s="5" t="s">
        <v>56</v>
      </c>
      <c r="M174" s="6" t="n">
        <v>45687</v>
      </c>
      <c r="N174" s="6"/>
      <c r="O174" s="6"/>
      <c r="P174" s="5" t="s">
        <v>191</v>
      </c>
      <c r="Q174" s="5" t="s">
        <v>36</v>
      </c>
      <c r="R174" s="16" t="s">
        <v>37</v>
      </c>
      <c r="S174" s="5" t="n">
        <v>37.5</v>
      </c>
      <c r="T174" s="5" t="s">
        <v>38</v>
      </c>
      <c r="U174" s="8" t="str">
        <f aca="false">IF(AND(TRIM(E174)="US",TRIM(G174)="Non-Exempt"),"US Non-Exempt EEs","")</f>
        <v/>
      </c>
      <c r="V174" s="8" t="str">
        <f aca="false">IF(AND(TRIM(E174)="US",TRIM(G174)="Non-Exempt"),IF(TRIM(D174)="CA","US California Non-Exempt","US Non-California Non-Exempt"),"")</f>
        <v/>
      </c>
      <c r="W174" s="8" t="str">
        <f aca="false">_xlfn.XLOOKUP(X174,ShiftCodes[Code],ShiftCodes[Work Schedule],"Unknown code")</f>
        <v>Standard (Mon–Fri 9:00–17:30)</v>
      </c>
      <c r="X174" s="9" t="s">
        <v>39</v>
      </c>
      <c r="Y174" s="5"/>
    </row>
    <row r="175" customFormat="false" ht="15" hidden="false" customHeight="false" outlineLevel="0" collapsed="false">
      <c r="A175" s="5" t="s">
        <v>299</v>
      </c>
      <c r="B175" s="5" t="s">
        <v>112</v>
      </c>
      <c r="C175" s="5" t="s">
        <v>224</v>
      </c>
      <c r="D175" s="5" t="s">
        <v>225</v>
      </c>
      <c r="E175" s="5" t="s">
        <v>70</v>
      </c>
      <c r="F175" s="5" t="s">
        <v>156</v>
      </c>
      <c r="G175" s="5" t="s">
        <v>31</v>
      </c>
      <c r="H175" s="5" t="s">
        <v>8</v>
      </c>
      <c r="I175" s="17" t="n">
        <v>5870000</v>
      </c>
      <c r="J175" s="18"/>
      <c r="K175" s="5" t="s">
        <v>72</v>
      </c>
      <c r="L175" s="5" t="s">
        <v>73</v>
      </c>
      <c r="M175" s="6" t="n">
        <v>45706</v>
      </c>
      <c r="N175" s="6"/>
      <c r="O175" s="6"/>
      <c r="P175" s="5" t="s">
        <v>223</v>
      </c>
      <c r="Q175" s="5" t="s">
        <v>36</v>
      </c>
      <c r="R175" s="16" t="s">
        <v>37</v>
      </c>
      <c r="S175" s="5" t="n">
        <v>40</v>
      </c>
      <c r="T175" s="5" t="s">
        <v>38</v>
      </c>
      <c r="U175" s="8" t="str">
        <f aca="false">IF(AND(TRIM(E175)="US",TRIM(G175)="Non-Exempt"),"US Non-Exempt EEs","")</f>
        <v/>
      </c>
      <c r="V175" s="8" t="str">
        <f aca="false">IF(AND(TRIM(E175)="US",TRIM(G175)="Non-Exempt"),IF(TRIM(D175)="CA","US California Non-Exempt","US Non-California Non-Exempt"),"")</f>
        <v/>
      </c>
      <c r="W175" s="8" t="str">
        <f aca="false">_xlfn.XLOOKUP(X175,ShiftCodes[Code],ShiftCodes[Work Schedule],"Unknown code")</f>
        <v>Standard (Mon–Fri 9:00–17:30)</v>
      </c>
      <c r="X175" s="9" t="s">
        <v>39</v>
      </c>
      <c r="Y175" s="5"/>
    </row>
    <row r="176" customFormat="false" ht="15" hidden="false" customHeight="false" outlineLevel="0" collapsed="false">
      <c r="A176" s="5" t="s">
        <v>300</v>
      </c>
      <c r="B176" s="5" t="s">
        <v>112</v>
      </c>
      <c r="C176" s="5" t="s">
        <v>224</v>
      </c>
      <c r="D176" s="5" t="s">
        <v>225</v>
      </c>
      <c r="E176" s="5" t="s">
        <v>70</v>
      </c>
      <c r="F176" s="5" t="s">
        <v>149</v>
      </c>
      <c r="G176" s="5" t="s">
        <v>31</v>
      </c>
      <c r="H176" s="5" t="s">
        <v>8</v>
      </c>
      <c r="I176" s="17" t="n">
        <v>1350000</v>
      </c>
      <c r="J176" s="18"/>
      <c r="K176" s="5" t="s">
        <v>72</v>
      </c>
      <c r="L176" s="5" t="s">
        <v>73</v>
      </c>
      <c r="M176" s="6" t="n">
        <v>45708</v>
      </c>
      <c r="N176" s="6"/>
      <c r="O176" s="6"/>
      <c r="P176" s="5" t="s">
        <v>223</v>
      </c>
      <c r="Q176" s="5" t="s">
        <v>36</v>
      </c>
      <c r="R176" s="16" t="s">
        <v>37</v>
      </c>
      <c r="S176" s="5" t="n">
        <v>40</v>
      </c>
      <c r="T176" s="5" t="s">
        <v>38</v>
      </c>
      <c r="U176" s="8" t="str">
        <f aca="false">IF(AND(TRIM(E176)="US",TRIM(G176)="Non-Exempt"),"US Non-Exempt EEs","")</f>
        <v/>
      </c>
      <c r="V176" s="8" t="str">
        <f aca="false">IF(AND(TRIM(E176)="US",TRIM(G176)="Non-Exempt"),IF(TRIM(D176)="CA","US California Non-Exempt","US Non-California Non-Exempt"),"")</f>
        <v/>
      </c>
      <c r="W176" s="8" t="str">
        <f aca="false">_xlfn.XLOOKUP(X176,ShiftCodes[Code],ShiftCodes[Work Schedule],"Unknown code")</f>
        <v>Standard (Mon–Fri 9:00–17:30)</v>
      </c>
      <c r="X176" s="9" t="s">
        <v>39</v>
      </c>
      <c r="Y176" s="5"/>
    </row>
    <row r="177" customFormat="false" ht="15" hidden="false" customHeight="false" outlineLevel="0" collapsed="false">
      <c r="A177" s="5" t="s">
        <v>301</v>
      </c>
      <c r="B177" s="5" t="s">
        <v>112</v>
      </c>
      <c r="C177" s="5" t="s">
        <v>41</v>
      </c>
      <c r="D177" s="5" t="s">
        <v>154</v>
      </c>
      <c r="E177" s="5" t="s">
        <v>29</v>
      </c>
      <c r="F177" s="5" t="s">
        <v>163</v>
      </c>
      <c r="G177" s="5" t="s">
        <v>31</v>
      </c>
      <c r="H177" s="5" t="s">
        <v>8</v>
      </c>
      <c r="I177" s="10" t="n">
        <v>172000</v>
      </c>
      <c r="J177" s="12"/>
      <c r="K177" s="5" t="s">
        <v>33</v>
      </c>
      <c r="L177" s="5" t="s">
        <v>34</v>
      </c>
      <c r="M177" s="6" t="n">
        <v>45711</v>
      </c>
      <c r="N177" s="6"/>
      <c r="O177" s="6"/>
      <c r="P177" s="5" t="s">
        <v>208</v>
      </c>
      <c r="Q177" s="5" t="s">
        <v>36</v>
      </c>
      <c r="R177" s="16" t="s">
        <v>37</v>
      </c>
      <c r="S177" s="5" t="n">
        <v>40</v>
      </c>
      <c r="T177" s="5" t="s">
        <v>38</v>
      </c>
      <c r="U177" s="8" t="str">
        <f aca="false">IF(AND(TRIM(E177)="US",TRIM(G177)="Non-Exempt"),"US Non-Exempt EEs","")</f>
        <v/>
      </c>
      <c r="V177" s="8" t="str">
        <f aca="false">IF(AND(TRIM(E177)="US",TRIM(G177)="Non-Exempt"),IF(TRIM(D177)="CA","US California Non-Exempt","US Non-California Non-Exempt"),"")</f>
        <v/>
      </c>
      <c r="W177" s="8" t="str">
        <f aca="false">_xlfn.XLOOKUP(X177,ShiftCodes[Code],ShiftCodes[Work Schedule],"Unknown code")</f>
        <v>Standard (Mon–Fri 9:00–17:30)</v>
      </c>
      <c r="X177" s="9" t="s">
        <v>39</v>
      </c>
      <c r="Y177" s="5"/>
    </row>
    <row r="178" customFormat="false" ht="15" hidden="false" customHeight="false" outlineLevel="0" collapsed="false">
      <c r="A178" s="5" t="s">
        <v>302</v>
      </c>
      <c r="B178" s="5" t="s">
        <v>112</v>
      </c>
      <c r="C178" s="5" t="s">
        <v>180</v>
      </c>
      <c r="D178" s="5" t="s">
        <v>52</v>
      </c>
      <c r="E178" s="5" t="s">
        <v>52</v>
      </c>
      <c r="F178" s="5" t="s">
        <v>149</v>
      </c>
      <c r="G178" s="5" t="s">
        <v>31</v>
      </c>
      <c r="H178" s="5" t="s">
        <v>8</v>
      </c>
      <c r="I178" s="10" t="n">
        <v>57000</v>
      </c>
      <c r="J178" s="19"/>
      <c r="K178" s="5" t="s">
        <v>55</v>
      </c>
      <c r="L178" s="5" t="s">
        <v>56</v>
      </c>
      <c r="M178" s="6" t="n">
        <v>45716</v>
      </c>
      <c r="N178" s="6"/>
      <c r="O178" s="6"/>
      <c r="P178" s="5" t="s">
        <v>179</v>
      </c>
      <c r="Q178" s="5" t="s">
        <v>36</v>
      </c>
      <c r="R178" s="16" t="s">
        <v>37</v>
      </c>
      <c r="S178" s="5" t="n">
        <v>37.5</v>
      </c>
      <c r="T178" s="5" t="s">
        <v>38</v>
      </c>
      <c r="U178" s="8" t="str">
        <f aca="false">IF(AND(TRIM(E178)="US",TRIM(G178)="Non-Exempt"),"US Non-Exempt EEs","")</f>
        <v/>
      </c>
      <c r="V178" s="8" t="str">
        <f aca="false">IF(AND(TRIM(E178)="US",TRIM(G178)="Non-Exempt"),IF(TRIM(D178)="CA","US California Non-Exempt","US Non-California Non-Exempt"),"")</f>
        <v/>
      </c>
      <c r="W178" s="8" t="str">
        <f aca="false">_xlfn.XLOOKUP(X178,ShiftCodes[Code],ShiftCodes[Work Schedule],"Unknown code")</f>
        <v>Standard (Mon–Fri 9:00–17:30)</v>
      </c>
      <c r="X178" s="9" t="s">
        <v>39</v>
      </c>
      <c r="Y178" s="5"/>
    </row>
    <row r="179" customFormat="false" ht="15" hidden="false" customHeight="false" outlineLevel="0" collapsed="false">
      <c r="A179" s="5" t="s">
        <v>303</v>
      </c>
      <c r="B179" s="5" t="s">
        <v>112</v>
      </c>
      <c r="C179" s="5" t="s">
        <v>100</v>
      </c>
      <c r="D179" s="5" t="s">
        <v>28</v>
      </c>
      <c r="E179" s="5" t="s">
        <v>29</v>
      </c>
      <c r="F179" s="5" t="s">
        <v>163</v>
      </c>
      <c r="G179" s="5" t="s">
        <v>31</v>
      </c>
      <c r="H179" s="5" t="s">
        <v>8</v>
      </c>
      <c r="I179" s="10" t="n">
        <v>168000</v>
      </c>
      <c r="J179" s="12"/>
      <c r="K179" s="5" t="s">
        <v>33</v>
      </c>
      <c r="L179" s="5" t="s">
        <v>34</v>
      </c>
      <c r="M179" s="6" t="n">
        <v>45716</v>
      </c>
      <c r="N179" s="6"/>
      <c r="O179" s="6"/>
      <c r="P179" s="5" t="s">
        <v>204</v>
      </c>
      <c r="Q179" s="5" t="s">
        <v>36</v>
      </c>
      <c r="R179" s="16" t="s">
        <v>37</v>
      </c>
      <c r="S179" s="5" t="n">
        <v>40</v>
      </c>
      <c r="T179" s="5" t="s">
        <v>38</v>
      </c>
      <c r="U179" s="8" t="str">
        <f aca="false">IF(AND(TRIM(E179)="US",TRIM(G179)="Non-Exempt"),"US Non-Exempt EEs","")</f>
        <v/>
      </c>
      <c r="V179" s="8" t="str">
        <f aca="false">IF(AND(TRIM(E179)="US",TRIM(G179)="Non-Exempt"),IF(TRIM(D179)="CA","US California Non-Exempt","US Non-California Non-Exempt"),"")</f>
        <v/>
      </c>
      <c r="W179" s="8" t="str">
        <f aca="false">_xlfn.XLOOKUP(X179,ShiftCodes[Code],ShiftCodes[Work Schedule],"Unknown code")</f>
        <v>Standard (Mon–Fri 9:00–17:30)</v>
      </c>
      <c r="X179" s="9" t="s">
        <v>39</v>
      </c>
      <c r="Y179" s="5"/>
    </row>
    <row r="180" customFormat="false" ht="15" hidden="false" customHeight="false" outlineLevel="0" collapsed="false">
      <c r="A180" s="5" t="s">
        <v>304</v>
      </c>
      <c r="B180" s="5" t="s">
        <v>112</v>
      </c>
      <c r="C180" s="5" t="s">
        <v>100</v>
      </c>
      <c r="D180" s="5" t="s">
        <v>28</v>
      </c>
      <c r="E180" s="5" t="s">
        <v>29</v>
      </c>
      <c r="F180" s="5" t="s">
        <v>149</v>
      </c>
      <c r="G180" s="5" t="s">
        <v>31</v>
      </c>
      <c r="H180" s="5" t="s">
        <v>8</v>
      </c>
      <c r="I180" s="10" t="n">
        <v>95000</v>
      </c>
      <c r="J180" s="12"/>
      <c r="K180" s="5" t="s">
        <v>33</v>
      </c>
      <c r="L180" s="5" t="s">
        <v>34</v>
      </c>
      <c r="M180" s="6" t="n">
        <v>45720</v>
      </c>
      <c r="N180" s="6"/>
      <c r="O180" s="6"/>
      <c r="P180" s="5" t="s">
        <v>229</v>
      </c>
      <c r="Q180" s="5" t="s">
        <v>36</v>
      </c>
      <c r="R180" s="16" t="s">
        <v>37</v>
      </c>
      <c r="S180" s="5" t="n">
        <v>40</v>
      </c>
      <c r="T180" s="5" t="s">
        <v>38</v>
      </c>
      <c r="U180" s="8" t="str">
        <f aca="false">IF(AND(TRIM(E180)="US",TRIM(G180)="Non-Exempt"),"US Non-Exempt EEs","")</f>
        <v/>
      </c>
      <c r="V180" s="8" t="str">
        <f aca="false">IF(AND(TRIM(E180)="US",TRIM(G180)="Non-Exempt"),IF(TRIM(D180)="CA","US California Non-Exempt","US Non-California Non-Exempt"),"")</f>
        <v/>
      </c>
      <c r="W180" s="8" t="str">
        <f aca="false">_xlfn.XLOOKUP(X180,ShiftCodes[Code],ShiftCodes[Work Schedule],"Unknown code")</f>
        <v>Standard (Mon–Fri 9:00–17:30)</v>
      </c>
      <c r="X180" s="9" t="s">
        <v>39</v>
      </c>
      <c r="Y180" s="5"/>
    </row>
    <row r="181" customFormat="false" ht="15" hidden="false" customHeight="false" outlineLevel="0" collapsed="false">
      <c r="A181" s="5" t="s">
        <v>305</v>
      </c>
      <c r="B181" s="5" t="s">
        <v>112</v>
      </c>
      <c r="C181" s="5" t="s">
        <v>41</v>
      </c>
      <c r="D181" s="5" t="s">
        <v>90</v>
      </c>
      <c r="E181" s="5" t="s">
        <v>29</v>
      </c>
      <c r="F181" s="5" t="s">
        <v>124</v>
      </c>
      <c r="G181" s="5" t="s">
        <v>31</v>
      </c>
      <c r="H181" s="5" t="s">
        <v>8</v>
      </c>
      <c r="I181" s="10" t="n">
        <v>118000</v>
      </c>
      <c r="J181" s="12"/>
      <c r="K181" s="5" t="s">
        <v>33</v>
      </c>
      <c r="L181" s="5" t="s">
        <v>34</v>
      </c>
      <c r="M181" s="6" t="n">
        <v>45735</v>
      </c>
      <c r="N181" s="6"/>
      <c r="O181" s="6"/>
      <c r="P181" s="5" t="s">
        <v>187</v>
      </c>
      <c r="Q181" s="5" t="s">
        <v>36</v>
      </c>
      <c r="R181" s="16" t="s">
        <v>37</v>
      </c>
      <c r="S181" s="5" t="n">
        <v>40</v>
      </c>
      <c r="T181" s="5" t="s">
        <v>38</v>
      </c>
      <c r="U181" s="8" t="str">
        <f aca="false">IF(AND(TRIM(E181)="US",TRIM(G181)="Non-Exempt"),"US Non-Exempt EEs","")</f>
        <v/>
      </c>
      <c r="V181" s="8" t="str">
        <f aca="false">IF(AND(TRIM(E181)="US",TRIM(G181)="Non-Exempt"),IF(TRIM(D181)="CA","US California Non-Exempt","US Non-California Non-Exempt"),"")</f>
        <v/>
      </c>
      <c r="W181" s="8" t="str">
        <f aca="false">_xlfn.XLOOKUP(X181,ShiftCodes[Code],ShiftCodes[Work Schedule],"Unknown code")</f>
        <v>Standard (Mon–Fri 9:00–17:30)</v>
      </c>
      <c r="X181" s="9" t="s">
        <v>39</v>
      </c>
      <c r="Y181" s="5"/>
    </row>
    <row r="182" customFormat="false" ht="15" hidden="false" customHeight="false" outlineLevel="0" collapsed="false">
      <c r="A182" s="5" t="s">
        <v>306</v>
      </c>
      <c r="B182" s="5" t="s">
        <v>103</v>
      </c>
      <c r="C182" s="5" t="s">
        <v>100</v>
      </c>
      <c r="D182" s="5" t="s">
        <v>28</v>
      </c>
      <c r="E182" s="5" t="s">
        <v>29</v>
      </c>
      <c r="F182" s="5" t="s">
        <v>163</v>
      </c>
      <c r="G182" s="5" t="s">
        <v>31</v>
      </c>
      <c r="H182" s="5" t="s">
        <v>8</v>
      </c>
      <c r="I182" s="10" t="n">
        <v>149000</v>
      </c>
      <c r="J182" s="12"/>
      <c r="K182" s="5" t="s">
        <v>33</v>
      </c>
      <c r="L182" s="5" t="s">
        <v>34</v>
      </c>
      <c r="M182" s="6" t="n">
        <v>45736</v>
      </c>
      <c r="N182" s="6"/>
      <c r="O182" s="6"/>
      <c r="P182" s="5" t="s">
        <v>274</v>
      </c>
      <c r="Q182" s="5" t="s">
        <v>36</v>
      </c>
      <c r="R182" s="16" t="s">
        <v>37</v>
      </c>
      <c r="S182" s="5" t="n">
        <v>40</v>
      </c>
      <c r="T182" s="5" t="s">
        <v>38</v>
      </c>
      <c r="U182" s="8" t="str">
        <f aca="false">IF(AND(TRIM(E182)="US",TRIM(G182)="Non-Exempt"),"US Non-Exempt EEs","")</f>
        <v/>
      </c>
      <c r="V182" s="8" t="str">
        <f aca="false">IF(AND(TRIM(E182)="US",TRIM(G182)="Non-Exempt"),IF(TRIM(D182)="CA","US California Non-Exempt","US Non-California Non-Exempt"),"")</f>
        <v/>
      </c>
      <c r="W182" s="8" t="str">
        <f aca="false">_xlfn.XLOOKUP(X182,ShiftCodes[Code],ShiftCodes[Work Schedule],"Unknown code")</f>
        <v>Standard (Mon–Fri 9:00–17:30)</v>
      </c>
      <c r="X182" s="9" t="s">
        <v>39</v>
      </c>
      <c r="Y182" s="5"/>
    </row>
    <row r="183" customFormat="false" ht="15" hidden="false" customHeight="false" outlineLevel="0" collapsed="false">
      <c r="A183" s="5" t="s">
        <v>307</v>
      </c>
      <c r="B183" s="5" t="s">
        <v>109</v>
      </c>
      <c r="C183" s="5" t="s">
        <v>113</v>
      </c>
      <c r="D183" s="5" t="s">
        <v>84</v>
      </c>
      <c r="E183" s="5" t="s">
        <v>29</v>
      </c>
      <c r="F183" s="5" t="s">
        <v>121</v>
      </c>
      <c r="G183" s="5" t="s">
        <v>78</v>
      </c>
      <c r="H183" s="5" t="s">
        <v>79</v>
      </c>
      <c r="I183" s="10"/>
      <c r="J183" s="12" t="n">
        <v>34.75</v>
      </c>
      <c r="K183" s="5" t="s">
        <v>33</v>
      </c>
      <c r="L183" s="5" t="s">
        <v>80</v>
      </c>
      <c r="M183" s="6" t="n">
        <v>45743</v>
      </c>
      <c r="N183" s="6"/>
      <c r="O183" s="6"/>
      <c r="P183" s="5" t="s">
        <v>202</v>
      </c>
      <c r="Q183" s="5" t="s">
        <v>36</v>
      </c>
      <c r="R183" s="16" t="s">
        <v>37</v>
      </c>
      <c r="S183" s="5" t="n">
        <v>24</v>
      </c>
      <c r="T183" s="5" t="s">
        <v>140</v>
      </c>
      <c r="U183" s="8" t="str">
        <f aca="false">IF(AND(TRIM(E183)="US",TRIM(G183)="Non-Exempt"),"US Non-Exempt EEs","")</f>
        <v>US Non-Exempt EEs</v>
      </c>
      <c r="V183" s="8" t="str">
        <f aca="false">IF(AND(TRIM(E183)="US",TRIM(G183)="Non-Exempt"),IF(TRIM(D183)="CA","US California Non-Exempt","US Non-California Non-Exempt"),"")</f>
        <v>US Non-California Non-Exempt</v>
      </c>
      <c r="W183" s="8" t="str">
        <f aca="false">_xlfn.XLOOKUP(X183,ShiftCodes[Code],ShiftCodes[Work Schedule],"Unknown code")</f>
        <v>Part-time – Day (Mon/Wed/Fri 06:00–14:30)</v>
      </c>
      <c r="X183" s="9" t="s">
        <v>141</v>
      </c>
      <c r="Y183" s="5"/>
    </row>
    <row r="184" customFormat="false" ht="15" hidden="false" customHeight="false" outlineLevel="0" collapsed="false">
      <c r="A184" s="5" t="s">
        <v>308</v>
      </c>
      <c r="B184" s="5" t="s">
        <v>99</v>
      </c>
      <c r="C184" s="5" t="s">
        <v>100</v>
      </c>
      <c r="D184" s="5" t="s">
        <v>28</v>
      </c>
      <c r="E184" s="5" t="s">
        <v>29</v>
      </c>
      <c r="F184" s="5" t="s">
        <v>119</v>
      </c>
      <c r="G184" s="5" t="s">
        <v>31</v>
      </c>
      <c r="H184" s="5" t="s">
        <v>8</v>
      </c>
      <c r="I184" s="10" t="n">
        <v>174000</v>
      </c>
      <c r="J184" s="12"/>
      <c r="K184" s="5" t="s">
        <v>33</v>
      </c>
      <c r="L184" s="5" t="s">
        <v>34</v>
      </c>
      <c r="M184" s="6" t="n">
        <v>45746</v>
      </c>
      <c r="N184" s="6"/>
      <c r="O184" s="6"/>
      <c r="P184" s="5" t="s">
        <v>152</v>
      </c>
      <c r="Q184" s="5" t="s">
        <v>36</v>
      </c>
      <c r="R184" s="16" t="s">
        <v>37</v>
      </c>
      <c r="S184" s="5" t="n">
        <v>40</v>
      </c>
      <c r="T184" s="5" t="s">
        <v>38</v>
      </c>
      <c r="U184" s="8" t="str">
        <f aca="false">IF(AND(TRIM(E184)="US",TRIM(G184)="Non-Exempt"),"US Non-Exempt EEs","")</f>
        <v/>
      </c>
      <c r="V184" s="8" t="str">
        <f aca="false">IF(AND(TRIM(E184)="US",TRIM(G184)="Non-Exempt"),IF(TRIM(D184)="CA","US California Non-Exempt","US Non-California Non-Exempt"),"")</f>
        <v/>
      </c>
      <c r="W184" s="8" t="str">
        <f aca="false">_xlfn.XLOOKUP(X184,ShiftCodes[Code],ShiftCodes[Work Schedule],"Unknown code")</f>
        <v>Standard (Mon–Fri 9:00–17:30)</v>
      </c>
      <c r="X184" s="9" t="s">
        <v>39</v>
      </c>
      <c r="Y184" s="5"/>
    </row>
    <row r="185" customFormat="false" ht="15" hidden="false" customHeight="false" outlineLevel="0" collapsed="false">
      <c r="A185" s="5" t="s">
        <v>309</v>
      </c>
      <c r="B185" s="5" t="s">
        <v>112</v>
      </c>
      <c r="C185" s="5" t="s">
        <v>100</v>
      </c>
      <c r="D185" s="5" t="s">
        <v>28</v>
      </c>
      <c r="E185" s="5" t="s">
        <v>29</v>
      </c>
      <c r="F185" s="5" t="s">
        <v>156</v>
      </c>
      <c r="G185" s="5" t="s">
        <v>31</v>
      </c>
      <c r="H185" s="5" t="s">
        <v>8</v>
      </c>
      <c r="I185" s="10" t="n">
        <v>201000</v>
      </c>
      <c r="J185" s="12"/>
      <c r="K185" s="5" t="s">
        <v>33</v>
      </c>
      <c r="L185" s="5" t="s">
        <v>34</v>
      </c>
      <c r="M185" s="6" t="n">
        <v>45749</v>
      </c>
      <c r="N185" s="6"/>
      <c r="O185" s="6"/>
      <c r="P185" s="5" t="s">
        <v>229</v>
      </c>
      <c r="Q185" s="5" t="s">
        <v>36</v>
      </c>
      <c r="R185" s="16" t="s">
        <v>37</v>
      </c>
      <c r="S185" s="5" t="n">
        <v>40</v>
      </c>
      <c r="T185" s="5" t="s">
        <v>38</v>
      </c>
      <c r="U185" s="8" t="str">
        <f aca="false">IF(AND(TRIM(E185)="US",TRIM(G185)="Non-Exempt"),"US Non-Exempt EEs","")</f>
        <v/>
      </c>
      <c r="V185" s="8" t="str">
        <f aca="false">IF(AND(TRIM(E185)="US",TRIM(G185)="Non-Exempt"),IF(TRIM(D185)="CA","US California Non-Exempt","US Non-California Non-Exempt"),"")</f>
        <v/>
      </c>
      <c r="W185" s="8" t="str">
        <f aca="false">_xlfn.XLOOKUP(X185,ShiftCodes[Code],ShiftCodes[Work Schedule],"Unknown code")</f>
        <v>Standard (Mon–Fri 9:00–17:30)</v>
      </c>
      <c r="X185" s="9" t="s">
        <v>39</v>
      </c>
      <c r="Y185" s="5"/>
    </row>
    <row r="186" customFormat="false" ht="15" hidden="false" customHeight="false" outlineLevel="0" collapsed="false">
      <c r="A186" s="5" t="s">
        <v>310</v>
      </c>
      <c r="B186" s="5" t="s">
        <v>112</v>
      </c>
      <c r="C186" s="5" t="s">
        <v>106</v>
      </c>
      <c r="D186" s="5" t="s">
        <v>42</v>
      </c>
      <c r="E186" s="5" t="s">
        <v>29</v>
      </c>
      <c r="F186" s="5" t="s">
        <v>165</v>
      </c>
      <c r="G186" s="5" t="s">
        <v>31</v>
      </c>
      <c r="H186" s="5" t="s">
        <v>8</v>
      </c>
      <c r="I186" s="10" t="n">
        <v>192000</v>
      </c>
      <c r="J186" s="12"/>
      <c r="K186" s="5" t="s">
        <v>33</v>
      </c>
      <c r="L186" s="5" t="s">
        <v>34</v>
      </c>
      <c r="M186" s="6" t="n">
        <v>45750</v>
      </c>
      <c r="N186" s="6"/>
      <c r="O186" s="6"/>
      <c r="P186" s="5" t="s">
        <v>182</v>
      </c>
      <c r="Q186" s="5" t="s">
        <v>36</v>
      </c>
      <c r="R186" s="16" t="s">
        <v>37</v>
      </c>
      <c r="S186" s="5" t="n">
        <v>40</v>
      </c>
      <c r="T186" s="5" t="s">
        <v>38</v>
      </c>
      <c r="U186" s="8" t="str">
        <f aca="false">IF(AND(TRIM(E186)="US",TRIM(G186)="Non-Exempt"),"US Non-Exempt EEs","")</f>
        <v/>
      </c>
      <c r="V186" s="8" t="str">
        <f aca="false">IF(AND(TRIM(E186)="US",TRIM(G186)="Non-Exempt"),IF(TRIM(D186)="CA","US California Non-Exempt","US Non-California Non-Exempt"),"")</f>
        <v/>
      </c>
      <c r="W186" s="8" t="str">
        <f aca="false">_xlfn.XLOOKUP(X186,ShiftCodes[Code],ShiftCodes[Work Schedule],"Unknown code")</f>
        <v>Standard (Mon–Fri 9:00–17:30)</v>
      </c>
      <c r="X186" s="9" t="s">
        <v>39</v>
      </c>
      <c r="Y186" s="5"/>
    </row>
    <row r="187" customFormat="false" ht="15" hidden="false" customHeight="false" outlineLevel="0" collapsed="false">
      <c r="A187" s="5" t="s">
        <v>311</v>
      </c>
      <c r="B187" s="5" t="s">
        <v>99</v>
      </c>
      <c r="C187" s="5" t="s">
        <v>100</v>
      </c>
      <c r="D187" s="5" t="s">
        <v>28</v>
      </c>
      <c r="E187" s="5" t="s">
        <v>29</v>
      </c>
      <c r="F187" s="5" t="s">
        <v>124</v>
      </c>
      <c r="G187" s="5" t="s">
        <v>31</v>
      </c>
      <c r="H187" s="5" t="s">
        <v>8</v>
      </c>
      <c r="I187" s="10" t="n">
        <v>105000</v>
      </c>
      <c r="J187" s="12"/>
      <c r="K187" s="5" t="s">
        <v>33</v>
      </c>
      <c r="L187" s="5" t="s">
        <v>34</v>
      </c>
      <c r="M187" s="6" t="n">
        <v>45750</v>
      </c>
      <c r="N187" s="6"/>
      <c r="O187" s="6"/>
      <c r="P187" s="5" t="s">
        <v>186</v>
      </c>
      <c r="Q187" s="5" t="s">
        <v>36</v>
      </c>
      <c r="R187" s="16" t="s">
        <v>37</v>
      </c>
      <c r="S187" s="5" t="n">
        <v>40</v>
      </c>
      <c r="T187" s="5" t="s">
        <v>38</v>
      </c>
      <c r="U187" s="8" t="str">
        <f aca="false">IF(AND(TRIM(E187)="US",TRIM(G187)="Non-Exempt"),"US Non-Exempt EEs","")</f>
        <v/>
      </c>
      <c r="V187" s="8" t="str">
        <f aca="false">IF(AND(TRIM(E187)="US",TRIM(G187)="Non-Exempt"),IF(TRIM(D187)="CA","US California Non-Exempt","US Non-California Non-Exempt"),"")</f>
        <v/>
      </c>
      <c r="W187" s="8" t="str">
        <f aca="false">_xlfn.XLOOKUP(X187,ShiftCodes[Code],ShiftCodes[Work Schedule],"Unknown code")</f>
        <v>Standard (Mon–Fri 9:00–17:30)</v>
      </c>
      <c r="X187" s="9" t="s">
        <v>39</v>
      </c>
      <c r="Y187" s="5"/>
    </row>
    <row r="188" customFormat="false" ht="15" hidden="false" customHeight="false" outlineLevel="0" collapsed="false">
      <c r="A188" s="5" t="s">
        <v>312</v>
      </c>
      <c r="B188" s="5" t="s">
        <v>103</v>
      </c>
      <c r="C188" s="5" t="s">
        <v>100</v>
      </c>
      <c r="D188" s="5" t="s">
        <v>28</v>
      </c>
      <c r="E188" s="5" t="s">
        <v>29</v>
      </c>
      <c r="F188" s="5" t="s">
        <v>163</v>
      </c>
      <c r="G188" s="5" t="s">
        <v>31</v>
      </c>
      <c r="H188" s="5" t="s">
        <v>8</v>
      </c>
      <c r="I188" s="10" t="n">
        <v>143000</v>
      </c>
      <c r="J188" s="12"/>
      <c r="K188" s="5" t="s">
        <v>33</v>
      </c>
      <c r="L188" s="5" t="s">
        <v>34</v>
      </c>
      <c r="M188" s="6" t="n">
        <v>45753</v>
      </c>
      <c r="N188" s="6"/>
      <c r="O188" s="6"/>
      <c r="P188" s="5" t="s">
        <v>274</v>
      </c>
      <c r="Q188" s="5" t="s">
        <v>36</v>
      </c>
      <c r="R188" s="16" t="s">
        <v>37</v>
      </c>
      <c r="S188" s="5" t="n">
        <v>40</v>
      </c>
      <c r="T188" s="5" t="s">
        <v>38</v>
      </c>
      <c r="U188" s="8" t="str">
        <f aca="false">IF(AND(TRIM(E188)="US",TRIM(G188)="Non-Exempt"),"US Non-Exempt EEs","")</f>
        <v/>
      </c>
      <c r="V188" s="8" t="str">
        <f aca="false">IF(AND(TRIM(E188)="US",TRIM(G188)="Non-Exempt"),IF(TRIM(D188)="CA","US California Non-Exempt","US Non-California Non-Exempt"),"")</f>
        <v/>
      </c>
      <c r="W188" s="8" t="str">
        <f aca="false">_xlfn.XLOOKUP(X188,ShiftCodes[Code],ShiftCodes[Work Schedule],"Unknown code")</f>
        <v>Standard (Mon–Fri 9:00–17:30)</v>
      </c>
      <c r="X188" s="9" t="s">
        <v>39</v>
      </c>
      <c r="Y188" s="5"/>
    </row>
    <row r="189" customFormat="false" ht="15" hidden="false" customHeight="false" outlineLevel="0" collapsed="false">
      <c r="A189" s="5" t="s">
        <v>313</v>
      </c>
      <c r="B189" s="5" t="s">
        <v>109</v>
      </c>
      <c r="C189" s="5" t="s">
        <v>76</v>
      </c>
      <c r="D189" s="5" t="s">
        <v>28</v>
      </c>
      <c r="E189" s="5" t="s">
        <v>29</v>
      </c>
      <c r="F189" s="5" t="s">
        <v>149</v>
      </c>
      <c r="G189" s="5" t="s">
        <v>31</v>
      </c>
      <c r="H189" s="5" t="s">
        <v>8</v>
      </c>
      <c r="I189" s="10" t="n">
        <v>111000</v>
      </c>
      <c r="J189" s="12"/>
      <c r="K189" s="5" t="s">
        <v>33</v>
      </c>
      <c r="L189" s="5" t="s">
        <v>34</v>
      </c>
      <c r="M189" s="6" t="n">
        <v>45757</v>
      </c>
      <c r="N189" s="6"/>
      <c r="O189" s="6"/>
      <c r="P189" s="5" t="s">
        <v>200</v>
      </c>
      <c r="Q189" s="5" t="s">
        <v>36</v>
      </c>
      <c r="R189" s="16" t="s">
        <v>37</v>
      </c>
      <c r="S189" s="5" t="n">
        <v>40</v>
      </c>
      <c r="T189" s="5" t="s">
        <v>38</v>
      </c>
      <c r="U189" s="8" t="str">
        <f aca="false">IF(AND(TRIM(E189)="US",TRIM(G189)="Non-Exempt"),"US Non-Exempt EEs","")</f>
        <v/>
      </c>
      <c r="V189" s="8" t="str">
        <f aca="false">IF(AND(TRIM(E189)="US",TRIM(G189)="Non-Exempt"),IF(TRIM(D189)="CA","US California Non-Exempt","US Non-California Non-Exempt"),"")</f>
        <v/>
      </c>
      <c r="W189" s="8" t="str">
        <f aca="false">_xlfn.XLOOKUP(X189,ShiftCodes[Code],ShiftCodes[Work Schedule],"Unknown code")</f>
        <v>Standard (Mon–Fri 9:00–17:30)</v>
      </c>
      <c r="X189" s="9" t="s">
        <v>39</v>
      </c>
      <c r="Y189" s="5"/>
    </row>
    <row r="190" customFormat="false" ht="15" hidden="false" customHeight="false" outlineLevel="0" collapsed="false">
      <c r="A190" s="5" t="s">
        <v>314</v>
      </c>
      <c r="B190" s="5" t="s">
        <v>99</v>
      </c>
      <c r="C190" s="5" t="s">
        <v>41</v>
      </c>
      <c r="D190" s="5" t="s">
        <v>266</v>
      </c>
      <c r="E190" s="5" t="s">
        <v>29</v>
      </c>
      <c r="F190" s="5" t="s">
        <v>163</v>
      </c>
      <c r="G190" s="5" t="s">
        <v>31</v>
      </c>
      <c r="H190" s="5" t="s">
        <v>8</v>
      </c>
      <c r="I190" s="10" t="n">
        <v>122000</v>
      </c>
      <c r="J190" s="12"/>
      <c r="K190" s="5" t="s">
        <v>33</v>
      </c>
      <c r="L190" s="5" t="s">
        <v>34</v>
      </c>
      <c r="M190" s="6" t="n">
        <v>45760</v>
      </c>
      <c r="N190" s="6"/>
      <c r="O190" s="6"/>
      <c r="P190" s="5" t="s">
        <v>186</v>
      </c>
      <c r="Q190" s="5" t="s">
        <v>36</v>
      </c>
      <c r="R190" s="16" t="s">
        <v>37</v>
      </c>
      <c r="S190" s="5" t="n">
        <v>40</v>
      </c>
      <c r="T190" s="5" t="s">
        <v>38</v>
      </c>
      <c r="U190" s="8" t="str">
        <f aca="false">IF(AND(TRIM(E190)="US",TRIM(G190)="Non-Exempt"),"US Non-Exempt EEs","")</f>
        <v/>
      </c>
      <c r="V190" s="8" t="str">
        <f aca="false">IF(AND(TRIM(E190)="US",TRIM(G190)="Non-Exempt"),IF(TRIM(D190)="CA","US California Non-Exempt","US Non-California Non-Exempt"),"")</f>
        <v/>
      </c>
      <c r="W190" s="8" t="str">
        <f aca="false">_xlfn.XLOOKUP(X190,ShiftCodes[Code],ShiftCodes[Work Schedule],"Unknown code")</f>
        <v>Standard (Mon–Fri 9:00–17:30)</v>
      </c>
      <c r="X190" s="9" t="s">
        <v>39</v>
      </c>
      <c r="Y190" s="5"/>
    </row>
    <row r="191" customFormat="false" ht="15" hidden="false" customHeight="false" outlineLevel="0" collapsed="false">
      <c r="A191" s="5" t="s">
        <v>315</v>
      </c>
      <c r="B191" s="5" t="s">
        <v>99</v>
      </c>
      <c r="C191" s="5" t="s">
        <v>41</v>
      </c>
      <c r="D191" s="5" t="s">
        <v>189</v>
      </c>
      <c r="E191" s="5" t="s">
        <v>29</v>
      </c>
      <c r="F191" s="5" t="s">
        <v>163</v>
      </c>
      <c r="G191" s="5" t="s">
        <v>31</v>
      </c>
      <c r="H191" s="5" t="s">
        <v>8</v>
      </c>
      <c r="I191" s="10" t="n">
        <v>122000</v>
      </c>
      <c r="J191" s="12"/>
      <c r="K191" s="5" t="s">
        <v>33</v>
      </c>
      <c r="L191" s="5" t="s">
        <v>34</v>
      </c>
      <c r="M191" s="6" t="n">
        <v>45761</v>
      </c>
      <c r="N191" s="6"/>
      <c r="O191" s="6"/>
      <c r="P191" s="5" t="s">
        <v>231</v>
      </c>
      <c r="Q191" s="5" t="s">
        <v>36</v>
      </c>
      <c r="R191" s="16" t="s">
        <v>37</v>
      </c>
      <c r="S191" s="5" t="n">
        <v>40</v>
      </c>
      <c r="T191" s="5" t="s">
        <v>38</v>
      </c>
      <c r="U191" s="8" t="str">
        <f aca="false">IF(AND(TRIM(E191)="US",TRIM(G191)="Non-Exempt"),"US Non-Exempt EEs","")</f>
        <v/>
      </c>
      <c r="V191" s="8" t="str">
        <f aca="false">IF(AND(TRIM(E191)="US",TRIM(G191)="Non-Exempt"),IF(TRIM(D191)="CA","US California Non-Exempt","US Non-California Non-Exempt"),"")</f>
        <v/>
      </c>
      <c r="W191" s="8" t="str">
        <f aca="false">_xlfn.XLOOKUP(X191,ShiftCodes[Code],ShiftCodes[Work Schedule],"Unknown code")</f>
        <v>Standard (Mon–Fri 9:00–17:30)</v>
      </c>
      <c r="X191" s="9" t="s">
        <v>39</v>
      </c>
      <c r="Y191" s="5"/>
    </row>
    <row r="192" customFormat="false" ht="15" hidden="false" customHeight="false" outlineLevel="0" collapsed="false">
      <c r="A192" s="5" t="s">
        <v>316</v>
      </c>
      <c r="B192" s="5" t="s">
        <v>103</v>
      </c>
      <c r="C192" s="5" t="s">
        <v>106</v>
      </c>
      <c r="D192" s="5" t="s">
        <v>42</v>
      </c>
      <c r="E192" s="5" t="s">
        <v>29</v>
      </c>
      <c r="F192" s="5" t="s">
        <v>163</v>
      </c>
      <c r="G192" s="5" t="s">
        <v>31</v>
      </c>
      <c r="H192" s="5" t="s">
        <v>8</v>
      </c>
      <c r="I192" s="10" t="n">
        <v>171000</v>
      </c>
      <c r="J192" s="12"/>
      <c r="K192" s="5" t="s">
        <v>33</v>
      </c>
      <c r="L192" s="5" t="s">
        <v>34</v>
      </c>
      <c r="M192" s="6" t="n">
        <v>45762</v>
      </c>
      <c r="N192" s="6"/>
      <c r="O192" s="6"/>
      <c r="P192" s="5" t="s">
        <v>122</v>
      </c>
      <c r="Q192" s="5" t="s">
        <v>36</v>
      </c>
      <c r="R192" s="16" t="s">
        <v>37</v>
      </c>
      <c r="S192" s="5" t="n">
        <v>40</v>
      </c>
      <c r="T192" s="5" t="s">
        <v>38</v>
      </c>
      <c r="U192" s="8" t="str">
        <f aca="false">IF(AND(TRIM(E192)="US",TRIM(G192)="Non-Exempt"),"US Non-Exempt EEs","")</f>
        <v/>
      </c>
      <c r="V192" s="8" t="str">
        <f aca="false">IF(AND(TRIM(E192)="US",TRIM(G192)="Non-Exempt"),IF(TRIM(D192)="CA","US California Non-Exempt","US Non-California Non-Exempt"),"")</f>
        <v/>
      </c>
      <c r="W192" s="8" t="str">
        <f aca="false">_xlfn.XLOOKUP(X192,ShiftCodes[Code],ShiftCodes[Work Schedule],"Unknown code")</f>
        <v>Standard (Mon–Fri 9:00–17:30)</v>
      </c>
      <c r="X192" s="9" t="s">
        <v>39</v>
      </c>
      <c r="Y192" s="5"/>
    </row>
    <row r="193" customFormat="false" ht="15" hidden="false" customHeight="false" outlineLevel="0" collapsed="false">
      <c r="A193" s="5" t="s">
        <v>317</v>
      </c>
      <c r="B193" s="5" t="s">
        <v>103</v>
      </c>
      <c r="C193" s="5" t="s">
        <v>41</v>
      </c>
      <c r="D193" s="5" t="s">
        <v>28</v>
      </c>
      <c r="E193" s="5" t="s">
        <v>29</v>
      </c>
      <c r="F193" s="5" t="s">
        <v>165</v>
      </c>
      <c r="G193" s="5" t="s">
        <v>31</v>
      </c>
      <c r="H193" s="5" t="s">
        <v>8</v>
      </c>
      <c r="I193" s="10" t="n">
        <v>197000</v>
      </c>
      <c r="J193" s="12"/>
      <c r="K193" s="5" t="s">
        <v>33</v>
      </c>
      <c r="L193" s="5" t="s">
        <v>34</v>
      </c>
      <c r="M193" s="6" t="n">
        <v>45772</v>
      </c>
      <c r="N193" s="6"/>
      <c r="O193" s="6"/>
      <c r="P193" s="5" t="s">
        <v>226</v>
      </c>
      <c r="Q193" s="5" t="s">
        <v>36</v>
      </c>
      <c r="R193" s="16" t="s">
        <v>37</v>
      </c>
      <c r="S193" s="5" t="n">
        <v>40</v>
      </c>
      <c r="T193" s="5" t="s">
        <v>38</v>
      </c>
      <c r="U193" s="8" t="str">
        <f aca="false">IF(AND(TRIM(E193)="US",TRIM(G193)="Non-Exempt"),"US Non-Exempt EEs","")</f>
        <v/>
      </c>
      <c r="V193" s="8" t="str">
        <f aca="false">IF(AND(TRIM(E193)="US",TRIM(G193)="Non-Exempt"),IF(TRIM(D193)="CA","US California Non-Exempt","US Non-California Non-Exempt"),"")</f>
        <v/>
      </c>
      <c r="W193" s="8" t="str">
        <f aca="false">_xlfn.XLOOKUP(X193,ShiftCodes[Code],ShiftCodes[Work Schedule],"Unknown code")</f>
        <v>Standard (Mon–Fri 9:00–17:30)</v>
      </c>
      <c r="X193" s="9" t="s">
        <v>39</v>
      </c>
      <c r="Y193" s="5"/>
    </row>
    <row r="194" customFormat="false" ht="15" hidden="false" customHeight="false" outlineLevel="0" collapsed="false">
      <c r="A194" s="5" t="s">
        <v>318</v>
      </c>
      <c r="B194" s="5" t="s">
        <v>109</v>
      </c>
      <c r="C194" s="5" t="s">
        <v>76</v>
      </c>
      <c r="D194" s="5" t="s">
        <v>28</v>
      </c>
      <c r="E194" s="5" t="s">
        <v>29</v>
      </c>
      <c r="F194" s="5" t="s">
        <v>132</v>
      </c>
      <c r="G194" s="5" t="s">
        <v>78</v>
      </c>
      <c r="H194" s="5" t="s">
        <v>79</v>
      </c>
      <c r="I194" s="10"/>
      <c r="J194" s="12" t="n">
        <v>43</v>
      </c>
      <c r="K194" s="5" t="s">
        <v>33</v>
      </c>
      <c r="L194" s="5" t="s">
        <v>80</v>
      </c>
      <c r="M194" s="6" t="n">
        <v>45775</v>
      </c>
      <c r="N194" s="6"/>
      <c r="O194" s="6"/>
      <c r="P194" s="5" t="s">
        <v>161</v>
      </c>
      <c r="Q194" s="5" t="s">
        <v>36</v>
      </c>
      <c r="R194" s="16" t="s">
        <v>37</v>
      </c>
      <c r="S194" s="5" t="n">
        <v>36</v>
      </c>
      <c r="T194" s="5" t="s">
        <v>38</v>
      </c>
      <c r="U194" s="8" t="str">
        <f aca="false">IF(AND(TRIM(E194)="US",TRIM(G194)="Non-Exempt"),"US Non-Exempt EEs","")</f>
        <v>US Non-Exempt EEs</v>
      </c>
      <c r="V194" s="8" t="str">
        <f aca="false">IF(AND(TRIM(E194)="US",TRIM(G194)="Non-Exempt"),IF(TRIM(D194)="CA","US California Non-Exempt","US Non-California Non-Exempt"),"")</f>
        <v>US California Non-Exempt</v>
      </c>
      <c r="W194" s="8" t="str">
        <f aca="false">_xlfn.XLOOKUP(X194,ShiftCodes[Code],ShiftCodes[Work Schedule],"Unknown code")</f>
        <v>Shift D – Weekend (Fri–Sun 06:00–18:30)</v>
      </c>
      <c r="X194" s="9" t="s">
        <v>151</v>
      </c>
      <c r="Y194" s="5"/>
    </row>
    <row r="195" customFormat="false" ht="15" hidden="false" customHeight="false" outlineLevel="0" collapsed="false">
      <c r="A195" s="5" t="s">
        <v>319</v>
      </c>
      <c r="B195" s="5" t="s">
        <v>112</v>
      </c>
      <c r="C195" s="5" t="s">
        <v>180</v>
      </c>
      <c r="D195" s="5" t="s">
        <v>52</v>
      </c>
      <c r="E195" s="5" t="s">
        <v>52</v>
      </c>
      <c r="F195" s="5" t="s">
        <v>163</v>
      </c>
      <c r="G195" s="5" t="s">
        <v>31</v>
      </c>
      <c r="H195" s="5" t="s">
        <v>8</v>
      </c>
      <c r="I195" s="10" t="n">
        <v>96000</v>
      </c>
      <c r="J195" s="19"/>
      <c r="K195" s="5" t="s">
        <v>55</v>
      </c>
      <c r="L195" s="5" t="s">
        <v>56</v>
      </c>
      <c r="M195" s="6" t="n">
        <v>45776</v>
      </c>
      <c r="N195" s="6"/>
      <c r="O195" s="6"/>
      <c r="P195" s="5" t="s">
        <v>179</v>
      </c>
      <c r="Q195" s="5" t="s">
        <v>36</v>
      </c>
      <c r="R195" s="16" t="s">
        <v>37</v>
      </c>
      <c r="S195" s="5" t="n">
        <v>37.5</v>
      </c>
      <c r="T195" s="5" t="s">
        <v>38</v>
      </c>
      <c r="U195" s="8" t="str">
        <f aca="false">IF(AND(TRIM(E195)="US",TRIM(G195)="Non-Exempt"),"US Non-Exempt EEs","")</f>
        <v/>
      </c>
      <c r="V195" s="8" t="str">
        <f aca="false">IF(AND(TRIM(E195)="US",TRIM(G195)="Non-Exempt"),IF(TRIM(D195)="CA","US California Non-Exempt","US Non-California Non-Exempt"),"")</f>
        <v/>
      </c>
      <c r="W195" s="8" t="str">
        <f aca="false">_xlfn.XLOOKUP(X195,ShiftCodes[Code],ShiftCodes[Work Schedule],"Unknown code")</f>
        <v>Standard (Mon–Fri 9:00–17:30)</v>
      </c>
      <c r="X195" s="9" t="s">
        <v>39</v>
      </c>
      <c r="Y195" s="5"/>
    </row>
    <row r="196" customFormat="false" ht="15" hidden="false" customHeight="false" outlineLevel="0" collapsed="false">
      <c r="A196" s="5" t="s">
        <v>320</v>
      </c>
      <c r="B196" s="5" t="s">
        <v>103</v>
      </c>
      <c r="C196" s="5" t="s">
        <v>41</v>
      </c>
      <c r="D196" s="5" t="s">
        <v>84</v>
      </c>
      <c r="E196" s="5" t="s">
        <v>29</v>
      </c>
      <c r="F196" s="5" t="s">
        <v>163</v>
      </c>
      <c r="G196" s="5" t="s">
        <v>31</v>
      </c>
      <c r="H196" s="5" t="s">
        <v>8</v>
      </c>
      <c r="I196" s="10" t="n">
        <v>143000</v>
      </c>
      <c r="J196" s="12"/>
      <c r="K196" s="5" t="s">
        <v>33</v>
      </c>
      <c r="L196" s="5" t="s">
        <v>34</v>
      </c>
      <c r="M196" s="6" t="n">
        <v>45777</v>
      </c>
      <c r="N196" s="6"/>
      <c r="O196" s="6"/>
      <c r="P196" s="5" t="s">
        <v>145</v>
      </c>
      <c r="Q196" s="5" t="s">
        <v>36</v>
      </c>
      <c r="R196" s="16" t="s">
        <v>37</v>
      </c>
      <c r="S196" s="5" t="n">
        <v>40</v>
      </c>
      <c r="T196" s="5" t="s">
        <v>38</v>
      </c>
      <c r="U196" s="8" t="str">
        <f aca="false">IF(AND(TRIM(E196)="US",TRIM(G196)="Non-Exempt"),"US Non-Exempt EEs","")</f>
        <v/>
      </c>
      <c r="V196" s="8" t="str">
        <f aca="false">IF(AND(TRIM(E196)="US",TRIM(G196)="Non-Exempt"),IF(TRIM(D196)="CA","US California Non-Exempt","US Non-California Non-Exempt"),"")</f>
        <v/>
      </c>
      <c r="W196" s="8" t="str">
        <f aca="false">_xlfn.XLOOKUP(X196,ShiftCodes[Code],ShiftCodes[Work Schedule],"Unknown code")</f>
        <v>Standard (Mon–Fri 9:00–17:30)</v>
      </c>
      <c r="X196" s="9" t="s">
        <v>39</v>
      </c>
      <c r="Y196" s="5"/>
    </row>
    <row r="197" customFormat="false" ht="15" hidden="false" customHeight="false" outlineLevel="0" collapsed="false">
      <c r="A197" s="5" t="s">
        <v>321</v>
      </c>
      <c r="B197" s="5" t="s">
        <v>112</v>
      </c>
      <c r="C197" s="5" t="s">
        <v>100</v>
      </c>
      <c r="D197" s="5" t="s">
        <v>28</v>
      </c>
      <c r="E197" s="5" t="s">
        <v>29</v>
      </c>
      <c r="F197" s="5" t="s">
        <v>165</v>
      </c>
      <c r="G197" s="5" t="s">
        <v>31</v>
      </c>
      <c r="H197" s="5" t="s">
        <v>8</v>
      </c>
      <c r="I197" s="10" t="n">
        <v>197000</v>
      </c>
      <c r="J197" s="12"/>
      <c r="K197" s="5" t="s">
        <v>33</v>
      </c>
      <c r="L197" s="5" t="s">
        <v>34</v>
      </c>
      <c r="M197" s="6" t="n">
        <v>45777</v>
      </c>
      <c r="N197" s="6"/>
      <c r="O197" s="6"/>
      <c r="P197" s="5" t="s">
        <v>204</v>
      </c>
      <c r="Q197" s="5" t="s">
        <v>36</v>
      </c>
      <c r="R197" s="16" t="s">
        <v>37</v>
      </c>
      <c r="S197" s="5" t="n">
        <v>40</v>
      </c>
      <c r="T197" s="5" t="s">
        <v>38</v>
      </c>
      <c r="U197" s="8" t="str">
        <f aca="false">IF(AND(TRIM(E197)="US",TRIM(G197)="Non-Exempt"),"US Non-Exempt EEs","")</f>
        <v/>
      </c>
      <c r="V197" s="8" t="str">
        <f aca="false">IF(AND(TRIM(E197)="US",TRIM(G197)="Non-Exempt"),IF(TRIM(D197)="CA","US California Non-Exempt","US Non-California Non-Exempt"),"")</f>
        <v/>
      </c>
      <c r="W197" s="8" t="str">
        <f aca="false">_xlfn.XLOOKUP(X197,ShiftCodes[Code],ShiftCodes[Work Schedule],"Unknown code")</f>
        <v>Standard (Mon–Fri 9:00–17:30)</v>
      </c>
      <c r="X197" s="9" t="s">
        <v>39</v>
      </c>
      <c r="Y197" s="5"/>
    </row>
    <row r="198" customFormat="false" ht="15" hidden="false" customHeight="false" outlineLevel="0" collapsed="false">
      <c r="A198" s="5" t="s">
        <v>322</v>
      </c>
      <c r="B198" s="5" t="s">
        <v>99</v>
      </c>
      <c r="C198" s="5" t="s">
        <v>100</v>
      </c>
      <c r="D198" s="5" t="s">
        <v>28</v>
      </c>
      <c r="E198" s="5" t="s">
        <v>29</v>
      </c>
      <c r="F198" s="5" t="s">
        <v>165</v>
      </c>
      <c r="G198" s="5" t="s">
        <v>31</v>
      </c>
      <c r="H198" s="5" t="s">
        <v>8</v>
      </c>
      <c r="I198" s="10" t="n">
        <v>174000</v>
      </c>
      <c r="J198" s="12"/>
      <c r="K198" s="5" t="s">
        <v>33</v>
      </c>
      <c r="L198" s="5" t="s">
        <v>34</v>
      </c>
      <c r="M198" s="6" t="n">
        <v>45779</v>
      </c>
      <c r="N198" s="6"/>
      <c r="O198" s="6"/>
      <c r="P198" s="5" t="s">
        <v>308</v>
      </c>
      <c r="Q198" s="5" t="s">
        <v>36</v>
      </c>
      <c r="R198" s="16" t="s">
        <v>37</v>
      </c>
      <c r="S198" s="5" t="n">
        <v>40</v>
      </c>
      <c r="T198" s="5" t="s">
        <v>38</v>
      </c>
      <c r="U198" s="8" t="str">
        <f aca="false">IF(AND(TRIM(E198)="US",TRIM(G198)="Non-Exempt"),"US Non-Exempt EEs","")</f>
        <v/>
      </c>
      <c r="V198" s="8" t="str">
        <f aca="false">IF(AND(TRIM(E198)="US",TRIM(G198)="Non-Exempt"),IF(TRIM(D198)="CA","US California Non-Exempt","US Non-California Non-Exempt"),"")</f>
        <v/>
      </c>
      <c r="W198" s="8" t="str">
        <f aca="false">_xlfn.XLOOKUP(X198,ShiftCodes[Code],ShiftCodes[Work Schedule],"Unknown code")</f>
        <v>Standard (Mon–Fri 9:00–17:30)</v>
      </c>
      <c r="X198" s="9" t="s">
        <v>39</v>
      </c>
      <c r="Y198" s="5"/>
    </row>
    <row r="199" customFormat="false" ht="15" hidden="false" customHeight="false" outlineLevel="0" collapsed="false">
      <c r="A199" s="5" t="s">
        <v>323</v>
      </c>
      <c r="B199" s="5" t="s">
        <v>103</v>
      </c>
      <c r="C199" s="5" t="s">
        <v>100</v>
      </c>
      <c r="D199" s="5" t="s">
        <v>28</v>
      </c>
      <c r="E199" s="5" t="s">
        <v>29</v>
      </c>
      <c r="F199" s="5" t="s">
        <v>156</v>
      </c>
      <c r="G199" s="5" t="s">
        <v>31</v>
      </c>
      <c r="H199" s="5" t="s">
        <v>8</v>
      </c>
      <c r="I199" s="10" t="n">
        <v>227000</v>
      </c>
      <c r="J199" s="12"/>
      <c r="K199" s="5" t="s">
        <v>33</v>
      </c>
      <c r="L199" s="5" t="s">
        <v>34</v>
      </c>
      <c r="M199" s="6" t="n">
        <v>45784</v>
      </c>
      <c r="N199" s="6"/>
      <c r="O199" s="6"/>
      <c r="P199" s="5" t="s">
        <v>255</v>
      </c>
      <c r="Q199" s="5" t="s">
        <v>36</v>
      </c>
      <c r="R199" s="16" t="s">
        <v>37</v>
      </c>
      <c r="S199" s="5" t="n">
        <v>40</v>
      </c>
      <c r="T199" s="5" t="s">
        <v>38</v>
      </c>
      <c r="U199" s="8" t="str">
        <f aca="false">IF(AND(TRIM(E199)="US",TRIM(G199)="Non-Exempt"),"US Non-Exempt EEs","")</f>
        <v/>
      </c>
      <c r="V199" s="8" t="str">
        <f aca="false">IF(AND(TRIM(E199)="US",TRIM(G199)="Non-Exempt"),IF(TRIM(D199)="CA","US California Non-Exempt","US Non-California Non-Exempt"),"")</f>
        <v/>
      </c>
      <c r="W199" s="8" t="str">
        <f aca="false">_xlfn.XLOOKUP(X199,ShiftCodes[Code],ShiftCodes[Work Schedule],"Unknown code")</f>
        <v>Standard (Mon–Fri 9:00–17:30)</v>
      </c>
      <c r="X199" s="9" t="s">
        <v>39</v>
      </c>
      <c r="Y199" s="5"/>
    </row>
    <row r="200" customFormat="false" ht="15" hidden="false" customHeight="false" outlineLevel="0" collapsed="false">
      <c r="A200" s="5" t="s">
        <v>324</v>
      </c>
      <c r="B200" s="5" t="s">
        <v>109</v>
      </c>
      <c r="C200" s="5" t="s">
        <v>76</v>
      </c>
      <c r="D200" s="5" t="s">
        <v>28</v>
      </c>
      <c r="E200" s="5" t="s">
        <v>29</v>
      </c>
      <c r="F200" s="5" t="s">
        <v>130</v>
      </c>
      <c r="G200" s="5" t="s">
        <v>78</v>
      </c>
      <c r="H200" s="5" t="s">
        <v>79</v>
      </c>
      <c r="I200" s="10"/>
      <c r="J200" s="12" t="n">
        <v>30.25</v>
      </c>
      <c r="K200" s="5" t="s">
        <v>33</v>
      </c>
      <c r="L200" s="5" t="s">
        <v>80</v>
      </c>
      <c r="M200" s="6" t="n">
        <v>45785</v>
      </c>
      <c r="N200" s="6"/>
      <c r="O200" s="6"/>
      <c r="P200" s="5" t="s">
        <v>128</v>
      </c>
      <c r="Q200" s="5" t="s">
        <v>36</v>
      </c>
      <c r="R200" s="16" t="s">
        <v>37</v>
      </c>
      <c r="S200" s="5" t="n">
        <v>36</v>
      </c>
      <c r="T200" s="5" t="s">
        <v>38</v>
      </c>
      <c r="U200" s="8" t="str">
        <f aca="false">IF(AND(TRIM(E200)="US",TRIM(G200)="Non-Exempt"),"US Non-Exempt EEs","")</f>
        <v>US Non-Exempt EEs</v>
      </c>
      <c r="V200" s="8" t="str">
        <f aca="false">IF(AND(TRIM(E200)="US",TRIM(G200)="Non-Exempt"),IF(TRIM(D200)="CA","US California Non-Exempt","US Non-California Non-Exempt"),"")</f>
        <v>US California Non-Exempt</v>
      </c>
      <c r="W200" s="8" t="str">
        <f aca="false">_xlfn.XLOOKUP(X200,ShiftCodes[Code],ShiftCodes[Work Schedule],"Unknown code")</f>
        <v>Shift D – Weekend (Fri–Sun 06:00–18:30)</v>
      </c>
      <c r="X200" s="9" t="s">
        <v>151</v>
      </c>
      <c r="Y200" s="5"/>
    </row>
    <row r="201" customFormat="false" ht="15" hidden="false" customHeight="false" outlineLevel="0" collapsed="false">
      <c r="A201" s="5" t="s">
        <v>325</v>
      </c>
      <c r="B201" s="5" t="s">
        <v>103</v>
      </c>
      <c r="C201" s="5" t="s">
        <v>180</v>
      </c>
      <c r="D201" s="5" t="s">
        <v>52</v>
      </c>
      <c r="E201" s="5" t="s">
        <v>52</v>
      </c>
      <c r="F201" s="5" t="s">
        <v>124</v>
      </c>
      <c r="G201" s="5" t="s">
        <v>31</v>
      </c>
      <c r="H201" s="5" t="s">
        <v>8</v>
      </c>
      <c r="I201" s="10" t="n">
        <v>68000</v>
      </c>
      <c r="J201" s="19"/>
      <c r="K201" s="5" t="s">
        <v>55</v>
      </c>
      <c r="L201" s="5" t="s">
        <v>56</v>
      </c>
      <c r="M201" s="6" t="n">
        <v>45786</v>
      </c>
      <c r="N201" s="6"/>
      <c r="O201" s="6"/>
      <c r="P201" s="5" t="s">
        <v>218</v>
      </c>
      <c r="Q201" s="5" t="s">
        <v>36</v>
      </c>
      <c r="R201" s="16" t="s">
        <v>37</v>
      </c>
      <c r="S201" s="5" t="n">
        <v>37.5</v>
      </c>
      <c r="T201" s="5" t="s">
        <v>38</v>
      </c>
      <c r="U201" s="8" t="str">
        <f aca="false">IF(AND(TRIM(E201)="US",TRIM(G201)="Non-Exempt"),"US Non-Exempt EEs","")</f>
        <v/>
      </c>
      <c r="V201" s="8" t="str">
        <f aca="false">IF(AND(TRIM(E201)="US",TRIM(G201)="Non-Exempt"),IF(TRIM(D201)="CA","US California Non-Exempt","US Non-California Non-Exempt"),"")</f>
        <v/>
      </c>
      <c r="W201" s="8" t="str">
        <f aca="false">_xlfn.XLOOKUP(X201,ShiftCodes[Code],ShiftCodes[Work Schedule],"Unknown code")</f>
        <v>Standard (Mon–Fri 9:00–17:30)</v>
      </c>
      <c r="X201" s="9" t="s">
        <v>39</v>
      </c>
      <c r="Y201" s="5"/>
    </row>
    <row r="202" customFormat="false" ht="15" hidden="false" customHeight="false" outlineLevel="0" collapsed="false">
      <c r="A202" s="5" t="s">
        <v>326</v>
      </c>
      <c r="B202" s="5" t="s">
        <v>112</v>
      </c>
      <c r="C202" s="5" t="s">
        <v>100</v>
      </c>
      <c r="D202" s="5" t="s">
        <v>28</v>
      </c>
      <c r="E202" s="5" t="s">
        <v>29</v>
      </c>
      <c r="F202" s="5" t="s">
        <v>124</v>
      </c>
      <c r="G202" s="5" t="s">
        <v>31</v>
      </c>
      <c r="H202" s="5" t="s">
        <v>8</v>
      </c>
      <c r="I202" s="10" t="n">
        <v>145000</v>
      </c>
      <c r="J202" s="12"/>
      <c r="K202" s="5" t="s">
        <v>33</v>
      </c>
      <c r="L202" s="5" t="s">
        <v>34</v>
      </c>
      <c r="M202" s="6" t="n">
        <v>45794</v>
      </c>
      <c r="N202" s="6"/>
      <c r="O202" s="6"/>
      <c r="P202" s="5" t="s">
        <v>143</v>
      </c>
      <c r="Q202" s="5" t="s">
        <v>36</v>
      </c>
      <c r="R202" s="16" t="s">
        <v>37</v>
      </c>
      <c r="S202" s="5" t="n">
        <v>40</v>
      </c>
      <c r="T202" s="5" t="s">
        <v>38</v>
      </c>
      <c r="U202" s="8" t="str">
        <f aca="false">IF(AND(TRIM(E202)="US",TRIM(G202)="Non-Exempt"),"US Non-Exempt EEs","")</f>
        <v/>
      </c>
      <c r="V202" s="8" t="str">
        <f aca="false">IF(AND(TRIM(E202)="US",TRIM(G202)="Non-Exempt"),IF(TRIM(D202)="CA","US California Non-Exempt","US Non-California Non-Exempt"),"")</f>
        <v/>
      </c>
      <c r="W202" s="8" t="str">
        <f aca="false">_xlfn.XLOOKUP(X202,ShiftCodes[Code],ShiftCodes[Work Schedule],"Unknown code")</f>
        <v>Standard (Mon–Fri 9:00–17:30)</v>
      </c>
      <c r="X202" s="9" t="s">
        <v>39</v>
      </c>
      <c r="Y202" s="5"/>
    </row>
    <row r="203" customFormat="false" ht="15" hidden="false" customHeight="false" outlineLevel="0" collapsed="false">
      <c r="A203" s="5" t="s">
        <v>327</v>
      </c>
      <c r="B203" s="5" t="s">
        <v>109</v>
      </c>
      <c r="C203" s="5" t="s">
        <v>113</v>
      </c>
      <c r="D203" s="5" t="s">
        <v>84</v>
      </c>
      <c r="E203" s="5" t="s">
        <v>29</v>
      </c>
      <c r="F203" s="5" t="s">
        <v>124</v>
      </c>
      <c r="G203" s="5" t="s">
        <v>31</v>
      </c>
      <c r="H203" s="5" t="s">
        <v>8</v>
      </c>
      <c r="I203" s="10" t="n">
        <v>139000</v>
      </c>
      <c r="J203" s="12"/>
      <c r="K203" s="5" t="s">
        <v>33</v>
      </c>
      <c r="L203" s="5" t="s">
        <v>34</v>
      </c>
      <c r="M203" s="6" t="n">
        <v>45796</v>
      </c>
      <c r="N203" s="6"/>
      <c r="O203" s="6"/>
      <c r="P203" s="5" t="s">
        <v>178</v>
      </c>
      <c r="Q203" s="5" t="s">
        <v>36</v>
      </c>
      <c r="R203" s="16" t="s">
        <v>37</v>
      </c>
      <c r="S203" s="5" t="n">
        <v>40</v>
      </c>
      <c r="T203" s="5" t="s">
        <v>38</v>
      </c>
      <c r="U203" s="8" t="str">
        <f aca="false">IF(AND(TRIM(E203)="US",TRIM(G203)="Non-Exempt"),"US Non-Exempt EEs","")</f>
        <v/>
      </c>
      <c r="V203" s="8" t="str">
        <f aca="false">IF(AND(TRIM(E203)="US",TRIM(G203)="Non-Exempt"),IF(TRIM(D203)="CA","US California Non-Exempt","US Non-California Non-Exempt"),"")</f>
        <v/>
      </c>
      <c r="W203" s="8" t="str">
        <f aca="false">_xlfn.XLOOKUP(X203,ShiftCodes[Code],ShiftCodes[Work Schedule],"Unknown code")</f>
        <v>Standard (Mon–Fri 9:00–17:30)</v>
      </c>
      <c r="X203" s="9" t="s">
        <v>39</v>
      </c>
      <c r="Y203" s="5"/>
    </row>
    <row r="204" customFormat="false" ht="15" hidden="false" customHeight="false" outlineLevel="0" collapsed="false">
      <c r="A204" s="5" t="s">
        <v>328</v>
      </c>
      <c r="B204" s="5" t="s">
        <v>103</v>
      </c>
      <c r="C204" s="5" t="s">
        <v>180</v>
      </c>
      <c r="D204" s="5" t="s">
        <v>52</v>
      </c>
      <c r="E204" s="5" t="s">
        <v>52</v>
      </c>
      <c r="F204" s="5" t="s">
        <v>165</v>
      </c>
      <c r="G204" s="5" t="s">
        <v>31</v>
      </c>
      <c r="H204" s="5" t="s">
        <v>8</v>
      </c>
      <c r="I204" s="10" t="n">
        <v>94000</v>
      </c>
      <c r="J204" s="19"/>
      <c r="K204" s="5" t="s">
        <v>55</v>
      </c>
      <c r="L204" s="5" t="s">
        <v>56</v>
      </c>
      <c r="M204" s="6" t="n">
        <v>45800</v>
      </c>
      <c r="N204" s="6"/>
      <c r="O204" s="6"/>
      <c r="P204" s="5" t="s">
        <v>218</v>
      </c>
      <c r="Q204" s="5" t="s">
        <v>36</v>
      </c>
      <c r="R204" s="16" t="s">
        <v>37</v>
      </c>
      <c r="S204" s="5" t="n">
        <v>37.5</v>
      </c>
      <c r="T204" s="5" t="s">
        <v>38</v>
      </c>
      <c r="U204" s="8" t="str">
        <f aca="false">IF(AND(TRIM(E204)="US",TRIM(G204)="Non-Exempt"),"US Non-Exempt EEs","")</f>
        <v/>
      </c>
      <c r="V204" s="8" t="str">
        <f aca="false">IF(AND(TRIM(E204)="US",TRIM(G204)="Non-Exempt"),IF(TRIM(D204)="CA","US California Non-Exempt","US Non-California Non-Exempt"),"")</f>
        <v/>
      </c>
      <c r="W204" s="8" t="str">
        <f aca="false">_xlfn.XLOOKUP(X204,ShiftCodes[Code],ShiftCodes[Work Schedule],"Unknown code")</f>
        <v>Standard (Mon–Fri 9:00–17:30)</v>
      </c>
      <c r="X204" s="9" t="s">
        <v>39</v>
      </c>
      <c r="Y204" s="5"/>
    </row>
    <row r="205" customFormat="false" ht="15" hidden="false" customHeight="false" outlineLevel="0" collapsed="false">
      <c r="A205" s="5" t="s">
        <v>329</v>
      </c>
      <c r="B205" s="5" t="s">
        <v>99</v>
      </c>
      <c r="C205" s="5" t="s">
        <v>41</v>
      </c>
      <c r="D205" s="5" t="s">
        <v>28</v>
      </c>
      <c r="E205" s="5" t="s">
        <v>29</v>
      </c>
      <c r="F205" s="5" t="s">
        <v>124</v>
      </c>
      <c r="G205" s="5" t="s">
        <v>31</v>
      </c>
      <c r="H205" s="5" t="s">
        <v>8</v>
      </c>
      <c r="I205" s="10" t="n">
        <v>101000</v>
      </c>
      <c r="J205" s="12"/>
      <c r="K205" s="5" t="s">
        <v>33</v>
      </c>
      <c r="L205" s="5" t="s">
        <v>34</v>
      </c>
      <c r="M205" s="6" t="n">
        <v>45800</v>
      </c>
      <c r="N205" s="6"/>
      <c r="O205" s="6"/>
      <c r="P205" s="5" t="s">
        <v>159</v>
      </c>
      <c r="Q205" s="5" t="s">
        <v>36</v>
      </c>
      <c r="R205" s="16" t="s">
        <v>37</v>
      </c>
      <c r="S205" s="5" t="n">
        <v>40</v>
      </c>
      <c r="T205" s="5" t="s">
        <v>38</v>
      </c>
      <c r="U205" s="8" t="str">
        <f aca="false">IF(AND(TRIM(E205)="US",TRIM(G205)="Non-Exempt"),"US Non-Exempt EEs","")</f>
        <v/>
      </c>
      <c r="V205" s="8" t="str">
        <f aca="false">IF(AND(TRIM(E205)="US",TRIM(G205)="Non-Exempt"),IF(TRIM(D205)="CA","US California Non-Exempt","US Non-California Non-Exempt"),"")</f>
        <v/>
      </c>
      <c r="W205" s="8" t="str">
        <f aca="false">_xlfn.XLOOKUP(X205,ShiftCodes[Code],ShiftCodes[Work Schedule],"Unknown code")</f>
        <v>Standard (Mon–Fri 9:00–17:30)</v>
      </c>
      <c r="X205" s="9" t="s">
        <v>39</v>
      </c>
      <c r="Y205" s="5"/>
    </row>
    <row r="206" customFormat="false" ht="15" hidden="false" customHeight="false" outlineLevel="0" collapsed="false">
      <c r="A206" s="5" t="s">
        <v>330</v>
      </c>
      <c r="B206" s="5" t="s">
        <v>99</v>
      </c>
      <c r="C206" s="5" t="s">
        <v>180</v>
      </c>
      <c r="D206" s="5" t="s">
        <v>52</v>
      </c>
      <c r="E206" s="5" t="s">
        <v>52</v>
      </c>
      <c r="F206" s="5" t="s">
        <v>156</v>
      </c>
      <c r="G206" s="5" t="s">
        <v>31</v>
      </c>
      <c r="H206" s="5" t="s">
        <v>8</v>
      </c>
      <c r="I206" s="10" t="n">
        <v>111000</v>
      </c>
      <c r="J206" s="19"/>
      <c r="K206" s="5" t="s">
        <v>55</v>
      </c>
      <c r="L206" s="5" t="s">
        <v>56</v>
      </c>
      <c r="M206" s="6" t="n">
        <v>45802</v>
      </c>
      <c r="N206" s="6"/>
      <c r="O206" s="6"/>
      <c r="P206" s="5" t="s">
        <v>191</v>
      </c>
      <c r="Q206" s="5" t="s">
        <v>36</v>
      </c>
      <c r="R206" s="16" t="s">
        <v>37</v>
      </c>
      <c r="S206" s="5" t="n">
        <v>37.5</v>
      </c>
      <c r="T206" s="5" t="s">
        <v>38</v>
      </c>
      <c r="U206" s="8" t="str">
        <f aca="false">IF(AND(TRIM(E206)="US",TRIM(G206)="Non-Exempt"),"US Non-Exempt EEs","")</f>
        <v/>
      </c>
      <c r="V206" s="8" t="str">
        <f aca="false">IF(AND(TRIM(E206)="US",TRIM(G206)="Non-Exempt"),IF(TRIM(D206)="CA","US California Non-Exempt","US Non-California Non-Exempt"),"")</f>
        <v/>
      </c>
      <c r="W206" s="8" t="str">
        <f aca="false">_xlfn.XLOOKUP(X206,ShiftCodes[Code],ShiftCodes[Work Schedule],"Unknown code")</f>
        <v>Standard (Mon–Fri 9:00–17:30)</v>
      </c>
      <c r="X206" s="9" t="s">
        <v>39</v>
      </c>
      <c r="Y206" s="5"/>
    </row>
    <row r="207" customFormat="false" ht="15" hidden="false" customHeight="false" outlineLevel="0" collapsed="false">
      <c r="A207" s="5" t="s">
        <v>331</v>
      </c>
      <c r="B207" s="5" t="s">
        <v>112</v>
      </c>
      <c r="C207" s="5" t="s">
        <v>106</v>
      </c>
      <c r="D207" s="5" t="s">
        <v>42</v>
      </c>
      <c r="E207" s="5" t="s">
        <v>29</v>
      </c>
      <c r="F207" s="5" t="s">
        <v>163</v>
      </c>
      <c r="G207" s="5" t="s">
        <v>31</v>
      </c>
      <c r="H207" s="5" t="s">
        <v>8</v>
      </c>
      <c r="I207" s="10" t="n">
        <v>148000</v>
      </c>
      <c r="J207" s="12"/>
      <c r="K207" s="5" t="s">
        <v>33</v>
      </c>
      <c r="L207" s="5" t="s">
        <v>34</v>
      </c>
      <c r="M207" s="6" t="n">
        <v>45805</v>
      </c>
      <c r="N207" s="6"/>
      <c r="O207" s="6"/>
      <c r="P207" s="5" t="s">
        <v>182</v>
      </c>
      <c r="Q207" s="5" t="s">
        <v>36</v>
      </c>
      <c r="R207" s="16" t="s">
        <v>37</v>
      </c>
      <c r="S207" s="5" t="n">
        <v>40</v>
      </c>
      <c r="T207" s="5" t="s">
        <v>38</v>
      </c>
      <c r="U207" s="8" t="str">
        <f aca="false">IF(AND(TRIM(E207)="US",TRIM(G207)="Non-Exempt"),"US Non-Exempt EEs","")</f>
        <v/>
      </c>
      <c r="V207" s="8" t="str">
        <f aca="false">IF(AND(TRIM(E207)="US",TRIM(G207)="Non-Exempt"),IF(TRIM(D207)="CA","US California Non-Exempt","US Non-California Non-Exempt"),"")</f>
        <v/>
      </c>
      <c r="W207" s="8" t="str">
        <f aca="false">_xlfn.XLOOKUP(X207,ShiftCodes[Code],ShiftCodes[Work Schedule],"Unknown code")</f>
        <v>Standard (Mon–Fri 9:00–17:30)</v>
      </c>
      <c r="X207" s="9" t="s">
        <v>39</v>
      </c>
      <c r="Y207" s="5"/>
    </row>
    <row r="208" customFormat="false" ht="15" hidden="false" customHeight="false" outlineLevel="0" collapsed="false">
      <c r="A208" s="5" t="s">
        <v>332</v>
      </c>
      <c r="B208" s="5" t="s">
        <v>103</v>
      </c>
      <c r="C208" s="5" t="s">
        <v>100</v>
      </c>
      <c r="D208" s="5" t="s">
        <v>28</v>
      </c>
      <c r="E208" s="5" t="s">
        <v>29</v>
      </c>
      <c r="F208" s="5" t="s">
        <v>124</v>
      </c>
      <c r="G208" s="5" t="s">
        <v>31</v>
      </c>
      <c r="H208" s="5" t="s">
        <v>8</v>
      </c>
      <c r="I208" s="10" t="n">
        <v>138000</v>
      </c>
      <c r="J208" s="12"/>
      <c r="K208" s="5" t="s">
        <v>33</v>
      </c>
      <c r="L208" s="5" t="s">
        <v>34</v>
      </c>
      <c r="M208" s="6" t="n">
        <v>45809</v>
      </c>
      <c r="N208" s="6"/>
      <c r="O208" s="6"/>
      <c r="P208" s="5" t="s">
        <v>255</v>
      </c>
      <c r="Q208" s="5" t="s">
        <v>36</v>
      </c>
      <c r="R208" s="16" t="s">
        <v>37</v>
      </c>
      <c r="S208" s="5" t="n">
        <v>40</v>
      </c>
      <c r="T208" s="5" t="s">
        <v>38</v>
      </c>
      <c r="U208" s="8" t="str">
        <f aca="false">IF(AND(TRIM(E208)="US",TRIM(G208)="Non-Exempt"),"US Non-Exempt EEs","")</f>
        <v/>
      </c>
      <c r="V208" s="8" t="str">
        <f aca="false">IF(AND(TRIM(E208)="US",TRIM(G208)="Non-Exempt"),IF(TRIM(D208)="CA","US California Non-Exempt","US Non-California Non-Exempt"),"")</f>
        <v/>
      </c>
      <c r="W208" s="8" t="str">
        <f aca="false">_xlfn.XLOOKUP(X208,ShiftCodes[Code],ShiftCodes[Work Schedule],"Unknown code")</f>
        <v>Standard (Mon–Fri 9:00–17:30)</v>
      </c>
      <c r="X208" s="9" t="s">
        <v>39</v>
      </c>
      <c r="Y208" s="5"/>
    </row>
    <row r="209" customFormat="false" ht="15" hidden="false" customHeight="false" outlineLevel="0" collapsed="false">
      <c r="A209" s="5" t="s">
        <v>333</v>
      </c>
      <c r="B209" s="5" t="s">
        <v>112</v>
      </c>
      <c r="C209" s="5" t="s">
        <v>106</v>
      </c>
      <c r="D209" s="5" t="s">
        <v>42</v>
      </c>
      <c r="E209" s="5" t="s">
        <v>29</v>
      </c>
      <c r="F209" s="5" t="s">
        <v>163</v>
      </c>
      <c r="G209" s="5" t="s">
        <v>31</v>
      </c>
      <c r="H209" s="5" t="s">
        <v>8</v>
      </c>
      <c r="I209" s="10" t="n">
        <v>152000</v>
      </c>
      <c r="J209" s="12"/>
      <c r="K209" s="5" t="s">
        <v>33</v>
      </c>
      <c r="L209" s="5" t="s">
        <v>34</v>
      </c>
      <c r="M209" s="6" t="n">
        <v>45811</v>
      </c>
      <c r="N209" s="6"/>
      <c r="O209" s="6"/>
      <c r="P209" s="5" t="s">
        <v>187</v>
      </c>
      <c r="Q209" s="5" t="s">
        <v>36</v>
      </c>
      <c r="R209" s="16" t="s">
        <v>37</v>
      </c>
      <c r="S209" s="5" t="n">
        <v>40</v>
      </c>
      <c r="T209" s="5" t="s">
        <v>38</v>
      </c>
      <c r="U209" s="8" t="str">
        <f aca="false">IF(AND(TRIM(E209)="US",TRIM(G209)="Non-Exempt"),"US Non-Exempt EEs","")</f>
        <v/>
      </c>
      <c r="V209" s="8" t="str">
        <f aca="false">IF(AND(TRIM(E209)="US",TRIM(G209)="Non-Exempt"),IF(TRIM(D209)="CA","US California Non-Exempt","US Non-California Non-Exempt"),"")</f>
        <v/>
      </c>
      <c r="W209" s="8" t="str">
        <f aca="false">_xlfn.XLOOKUP(X209,ShiftCodes[Code],ShiftCodes[Work Schedule],"Unknown code")</f>
        <v>Standard (Mon–Fri 9:00–17:30)</v>
      </c>
      <c r="X209" s="9" t="s">
        <v>39</v>
      </c>
      <c r="Y209" s="5"/>
    </row>
    <row r="210" customFormat="false" ht="15" hidden="false" customHeight="false" outlineLevel="0" collapsed="false">
      <c r="A210" s="5" t="s">
        <v>334</v>
      </c>
      <c r="B210" s="5" t="s">
        <v>112</v>
      </c>
      <c r="C210" s="5" t="s">
        <v>224</v>
      </c>
      <c r="D210" s="5" t="s">
        <v>225</v>
      </c>
      <c r="E210" s="5" t="s">
        <v>70</v>
      </c>
      <c r="F210" s="5" t="s">
        <v>163</v>
      </c>
      <c r="G210" s="5" t="s">
        <v>31</v>
      </c>
      <c r="H210" s="5" t="s">
        <v>8</v>
      </c>
      <c r="I210" s="17" t="n">
        <v>3800000</v>
      </c>
      <c r="J210" s="18"/>
      <c r="K210" s="5" t="s">
        <v>72</v>
      </c>
      <c r="L210" s="5" t="s">
        <v>73</v>
      </c>
      <c r="M210" s="6" t="n">
        <v>45818</v>
      </c>
      <c r="N210" s="6"/>
      <c r="O210" s="6"/>
      <c r="P210" s="5" t="s">
        <v>223</v>
      </c>
      <c r="Q210" s="5" t="s">
        <v>36</v>
      </c>
      <c r="R210" s="16" t="s">
        <v>37</v>
      </c>
      <c r="S210" s="5" t="n">
        <v>40</v>
      </c>
      <c r="T210" s="5" t="s">
        <v>38</v>
      </c>
      <c r="U210" s="8" t="str">
        <f aca="false">IF(AND(TRIM(E210)="US",TRIM(G210)="Non-Exempt"),"US Non-Exempt EEs","")</f>
        <v/>
      </c>
      <c r="V210" s="8" t="str">
        <f aca="false">IF(AND(TRIM(E210)="US",TRIM(G210)="Non-Exempt"),IF(TRIM(D210)="CA","US California Non-Exempt","US Non-California Non-Exempt"),"")</f>
        <v/>
      </c>
      <c r="W210" s="8" t="str">
        <f aca="false">_xlfn.XLOOKUP(X210,ShiftCodes[Code],ShiftCodes[Work Schedule],"Unknown code")</f>
        <v>Standard (Mon–Fri 9:00–17:30)</v>
      </c>
      <c r="X210" s="9" t="s">
        <v>39</v>
      </c>
      <c r="Y210" s="5"/>
    </row>
    <row r="211" customFormat="false" ht="15" hidden="false" customHeight="false" outlineLevel="0" collapsed="false">
      <c r="A211" s="5" t="s">
        <v>335</v>
      </c>
      <c r="B211" s="5" t="s">
        <v>103</v>
      </c>
      <c r="C211" s="5" t="s">
        <v>41</v>
      </c>
      <c r="D211" s="5" t="s">
        <v>28</v>
      </c>
      <c r="E211" s="5" t="s">
        <v>29</v>
      </c>
      <c r="F211" s="5" t="s">
        <v>165</v>
      </c>
      <c r="G211" s="5" t="s">
        <v>31</v>
      </c>
      <c r="H211" s="5" t="s">
        <v>8</v>
      </c>
      <c r="I211" s="10" t="n">
        <v>188000</v>
      </c>
      <c r="J211" s="12"/>
      <c r="K211" s="5" t="s">
        <v>33</v>
      </c>
      <c r="L211" s="5" t="s">
        <v>34</v>
      </c>
      <c r="M211" s="6" t="n">
        <v>45830</v>
      </c>
      <c r="N211" s="6"/>
      <c r="O211" s="6"/>
      <c r="P211" s="5" t="s">
        <v>181</v>
      </c>
      <c r="Q211" s="5" t="s">
        <v>36</v>
      </c>
      <c r="R211" s="16" t="s">
        <v>37</v>
      </c>
      <c r="S211" s="5" t="n">
        <v>40</v>
      </c>
      <c r="T211" s="5" t="s">
        <v>38</v>
      </c>
      <c r="U211" s="8" t="str">
        <f aca="false">IF(AND(TRIM(E211)="US",TRIM(G211)="Non-Exempt"),"US Non-Exempt EEs","")</f>
        <v/>
      </c>
      <c r="V211" s="8" t="str">
        <f aca="false">IF(AND(TRIM(E211)="US",TRIM(G211)="Non-Exempt"),IF(TRIM(D211)="CA","US California Non-Exempt","US Non-California Non-Exempt"),"")</f>
        <v/>
      </c>
      <c r="W211" s="8" t="str">
        <f aca="false">_xlfn.XLOOKUP(X211,ShiftCodes[Code],ShiftCodes[Work Schedule],"Unknown code")</f>
        <v>Standard (Mon–Fri 9:00–17:30)</v>
      </c>
      <c r="X211" s="9" t="s">
        <v>39</v>
      </c>
      <c r="Y211" s="5"/>
    </row>
    <row r="212" customFormat="false" ht="15" hidden="false" customHeight="false" outlineLevel="0" collapsed="false">
      <c r="A212" s="5" t="s">
        <v>336</v>
      </c>
      <c r="B212" s="5" t="s">
        <v>99</v>
      </c>
      <c r="C212" s="5" t="s">
        <v>68</v>
      </c>
      <c r="D212" s="5" t="s">
        <v>69</v>
      </c>
      <c r="E212" s="5" t="s">
        <v>70</v>
      </c>
      <c r="F212" s="5" t="s">
        <v>165</v>
      </c>
      <c r="G212" s="5" t="s">
        <v>31</v>
      </c>
      <c r="H212" s="5" t="s">
        <v>8</v>
      </c>
      <c r="I212" s="17" t="n">
        <v>5360000</v>
      </c>
      <c r="J212" s="18"/>
      <c r="K212" s="5" t="s">
        <v>72</v>
      </c>
      <c r="L212" s="5" t="s">
        <v>73</v>
      </c>
      <c r="M212" s="6" t="n">
        <v>45833</v>
      </c>
      <c r="N212" s="6"/>
      <c r="O212" s="6" t="n">
        <v>46200</v>
      </c>
      <c r="P212" s="5" t="s">
        <v>171</v>
      </c>
      <c r="Q212" s="5" t="s">
        <v>287</v>
      </c>
      <c r="R212" s="16" t="s">
        <v>37</v>
      </c>
      <c r="S212" s="5" t="n">
        <v>40</v>
      </c>
      <c r="T212" s="5" t="s">
        <v>38</v>
      </c>
      <c r="U212" s="8" t="str">
        <f aca="false">IF(AND(TRIM(E212)="US",TRIM(G212)="Non-Exempt"),"US Non-Exempt EEs","")</f>
        <v/>
      </c>
      <c r="V212" s="8" t="str">
        <f aca="false">IF(AND(TRIM(E212)="US",TRIM(G212)="Non-Exempt"),IF(TRIM(D212)="CA","US California Non-Exempt","US Non-California Non-Exempt"),"")</f>
        <v/>
      </c>
      <c r="W212" s="8" t="str">
        <f aca="false">_xlfn.XLOOKUP(X212,ShiftCodes[Code],ShiftCodes[Work Schedule],"Unknown code")</f>
        <v>Standard (Mon–Fri 9:00–17:30)</v>
      </c>
      <c r="X212" s="9" t="s">
        <v>39</v>
      </c>
      <c r="Y212" s="5"/>
    </row>
    <row r="213" customFormat="false" ht="15" hidden="false" customHeight="false" outlineLevel="0" collapsed="false">
      <c r="A213" s="5" t="s">
        <v>337</v>
      </c>
      <c r="B213" s="5" t="s">
        <v>109</v>
      </c>
      <c r="C213" s="5" t="s">
        <v>76</v>
      </c>
      <c r="D213" s="5" t="s">
        <v>28</v>
      </c>
      <c r="E213" s="5" t="s">
        <v>29</v>
      </c>
      <c r="F213" s="5" t="s">
        <v>121</v>
      </c>
      <c r="G213" s="5" t="s">
        <v>78</v>
      </c>
      <c r="H213" s="5" t="s">
        <v>79</v>
      </c>
      <c r="I213" s="10"/>
      <c r="J213" s="12" t="n">
        <v>35.75</v>
      </c>
      <c r="K213" s="5" t="s">
        <v>33</v>
      </c>
      <c r="L213" s="5" t="s">
        <v>80</v>
      </c>
      <c r="M213" s="6" t="n">
        <v>45838</v>
      </c>
      <c r="N213" s="6"/>
      <c r="O213" s="6" t="n">
        <v>46187</v>
      </c>
      <c r="P213" s="5" t="s">
        <v>161</v>
      </c>
      <c r="Q213" s="5" t="s">
        <v>287</v>
      </c>
      <c r="R213" s="16" t="s">
        <v>37</v>
      </c>
      <c r="S213" s="5" t="n">
        <v>36</v>
      </c>
      <c r="T213" s="5" t="s">
        <v>38</v>
      </c>
      <c r="U213" s="8" t="str">
        <f aca="false">IF(AND(TRIM(E213)="US",TRIM(G213)="Non-Exempt"),"US Non-Exempt EEs","")</f>
        <v>US Non-Exempt EEs</v>
      </c>
      <c r="V213" s="8" t="str">
        <f aca="false">IF(AND(TRIM(E213)="US",TRIM(G213)="Non-Exempt"),IF(TRIM(D213)="CA","US California Non-Exempt","US Non-California Non-Exempt"),"")</f>
        <v>US California Non-Exempt</v>
      </c>
      <c r="W213" s="8" t="str">
        <f aca="false">_xlfn.XLOOKUP(X213,ShiftCodes[Code],ShiftCodes[Work Schedule],"Unknown code")</f>
        <v>Shift D – Weekend (Fri–Sun 06:00–18:30)</v>
      </c>
      <c r="X213" s="9" t="s">
        <v>151</v>
      </c>
      <c r="Y213" s="5"/>
    </row>
    <row r="214" customFormat="false" ht="15" hidden="false" customHeight="false" outlineLevel="0" collapsed="false">
      <c r="A214" s="5" t="s">
        <v>338</v>
      </c>
      <c r="B214" s="5" t="s">
        <v>109</v>
      </c>
      <c r="C214" s="5" t="s">
        <v>113</v>
      </c>
      <c r="D214" s="5" t="s">
        <v>84</v>
      </c>
      <c r="E214" s="5" t="s">
        <v>29</v>
      </c>
      <c r="F214" s="5" t="s">
        <v>130</v>
      </c>
      <c r="G214" s="5" t="s">
        <v>78</v>
      </c>
      <c r="H214" s="5" t="s">
        <v>79</v>
      </c>
      <c r="I214" s="10"/>
      <c r="J214" s="12" t="n">
        <v>29</v>
      </c>
      <c r="K214" s="5" t="s">
        <v>33</v>
      </c>
      <c r="L214" s="5" t="s">
        <v>80</v>
      </c>
      <c r="M214" s="6" t="n">
        <v>45842</v>
      </c>
      <c r="N214" s="6"/>
      <c r="O214" s="6"/>
      <c r="P214" s="5" t="s">
        <v>118</v>
      </c>
      <c r="Q214" s="5" t="s">
        <v>36</v>
      </c>
      <c r="R214" s="16" t="s">
        <v>37</v>
      </c>
      <c r="S214" s="5" t="n">
        <v>40</v>
      </c>
      <c r="T214" s="5" t="s">
        <v>38</v>
      </c>
      <c r="U214" s="8" t="str">
        <f aca="false">IF(AND(TRIM(E214)="US",TRIM(G214)="Non-Exempt"),"US Non-Exempt EEs","")</f>
        <v>US Non-Exempt EEs</v>
      </c>
      <c r="V214" s="8" t="str">
        <f aca="false">IF(AND(TRIM(E214)="US",TRIM(G214)="Non-Exempt"),IF(TRIM(D214)="CA","US California Non-Exempt","US Non-California Non-Exempt"),"")</f>
        <v>US Non-California Non-Exempt</v>
      </c>
      <c r="W214" s="8" t="str">
        <f aca="false">_xlfn.XLOOKUP(X214,ShiftCodes[Code],ShiftCodes[Work Schedule],"Unknown code")</f>
        <v>Shift B – Swing (Mon–Fri 14:00–22:30)</v>
      </c>
      <c r="X214" s="9" t="s">
        <v>85</v>
      </c>
      <c r="Y214" s="5"/>
    </row>
    <row r="215" customFormat="false" ht="15" hidden="false" customHeight="false" outlineLevel="0" collapsed="false">
      <c r="A215" s="5" t="s">
        <v>339</v>
      </c>
      <c r="B215" s="5" t="s">
        <v>99</v>
      </c>
      <c r="C215" s="5" t="s">
        <v>41</v>
      </c>
      <c r="D215" s="5" t="s">
        <v>185</v>
      </c>
      <c r="E215" s="5" t="s">
        <v>29</v>
      </c>
      <c r="F215" s="5" t="s">
        <v>165</v>
      </c>
      <c r="G215" s="5" t="s">
        <v>31</v>
      </c>
      <c r="H215" s="5" t="s">
        <v>8</v>
      </c>
      <c r="I215" s="10" t="n">
        <v>142000</v>
      </c>
      <c r="J215" s="12"/>
      <c r="K215" s="5" t="s">
        <v>33</v>
      </c>
      <c r="L215" s="5" t="s">
        <v>34</v>
      </c>
      <c r="M215" s="6" t="n">
        <v>45850</v>
      </c>
      <c r="N215" s="6"/>
      <c r="O215" s="6"/>
      <c r="P215" s="5" t="s">
        <v>159</v>
      </c>
      <c r="Q215" s="5" t="s">
        <v>36</v>
      </c>
      <c r="R215" s="16" t="s">
        <v>37</v>
      </c>
      <c r="S215" s="5" t="n">
        <v>40</v>
      </c>
      <c r="T215" s="5" t="s">
        <v>38</v>
      </c>
      <c r="U215" s="8" t="str">
        <f aca="false">IF(AND(TRIM(E215)="US",TRIM(G215)="Non-Exempt"),"US Non-Exempt EEs","")</f>
        <v/>
      </c>
      <c r="V215" s="8" t="str">
        <f aca="false">IF(AND(TRIM(E215)="US",TRIM(G215)="Non-Exempt"),IF(TRIM(D215)="CA","US California Non-Exempt","US Non-California Non-Exempt"),"")</f>
        <v/>
      </c>
      <c r="W215" s="8" t="str">
        <f aca="false">_xlfn.XLOOKUP(X215,ShiftCodes[Code],ShiftCodes[Work Schedule],"Unknown code")</f>
        <v>Standard (Mon–Fri 9:00–17:30)</v>
      </c>
      <c r="X215" s="9" t="s">
        <v>39</v>
      </c>
      <c r="Y215" s="5"/>
    </row>
    <row r="216" customFormat="false" ht="15" hidden="false" customHeight="false" outlineLevel="0" collapsed="false">
      <c r="A216" s="5" t="s">
        <v>340</v>
      </c>
      <c r="B216" s="5" t="s">
        <v>103</v>
      </c>
      <c r="C216" s="5" t="s">
        <v>100</v>
      </c>
      <c r="D216" s="5" t="s">
        <v>28</v>
      </c>
      <c r="E216" s="5" t="s">
        <v>29</v>
      </c>
      <c r="F216" s="5" t="s">
        <v>124</v>
      </c>
      <c r="G216" s="5" t="s">
        <v>31</v>
      </c>
      <c r="H216" s="5" t="s">
        <v>8</v>
      </c>
      <c r="I216" s="10" t="n">
        <v>140000</v>
      </c>
      <c r="J216" s="12"/>
      <c r="K216" s="5" t="s">
        <v>33</v>
      </c>
      <c r="L216" s="5" t="s">
        <v>34</v>
      </c>
      <c r="M216" s="6" t="n">
        <v>45853</v>
      </c>
      <c r="N216" s="6"/>
      <c r="O216" s="6"/>
      <c r="P216" s="5" t="s">
        <v>274</v>
      </c>
      <c r="Q216" s="5" t="s">
        <v>36</v>
      </c>
      <c r="R216" s="16" t="s">
        <v>37</v>
      </c>
      <c r="S216" s="5" t="n">
        <v>40</v>
      </c>
      <c r="T216" s="5" t="s">
        <v>38</v>
      </c>
      <c r="U216" s="8" t="str">
        <f aca="false">IF(AND(TRIM(E216)="US",TRIM(G216)="Non-Exempt"),"US Non-Exempt EEs","")</f>
        <v/>
      </c>
      <c r="V216" s="8" t="str">
        <f aca="false">IF(AND(TRIM(E216)="US",TRIM(G216)="Non-Exempt"),IF(TRIM(D216)="CA","US California Non-Exempt","US Non-California Non-Exempt"),"")</f>
        <v/>
      </c>
      <c r="W216" s="8" t="str">
        <f aca="false">_xlfn.XLOOKUP(X216,ShiftCodes[Code],ShiftCodes[Work Schedule],"Unknown code")</f>
        <v>Standard (Mon–Fri 9:00–17:30)</v>
      </c>
      <c r="X216" s="9" t="s">
        <v>39</v>
      </c>
      <c r="Y216" s="5"/>
    </row>
    <row r="217" customFormat="false" ht="15" hidden="false" customHeight="false" outlineLevel="0" collapsed="false">
      <c r="A217" s="5" t="s">
        <v>341</v>
      </c>
      <c r="B217" s="5" t="s">
        <v>99</v>
      </c>
      <c r="C217" s="5" t="s">
        <v>41</v>
      </c>
      <c r="D217" s="5" t="s">
        <v>189</v>
      </c>
      <c r="E217" s="5" t="s">
        <v>29</v>
      </c>
      <c r="F217" s="5" t="s">
        <v>156</v>
      </c>
      <c r="G217" s="5" t="s">
        <v>31</v>
      </c>
      <c r="H217" s="5" t="s">
        <v>8</v>
      </c>
      <c r="I217" s="10" t="n">
        <v>207000</v>
      </c>
      <c r="J217" s="12"/>
      <c r="K217" s="5" t="s">
        <v>33</v>
      </c>
      <c r="L217" s="5" t="s">
        <v>34</v>
      </c>
      <c r="M217" s="6" t="n">
        <v>45854</v>
      </c>
      <c r="N217" s="6"/>
      <c r="O217" s="6"/>
      <c r="P217" s="5" t="s">
        <v>231</v>
      </c>
      <c r="Q217" s="5" t="s">
        <v>36</v>
      </c>
      <c r="R217" s="16" t="s">
        <v>37</v>
      </c>
      <c r="S217" s="5" t="n">
        <v>40</v>
      </c>
      <c r="T217" s="5" t="s">
        <v>38</v>
      </c>
      <c r="U217" s="8" t="str">
        <f aca="false">IF(AND(TRIM(E217)="US",TRIM(G217)="Non-Exempt"),"US Non-Exempt EEs","")</f>
        <v/>
      </c>
      <c r="V217" s="8" t="str">
        <f aca="false">IF(AND(TRIM(E217)="US",TRIM(G217)="Non-Exempt"),IF(TRIM(D217)="CA","US California Non-Exempt","US Non-California Non-Exempt"),"")</f>
        <v/>
      </c>
      <c r="W217" s="8" t="str">
        <f aca="false">_xlfn.XLOOKUP(X217,ShiftCodes[Code],ShiftCodes[Work Schedule],"Unknown code")</f>
        <v>Standard (Mon–Fri 9:00–17:30)</v>
      </c>
      <c r="X217" s="9" t="s">
        <v>39</v>
      </c>
      <c r="Y217" s="5"/>
    </row>
    <row r="218" customFormat="false" ht="15" hidden="false" customHeight="false" outlineLevel="0" collapsed="false">
      <c r="A218" s="5" t="s">
        <v>342</v>
      </c>
      <c r="B218" s="5" t="s">
        <v>112</v>
      </c>
      <c r="C218" s="5" t="s">
        <v>180</v>
      </c>
      <c r="D218" s="5" t="s">
        <v>52</v>
      </c>
      <c r="E218" s="5" t="s">
        <v>52</v>
      </c>
      <c r="F218" s="5" t="s">
        <v>149</v>
      </c>
      <c r="G218" s="5" t="s">
        <v>31</v>
      </c>
      <c r="H218" s="5" t="s">
        <v>8</v>
      </c>
      <c r="I218" s="10" t="n">
        <v>56000</v>
      </c>
      <c r="J218" s="19"/>
      <c r="K218" s="5" t="s">
        <v>55</v>
      </c>
      <c r="L218" s="5" t="s">
        <v>56</v>
      </c>
      <c r="M218" s="6" t="n">
        <v>45857</v>
      </c>
      <c r="N218" s="6"/>
      <c r="O218" s="6"/>
      <c r="P218" s="5" t="s">
        <v>179</v>
      </c>
      <c r="Q218" s="5" t="s">
        <v>36</v>
      </c>
      <c r="R218" s="16" t="s">
        <v>37</v>
      </c>
      <c r="S218" s="5" t="n">
        <v>37.5</v>
      </c>
      <c r="T218" s="5" t="s">
        <v>38</v>
      </c>
      <c r="U218" s="8" t="str">
        <f aca="false">IF(AND(TRIM(E218)="US",TRIM(G218)="Non-Exempt"),"US Non-Exempt EEs","")</f>
        <v/>
      </c>
      <c r="V218" s="8" t="str">
        <f aca="false">IF(AND(TRIM(E218)="US",TRIM(G218)="Non-Exempt"),IF(TRIM(D218)="CA","US California Non-Exempt","US Non-California Non-Exempt"),"")</f>
        <v/>
      </c>
      <c r="W218" s="8" t="str">
        <f aca="false">_xlfn.XLOOKUP(X218,ShiftCodes[Code],ShiftCodes[Work Schedule],"Unknown code")</f>
        <v>Standard (Mon–Fri 9:00–17:30)</v>
      </c>
      <c r="X218" s="9" t="s">
        <v>39</v>
      </c>
      <c r="Y218" s="5"/>
    </row>
    <row r="219" customFormat="false" ht="15" hidden="false" customHeight="false" outlineLevel="0" collapsed="false">
      <c r="A219" s="5" t="s">
        <v>343</v>
      </c>
      <c r="B219" s="5" t="s">
        <v>112</v>
      </c>
      <c r="C219" s="5" t="s">
        <v>100</v>
      </c>
      <c r="D219" s="5" t="s">
        <v>28</v>
      </c>
      <c r="E219" s="5" t="s">
        <v>29</v>
      </c>
      <c r="F219" s="5" t="s">
        <v>165</v>
      </c>
      <c r="G219" s="5" t="s">
        <v>31</v>
      </c>
      <c r="H219" s="5" t="s">
        <v>8</v>
      </c>
      <c r="I219" s="10" t="n">
        <v>184000</v>
      </c>
      <c r="J219" s="12"/>
      <c r="K219" s="5" t="s">
        <v>33</v>
      </c>
      <c r="L219" s="5" t="s">
        <v>34</v>
      </c>
      <c r="M219" s="6" t="n">
        <v>45857</v>
      </c>
      <c r="N219" s="6"/>
      <c r="O219" s="6"/>
      <c r="P219" s="5" t="s">
        <v>204</v>
      </c>
      <c r="Q219" s="5" t="s">
        <v>36</v>
      </c>
      <c r="R219" s="16" t="s">
        <v>37</v>
      </c>
      <c r="S219" s="5" t="n">
        <v>40</v>
      </c>
      <c r="T219" s="5" t="s">
        <v>38</v>
      </c>
      <c r="U219" s="8" t="str">
        <f aca="false">IF(AND(TRIM(E219)="US",TRIM(G219)="Non-Exempt"),"US Non-Exempt EEs","")</f>
        <v/>
      </c>
      <c r="V219" s="8" t="str">
        <f aca="false">IF(AND(TRIM(E219)="US",TRIM(G219)="Non-Exempt"),IF(TRIM(D219)="CA","US California Non-Exempt","US Non-California Non-Exempt"),"")</f>
        <v/>
      </c>
      <c r="W219" s="8" t="str">
        <f aca="false">_xlfn.XLOOKUP(X219,ShiftCodes[Code],ShiftCodes[Work Schedule],"Unknown code")</f>
        <v>Standard (Mon–Fri 9:00–17:30)</v>
      </c>
      <c r="X219" s="9" t="s">
        <v>39</v>
      </c>
      <c r="Y219" s="5"/>
    </row>
    <row r="220" customFormat="false" ht="15" hidden="false" customHeight="false" outlineLevel="0" collapsed="false">
      <c r="A220" s="5" t="s">
        <v>344</v>
      </c>
      <c r="B220" s="5" t="s">
        <v>99</v>
      </c>
      <c r="C220" s="5" t="s">
        <v>127</v>
      </c>
      <c r="D220" s="5" t="s">
        <v>90</v>
      </c>
      <c r="E220" s="5" t="s">
        <v>29</v>
      </c>
      <c r="F220" s="5" t="s">
        <v>124</v>
      </c>
      <c r="G220" s="5" t="s">
        <v>31</v>
      </c>
      <c r="H220" s="5" t="s">
        <v>8</v>
      </c>
      <c r="I220" s="10" t="n">
        <v>112000</v>
      </c>
      <c r="J220" s="12"/>
      <c r="K220" s="5" t="s">
        <v>33</v>
      </c>
      <c r="L220" s="5" t="s">
        <v>34</v>
      </c>
      <c r="M220" s="6" t="n">
        <v>45867</v>
      </c>
      <c r="N220" s="6"/>
      <c r="O220" s="6"/>
      <c r="P220" s="5" t="s">
        <v>231</v>
      </c>
      <c r="Q220" s="5" t="s">
        <v>36</v>
      </c>
      <c r="R220" s="16" t="s">
        <v>37</v>
      </c>
      <c r="S220" s="5" t="n">
        <v>40</v>
      </c>
      <c r="T220" s="5" t="s">
        <v>38</v>
      </c>
      <c r="U220" s="8" t="str">
        <f aca="false">IF(AND(TRIM(E220)="US",TRIM(G220)="Non-Exempt"),"US Non-Exempt EEs","")</f>
        <v/>
      </c>
      <c r="V220" s="8" t="str">
        <f aca="false">IF(AND(TRIM(E220)="US",TRIM(G220)="Non-Exempt"),IF(TRIM(D220)="CA","US California Non-Exempt","US Non-California Non-Exempt"),"")</f>
        <v/>
      </c>
      <c r="W220" s="8" t="str">
        <f aca="false">_xlfn.XLOOKUP(X220,ShiftCodes[Code],ShiftCodes[Work Schedule],"Unknown code")</f>
        <v>Standard (Mon–Fri 9:00–17:30)</v>
      </c>
      <c r="X220" s="9" t="s">
        <v>39</v>
      </c>
      <c r="Y220" s="5"/>
    </row>
    <row r="221" customFormat="false" ht="15" hidden="false" customHeight="false" outlineLevel="0" collapsed="false">
      <c r="A221" s="5" t="s">
        <v>345</v>
      </c>
      <c r="B221" s="5" t="s">
        <v>112</v>
      </c>
      <c r="C221" s="5" t="s">
        <v>106</v>
      </c>
      <c r="D221" s="5" t="s">
        <v>42</v>
      </c>
      <c r="E221" s="5" t="s">
        <v>29</v>
      </c>
      <c r="F221" s="5" t="s">
        <v>124</v>
      </c>
      <c r="G221" s="5" t="s">
        <v>31</v>
      </c>
      <c r="H221" s="5" t="s">
        <v>8</v>
      </c>
      <c r="I221" s="10" t="n">
        <v>127000</v>
      </c>
      <c r="J221" s="12"/>
      <c r="K221" s="5" t="s">
        <v>33</v>
      </c>
      <c r="L221" s="5" t="s">
        <v>34</v>
      </c>
      <c r="M221" s="6" t="n">
        <v>45874</v>
      </c>
      <c r="N221" s="6"/>
      <c r="O221" s="6"/>
      <c r="P221" s="5" t="s">
        <v>182</v>
      </c>
      <c r="Q221" s="5" t="s">
        <v>36</v>
      </c>
      <c r="R221" s="16" t="s">
        <v>37</v>
      </c>
      <c r="S221" s="5" t="n">
        <v>40</v>
      </c>
      <c r="T221" s="5" t="s">
        <v>38</v>
      </c>
      <c r="U221" s="8" t="str">
        <f aca="false">IF(AND(TRIM(E221)="US",TRIM(G221)="Non-Exempt"),"US Non-Exempt EEs","")</f>
        <v/>
      </c>
      <c r="V221" s="8" t="str">
        <f aca="false">IF(AND(TRIM(E221)="US",TRIM(G221)="Non-Exempt"),IF(TRIM(D221)="CA","US California Non-Exempt","US Non-California Non-Exempt"),"")</f>
        <v/>
      </c>
      <c r="W221" s="8" t="str">
        <f aca="false">_xlfn.XLOOKUP(X221,ShiftCodes[Code],ShiftCodes[Work Schedule],"Unknown code")</f>
        <v>Standard (Mon–Fri 9:00–17:30)</v>
      </c>
      <c r="X221" s="9" t="s">
        <v>39</v>
      </c>
      <c r="Y221" s="5"/>
    </row>
    <row r="222" customFormat="false" ht="15" hidden="false" customHeight="false" outlineLevel="0" collapsed="false">
      <c r="A222" s="5" t="s">
        <v>346</v>
      </c>
      <c r="B222" s="5" t="s">
        <v>103</v>
      </c>
      <c r="C222" s="5" t="s">
        <v>106</v>
      </c>
      <c r="D222" s="5" t="s">
        <v>42</v>
      </c>
      <c r="E222" s="5" t="s">
        <v>29</v>
      </c>
      <c r="F222" s="5" t="s">
        <v>124</v>
      </c>
      <c r="G222" s="5" t="s">
        <v>31</v>
      </c>
      <c r="H222" s="5" t="s">
        <v>8</v>
      </c>
      <c r="I222" s="10" t="n">
        <v>131000</v>
      </c>
      <c r="J222" s="12"/>
      <c r="K222" s="5" t="s">
        <v>33</v>
      </c>
      <c r="L222" s="5" t="s">
        <v>34</v>
      </c>
      <c r="M222" s="6" t="n">
        <v>45880</v>
      </c>
      <c r="N222" s="6"/>
      <c r="O222" s="6"/>
      <c r="P222" s="5" t="s">
        <v>226</v>
      </c>
      <c r="Q222" s="5" t="s">
        <v>36</v>
      </c>
      <c r="R222" s="16" t="s">
        <v>37</v>
      </c>
      <c r="S222" s="5" t="n">
        <v>40</v>
      </c>
      <c r="T222" s="5" t="s">
        <v>38</v>
      </c>
      <c r="U222" s="8" t="str">
        <f aca="false">IF(AND(TRIM(E222)="US",TRIM(G222)="Non-Exempt"),"US Non-Exempt EEs","")</f>
        <v/>
      </c>
      <c r="V222" s="8" t="str">
        <f aca="false">IF(AND(TRIM(E222)="US",TRIM(G222)="Non-Exempt"),IF(TRIM(D222)="CA","US California Non-Exempt","US Non-California Non-Exempt"),"")</f>
        <v/>
      </c>
      <c r="W222" s="8" t="str">
        <f aca="false">_xlfn.XLOOKUP(X222,ShiftCodes[Code],ShiftCodes[Work Schedule],"Unknown code")</f>
        <v>Standard (Mon–Fri 9:00–17:30)</v>
      </c>
      <c r="X222" s="9" t="s">
        <v>39</v>
      </c>
      <c r="Y222" s="5"/>
    </row>
    <row r="223" customFormat="false" ht="15" hidden="false" customHeight="false" outlineLevel="0" collapsed="false">
      <c r="A223" s="5" t="s">
        <v>347</v>
      </c>
      <c r="B223" s="5" t="s">
        <v>109</v>
      </c>
      <c r="C223" s="5" t="s">
        <v>41</v>
      </c>
      <c r="D223" s="5" t="s">
        <v>189</v>
      </c>
      <c r="E223" s="5" t="s">
        <v>29</v>
      </c>
      <c r="F223" s="5" t="s">
        <v>156</v>
      </c>
      <c r="G223" s="5" t="s">
        <v>31</v>
      </c>
      <c r="H223" s="5" t="s">
        <v>8</v>
      </c>
      <c r="I223" s="10" t="n">
        <v>225000</v>
      </c>
      <c r="J223" s="12"/>
      <c r="K223" s="5" t="s">
        <v>33</v>
      </c>
      <c r="L223" s="5" t="s">
        <v>34</v>
      </c>
      <c r="M223" s="6" t="n">
        <v>45881</v>
      </c>
      <c r="N223" s="6"/>
      <c r="O223" s="6"/>
      <c r="P223" s="5" t="s">
        <v>213</v>
      </c>
      <c r="Q223" s="5" t="s">
        <v>36</v>
      </c>
      <c r="R223" s="16" t="s">
        <v>37</v>
      </c>
      <c r="S223" s="5" t="n">
        <v>40</v>
      </c>
      <c r="T223" s="5" t="s">
        <v>38</v>
      </c>
      <c r="U223" s="8" t="str">
        <f aca="false">IF(AND(TRIM(E223)="US",TRIM(G223)="Non-Exempt"),"US Non-Exempt EEs","")</f>
        <v/>
      </c>
      <c r="V223" s="8" t="str">
        <f aca="false">IF(AND(TRIM(E223)="US",TRIM(G223)="Non-Exempt"),IF(TRIM(D223)="CA","US California Non-Exempt","US Non-California Non-Exempt"),"")</f>
        <v/>
      </c>
      <c r="W223" s="8" t="str">
        <f aca="false">_xlfn.XLOOKUP(X223,ShiftCodes[Code],ShiftCodes[Work Schedule],"Unknown code")</f>
        <v>Standard (Mon–Fri 9:00–17:30)</v>
      </c>
      <c r="X223" s="9" t="s">
        <v>39</v>
      </c>
      <c r="Y223" s="5"/>
    </row>
    <row r="224" customFormat="false" ht="15" hidden="false" customHeight="false" outlineLevel="0" collapsed="false">
      <c r="A224" s="5" t="s">
        <v>348</v>
      </c>
      <c r="B224" s="5" t="s">
        <v>112</v>
      </c>
      <c r="C224" s="5" t="s">
        <v>100</v>
      </c>
      <c r="D224" s="5" t="s">
        <v>28</v>
      </c>
      <c r="E224" s="5" t="s">
        <v>29</v>
      </c>
      <c r="F224" s="5" t="s">
        <v>165</v>
      </c>
      <c r="G224" s="5" t="s">
        <v>31</v>
      </c>
      <c r="H224" s="5" t="s">
        <v>8</v>
      </c>
      <c r="I224" s="10" t="n">
        <v>170000</v>
      </c>
      <c r="J224" s="12"/>
      <c r="K224" s="5" t="s">
        <v>33</v>
      </c>
      <c r="L224" s="5" t="s">
        <v>34</v>
      </c>
      <c r="M224" s="6" t="n">
        <v>45890</v>
      </c>
      <c r="N224" s="6"/>
      <c r="O224" s="6"/>
      <c r="P224" s="5" t="s">
        <v>204</v>
      </c>
      <c r="Q224" s="5" t="s">
        <v>36</v>
      </c>
      <c r="R224" s="16" t="s">
        <v>37</v>
      </c>
      <c r="S224" s="5" t="n">
        <v>40</v>
      </c>
      <c r="T224" s="5" t="s">
        <v>38</v>
      </c>
      <c r="U224" s="8" t="str">
        <f aca="false">IF(AND(TRIM(E224)="US",TRIM(G224)="Non-Exempt"),"US Non-Exempt EEs","")</f>
        <v/>
      </c>
      <c r="V224" s="8" t="str">
        <f aca="false">IF(AND(TRIM(E224)="US",TRIM(G224)="Non-Exempt"),IF(TRIM(D224)="CA","US California Non-Exempt","US Non-California Non-Exempt"),"")</f>
        <v/>
      </c>
      <c r="W224" s="8" t="str">
        <f aca="false">_xlfn.XLOOKUP(X224,ShiftCodes[Code],ShiftCodes[Work Schedule],"Unknown code")</f>
        <v>Standard (Mon–Fri 9:00–17:30)</v>
      </c>
      <c r="X224" s="9" t="s">
        <v>39</v>
      </c>
      <c r="Y224" s="5"/>
    </row>
    <row r="225" customFormat="false" ht="15" hidden="false" customHeight="false" outlineLevel="0" collapsed="false">
      <c r="A225" s="5" t="s">
        <v>349</v>
      </c>
      <c r="B225" s="5" t="s">
        <v>109</v>
      </c>
      <c r="C225" s="5" t="s">
        <v>76</v>
      </c>
      <c r="D225" s="5" t="s">
        <v>28</v>
      </c>
      <c r="E225" s="5" t="s">
        <v>29</v>
      </c>
      <c r="F225" s="5" t="s">
        <v>130</v>
      </c>
      <c r="G225" s="5" t="s">
        <v>78</v>
      </c>
      <c r="H225" s="5" t="s">
        <v>79</v>
      </c>
      <c r="I225" s="10"/>
      <c r="J225" s="12" t="n">
        <v>32</v>
      </c>
      <c r="K225" s="5" t="s">
        <v>33</v>
      </c>
      <c r="L225" s="5" t="s">
        <v>80</v>
      </c>
      <c r="M225" s="6" t="n">
        <v>45892</v>
      </c>
      <c r="N225" s="6"/>
      <c r="O225" s="6"/>
      <c r="P225" s="5" t="s">
        <v>161</v>
      </c>
      <c r="Q225" s="5" t="s">
        <v>36</v>
      </c>
      <c r="R225" s="16" t="s">
        <v>37</v>
      </c>
      <c r="S225" s="5" t="n">
        <v>36</v>
      </c>
      <c r="T225" s="5" t="s">
        <v>38</v>
      </c>
      <c r="U225" s="8" t="str">
        <f aca="false">IF(AND(TRIM(E225)="US",TRIM(G225)="Non-Exempt"),"US Non-Exempt EEs","")</f>
        <v>US Non-Exempt EEs</v>
      </c>
      <c r="V225" s="8" t="str">
        <f aca="false">IF(AND(TRIM(E225)="US",TRIM(G225)="Non-Exempt"),IF(TRIM(D225)="CA","US California Non-Exempt","US Non-California Non-Exempt"),"")</f>
        <v>US California Non-Exempt</v>
      </c>
      <c r="W225" s="8" t="str">
        <f aca="false">_xlfn.XLOOKUP(X225,ShiftCodes[Code],ShiftCodes[Work Schedule],"Unknown code")</f>
        <v>Shift D – Weekend (Fri–Sun 06:00–18:30)</v>
      </c>
      <c r="X225" s="9" t="s">
        <v>151</v>
      </c>
      <c r="Y225" s="5"/>
    </row>
    <row r="226" customFormat="false" ht="15" hidden="false" customHeight="false" outlineLevel="0" collapsed="false">
      <c r="A226" s="5" t="s">
        <v>350</v>
      </c>
      <c r="B226" s="5" t="s">
        <v>103</v>
      </c>
      <c r="C226" s="5" t="s">
        <v>180</v>
      </c>
      <c r="D226" s="5" t="s">
        <v>52</v>
      </c>
      <c r="E226" s="5" t="s">
        <v>52</v>
      </c>
      <c r="F226" s="5" t="s">
        <v>165</v>
      </c>
      <c r="G226" s="5" t="s">
        <v>31</v>
      </c>
      <c r="H226" s="5" t="s">
        <v>8</v>
      </c>
      <c r="I226" s="10" t="n">
        <v>106000</v>
      </c>
      <c r="J226" s="19"/>
      <c r="K226" s="5" t="s">
        <v>55</v>
      </c>
      <c r="L226" s="5" t="s">
        <v>56</v>
      </c>
      <c r="M226" s="6" t="n">
        <v>45897</v>
      </c>
      <c r="N226" s="6"/>
      <c r="O226" s="6"/>
      <c r="P226" s="5" t="s">
        <v>218</v>
      </c>
      <c r="Q226" s="5" t="s">
        <v>36</v>
      </c>
      <c r="R226" s="16" t="s">
        <v>37</v>
      </c>
      <c r="S226" s="5" t="n">
        <v>37.5</v>
      </c>
      <c r="T226" s="5" t="s">
        <v>38</v>
      </c>
      <c r="U226" s="8" t="str">
        <f aca="false">IF(AND(TRIM(E226)="US",TRIM(G226)="Non-Exempt"),"US Non-Exempt EEs","")</f>
        <v/>
      </c>
      <c r="V226" s="8" t="str">
        <f aca="false">IF(AND(TRIM(E226)="US",TRIM(G226)="Non-Exempt"),IF(TRIM(D226)="CA","US California Non-Exempt","US Non-California Non-Exempt"),"")</f>
        <v/>
      </c>
      <c r="W226" s="8" t="str">
        <f aca="false">_xlfn.XLOOKUP(X226,ShiftCodes[Code],ShiftCodes[Work Schedule],"Unknown code")</f>
        <v>Standard (Mon–Fri 9:00–17:30)</v>
      </c>
      <c r="X226" s="9" t="s">
        <v>39</v>
      </c>
      <c r="Y226" s="5"/>
    </row>
    <row r="227" customFormat="false" ht="15" hidden="false" customHeight="false" outlineLevel="0" collapsed="false">
      <c r="A227" s="5" t="s">
        <v>351</v>
      </c>
      <c r="B227" s="5" t="s">
        <v>109</v>
      </c>
      <c r="C227" s="5" t="s">
        <v>76</v>
      </c>
      <c r="D227" s="5" t="s">
        <v>28</v>
      </c>
      <c r="E227" s="5" t="s">
        <v>29</v>
      </c>
      <c r="F227" s="5" t="s">
        <v>121</v>
      </c>
      <c r="G227" s="5" t="s">
        <v>78</v>
      </c>
      <c r="H227" s="5" t="s">
        <v>79</v>
      </c>
      <c r="I227" s="10"/>
      <c r="J227" s="12" t="n">
        <v>38.25</v>
      </c>
      <c r="K227" s="5" t="s">
        <v>33</v>
      </c>
      <c r="L227" s="5" t="s">
        <v>80</v>
      </c>
      <c r="M227" s="6" t="n">
        <v>45901</v>
      </c>
      <c r="N227" s="6"/>
      <c r="O227" s="6"/>
      <c r="P227" s="5" t="s">
        <v>161</v>
      </c>
      <c r="Q227" s="5" t="s">
        <v>36</v>
      </c>
      <c r="R227" s="16" t="s">
        <v>37</v>
      </c>
      <c r="S227" s="5" t="n">
        <v>40</v>
      </c>
      <c r="T227" s="5" t="s">
        <v>38</v>
      </c>
      <c r="U227" s="8" t="str">
        <f aca="false">IF(AND(TRIM(E227)="US",TRIM(G227)="Non-Exempt"),"US Non-Exempt EEs","")</f>
        <v>US Non-Exempt EEs</v>
      </c>
      <c r="V227" s="8" t="str">
        <f aca="false">IF(AND(TRIM(E227)="US",TRIM(G227)="Non-Exempt"),IF(TRIM(D227)="CA","US California Non-Exempt","US Non-California Non-Exempt"),"")</f>
        <v>US California Non-Exempt</v>
      </c>
      <c r="W227" s="8" t="str">
        <f aca="false">_xlfn.XLOOKUP(X227,ShiftCodes[Code],ShiftCodes[Work Schedule],"Unknown code")</f>
        <v>Shift A – Day (Mon–Fri 06:00–14:30)</v>
      </c>
      <c r="X227" s="9" t="s">
        <v>81</v>
      </c>
      <c r="Y227" s="5"/>
    </row>
    <row r="228" customFormat="false" ht="15" hidden="false" customHeight="false" outlineLevel="0" collapsed="false">
      <c r="A228" s="5" t="s">
        <v>352</v>
      </c>
      <c r="B228" s="5" t="s">
        <v>103</v>
      </c>
      <c r="C228" s="5" t="s">
        <v>100</v>
      </c>
      <c r="D228" s="5" t="s">
        <v>28</v>
      </c>
      <c r="E228" s="5" t="s">
        <v>29</v>
      </c>
      <c r="F228" s="5" t="s">
        <v>163</v>
      </c>
      <c r="G228" s="5" t="s">
        <v>31</v>
      </c>
      <c r="H228" s="5" t="s">
        <v>8</v>
      </c>
      <c r="I228" s="10" t="n">
        <v>166000</v>
      </c>
      <c r="J228" s="12"/>
      <c r="K228" s="5" t="s">
        <v>33</v>
      </c>
      <c r="L228" s="5" t="s">
        <v>34</v>
      </c>
      <c r="M228" s="6" t="n">
        <v>45903</v>
      </c>
      <c r="N228" s="6"/>
      <c r="O228" s="6"/>
      <c r="P228" s="5" t="s">
        <v>255</v>
      </c>
      <c r="Q228" s="5" t="s">
        <v>36</v>
      </c>
      <c r="R228" s="16" t="s">
        <v>37</v>
      </c>
      <c r="S228" s="5" t="n">
        <v>40</v>
      </c>
      <c r="T228" s="5" t="s">
        <v>38</v>
      </c>
      <c r="U228" s="8" t="str">
        <f aca="false">IF(AND(TRIM(E228)="US",TRIM(G228)="Non-Exempt"),"US Non-Exempt EEs","")</f>
        <v/>
      </c>
      <c r="V228" s="8" t="str">
        <f aca="false">IF(AND(TRIM(E228)="US",TRIM(G228)="Non-Exempt"),IF(TRIM(D228)="CA","US California Non-Exempt","US Non-California Non-Exempt"),"")</f>
        <v/>
      </c>
      <c r="W228" s="8" t="str">
        <f aca="false">_xlfn.XLOOKUP(X228,ShiftCodes[Code],ShiftCodes[Work Schedule],"Unknown code")</f>
        <v>Standard (Mon–Fri 9:00–17:30)</v>
      </c>
      <c r="X228" s="9" t="s">
        <v>39</v>
      </c>
      <c r="Y228" s="5"/>
    </row>
    <row r="229" customFormat="false" ht="15" hidden="false" customHeight="false" outlineLevel="0" collapsed="false">
      <c r="A229" s="5" t="s">
        <v>353</v>
      </c>
      <c r="B229" s="5" t="s">
        <v>103</v>
      </c>
      <c r="C229" s="5" t="s">
        <v>106</v>
      </c>
      <c r="D229" s="5" t="s">
        <v>42</v>
      </c>
      <c r="E229" s="5" t="s">
        <v>29</v>
      </c>
      <c r="F229" s="5" t="s">
        <v>163</v>
      </c>
      <c r="G229" s="5" t="s">
        <v>31</v>
      </c>
      <c r="H229" s="5" t="s">
        <v>8</v>
      </c>
      <c r="I229" s="10" t="n">
        <v>147000</v>
      </c>
      <c r="J229" s="12"/>
      <c r="K229" s="5" t="s">
        <v>33</v>
      </c>
      <c r="L229" s="5" t="s">
        <v>34</v>
      </c>
      <c r="M229" s="6" t="n">
        <v>45903</v>
      </c>
      <c r="N229" s="6"/>
      <c r="O229" s="6"/>
      <c r="P229" s="5" t="s">
        <v>145</v>
      </c>
      <c r="Q229" s="5" t="s">
        <v>36</v>
      </c>
      <c r="R229" s="16" t="s">
        <v>37</v>
      </c>
      <c r="S229" s="5" t="n">
        <v>40</v>
      </c>
      <c r="T229" s="5" t="s">
        <v>38</v>
      </c>
      <c r="U229" s="8" t="str">
        <f aca="false">IF(AND(TRIM(E229)="US",TRIM(G229)="Non-Exempt"),"US Non-Exempt EEs","")</f>
        <v/>
      </c>
      <c r="V229" s="8" t="str">
        <f aca="false">IF(AND(TRIM(E229)="US",TRIM(G229)="Non-Exempt"),IF(TRIM(D229)="CA","US California Non-Exempt","US Non-California Non-Exempt"),"")</f>
        <v/>
      </c>
      <c r="W229" s="8" t="str">
        <f aca="false">_xlfn.XLOOKUP(X229,ShiftCodes[Code],ShiftCodes[Work Schedule],"Unknown code")</f>
        <v>Standard (Mon–Fri 9:00–17:30)</v>
      </c>
      <c r="X229" s="9" t="s">
        <v>39</v>
      </c>
      <c r="Y229" s="5"/>
    </row>
    <row r="230" customFormat="false" ht="15" hidden="false" customHeight="false" outlineLevel="0" collapsed="false">
      <c r="A230" s="5" t="s">
        <v>354</v>
      </c>
      <c r="B230" s="5" t="s">
        <v>109</v>
      </c>
      <c r="C230" s="5" t="s">
        <v>76</v>
      </c>
      <c r="D230" s="5" t="s">
        <v>28</v>
      </c>
      <c r="E230" s="5" t="s">
        <v>29</v>
      </c>
      <c r="F230" s="5" t="s">
        <v>121</v>
      </c>
      <c r="G230" s="5" t="s">
        <v>78</v>
      </c>
      <c r="H230" s="5" t="s">
        <v>79</v>
      </c>
      <c r="I230" s="10"/>
      <c r="J230" s="12" t="n">
        <v>38.5</v>
      </c>
      <c r="K230" s="5" t="s">
        <v>33</v>
      </c>
      <c r="L230" s="5" t="s">
        <v>80</v>
      </c>
      <c r="M230" s="6" t="n">
        <v>45909</v>
      </c>
      <c r="N230" s="6"/>
      <c r="O230" s="6"/>
      <c r="P230" s="5" t="s">
        <v>161</v>
      </c>
      <c r="Q230" s="5" t="s">
        <v>36</v>
      </c>
      <c r="R230" s="16" t="s">
        <v>37</v>
      </c>
      <c r="S230" s="5" t="n">
        <v>40</v>
      </c>
      <c r="T230" s="5" t="s">
        <v>38</v>
      </c>
      <c r="U230" s="8" t="str">
        <f aca="false">IF(AND(TRIM(E230)="US",TRIM(G230)="Non-Exempt"),"US Non-Exempt EEs","")</f>
        <v>US Non-Exempt EEs</v>
      </c>
      <c r="V230" s="8" t="str">
        <f aca="false">IF(AND(TRIM(E230)="US",TRIM(G230)="Non-Exempt"),IF(TRIM(D230)="CA","US California Non-Exempt","US Non-California Non-Exempt"),"")</f>
        <v>US California Non-Exempt</v>
      </c>
      <c r="W230" s="8" t="str">
        <f aca="false">_xlfn.XLOOKUP(X230,ShiftCodes[Code],ShiftCodes[Work Schedule],"Unknown code")</f>
        <v>Shift B – Swing (Mon–Fri 14:00–22:30)</v>
      </c>
      <c r="X230" s="9" t="s">
        <v>85</v>
      </c>
      <c r="Y230" s="5"/>
    </row>
    <row r="231" customFormat="false" ht="15" hidden="false" customHeight="false" outlineLevel="0" collapsed="false">
      <c r="A231" s="5" t="s">
        <v>355</v>
      </c>
      <c r="B231" s="5" t="s">
        <v>103</v>
      </c>
      <c r="C231" s="5" t="s">
        <v>41</v>
      </c>
      <c r="D231" s="5" t="s">
        <v>185</v>
      </c>
      <c r="E231" s="5" t="s">
        <v>29</v>
      </c>
      <c r="F231" s="5" t="s">
        <v>163</v>
      </c>
      <c r="G231" s="5" t="s">
        <v>31</v>
      </c>
      <c r="H231" s="5" t="s">
        <v>8</v>
      </c>
      <c r="I231" s="10" t="n">
        <v>155000</v>
      </c>
      <c r="J231" s="12"/>
      <c r="K231" s="5" t="s">
        <v>33</v>
      </c>
      <c r="L231" s="5" t="s">
        <v>34</v>
      </c>
      <c r="M231" s="6" t="n">
        <v>45910</v>
      </c>
      <c r="N231" s="6"/>
      <c r="O231" s="6"/>
      <c r="P231" s="5" t="s">
        <v>181</v>
      </c>
      <c r="Q231" s="5" t="s">
        <v>36</v>
      </c>
      <c r="R231" s="16" t="s">
        <v>37</v>
      </c>
      <c r="S231" s="5" t="n">
        <v>40</v>
      </c>
      <c r="T231" s="5" t="s">
        <v>38</v>
      </c>
      <c r="U231" s="8" t="str">
        <f aca="false">IF(AND(TRIM(E231)="US",TRIM(G231)="Non-Exempt"),"US Non-Exempt EEs","")</f>
        <v/>
      </c>
      <c r="V231" s="8" t="str">
        <f aca="false">IF(AND(TRIM(E231)="US",TRIM(G231)="Non-Exempt"),IF(TRIM(D231)="CA","US California Non-Exempt","US Non-California Non-Exempt"),"")</f>
        <v/>
      </c>
      <c r="W231" s="8" t="str">
        <f aca="false">_xlfn.XLOOKUP(X231,ShiftCodes[Code],ShiftCodes[Work Schedule],"Unknown code")</f>
        <v>Standard (Mon–Fri 9:00–17:30)</v>
      </c>
      <c r="X231" s="9" t="s">
        <v>39</v>
      </c>
      <c r="Y231" s="5"/>
    </row>
    <row r="232" customFormat="false" ht="15" hidden="false" customHeight="false" outlineLevel="0" collapsed="false">
      <c r="A232" s="5" t="s">
        <v>356</v>
      </c>
      <c r="B232" s="5" t="s">
        <v>112</v>
      </c>
      <c r="C232" s="5" t="s">
        <v>106</v>
      </c>
      <c r="D232" s="5" t="s">
        <v>42</v>
      </c>
      <c r="E232" s="5" t="s">
        <v>29</v>
      </c>
      <c r="F232" s="5" t="s">
        <v>149</v>
      </c>
      <c r="G232" s="5" t="s">
        <v>31</v>
      </c>
      <c r="H232" s="5" t="s">
        <v>8</v>
      </c>
      <c r="I232" s="10" t="n">
        <v>110000</v>
      </c>
      <c r="J232" s="12"/>
      <c r="K232" s="5" t="s">
        <v>33</v>
      </c>
      <c r="L232" s="5" t="s">
        <v>34</v>
      </c>
      <c r="M232" s="6" t="n">
        <v>45910</v>
      </c>
      <c r="N232" s="6"/>
      <c r="O232" s="6"/>
      <c r="P232" s="5" t="s">
        <v>182</v>
      </c>
      <c r="Q232" s="5" t="s">
        <v>36</v>
      </c>
      <c r="R232" s="16" t="s">
        <v>37</v>
      </c>
      <c r="S232" s="5" t="n">
        <v>40</v>
      </c>
      <c r="T232" s="5" t="s">
        <v>38</v>
      </c>
      <c r="U232" s="8" t="str">
        <f aca="false">IF(AND(TRIM(E232)="US",TRIM(G232)="Non-Exempt"),"US Non-Exempt EEs","")</f>
        <v/>
      </c>
      <c r="V232" s="8" t="str">
        <f aca="false">IF(AND(TRIM(E232)="US",TRIM(G232)="Non-Exempt"),IF(TRIM(D232)="CA","US California Non-Exempt","US Non-California Non-Exempt"),"")</f>
        <v/>
      </c>
      <c r="W232" s="8" t="str">
        <f aca="false">_xlfn.XLOOKUP(X232,ShiftCodes[Code],ShiftCodes[Work Schedule],"Unknown code")</f>
        <v>Standard (Mon–Fri 9:00–17:30)</v>
      </c>
      <c r="X232" s="9" t="s">
        <v>39</v>
      </c>
      <c r="Y232" s="5"/>
    </row>
    <row r="233" customFormat="false" ht="15" hidden="false" customHeight="false" outlineLevel="0" collapsed="false">
      <c r="A233" s="5" t="s">
        <v>357</v>
      </c>
      <c r="B233" s="5" t="s">
        <v>103</v>
      </c>
      <c r="C233" s="5" t="s">
        <v>100</v>
      </c>
      <c r="D233" s="5" t="s">
        <v>28</v>
      </c>
      <c r="E233" s="5" t="s">
        <v>29</v>
      </c>
      <c r="F233" s="5" t="s">
        <v>163</v>
      </c>
      <c r="G233" s="5" t="s">
        <v>31</v>
      </c>
      <c r="H233" s="5" t="s">
        <v>8</v>
      </c>
      <c r="I233" s="10" t="n">
        <v>159000</v>
      </c>
      <c r="J233" s="12"/>
      <c r="K233" s="5" t="s">
        <v>33</v>
      </c>
      <c r="L233" s="5" t="s">
        <v>34</v>
      </c>
      <c r="M233" s="6" t="n">
        <v>45911</v>
      </c>
      <c r="N233" s="6"/>
      <c r="O233" s="6"/>
      <c r="P233" s="5" t="s">
        <v>255</v>
      </c>
      <c r="Q233" s="5" t="s">
        <v>36</v>
      </c>
      <c r="R233" s="16" t="s">
        <v>37</v>
      </c>
      <c r="S233" s="5" t="n">
        <v>40</v>
      </c>
      <c r="T233" s="5" t="s">
        <v>38</v>
      </c>
      <c r="U233" s="8" t="str">
        <f aca="false">IF(AND(TRIM(E233)="US",TRIM(G233)="Non-Exempt"),"US Non-Exempt EEs","")</f>
        <v/>
      </c>
      <c r="V233" s="8" t="str">
        <f aca="false">IF(AND(TRIM(E233)="US",TRIM(G233)="Non-Exempt"),IF(TRIM(D233)="CA","US California Non-Exempt","US Non-California Non-Exempt"),"")</f>
        <v/>
      </c>
      <c r="W233" s="8" t="str">
        <f aca="false">_xlfn.XLOOKUP(X233,ShiftCodes[Code],ShiftCodes[Work Schedule],"Unknown code")</f>
        <v>Standard (Mon–Fri 9:00–17:30)</v>
      </c>
      <c r="X233" s="9" t="s">
        <v>39</v>
      </c>
      <c r="Y233" s="5"/>
    </row>
    <row r="234" customFormat="false" ht="15" hidden="false" customHeight="false" outlineLevel="0" collapsed="false">
      <c r="A234" s="5" t="s">
        <v>358</v>
      </c>
      <c r="B234" s="5" t="s">
        <v>109</v>
      </c>
      <c r="C234" s="5" t="s">
        <v>113</v>
      </c>
      <c r="D234" s="5" t="s">
        <v>84</v>
      </c>
      <c r="E234" s="5" t="s">
        <v>29</v>
      </c>
      <c r="F234" s="5" t="s">
        <v>132</v>
      </c>
      <c r="G234" s="5" t="s">
        <v>78</v>
      </c>
      <c r="H234" s="5" t="s">
        <v>79</v>
      </c>
      <c r="I234" s="10"/>
      <c r="J234" s="12" t="n">
        <v>39.5</v>
      </c>
      <c r="K234" s="5" t="s">
        <v>33</v>
      </c>
      <c r="L234" s="5" t="s">
        <v>80</v>
      </c>
      <c r="M234" s="6" t="n">
        <v>45913</v>
      </c>
      <c r="N234" s="6"/>
      <c r="O234" s="6"/>
      <c r="P234" s="5" t="s">
        <v>118</v>
      </c>
      <c r="Q234" s="5" t="s">
        <v>36</v>
      </c>
      <c r="R234" s="16" t="s">
        <v>37</v>
      </c>
      <c r="S234" s="5" t="n">
        <v>40</v>
      </c>
      <c r="T234" s="5" t="s">
        <v>38</v>
      </c>
      <c r="U234" s="8" t="str">
        <f aca="false">IF(AND(TRIM(E234)="US",TRIM(G234)="Non-Exempt"),"US Non-Exempt EEs","")</f>
        <v>US Non-Exempt EEs</v>
      </c>
      <c r="V234" s="8" t="str">
        <f aca="false">IF(AND(TRIM(E234)="US",TRIM(G234)="Non-Exempt"),IF(TRIM(D234)="CA","US California Non-Exempt","US Non-California Non-Exempt"),"")</f>
        <v>US Non-California Non-Exempt</v>
      </c>
      <c r="W234" s="8" t="str">
        <f aca="false">_xlfn.XLOOKUP(X234,ShiftCodes[Code],ShiftCodes[Work Schedule],"Unknown code")</f>
        <v>Shift B – Swing (Mon–Fri 14:00–22:30)</v>
      </c>
      <c r="X234" s="9" t="s">
        <v>85</v>
      </c>
      <c r="Y234" s="5"/>
    </row>
    <row r="235" customFormat="false" ht="15" hidden="false" customHeight="false" outlineLevel="0" collapsed="false">
      <c r="A235" s="5" t="s">
        <v>359</v>
      </c>
      <c r="B235" s="5" t="s">
        <v>103</v>
      </c>
      <c r="C235" s="5" t="s">
        <v>100</v>
      </c>
      <c r="D235" s="5" t="s">
        <v>28</v>
      </c>
      <c r="E235" s="5" t="s">
        <v>29</v>
      </c>
      <c r="F235" s="5" t="s">
        <v>165</v>
      </c>
      <c r="G235" s="5" t="s">
        <v>31</v>
      </c>
      <c r="H235" s="5" t="s">
        <v>8</v>
      </c>
      <c r="I235" s="10" t="n">
        <v>192000</v>
      </c>
      <c r="J235" s="12"/>
      <c r="K235" s="5" t="s">
        <v>33</v>
      </c>
      <c r="L235" s="5" t="s">
        <v>34</v>
      </c>
      <c r="M235" s="6" t="n">
        <v>45914</v>
      </c>
      <c r="N235" s="6"/>
      <c r="O235" s="6"/>
      <c r="P235" s="5" t="s">
        <v>175</v>
      </c>
      <c r="Q235" s="5" t="s">
        <v>36</v>
      </c>
      <c r="R235" s="16" t="s">
        <v>37</v>
      </c>
      <c r="S235" s="5" t="n">
        <v>40</v>
      </c>
      <c r="T235" s="5" t="s">
        <v>38</v>
      </c>
      <c r="U235" s="8" t="str">
        <f aca="false">IF(AND(TRIM(E235)="US",TRIM(G235)="Non-Exempt"),"US Non-Exempt EEs","")</f>
        <v/>
      </c>
      <c r="V235" s="8" t="str">
        <f aca="false">IF(AND(TRIM(E235)="US",TRIM(G235)="Non-Exempt"),IF(TRIM(D235)="CA","US California Non-Exempt","US Non-California Non-Exempt"),"")</f>
        <v/>
      </c>
      <c r="W235" s="8" t="str">
        <f aca="false">_xlfn.XLOOKUP(X235,ShiftCodes[Code],ShiftCodes[Work Schedule],"Unknown code")</f>
        <v>Standard (Mon–Fri 9:00–17:30)</v>
      </c>
      <c r="X235" s="9" t="s">
        <v>39</v>
      </c>
      <c r="Y235" s="5"/>
    </row>
    <row r="236" customFormat="false" ht="15" hidden="false" customHeight="false" outlineLevel="0" collapsed="false">
      <c r="A236" s="5" t="s">
        <v>360</v>
      </c>
      <c r="B236" s="5" t="s">
        <v>103</v>
      </c>
      <c r="C236" s="5" t="s">
        <v>180</v>
      </c>
      <c r="D236" s="5" t="s">
        <v>52</v>
      </c>
      <c r="E236" s="5" t="s">
        <v>52</v>
      </c>
      <c r="F236" s="5" t="s">
        <v>163</v>
      </c>
      <c r="G236" s="5" t="s">
        <v>31</v>
      </c>
      <c r="H236" s="5" t="s">
        <v>8</v>
      </c>
      <c r="I236" s="10" t="n">
        <v>89000</v>
      </c>
      <c r="J236" s="19"/>
      <c r="K236" s="5" t="s">
        <v>55</v>
      </c>
      <c r="L236" s="5" t="s">
        <v>56</v>
      </c>
      <c r="M236" s="6" t="n">
        <v>45917</v>
      </c>
      <c r="N236" s="6"/>
      <c r="O236" s="6"/>
      <c r="P236" s="5" t="s">
        <v>218</v>
      </c>
      <c r="Q236" s="5" t="s">
        <v>36</v>
      </c>
      <c r="R236" s="16" t="s">
        <v>37</v>
      </c>
      <c r="S236" s="5" t="n">
        <v>37.5</v>
      </c>
      <c r="T236" s="5" t="s">
        <v>38</v>
      </c>
      <c r="U236" s="8" t="str">
        <f aca="false">IF(AND(TRIM(E236)="US",TRIM(G236)="Non-Exempt"),"US Non-Exempt EEs","")</f>
        <v/>
      </c>
      <c r="V236" s="8" t="str">
        <f aca="false">IF(AND(TRIM(E236)="US",TRIM(G236)="Non-Exempt"),IF(TRIM(D236)="CA","US California Non-Exempt","US Non-California Non-Exempt"),"")</f>
        <v/>
      </c>
      <c r="W236" s="8" t="str">
        <f aca="false">_xlfn.XLOOKUP(X236,ShiftCodes[Code],ShiftCodes[Work Schedule],"Unknown code")</f>
        <v>Standard (Mon–Fri 9:00–17:30)</v>
      </c>
      <c r="X236" s="9" t="s">
        <v>39</v>
      </c>
      <c r="Y236" s="5"/>
    </row>
    <row r="237" customFormat="false" ht="15" hidden="false" customHeight="false" outlineLevel="0" collapsed="false">
      <c r="A237" s="5" t="s">
        <v>361</v>
      </c>
      <c r="B237" s="5" t="s">
        <v>112</v>
      </c>
      <c r="C237" s="5" t="s">
        <v>100</v>
      </c>
      <c r="D237" s="5" t="s">
        <v>28</v>
      </c>
      <c r="E237" s="5" t="s">
        <v>29</v>
      </c>
      <c r="F237" s="5" t="s">
        <v>163</v>
      </c>
      <c r="G237" s="5" t="s">
        <v>31</v>
      </c>
      <c r="H237" s="5" t="s">
        <v>8</v>
      </c>
      <c r="I237" s="10" t="n">
        <v>171000</v>
      </c>
      <c r="J237" s="12"/>
      <c r="K237" s="5" t="s">
        <v>33</v>
      </c>
      <c r="L237" s="5" t="s">
        <v>34</v>
      </c>
      <c r="M237" s="6" t="n">
        <v>45919</v>
      </c>
      <c r="N237" s="6"/>
      <c r="O237" s="6" t="n">
        <v>46199</v>
      </c>
      <c r="P237" s="5" t="s">
        <v>208</v>
      </c>
      <c r="Q237" s="5" t="s">
        <v>93</v>
      </c>
      <c r="R237" s="16" t="s">
        <v>37</v>
      </c>
      <c r="S237" s="5" t="n">
        <v>40</v>
      </c>
      <c r="T237" s="5" t="s">
        <v>38</v>
      </c>
      <c r="U237" s="8" t="str">
        <f aca="false">IF(AND(TRIM(E237)="US",TRIM(G237)="Non-Exempt"),"US Non-Exempt EEs","")</f>
        <v/>
      </c>
      <c r="V237" s="8" t="str">
        <f aca="false">IF(AND(TRIM(E237)="US",TRIM(G237)="Non-Exempt"),IF(TRIM(D237)="CA","US California Non-Exempt","US Non-California Non-Exempt"),"")</f>
        <v/>
      </c>
      <c r="W237" s="8" t="str">
        <f aca="false">_xlfn.XLOOKUP(X237,ShiftCodes[Code],ShiftCodes[Work Schedule],"Unknown code")</f>
        <v>Standard (Mon–Fri 9:00–17:30)</v>
      </c>
      <c r="X237" s="9" t="s">
        <v>39</v>
      </c>
      <c r="Y237" s="5"/>
    </row>
    <row r="238" customFormat="false" ht="15" hidden="false" customHeight="false" outlineLevel="0" collapsed="false">
      <c r="A238" s="5" t="s">
        <v>362</v>
      </c>
      <c r="B238" s="5" t="s">
        <v>103</v>
      </c>
      <c r="C238" s="5" t="s">
        <v>100</v>
      </c>
      <c r="D238" s="5" t="s">
        <v>28</v>
      </c>
      <c r="E238" s="5" t="s">
        <v>29</v>
      </c>
      <c r="F238" s="5" t="s">
        <v>165</v>
      </c>
      <c r="G238" s="5" t="s">
        <v>31</v>
      </c>
      <c r="H238" s="5" t="s">
        <v>8</v>
      </c>
      <c r="I238" s="10" t="n">
        <v>183000</v>
      </c>
      <c r="J238" s="12"/>
      <c r="K238" s="5" t="s">
        <v>33</v>
      </c>
      <c r="L238" s="5" t="s">
        <v>34</v>
      </c>
      <c r="M238" s="6" t="n">
        <v>45920</v>
      </c>
      <c r="N238" s="6"/>
      <c r="O238" s="6"/>
      <c r="P238" s="5" t="s">
        <v>136</v>
      </c>
      <c r="Q238" s="5" t="s">
        <v>36</v>
      </c>
      <c r="R238" s="16" t="s">
        <v>37</v>
      </c>
      <c r="S238" s="5" t="n">
        <v>40</v>
      </c>
      <c r="T238" s="5" t="s">
        <v>38</v>
      </c>
      <c r="U238" s="8" t="str">
        <f aca="false">IF(AND(TRIM(E238)="US",TRIM(G238)="Non-Exempt"),"US Non-Exempt EEs","")</f>
        <v/>
      </c>
      <c r="V238" s="8" t="str">
        <f aca="false">IF(AND(TRIM(E238)="US",TRIM(G238)="Non-Exempt"),IF(TRIM(D238)="CA","US California Non-Exempt","US Non-California Non-Exempt"),"")</f>
        <v/>
      </c>
      <c r="W238" s="8" t="str">
        <f aca="false">_xlfn.XLOOKUP(X238,ShiftCodes[Code],ShiftCodes[Work Schedule],"Unknown code")</f>
        <v>Standard (Mon–Fri 9:00–17:30)</v>
      </c>
      <c r="X238" s="9" t="s">
        <v>39</v>
      </c>
      <c r="Y238" s="5"/>
    </row>
    <row r="239" customFormat="false" ht="15" hidden="false" customHeight="false" outlineLevel="0" collapsed="false">
      <c r="A239" s="5" t="s">
        <v>363</v>
      </c>
      <c r="B239" s="5" t="s">
        <v>109</v>
      </c>
      <c r="C239" s="5" t="s">
        <v>113</v>
      </c>
      <c r="D239" s="5" t="s">
        <v>84</v>
      </c>
      <c r="E239" s="5" t="s">
        <v>29</v>
      </c>
      <c r="F239" s="5" t="s">
        <v>130</v>
      </c>
      <c r="G239" s="5" t="s">
        <v>78</v>
      </c>
      <c r="H239" s="5" t="s">
        <v>79</v>
      </c>
      <c r="I239" s="10"/>
      <c r="J239" s="12" t="n">
        <v>27.25</v>
      </c>
      <c r="K239" s="5" t="s">
        <v>33</v>
      </c>
      <c r="L239" s="5" t="s">
        <v>80</v>
      </c>
      <c r="M239" s="6" t="n">
        <v>45921</v>
      </c>
      <c r="N239" s="6"/>
      <c r="O239" s="6"/>
      <c r="P239" s="5" t="s">
        <v>202</v>
      </c>
      <c r="Q239" s="5" t="s">
        <v>36</v>
      </c>
      <c r="R239" s="16" t="s">
        <v>37</v>
      </c>
      <c r="S239" s="5" t="n">
        <v>40</v>
      </c>
      <c r="T239" s="5" t="s">
        <v>38</v>
      </c>
      <c r="U239" s="8" t="str">
        <f aca="false">IF(AND(TRIM(E239)="US",TRIM(G239)="Non-Exempt"),"US Non-Exempt EEs","")</f>
        <v>US Non-Exempt EEs</v>
      </c>
      <c r="V239" s="8" t="str">
        <f aca="false">IF(AND(TRIM(E239)="US",TRIM(G239)="Non-Exempt"),IF(TRIM(D239)="CA","US California Non-Exempt","US Non-California Non-Exempt"),"")</f>
        <v>US Non-California Non-Exempt</v>
      </c>
      <c r="W239" s="8" t="str">
        <f aca="false">_xlfn.XLOOKUP(X239,ShiftCodes[Code],ShiftCodes[Work Schedule],"Unknown code")</f>
        <v>Shift A – Day (Mon–Fri 06:00–14:30)</v>
      </c>
      <c r="X239" s="9" t="s">
        <v>81</v>
      </c>
      <c r="Y239" s="5"/>
    </row>
    <row r="240" customFormat="false" ht="15" hidden="false" customHeight="false" outlineLevel="0" collapsed="false">
      <c r="A240" s="5" t="s">
        <v>364</v>
      </c>
      <c r="B240" s="5" t="s">
        <v>103</v>
      </c>
      <c r="C240" s="5" t="s">
        <v>41</v>
      </c>
      <c r="D240" s="5" t="s">
        <v>189</v>
      </c>
      <c r="E240" s="5" t="s">
        <v>29</v>
      </c>
      <c r="F240" s="5" t="s">
        <v>149</v>
      </c>
      <c r="G240" s="5" t="s">
        <v>31</v>
      </c>
      <c r="H240" s="5" t="s">
        <v>8</v>
      </c>
      <c r="I240" s="10" t="n">
        <v>104000</v>
      </c>
      <c r="J240" s="12"/>
      <c r="K240" s="5" t="s">
        <v>33</v>
      </c>
      <c r="L240" s="5" t="s">
        <v>34</v>
      </c>
      <c r="M240" s="6" t="n">
        <v>45924</v>
      </c>
      <c r="N240" s="6"/>
      <c r="O240" s="6"/>
      <c r="P240" s="5" t="s">
        <v>136</v>
      </c>
      <c r="Q240" s="5" t="s">
        <v>36</v>
      </c>
      <c r="R240" s="16" t="s">
        <v>37</v>
      </c>
      <c r="S240" s="5" t="n">
        <v>40</v>
      </c>
      <c r="T240" s="5" t="s">
        <v>38</v>
      </c>
      <c r="U240" s="8" t="str">
        <f aca="false">IF(AND(TRIM(E240)="US",TRIM(G240)="Non-Exempt"),"US Non-Exempt EEs","")</f>
        <v/>
      </c>
      <c r="V240" s="8" t="str">
        <f aca="false">IF(AND(TRIM(E240)="US",TRIM(G240)="Non-Exempt"),IF(TRIM(D240)="CA","US California Non-Exempt","US Non-California Non-Exempt"),"")</f>
        <v/>
      </c>
      <c r="W240" s="8" t="str">
        <f aca="false">_xlfn.XLOOKUP(X240,ShiftCodes[Code],ShiftCodes[Work Schedule],"Unknown code")</f>
        <v>Standard (Mon–Fri 9:00–17:30)</v>
      </c>
      <c r="X240" s="9" t="s">
        <v>39</v>
      </c>
      <c r="Y240" s="5"/>
    </row>
    <row r="241" customFormat="false" ht="15" hidden="false" customHeight="false" outlineLevel="0" collapsed="false">
      <c r="A241" s="5" t="s">
        <v>365</v>
      </c>
      <c r="B241" s="5" t="s">
        <v>112</v>
      </c>
      <c r="C241" s="5" t="s">
        <v>224</v>
      </c>
      <c r="D241" s="5" t="s">
        <v>225</v>
      </c>
      <c r="E241" s="5" t="s">
        <v>70</v>
      </c>
      <c r="F241" s="5" t="s">
        <v>236</v>
      </c>
      <c r="G241" s="5" t="s">
        <v>31</v>
      </c>
      <c r="H241" s="5" t="s">
        <v>8</v>
      </c>
      <c r="I241" s="17" t="n">
        <v>9200000</v>
      </c>
      <c r="J241" s="18"/>
      <c r="K241" s="5" t="s">
        <v>72</v>
      </c>
      <c r="L241" s="5" t="s">
        <v>73</v>
      </c>
      <c r="M241" s="6" t="n">
        <v>45924</v>
      </c>
      <c r="N241" s="6"/>
      <c r="O241" s="6"/>
      <c r="P241" s="5" t="s">
        <v>223</v>
      </c>
      <c r="Q241" s="5" t="s">
        <v>36</v>
      </c>
      <c r="R241" s="16" t="s">
        <v>37</v>
      </c>
      <c r="S241" s="5" t="n">
        <v>40</v>
      </c>
      <c r="T241" s="5" t="s">
        <v>38</v>
      </c>
      <c r="U241" s="8" t="str">
        <f aca="false">IF(AND(TRIM(E241)="US",TRIM(G241)="Non-Exempt"),"US Non-Exempt EEs","")</f>
        <v/>
      </c>
      <c r="V241" s="8" t="str">
        <f aca="false">IF(AND(TRIM(E241)="US",TRIM(G241)="Non-Exempt"),IF(TRIM(D241)="CA","US California Non-Exempt","US Non-California Non-Exempt"),"")</f>
        <v/>
      </c>
      <c r="W241" s="8" t="str">
        <f aca="false">_xlfn.XLOOKUP(X241,ShiftCodes[Code],ShiftCodes[Work Schedule],"Unknown code")</f>
        <v>Standard (Mon–Fri 9:00–17:30)</v>
      </c>
      <c r="X241" s="9" t="s">
        <v>39</v>
      </c>
      <c r="Y241" s="5"/>
    </row>
    <row r="242" customFormat="false" ht="15" hidden="false" customHeight="false" outlineLevel="0" collapsed="false">
      <c r="A242" s="5" t="s">
        <v>366</v>
      </c>
      <c r="B242" s="5" t="s">
        <v>112</v>
      </c>
      <c r="C242" s="5" t="s">
        <v>224</v>
      </c>
      <c r="D242" s="5" t="s">
        <v>225</v>
      </c>
      <c r="E242" s="5" t="s">
        <v>70</v>
      </c>
      <c r="F242" s="5" t="s">
        <v>163</v>
      </c>
      <c r="G242" s="5" t="s">
        <v>31</v>
      </c>
      <c r="H242" s="5" t="s">
        <v>8</v>
      </c>
      <c r="I242" s="17" t="n">
        <v>3530000</v>
      </c>
      <c r="J242" s="18"/>
      <c r="K242" s="5" t="s">
        <v>72</v>
      </c>
      <c r="L242" s="5" t="s">
        <v>73</v>
      </c>
      <c r="M242" s="6" t="n">
        <v>45924</v>
      </c>
      <c r="N242" s="6"/>
      <c r="O242" s="6"/>
      <c r="P242" s="5" t="s">
        <v>223</v>
      </c>
      <c r="Q242" s="5" t="s">
        <v>36</v>
      </c>
      <c r="R242" s="16" t="s">
        <v>37</v>
      </c>
      <c r="S242" s="5" t="n">
        <v>40</v>
      </c>
      <c r="T242" s="5" t="s">
        <v>38</v>
      </c>
      <c r="U242" s="8" t="str">
        <f aca="false">IF(AND(TRIM(E242)="US",TRIM(G242)="Non-Exempt"),"US Non-Exempt EEs","")</f>
        <v/>
      </c>
      <c r="V242" s="8" t="str">
        <f aca="false">IF(AND(TRIM(E242)="US",TRIM(G242)="Non-Exempt"),IF(TRIM(D242)="CA","US California Non-Exempt","US Non-California Non-Exempt"),"")</f>
        <v/>
      </c>
      <c r="W242" s="8" t="str">
        <f aca="false">_xlfn.XLOOKUP(X242,ShiftCodes[Code],ShiftCodes[Work Schedule],"Unknown code")</f>
        <v>Standard (Mon–Fri 9:00–17:30)</v>
      </c>
      <c r="X242" s="9" t="s">
        <v>39</v>
      </c>
      <c r="Y242" s="5"/>
    </row>
    <row r="243" customFormat="false" ht="15" hidden="false" customHeight="false" outlineLevel="0" collapsed="false">
      <c r="A243" s="5" t="s">
        <v>367</v>
      </c>
      <c r="B243" s="5" t="s">
        <v>103</v>
      </c>
      <c r="C243" s="5" t="s">
        <v>100</v>
      </c>
      <c r="D243" s="5" t="s">
        <v>28</v>
      </c>
      <c r="E243" s="5" t="s">
        <v>29</v>
      </c>
      <c r="F243" s="5" t="s">
        <v>149</v>
      </c>
      <c r="G243" s="5" t="s">
        <v>31</v>
      </c>
      <c r="H243" s="5" t="s">
        <v>8</v>
      </c>
      <c r="I243" s="10" t="n">
        <v>116000</v>
      </c>
      <c r="J243" s="12"/>
      <c r="K243" s="5" t="s">
        <v>33</v>
      </c>
      <c r="L243" s="5" t="s">
        <v>34</v>
      </c>
      <c r="M243" s="6" t="n">
        <v>45927</v>
      </c>
      <c r="N243" s="6"/>
      <c r="O243" s="6"/>
      <c r="P243" s="5" t="s">
        <v>255</v>
      </c>
      <c r="Q243" s="5" t="s">
        <v>36</v>
      </c>
      <c r="R243" s="16" t="s">
        <v>37</v>
      </c>
      <c r="S243" s="5" t="n">
        <v>40</v>
      </c>
      <c r="T243" s="5" t="s">
        <v>38</v>
      </c>
      <c r="U243" s="8" t="str">
        <f aca="false">IF(AND(TRIM(E243)="US",TRIM(G243)="Non-Exempt"),"US Non-Exempt EEs","")</f>
        <v/>
      </c>
      <c r="V243" s="8" t="str">
        <f aca="false">IF(AND(TRIM(E243)="US",TRIM(G243)="Non-Exempt"),IF(TRIM(D243)="CA","US California Non-Exempt","US Non-California Non-Exempt"),"")</f>
        <v/>
      </c>
      <c r="W243" s="8" t="str">
        <f aca="false">_xlfn.XLOOKUP(X243,ShiftCodes[Code],ShiftCodes[Work Schedule],"Unknown code")</f>
        <v>Standard (Mon–Fri 9:00–17:30)</v>
      </c>
      <c r="X243" s="9" t="s">
        <v>39</v>
      </c>
      <c r="Y243" s="5"/>
    </row>
    <row r="244" customFormat="false" ht="15" hidden="false" customHeight="false" outlineLevel="0" collapsed="false">
      <c r="A244" s="5" t="s">
        <v>368</v>
      </c>
      <c r="B244" s="5" t="s">
        <v>112</v>
      </c>
      <c r="C244" s="5" t="s">
        <v>100</v>
      </c>
      <c r="D244" s="5" t="s">
        <v>28</v>
      </c>
      <c r="E244" s="5" t="s">
        <v>29</v>
      </c>
      <c r="F244" s="5" t="s">
        <v>124</v>
      </c>
      <c r="G244" s="5" t="s">
        <v>31</v>
      </c>
      <c r="H244" s="5" t="s">
        <v>8</v>
      </c>
      <c r="I244" s="10" t="n">
        <v>130000</v>
      </c>
      <c r="J244" s="12"/>
      <c r="K244" s="5" t="s">
        <v>33</v>
      </c>
      <c r="L244" s="5" t="s">
        <v>34</v>
      </c>
      <c r="M244" s="6" t="n">
        <v>45934</v>
      </c>
      <c r="N244" s="6"/>
      <c r="O244" s="6"/>
      <c r="P244" s="5" t="s">
        <v>208</v>
      </c>
      <c r="Q244" s="5" t="s">
        <v>36</v>
      </c>
      <c r="R244" s="16" t="s">
        <v>37</v>
      </c>
      <c r="S244" s="5" t="n">
        <v>40</v>
      </c>
      <c r="T244" s="5" t="s">
        <v>38</v>
      </c>
      <c r="U244" s="8" t="str">
        <f aca="false">IF(AND(TRIM(E244)="US",TRIM(G244)="Non-Exempt"),"US Non-Exempt EEs","")</f>
        <v/>
      </c>
      <c r="V244" s="8" t="str">
        <f aca="false">IF(AND(TRIM(E244)="US",TRIM(G244)="Non-Exempt"),IF(TRIM(D244)="CA","US California Non-Exempt","US Non-California Non-Exempt"),"")</f>
        <v/>
      </c>
      <c r="W244" s="8" t="str">
        <f aca="false">_xlfn.XLOOKUP(X244,ShiftCodes[Code],ShiftCodes[Work Schedule],"Unknown code")</f>
        <v>Standard (Mon–Fri 9:00–17:30)</v>
      </c>
      <c r="X244" s="9" t="s">
        <v>39</v>
      </c>
      <c r="Y244" s="5"/>
    </row>
    <row r="245" customFormat="false" ht="15" hidden="false" customHeight="false" outlineLevel="0" collapsed="false">
      <c r="A245" s="5" t="s">
        <v>369</v>
      </c>
      <c r="B245" s="5" t="s">
        <v>99</v>
      </c>
      <c r="C245" s="5" t="s">
        <v>180</v>
      </c>
      <c r="D245" s="5" t="s">
        <v>52</v>
      </c>
      <c r="E245" s="5" t="s">
        <v>52</v>
      </c>
      <c r="F245" s="5" t="s">
        <v>156</v>
      </c>
      <c r="G245" s="5" t="s">
        <v>31</v>
      </c>
      <c r="H245" s="5" t="s">
        <v>8</v>
      </c>
      <c r="I245" s="10" t="n">
        <v>115000</v>
      </c>
      <c r="J245" s="19"/>
      <c r="K245" s="5" t="s">
        <v>55</v>
      </c>
      <c r="L245" s="5" t="s">
        <v>56</v>
      </c>
      <c r="M245" s="6" t="n">
        <v>45934</v>
      </c>
      <c r="N245" s="6"/>
      <c r="O245" s="6"/>
      <c r="P245" s="5" t="s">
        <v>191</v>
      </c>
      <c r="Q245" s="5" t="s">
        <v>36</v>
      </c>
      <c r="R245" s="16" t="s">
        <v>37</v>
      </c>
      <c r="S245" s="5" t="n">
        <v>37.5</v>
      </c>
      <c r="T245" s="5" t="s">
        <v>38</v>
      </c>
      <c r="U245" s="8" t="str">
        <f aca="false">IF(AND(TRIM(E245)="US",TRIM(G245)="Non-Exempt"),"US Non-Exempt EEs","")</f>
        <v/>
      </c>
      <c r="V245" s="8" t="str">
        <f aca="false">IF(AND(TRIM(E245)="US",TRIM(G245)="Non-Exempt"),IF(TRIM(D245)="CA","US California Non-Exempt","US Non-California Non-Exempt"),"")</f>
        <v/>
      </c>
      <c r="W245" s="8" t="str">
        <f aca="false">_xlfn.XLOOKUP(X245,ShiftCodes[Code],ShiftCodes[Work Schedule],"Unknown code")</f>
        <v>Standard (Mon–Fri 9:00–17:30)</v>
      </c>
      <c r="X245" s="9" t="s">
        <v>39</v>
      </c>
      <c r="Y245" s="5"/>
    </row>
    <row r="246" customFormat="false" ht="15" hidden="false" customHeight="false" outlineLevel="0" collapsed="false">
      <c r="A246" s="5" t="s">
        <v>370</v>
      </c>
      <c r="B246" s="5" t="s">
        <v>112</v>
      </c>
      <c r="C246" s="5" t="s">
        <v>106</v>
      </c>
      <c r="D246" s="5" t="s">
        <v>42</v>
      </c>
      <c r="E246" s="5" t="s">
        <v>29</v>
      </c>
      <c r="F246" s="5" t="s">
        <v>156</v>
      </c>
      <c r="G246" s="5" t="s">
        <v>31</v>
      </c>
      <c r="H246" s="5" t="s">
        <v>8</v>
      </c>
      <c r="I246" s="10" t="n">
        <v>241000</v>
      </c>
      <c r="J246" s="12"/>
      <c r="K246" s="5" t="s">
        <v>33</v>
      </c>
      <c r="L246" s="5" t="s">
        <v>34</v>
      </c>
      <c r="M246" s="6" t="n">
        <v>45947</v>
      </c>
      <c r="N246" s="6"/>
      <c r="O246" s="6"/>
      <c r="P246" s="5" t="s">
        <v>187</v>
      </c>
      <c r="Q246" s="5" t="s">
        <v>36</v>
      </c>
      <c r="R246" s="16" t="s">
        <v>37</v>
      </c>
      <c r="S246" s="5" t="n">
        <v>40</v>
      </c>
      <c r="T246" s="5" t="s">
        <v>38</v>
      </c>
      <c r="U246" s="8" t="str">
        <f aca="false">IF(AND(TRIM(E246)="US",TRIM(G246)="Non-Exempt"),"US Non-Exempt EEs","")</f>
        <v/>
      </c>
      <c r="V246" s="8" t="str">
        <f aca="false">IF(AND(TRIM(E246)="US",TRIM(G246)="Non-Exempt"),IF(TRIM(D246)="CA","US California Non-Exempt","US Non-California Non-Exempt"),"")</f>
        <v/>
      </c>
      <c r="W246" s="8" t="str">
        <f aca="false">_xlfn.XLOOKUP(X246,ShiftCodes[Code],ShiftCodes[Work Schedule],"Unknown code")</f>
        <v>Standard (Mon–Fri 9:00–17:30)</v>
      </c>
      <c r="X246" s="9" t="s">
        <v>39</v>
      </c>
      <c r="Y246" s="5"/>
    </row>
    <row r="247" customFormat="false" ht="15" hidden="false" customHeight="false" outlineLevel="0" collapsed="false">
      <c r="A247" s="5" t="s">
        <v>371</v>
      </c>
      <c r="B247" s="5" t="s">
        <v>112</v>
      </c>
      <c r="C247" s="5" t="s">
        <v>106</v>
      </c>
      <c r="D247" s="5" t="s">
        <v>42</v>
      </c>
      <c r="E247" s="5" t="s">
        <v>29</v>
      </c>
      <c r="F247" s="5" t="s">
        <v>156</v>
      </c>
      <c r="G247" s="5" t="s">
        <v>31</v>
      </c>
      <c r="H247" s="5" t="s">
        <v>8</v>
      </c>
      <c r="I247" s="10" t="n">
        <v>240000</v>
      </c>
      <c r="J247" s="12"/>
      <c r="K247" s="5" t="s">
        <v>33</v>
      </c>
      <c r="L247" s="5" t="s">
        <v>34</v>
      </c>
      <c r="M247" s="6" t="n">
        <v>45950</v>
      </c>
      <c r="N247" s="6"/>
      <c r="O247" s="6"/>
      <c r="P247" s="5" t="s">
        <v>182</v>
      </c>
      <c r="Q247" s="5" t="s">
        <v>36</v>
      </c>
      <c r="R247" s="16" t="s">
        <v>37</v>
      </c>
      <c r="S247" s="5" t="n">
        <v>40</v>
      </c>
      <c r="T247" s="5" t="s">
        <v>38</v>
      </c>
      <c r="U247" s="8" t="str">
        <f aca="false">IF(AND(TRIM(E247)="US",TRIM(G247)="Non-Exempt"),"US Non-Exempt EEs","")</f>
        <v/>
      </c>
      <c r="V247" s="8" t="str">
        <f aca="false">IF(AND(TRIM(E247)="US",TRIM(G247)="Non-Exempt"),IF(TRIM(D247)="CA","US California Non-Exempt","US Non-California Non-Exempt"),"")</f>
        <v/>
      </c>
      <c r="W247" s="8" t="str">
        <f aca="false">_xlfn.XLOOKUP(X247,ShiftCodes[Code],ShiftCodes[Work Schedule],"Unknown code")</f>
        <v>Standard (Mon–Fri 9:00–17:30)</v>
      </c>
      <c r="X247" s="9" t="s">
        <v>39</v>
      </c>
      <c r="Y247" s="5"/>
    </row>
    <row r="248" customFormat="false" ht="15" hidden="false" customHeight="false" outlineLevel="0" collapsed="false">
      <c r="A248" s="5" t="s">
        <v>372</v>
      </c>
      <c r="B248" s="5" t="s">
        <v>112</v>
      </c>
      <c r="C248" s="5" t="s">
        <v>106</v>
      </c>
      <c r="D248" s="5" t="s">
        <v>42</v>
      </c>
      <c r="E248" s="5" t="s">
        <v>29</v>
      </c>
      <c r="F248" s="5" t="s">
        <v>163</v>
      </c>
      <c r="G248" s="5" t="s">
        <v>31</v>
      </c>
      <c r="H248" s="5" t="s">
        <v>8</v>
      </c>
      <c r="I248" s="10" t="n">
        <v>151000</v>
      </c>
      <c r="J248" s="12"/>
      <c r="K248" s="5" t="s">
        <v>33</v>
      </c>
      <c r="L248" s="5" t="s">
        <v>34</v>
      </c>
      <c r="M248" s="6" t="n">
        <v>45951</v>
      </c>
      <c r="N248" s="6"/>
      <c r="O248" s="6"/>
      <c r="P248" s="5" t="s">
        <v>187</v>
      </c>
      <c r="Q248" s="5" t="s">
        <v>36</v>
      </c>
      <c r="R248" s="16" t="s">
        <v>37</v>
      </c>
      <c r="S248" s="5" t="n">
        <v>40</v>
      </c>
      <c r="T248" s="5" t="s">
        <v>38</v>
      </c>
      <c r="U248" s="8" t="str">
        <f aca="false">IF(AND(TRIM(E248)="US",TRIM(G248)="Non-Exempt"),"US Non-Exempt EEs","")</f>
        <v/>
      </c>
      <c r="V248" s="8" t="str">
        <f aca="false">IF(AND(TRIM(E248)="US",TRIM(G248)="Non-Exempt"),IF(TRIM(D248)="CA","US California Non-Exempt","US Non-California Non-Exempt"),"")</f>
        <v/>
      </c>
      <c r="W248" s="8" t="str">
        <f aca="false">_xlfn.XLOOKUP(X248,ShiftCodes[Code],ShiftCodes[Work Schedule],"Unknown code")</f>
        <v>Standard (Mon–Fri 9:00–17:30)</v>
      </c>
      <c r="X248" s="9" t="s">
        <v>39</v>
      </c>
      <c r="Y248" s="5"/>
    </row>
    <row r="249" customFormat="false" ht="15" hidden="false" customHeight="false" outlineLevel="0" collapsed="false">
      <c r="A249" s="5" t="s">
        <v>373</v>
      </c>
      <c r="B249" s="5" t="s">
        <v>109</v>
      </c>
      <c r="C249" s="5" t="s">
        <v>76</v>
      </c>
      <c r="D249" s="5" t="s">
        <v>28</v>
      </c>
      <c r="E249" s="5" t="s">
        <v>29</v>
      </c>
      <c r="F249" s="5" t="s">
        <v>165</v>
      </c>
      <c r="G249" s="5" t="s">
        <v>31</v>
      </c>
      <c r="H249" s="5" t="s">
        <v>8</v>
      </c>
      <c r="I249" s="10" t="n">
        <v>190000</v>
      </c>
      <c r="J249" s="12"/>
      <c r="K249" s="5" t="s">
        <v>33</v>
      </c>
      <c r="L249" s="5" t="s">
        <v>34</v>
      </c>
      <c r="M249" s="6" t="n">
        <v>45951</v>
      </c>
      <c r="N249" s="6"/>
      <c r="O249" s="6"/>
      <c r="P249" s="5" t="s">
        <v>200</v>
      </c>
      <c r="Q249" s="5" t="s">
        <v>36</v>
      </c>
      <c r="R249" s="16" t="s">
        <v>37</v>
      </c>
      <c r="S249" s="5" t="n">
        <v>40</v>
      </c>
      <c r="T249" s="5" t="s">
        <v>38</v>
      </c>
      <c r="U249" s="8" t="str">
        <f aca="false">IF(AND(TRIM(E249)="US",TRIM(G249)="Non-Exempt"),"US Non-Exempt EEs","")</f>
        <v/>
      </c>
      <c r="V249" s="8" t="str">
        <f aca="false">IF(AND(TRIM(E249)="US",TRIM(G249)="Non-Exempt"),IF(TRIM(D249)="CA","US California Non-Exempt","US Non-California Non-Exempt"),"")</f>
        <v/>
      </c>
      <c r="W249" s="8" t="str">
        <f aca="false">_xlfn.XLOOKUP(X249,ShiftCodes[Code],ShiftCodes[Work Schedule],"Unknown code")</f>
        <v>Standard (Mon–Fri 9:00–17:30)</v>
      </c>
      <c r="X249" s="9" t="s">
        <v>39</v>
      </c>
      <c r="Y249" s="5"/>
    </row>
    <row r="250" customFormat="false" ht="15" hidden="false" customHeight="false" outlineLevel="0" collapsed="false">
      <c r="A250" s="5" t="s">
        <v>374</v>
      </c>
      <c r="B250" s="5" t="s">
        <v>103</v>
      </c>
      <c r="C250" s="5" t="s">
        <v>106</v>
      </c>
      <c r="D250" s="5" t="s">
        <v>42</v>
      </c>
      <c r="E250" s="5" t="s">
        <v>29</v>
      </c>
      <c r="F250" s="5" t="s">
        <v>156</v>
      </c>
      <c r="G250" s="5" t="s">
        <v>31</v>
      </c>
      <c r="H250" s="5" t="s">
        <v>8</v>
      </c>
      <c r="I250" s="10" t="n">
        <v>249000</v>
      </c>
      <c r="J250" s="12"/>
      <c r="K250" s="5" t="s">
        <v>33</v>
      </c>
      <c r="L250" s="5" t="s">
        <v>34</v>
      </c>
      <c r="M250" s="6" t="n">
        <v>45953</v>
      </c>
      <c r="N250" s="6"/>
      <c r="O250" s="6"/>
      <c r="P250" s="5" t="s">
        <v>145</v>
      </c>
      <c r="Q250" s="5" t="s">
        <v>36</v>
      </c>
      <c r="R250" s="16" t="s">
        <v>37</v>
      </c>
      <c r="S250" s="5" t="n">
        <v>40</v>
      </c>
      <c r="T250" s="5" t="s">
        <v>38</v>
      </c>
      <c r="U250" s="8" t="str">
        <f aca="false">IF(AND(TRIM(E250)="US",TRIM(G250)="Non-Exempt"),"US Non-Exempt EEs","")</f>
        <v/>
      </c>
      <c r="V250" s="8" t="str">
        <f aca="false">IF(AND(TRIM(E250)="US",TRIM(G250)="Non-Exempt"),IF(TRIM(D250)="CA","US California Non-Exempt","US Non-California Non-Exempt"),"")</f>
        <v/>
      </c>
      <c r="W250" s="8" t="str">
        <f aca="false">_xlfn.XLOOKUP(X250,ShiftCodes[Code],ShiftCodes[Work Schedule],"Unknown code")</f>
        <v>Standard (Mon–Fri 9:00–17:30)</v>
      </c>
      <c r="X250" s="9" t="s">
        <v>39</v>
      </c>
      <c r="Y250" s="5"/>
    </row>
    <row r="251" customFormat="false" ht="15" hidden="false" customHeight="false" outlineLevel="0" collapsed="false">
      <c r="A251" s="5" t="s">
        <v>375</v>
      </c>
      <c r="B251" s="5" t="s">
        <v>112</v>
      </c>
      <c r="C251" s="5" t="s">
        <v>100</v>
      </c>
      <c r="D251" s="5" t="s">
        <v>28</v>
      </c>
      <c r="E251" s="5" t="s">
        <v>29</v>
      </c>
      <c r="F251" s="5" t="s">
        <v>163</v>
      </c>
      <c r="G251" s="5" t="s">
        <v>31</v>
      </c>
      <c r="H251" s="5" t="s">
        <v>8</v>
      </c>
      <c r="I251" s="10" t="n">
        <v>161000</v>
      </c>
      <c r="J251" s="12"/>
      <c r="K251" s="5" t="s">
        <v>33</v>
      </c>
      <c r="L251" s="5" t="s">
        <v>34</v>
      </c>
      <c r="M251" s="6" t="n">
        <v>45958</v>
      </c>
      <c r="N251" s="6"/>
      <c r="O251" s="6"/>
      <c r="P251" s="5" t="s">
        <v>208</v>
      </c>
      <c r="Q251" s="5" t="s">
        <v>36</v>
      </c>
      <c r="R251" s="16" t="s">
        <v>37</v>
      </c>
      <c r="S251" s="5" t="n">
        <v>40</v>
      </c>
      <c r="T251" s="5" t="s">
        <v>38</v>
      </c>
      <c r="U251" s="8" t="str">
        <f aca="false">IF(AND(TRIM(E251)="US",TRIM(G251)="Non-Exempt"),"US Non-Exempt EEs","")</f>
        <v/>
      </c>
      <c r="V251" s="8" t="str">
        <f aca="false">IF(AND(TRIM(E251)="US",TRIM(G251)="Non-Exempt"),IF(TRIM(D251)="CA","US California Non-Exempt","US Non-California Non-Exempt"),"")</f>
        <v/>
      </c>
      <c r="W251" s="8" t="str">
        <f aca="false">_xlfn.XLOOKUP(X251,ShiftCodes[Code],ShiftCodes[Work Schedule],"Unknown code")</f>
        <v>Standard (Mon–Fri 9:00–17:30)</v>
      </c>
      <c r="X251" s="9" t="s">
        <v>39</v>
      </c>
      <c r="Y251" s="5"/>
    </row>
    <row r="252" customFormat="false" ht="15" hidden="false" customHeight="false" outlineLevel="0" collapsed="false">
      <c r="A252" s="5" t="s">
        <v>376</v>
      </c>
      <c r="B252" s="5" t="s">
        <v>109</v>
      </c>
      <c r="C252" s="5" t="s">
        <v>113</v>
      </c>
      <c r="D252" s="5" t="s">
        <v>84</v>
      </c>
      <c r="E252" s="5" t="s">
        <v>29</v>
      </c>
      <c r="F252" s="5" t="s">
        <v>130</v>
      </c>
      <c r="G252" s="5" t="s">
        <v>78</v>
      </c>
      <c r="H252" s="5" t="s">
        <v>79</v>
      </c>
      <c r="I252" s="10"/>
      <c r="J252" s="12" t="n">
        <v>25.5</v>
      </c>
      <c r="K252" s="5" t="s">
        <v>33</v>
      </c>
      <c r="L252" s="5" t="s">
        <v>80</v>
      </c>
      <c r="M252" s="6" t="n">
        <v>45961</v>
      </c>
      <c r="N252" s="6"/>
      <c r="O252" s="6"/>
      <c r="P252" s="5" t="s">
        <v>202</v>
      </c>
      <c r="Q252" s="5" t="s">
        <v>36</v>
      </c>
      <c r="R252" s="16" t="s">
        <v>37</v>
      </c>
      <c r="S252" s="5" t="n">
        <v>40</v>
      </c>
      <c r="T252" s="5" t="s">
        <v>38</v>
      </c>
      <c r="U252" s="8" t="str">
        <f aca="false">IF(AND(TRIM(E252)="US",TRIM(G252)="Non-Exempt"),"US Non-Exempt EEs","")</f>
        <v>US Non-Exempt EEs</v>
      </c>
      <c r="V252" s="8" t="str">
        <f aca="false">IF(AND(TRIM(E252)="US",TRIM(G252)="Non-Exempt"),IF(TRIM(D252)="CA","US California Non-Exempt","US Non-California Non-Exempt"),"")</f>
        <v>US Non-California Non-Exempt</v>
      </c>
      <c r="W252" s="8" t="str">
        <f aca="false">_xlfn.XLOOKUP(X252,ShiftCodes[Code],ShiftCodes[Work Schedule],"Unknown code")</f>
        <v>Shift B – Swing (Mon–Fri 14:00–22:30)</v>
      </c>
      <c r="X252" s="9" t="s">
        <v>85</v>
      </c>
      <c r="Y252" s="5"/>
    </row>
    <row r="253" customFormat="false" ht="15" hidden="false" customHeight="false" outlineLevel="0" collapsed="false">
      <c r="A253" s="5" t="s">
        <v>377</v>
      </c>
      <c r="B253" s="5" t="s">
        <v>109</v>
      </c>
      <c r="C253" s="5" t="s">
        <v>113</v>
      </c>
      <c r="D253" s="5" t="s">
        <v>84</v>
      </c>
      <c r="E253" s="5" t="s">
        <v>29</v>
      </c>
      <c r="F253" s="5" t="s">
        <v>121</v>
      </c>
      <c r="G253" s="5" t="s">
        <v>78</v>
      </c>
      <c r="H253" s="5" t="s">
        <v>79</v>
      </c>
      <c r="I253" s="10"/>
      <c r="J253" s="12" t="n">
        <v>32.25</v>
      </c>
      <c r="K253" s="5" t="s">
        <v>33</v>
      </c>
      <c r="L253" s="5" t="s">
        <v>80</v>
      </c>
      <c r="M253" s="6" t="n">
        <v>45969</v>
      </c>
      <c r="N253" s="6"/>
      <c r="O253" s="6"/>
      <c r="P253" s="5" t="s">
        <v>202</v>
      </c>
      <c r="Q253" s="5" t="s">
        <v>36</v>
      </c>
      <c r="R253" s="16" t="s">
        <v>37</v>
      </c>
      <c r="S253" s="5" t="n">
        <v>40</v>
      </c>
      <c r="T253" s="5" t="s">
        <v>38</v>
      </c>
      <c r="U253" s="8" t="str">
        <f aca="false">IF(AND(TRIM(E253)="US",TRIM(G253)="Non-Exempt"),"US Non-Exempt EEs","")</f>
        <v>US Non-Exempt EEs</v>
      </c>
      <c r="V253" s="8" t="str">
        <f aca="false">IF(AND(TRIM(E253)="US",TRIM(G253)="Non-Exempt"),IF(TRIM(D253)="CA","US California Non-Exempt","US Non-California Non-Exempt"),"")</f>
        <v>US Non-California Non-Exempt</v>
      </c>
      <c r="W253" s="8" t="str">
        <f aca="false">_xlfn.XLOOKUP(X253,ShiftCodes[Code],ShiftCodes[Work Schedule],"Unknown code")</f>
        <v>Shift C – Night (Sun–Thu 22:00–06:30)</v>
      </c>
      <c r="X253" s="9" t="s">
        <v>239</v>
      </c>
      <c r="Y253" s="5"/>
    </row>
    <row r="254" customFormat="false" ht="15" hidden="false" customHeight="false" outlineLevel="0" collapsed="false">
      <c r="A254" s="5" t="s">
        <v>378</v>
      </c>
      <c r="B254" s="5" t="s">
        <v>112</v>
      </c>
      <c r="C254" s="5" t="s">
        <v>100</v>
      </c>
      <c r="D254" s="5" t="s">
        <v>28</v>
      </c>
      <c r="E254" s="5" t="s">
        <v>29</v>
      </c>
      <c r="F254" s="5" t="s">
        <v>163</v>
      </c>
      <c r="G254" s="5" t="s">
        <v>31</v>
      </c>
      <c r="H254" s="5" t="s">
        <v>8</v>
      </c>
      <c r="I254" s="10" t="n">
        <v>145000</v>
      </c>
      <c r="J254" s="12"/>
      <c r="K254" s="5" t="s">
        <v>33</v>
      </c>
      <c r="L254" s="5" t="s">
        <v>34</v>
      </c>
      <c r="M254" s="6" t="n">
        <v>45973</v>
      </c>
      <c r="N254" s="6"/>
      <c r="O254" s="6"/>
      <c r="P254" s="5" t="s">
        <v>143</v>
      </c>
      <c r="Q254" s="5" t="s">
        <v>36</v>
      </c>
      <c r="R254" s="16" t="s">
        <v>37</v>
      </c>
      <c r="S254" s="5" t="n">
        <v>40</v>
      </c>
      <c r="T254" s="5" t="s">
        <v>38</v>
      </c>
      <c r="U254" s="8" t="str">
        <f aca="false">IF(AND(TRIM(E254)="US",TRIM(G254)="Non-Exempt"),"US Non-Exempt EEs","")</f>
        <v/>
      </c>
      <c r="V254" s="8" t="str">
        <f aca="false">IF(AND(TRIM(E254)="US",TRIM(G254)="Non-Exempt"),IF(TRIM(D254)="CA","US California Non-Exempt","US Non-California Non-Exempt"),"")</f>
        <v/>
      </c>
      <c r="W254" s="8" t="str">
        <f aca="false">_xlfn.XLOOKUP(X254,ShiftCodes[Code],ShiftCodes[Work Schedule],"Unknown code")</f>
        <v>Standard (Mon–Fri 9:00–17:30)</v>
      </c>
      <c r="X254" s="9" t="s">
        <v>39</v>
      </c>
      <c r="Y254" s="5"/>
    </row>
    <row r="255" customFormat="false" ht="15" hidden="false" customHeight="false" outlineLevel="0" collapsed="false">
      <c r="A255" s="5" t="s">
        <v>379</v>
      </c>
      <c r="B255" s="5" t="s">
        <v>109</v>
      </c>
      <c r="C255" s="5" t="s">
        <v>113</v>
      </c>
      <c r="D255" s="5" t="s">
        <v>84</v>
      </c>
      <c r="E255" s="5" t="s">
        <v>29</v>
      </c>
      <c r="F255" s="5" t="s">
        <v>130</v>
      </c>
      <c r="G255" s="5" t="s">
        <v>78</v>
      </c>
      <c r="H255" s="5" t="s">
        <v>79</v>
      </c>
      <c r="I255" s="10"/>
      <c r="J255" s="12" t="n">
        <v>27.25</v>
      </c>
      <c r="K255" s="5" t="s">
        <v>33</v>
      </c>
      <c r="L255" s="5" t="s">
        <v>80</v>
      </c>
      <c r="M255" s="6" t="n">
        <v>45976</v>
      </c>
      <c r="N255" s="6"/>
      <c r="O255" s="6" t="n">
        <v>46212</v>
      </c>
      <c r="P255" s="5" t="s">
        <v>118</v>
      </c>
      <c r="Q255" s="5" t="s">
        <v>287</v>
      </c>
      <c r="R255" s="16" t="s">
        <v>37</v>
      </c>
      <c r="S255" s="5" t="n">
        <v>40</v>
      </c>
      <c r="T255" s="5" t="s">
        <v>38</v>
      </c>
      <c r="U255" s="8" t="str">
        <f aca="false">IF(AND(TRIM(E255)="US",TRIM(G255)="Non-Exempt"),"US Non-Exempt EEs","")</f>
        <v>US Non-Exempt EEs</v>
      </c>
      <c r="V255" s="8" t="str">
        <f aca="false">IF(AND(TRIM(E255)="US",TRIM(G255)="Non-Exempt"),IF(TRIM(D255)="CA","US California Non-Exempt","US Non-California Non-Exempt"),"")</f>
        <v>US Non-California Non-Exempt</v>
      </c>
      <c r="W255" s="8" t="str">
        <f aca="false">_xlfn.XLOOKUP(X255,ShiftCodes[Code],ShiftCodes[Work Schedule],"Unknown code")</f>
        <v>Shift A – Day (Mon–Fri 06:00–14:30)</v>
      </c>
      <c r="X255" s="9" t="s">
        <v>81</v>
      </c>
      <c r="Y255" s="5"/>
    </row>
    <row r="256" customFormat="false" ht="15" hidden="false" customHeight="false" outlineLevel="0" collapsed="false">
      <c r="A256" s="5" t="s">
        <v>380</v>
      </c>
      <c r="B256" s="5" t="s">
        <v>112</v>
      </c>
      <c r="C256" s="5" t="s">
        <v>224</v>
      </c>
      <c r="D256" s="5" t="s">
        <v>225</v>
      </c>
      <c r="E256" s="5" t="s">
        <v>70</v>
      </c>
      <c r="F256" s="5" t="s">
        <v>165</v>
      </c>
      <c r="G256" s="5" t="s">
        <v>31</v>
      </c>
      <c r="H256" s="5" t="s">
        <v>8</v>
      </c>
      <c r="I256" s="17" t="n">
        <v>4010000</v>
      </c>
      <c r="J256" s="18"/>
      <c r="K256" s="5" t="s">
        <v>72</v>
      </c>
      <c r="L256" s="5" t="s">
        <v>73</v>
      </c>
      <c r="M256" s="6" t="n">
        <v>45982</v>
      </c>
      <c r="N256" s="6"/>
      <c r="O256" s="6"/>
      <c r="P256" s="5" t="s">
        <v>223</v>
      </c>
      <c r="Q256" s="5" t="s">
        <v>36</v>
      </c>
      <c r="R256" s="16" t="s">
        <v>37</v>
      </c>
      <c r="S256" s="5" t="n">
        <v>40</v>
      </c>
      <c r="T256" s="5" t="s">
        <v>38</v>
      </c>
      <c r="U256" s="8" t="str">
        <f aca="false">IF(AND(TRIM(E256)="US",TRIM(G256)="Non-Exempt"),"US Non-Exempt EEs","")</f>
        <v/>
      </c>
      <c r="V256" s="8" t="str">
        <f aca="false">IF(AND(TRIM(E256)="US",TRIM(G256)="Non-Exempt"),IF(TRIM(D256)="CA","US California Non-Exempt","US Non-California Non-Exempt"),"")</f>
        <v/>
      </c>
      <c r="W256" s="8" t="str">
        <f aca="false">_xlfn.XLOOKUP(X256,ShiftCodes[Code],ShiftCodes[Work Schedule],"Unknown code")</f>
        <v>Standard (Mon–Fri 9:00–17:30)</v>
      </c>
      <c r="X256" s="9" t="s">
        <v>39</v>
      </c>
      <c r="Y256" s="5"/>
    </row>
    <row r="257" customFormat="false" ht="15" hidden="false" customHeight="false" outlineLevel="0" collapsed="false">
      <c r="A257" s="5" t="s">
        <v>381</v>
      </c>
      <c r="B257" s="5" t="s">
        <v>112</v>
      </c>
      <c r="C257" s="5" t="s">
        <v>180</v>
      </c>
      <c r="D257" s="5" t="s">
        <v>52</v>
      </c>
      <c r="E257" s="5" t="s">
        <v>52</v>
      </c>
      <c r="F257" s="5" t="s">
        <v>165</v>
      </c>
      <c r="G257" s="5" t="s">
        <v>31</v>
      </c>
      <c r="H257" s="5" t="s">
        <v>8</v>
      </c>
      <c r="I257" s="10" t="n">
        <v>92000</v>
      </c>
      <c r="J257" s="19"/>
      <c r="K257" s="5" t="s">
        <v>55</v>
      </c>
      <c r="L257" s="5" t="s">
        <v>56</v>
      </c>
      <c r="M257" s="6" t="n">
        <v>45984</v>
      </c>
      <c r="N257" s="6"/>
      <c r="O257" s="6"/>
      <c r="P257" s="5" t="s">
        <v>179</v>
      </c>
      <c r="Q257" s="5" t="s">
        <v>36</v>
      </c>
      <c r="R257" s="16" t="s">
        <v>37</v>
      </c>
      <c r="S257" s="5" t="n">
        <v>37.5</v>
      </c>
      <c r="T257" s="5" t="s">
        <v>38</v>
      </c>
      <c r="U257" s="8" t="str">
        <f aca="false">IF(AND(TRIM(E257)="US",TRIM(G257)="Non-Exempt"),"US Non-Exempt EEs","")</f>
        <v/>
      </c>
      <c r="V257" s="8" t="str">
        <f aca="false">IF(AND(TRIM(E257)="US",TRIM(G257)="Non-Exempt"),IF(TRIM(D257)="CA","US California Non-Exempt","US Non-California Non-Exempt"),"")</f>
        <v/>
      </c>
      <c r="W257" s="8" t="str">
        <f aca="false">_xlfn.XLOOKUP(X257,ShiftCodes[Code],ShiftCodes[Work Schedule],"Unknown code")</f>
        <v>Standard (Mon–Fri 9:00–17:30)</v>
      </c>
      <c r="X257" s="9" t="s">
        <v>39</v>
      </c>
      <c r="Y257" s="5"/>
    </row>
    <row r="258" customFormat="false" ht="15" hidden="false" customHeight="false" outlineLevel="0" collapsed="false">
      <c r="A258" s="5" t="s">
        <v>382</v>
      </c>
      <c r="B258" s="5" t="s">
        <v>112</v>
      </c>
      <c r="C258" s="5" t="s">
        <v>41</v>
      </c>
      <c r="D258" s="5" t="s">
        <v>154</v>
      </c>
      <c r="E258" s="5" t="s">
        <v>29</v>
      </c>
      <c r="F258" s="5" t="s">
        <v>163</v>
      </c>
      <c r="G258" s="5" t="s">
        <v>31</v>
      </c>
      <c r="H258" s="5" t="s">
        <v>8</v>
      </c>
      <c r="I258" s="10" t="n">
        <v>171000</v>
      </c>
      <c r="J258" s="12"/>
      <c r="K258" s="5" t="s">
        <v>33</v>
      </c>
      <c r="L258" s="5" t="s">
        <v>34</v>
      </c>
      <c r="M258" s="6" t="n">
        <v>45987</v>
      </c>
      <c r="N258" s="6"/>
      <c r="O258" s="6"/>
      <c r="P258" s="5" t="s">
        <v>229</v>
      </c>
      <c r="Q258" s="5" t="s">
        <v>36</v>
      </c>
      <c r="R258" s="16" t="s">
        <v>37</v>
      </c>
      <c r="S258" s="5" t="n">
        <v>40</v>
      </c>
      <c r="T258" s="5" t="s">
        <v>38</v>
      </c>
      <c r="U258" s="8" t="str">
        <f aca="false">IF(AND(TRIM(E258)="US",TRIM(G258)="Non-Exempt"),"US Non-Exempt EEs","")</f>
        <v/>
      </c>
      <c r="V258" s="8" t="str">
        <f aca="false">IF(AND(TRIM(E258)="US",TRIM(G258)="Non-Exempt"),IF(TRIM(D258)="CA","US California Non-Exempt","US Non-California Non-Exempt"),"")</f>
        <v/>
      </c>
      <c r="W258" s="8" t="str">
        <f aca="false">_xlfn.XLOOKUP(X258,ShiftCodes[Code],ShiftCodes[Work Schedule],"Unknown code")</f>
        <v>Standard (Mon–Fri 9:00–17:30)</v>
      </c>
      <c r="X258" s="9" t="s">
        <v>39</v>
      </c>
      <c r="Y258" s="5"/>
    </row>
    <row r="259" customFormat="false" ht="15" hidden="false" customHeight="false" outlineLevel="0" collapsed="false">
      <c r="A259" s="5" t="s">
        <v>383</v>
      </c>
      <c r="B259" s="5" t="s">
        <v>112</v>
      </c>
      <c r="C259" s="5" t="s">
        <v>100</v>
      </c>
      <c r="D259" s="5" t="s">
        <v>28</v>
      </c>
      <c r="E259" s="5" t="s">
        <v>29</v>
      </c>
      <c r="F259" s="5" t="s">
        <v>163</v>
      </c>
      <c r="G259" s="5" t="s">
        <v>31</v>
      </c>
      <c r="H259" s="5" t="s">
        <v>8</v>
      </c>
      <c r="I259" s="10" t="n">
        <v>159000</v>
      </c>
      <c r="J259" s="12"/>
      <c r="K259" s="5" t="s">
        <v>33</v>
      </c>
      <c r="L259" s="5" t="s">
        <v>34</v>
      </c>
      <c r="M259" s="6" t="n">
        <v>45987</v>
      </c>
      <c r="N259" s="6"/>
      <c r="O259" s="6"/>
      <c r="P259" s="5" t="s">
        <v>229</v>
      </c>
      <c r="Q259" s="5" t="s">
        <v>36</v>
      </c>
      <c r="R259" s="16" t="s">
        <v>37</v>
      </c>
      <c r="S259" s="5" t="n">
        <v>40</v>
      </c>
      <c r="T259" s="5" t="s">
        <v>38</v>
      </c>
      <c r="U259" s="8" t="str">
        <f aca="false">IF(AND(TRIM(E259)="US",TRIM(G259)="Non-Exempt"),"US Non-Exempt EEs","")</f>
        <v/>
      </c>
      <c r="V259" s="8" t="str">
        <f aca="false">IF(AND(TRIM(E259)="US",TRIM(G259)="Non-Exempt"),IF(TRIM(D259)="CA","US California Non-Exempt","US Non-California Non-Exempt"),"")</f>
        <v/>
      </c>
      <c r="W259" s="8" t="str">
        <f aca="false">_xlfn.XLOOKUP(X259,ShiftCodes[Code],ShiftCodes[Work Schedule],"Unknown code")</f>
        <v>Standard (Mon–Fri 9:00–17:30)</v>
      </c>
      <c r="X259" s="9" t="s">
        <v>39</v>
      </c>
      <c r="Y259" s="5"/>
    </row>
    <row r="260" customFormat="false" ht="15" hidden="false" customHeight="false" outlineLevel="0" collapsed="false">
      <c r="A260" s="5" t="s">
        <v>384</v>
      </c>
      <c r="B260" s="5" t="s">
        <v>112</v>
      </c>
      <c r="C260" s="5" t="s">
        <v>41</v>
      </c>
      <c r="D260" s="5" t="s">
        <v>90</v>
      </c>
      <c r="E260" s="5" t="s">
        <v>29</v>
      </c>
      <c r="F260" s="5" t="s">
        <v>163</v>
      </c>
      <c r="G260" s="5" t="s">
        <v>31</v>
      </c>
      <c r="H260" s="5" t="s">
        <v>8</v>
      </c>
      <c r="I260" s="10" t="n">
        <v>162000</v>
      </c>
      <c r="J260" s="12"/>
      <c r="K260" s="5" t="s">
        <v>33</v>
      </c>
      <c r="L260" s="5" t="s">
        <v>34</v>
      </c>
      <c r="M260" s="6" t="n">
        <v>45988</v>
      </c>
      <c r="N260" s="6"/>
      <c r="O260" s="6"/>
      <c r="P260" s="5" t="s">
        <v>143</v>
      </c>
      <c r="Q260" s="5" t="s">
        <v>36</v>
      </c>
      <c r="R260" s="16" t="s">
        <v>37</v>
      </c>
      <c r="S260" s="5" t="n">
        <v>40</v>
      </c>
      <c r="T260" s="5" t="s">
        <v>38</v>
      </c>
      <c r="U260" s="8" t="str">
        <f aca="false">IF(AND(TRIM(E260)="US",TRIM(G260)="Non-Exempt"),"US Non-Exempt EEs","")</f>
        <v/>
      </c>
      <c r="V260" s="8" t="str">
        <f aca="false">IF(AND(TRIM(E260)="US",TRIM(G260)="Non-Exempt"),IF(TRIM(D260)="CA","US California Non-Exempt","US Non-California Non-Exempt"),"")</f>
        <v/>
      </c>
      <c r="W260" s="8" t="str">
        <f aca="false">_xlfn.XLOOKUP(X260,ShiftCodes[Code],ShiftCodes[Work Schedule],"Unknown code")</f>
        <v>Standard (Mon–Fri 9:00–17:30)</v>
      </c>
      <c r="X260" s="9" t="s">
        <v>39</v>
      </c>
      <c r="Y260" s="5"/>
    </row>
    <row r="261" customFormat="false" ht="15" hidden="false" customHeight="false" outlineLevel="0" collapsed="false">
      <c r="A261" s="5" t="s">
        <v>385</v>
      </c>
      <c r="B261" s="5" t="s">
        <v>103</v>
      </c>
      <c r="C261" s="5" t="s">
        <v>106</v>
      </c>
      <c r="D261" s="5" t="s">
        <v>42</v>
      </c>
      <c r="E261" s="5" t="s">
        <v>29</v>
      </c>
      <c r="F261" s="5" t="s">
        <v>124</v>
      </c>
      <c r="G261" s="5" t="s">
        <v>31</v>
      </c>
      <c r="H261" s="5" t="s">
        <v>8</v>
      </c>
      <c r="I261" s="10" t="n">
        <v>131000</v>
      </c>
      <c r="J261" s="12"/>
      <c r="K261" s="5" t="s">
        <v>33</v>
      </c>
      <c r="L261" s="5" t="s">
        <v>34</v>
      </c>
      <c r="M261" s="6" t="n">
        <v>45994</v>
      </c>
      <c r="N261" s="6"/>
      <c r="O261" s="6"/>
      <c r="P261" s="5" t="s">
        <v>145</v>
      </c>
      <c r="Q261" s="5" t="s">
        <v>36</v>
      </c>
      <c r="R261" s="16" t="s">
        <v>37</v>
      </c>
      <c r="S261" s="5" t="n">
        <v>40</v>
      </c>
      <c r="T261" s="5" t="s">
        <v>38</v>
      </c>
      <c r="U261" s="8" t="str">
        <f aca="false">IF(AND(TRIM(E261)="US",TRIM(G261)="Non-Exempt"),"US Non-Exempt EEs","")</f>
        <v/>
      </c>
      <c r="V261" s="8" t="str">
        <f aca="false">IF(AND(TRIM(E261)="US",TRIM(G261)="Non-Exempt"),IF(TRIM(D261)="CA","US California Non-Exempt","US Non-California Non-Exempt"),"")</f>
        <v/>
      </c>
      <c r="W261" s="8" t="str">
        <f aca="false">_xlfn.XLOOKUP(X261,ShiftCodes[Code],ShiftCodes[Work Schedule],"Unknown code")</f>
        <v>Standard (Mon–Fri 9:00–17:30)</v>
      </c>
      <c r="X261" s="9" t="s">
        <v>39</v>
      </c>
      <c r="Y261" s="5"/>
    </row>
    <row r="262" customFormat="false" ht="15" hidden="false" customHeight="false" outlineLevel="0" collapsed="false">
      <c r="A262" s="5" t="s">
        <v>386</v>
      </c>
      <c r="B262" s="5" t="s">
        <v>112</v>
      </c>
      <c r="C262" s="5" t="s">
        <v>100</v>
      </c>
      <c r="D262" s="5" t="s">
        <v>28</v>
      </c>
      <c r="E262" s="5" t="s">
        <v>29</v>
      </c>
      <c r="F262" s="5" t="s">
        <v>163</v>
      </c>
      <c r="G262" s="5" t="s">
        <v>31</v>
      </c>
      <c r="H262" s="5" t="s">
        <v>8</v>
      </c>
      <c r="I262" s="10" t="n">
        <v>162000</v>
      </c>
      <c r="J262" s="12"/>
      <c r="K262" s="5" t="s">
        <v>33</v>
      </c>
      <c r="L262" s="5" t="s">
        <v>34</v>
      </c>
      <c r="M262" s="6" t="n">
        <v>45995</v>
      </c>
      <c r="N262" s="6"/>
      <c r="O262" s="6"/>
      <c r="P262" s="5" t="s">
        <v>229</v>
      </c>
      <c r="Q262" s="5" t="s">
        <v>36</v>
      </c>
      <c r="R262" s="16" t="s">
        <v>37</v>
      </c>
      <c r="S262" s="5" t="n">
        <v>40</v>
      </c>
      <c r="T262" s="5" t="s">
        <v>38</v>
      </c>
      <c r="U262" s="8" t="str">
        <f aca="false">IF(AND(TRIM(E262)="US",TRIM(G262)="Non-Exempt"),"US Non-Exempt EEs","")</f>
        <v/>
      </c>
      <c r="V262" s="8" t="str">
        <f aca="false">IF(AND(TRIM(E262)="US",TRIM(G262)="Non-Exempt"),IF(TRIM(D262)="CA","US California Non-Exempt","US Non-California Non-Exempt"),"")</f>
        <v/>
      </c>
      <c r="W262" s="8" t="str">
        <f aca="false">_xlfn.XLOOKUP(X262,ShiftCodes[Code],ShiftCodes[Work Schedule],"Unknown code")</f>
        <v>Standard (Mon–Fri 9:00–17:30)</v>
      </c>
      <c r="X262" s="9" t="s">
        <v>39</v>
      </c>
      <c r="Y262" s="5"/>
    </row>
    <row r="263" customFormat="false" ht="15" hidden="false" customHeight="false" outlineLevel="0" collapsed="false">
      <c r="A263" s="5" t="s">
        <v>387</v>
      </c>
      <c r="B263" s="5" t="s">
        <v>103</v>
      </c>
      <c r="C263" s="5" t="s">
        <v>41</v>
      </c>
      <c r="D263" s="5" t="s">
        <v>84</v>
      </c>
      <c r="E263" s="5" t="s">
        <v>29</v>
      </c>
      <c r="F263" s="5" t="s">
        <v>165</v>
      </c>
      <c r="G263" s="5" t="s">
        <v>31</v>
      </c>
      <c r="H263" s="5" t="s">
        <v>8</v>
      </c>
      <c r="I263" s="10" t="n">
        <v>201000</v>
      </c>
      <c r="J263" s="12"/>
      <c r="K263" s="5" t="s">
        <v>33</v>
      </c>
      <c r="L263" s="5" t="s">
        <v>34</v>
      </c>
      <c r="M263" s="6" t="n">
        <v>45996</v>
      </c>
      <c r="N263" s="6"/>
      <c r="O263" s="6"/>
      <c r="P263" s="5" t="s">
        <v>136</v>
      </c>
      <c r="Q263" s="5" t="s">
        <v>36</v>
      </c>
      <c r="R263" s="16" t="s">
        <v>37</v>
      </c>
      <c r="S263" s="5" t="n">
        <v>40</v>
      </c>
      <c r="T263" s="5" t="s">
        <v>38</v>
      </c>
      <c r="U263" s="8" t="str">
        <f aca="false">IF(AND(TRIM(E263)="US",TRIM(G263)="Non-Exempt"),"US Non-Exempt EEs","")</f>
        <v/>
      </c>
      <c r="V263" s="8" t="str">
        <f aca="false">IF(AND(TRIM(E263)="US",TRIM(G263)="Non-Exempt"),IF(TRIM(D263)="CA","US California Non-Exempt","US Non-California Non-Exempt"),"")</f>
        <v/>
      </c>
      <c r="W263" s="8" t="str">
        <f aca="false">_xlfn.XLOOKUP(X263,ShiftCodes[Code],ShiftCodes[Work Schedule],"Unknown code")</f>
        <v>Standard (Mon–Fri 9:00–17:30)</v>
      </c>
      <c r="X263" s="9" t="s">
        <v>39</v>
      </c>
      <c r="Y263" s="5"/>
    </row>
    <row r="264" customFormat="false" ht="15" hidden="false" customHeight="false" outlineLevel="0" collapsed="false">
      <c r="A264" s="5" t="s">
        <v>388</v>
      </c>
      <c r="B264" s="5" t="s">
        <v>112</v>
      </c>
      <c r="C264" s="5" t="s">
        <v>100</v>
      </c>
      <c r="D264" s="5" t="s">
        <v>28</v>
      </c>
      <c r="E264" s="5" t="s">
        <v>29</v>
      </c>
      <c r="F264" s="5" t="s">
        <v>163</v>
      </c>
      <c r="G264" s="5" t="s">
        <v>31</v>
      </c>
      <c r="H264" s="5" t="s">
        <v>8</v>
      </c>
      <c r="I264" s="10" t="n">
        <v>152000</v>
      </c>
      <c r="J264" s="12"/>
      <c r="K264" s="5" t="s">
        <v>33</v>
      </c>
      <c r="L264" s="5" t="s">
        <v>34</v>
      </c>
      <c r="M264" s="6" t="n">
        <v>45998</v>
      </c>
      <c r="N264" s="6"/>
      <c r="O264" s="6"/>
      <c r="P264" s="5" t="s">
        <v>208</v>
      </c>
      <c r="Q264" s="5" t="s">
        <v>36</v>
      </c>
      <c r="R264" s="16" t="s">
        <v>37</v>
      </c>
      <c r="S264" s="5" t="n">
        <v>40</v>
      </c>
      <c r="T264" s="5" t="s">
        <v>38</v>
      </c>
      <c r="U264" s="8" t="str">
        <f aca="false">IF(AND(TRIM(E264)="US",TRIM(G264)="Non-Exempt"),"US Non-Exempt EEs","")</f>
        <v/>
      </c>
      <c r="V264" s="8" t="str">
        <f aca="false">IF(AND(TRIM(E264)="US",TRIM(G264)="Non-Exempt"),IF(TRIM(D264)="CA","US California Non-Exempt","US Non-California Non-Exempt"),"")</f>
        <v/>
      </c>
      <c r="W264" s="8" t="str">
        <f aca="false">_xlfn.XLOOKUP(X264,ShiftCodes[Code],ShiftCodes[Work Schedule],"Unknown code")</f>
        <v>Standard (Mon–Fri 9:00–17:30)</v>
      </c>
      <c r="X264" s="9" t="s">
        <v>39</v>
      </c>
      <c r="Y264" s="5"/>
    </row>
    <row r="265" customFormat="false" ht="15" hidden="false" customHeight="false" outlineLevel="0" collapsed="false">
      <c r="A265" s="5" t="s">
        <v>389</v>
      </c>
      <c r="B265" s="5" t="s">
        <v>99</v>
      </c>
      <c r="C265" s="5" t="s">
        <v>100</v>
      </c>
      <c r="D265" s="5" t="s">
        <v>28</v>
      </c>
      <c r="E265" s="5" t="s">
        <v>29</v>
      </c>
      <c r="F265" s="5" t="s">
        <v>163</v>
      </c>
      <c r="G265" s="5" t="s">
        <v>31</v>
      </c>
      <c r="H265" s="5" t="s">
        <v>8</v>
      </c>
      <c r="I265" s="10" t="n">
        <v>143000</v>
      </c>
      <c r="J265" s="12"/>
      <c r="K265" s="5" t="s">
        <v>33</v>
      </c>
      <c r="L265" s="5" t="s">
        <v>34</v>
      </c>
      <c r="M265" s="6" t="n">
        <v>45999</v>
      </c>
      <c r="N265" s="6"/>
      <c r="O265" s="6"/>
      <c r="P265" s="5" t="s">
        <v>308</v>
      </c>
      <c r="Q265" s="5" t="s">
        <v>36</v>
      </c>
      <c r="R265" s="16" t="s">
        <v>37</v>
      </c>
      <c r="S265" s="5" t="n">
        <v>40</v>
      </c>
      <c r="T265" s="5" t="s">
        <v>38</v>
      </c>
      <c r="U265" s="8" t="str">
        <f aca="false">IF(AND(TRIM(E265)="US",TRIM(G265)="Non-Exempt"),"US Non-Exempt EEs","")</f>
        <v/>
      </c>
      <c r="V265" s="8" t="str">
        <f aca="false">IF(AND(TRIM(E265)="US",TRIM(G265)="Non-Exempt"),IF(TRIM(D265)="CA","US California Non-Exempt","US Non-California Non-Exempt"),"")</f>
        <v/>
      </c>
      <c r="W265" s="8" t="str">
        <f aca="false">_xlfn.XLOOKUP(X265,ShiftCodes[Code],ShiftCodes[Work Schedule],"Unknown code")</f>
        <v>Standard (Mon–Fri 9:00–17:30)</v>
      </c>
      <c r="X265" s="9" t="s">
        <v>39</v>
      </c>
      <c r="Y265" s="5"/>
    </row>
    <row r="266" customFormat="false" ht="15" hidden="false" customHeight="false" outlineLevel="0" collapsed="false">
      <c r="A266" s="5" t="s">
        <v>390</v>
      </c>
      <c r="B266" s="5" t="s">
        <v>112</v>
      </c>
      <c r="C266" s="5" t="s">
        <v>100</v>
      </c>
      <c r="D266" s="5" t="s">
        <v>28</v>
      </c>
      <c r="E266" s="5" t="s">
        <v>29</v>
      </c>
      <c r="F266" s="5" t="s">
        <v>156</v>
      </c>
      <c r="G266" s="5" t="s">
        <v>31</v>
      </c>
      <c r="H266" s="5" t="s">
        <v>8</v>
      </c>
      <c r="I266" s="10" t="n">
        <v>218000</v>
      </c>
      <c r="J266" s="12"/>
      <c r="K266" s="5" t="s">
        <v>33</v>
      </c>
      <c r="L266" s="5" t="s">
        <v>34</v>
      </c>
      <c r="M266" s="6" t="n">
        <v>46000</v>
      </c>
      <c r="N266" s="6"/>
      <c r="O266" s="6"/>
      <c r="P266" s="5" t="s">
        <v>204</v>
      </c>
      <c r="Q266" s="5" t="s">
        <v>36</v>
      </c>
      <c r="R266" s="16" t="s">
        <v>37</v>
      </c>
      <c r="S266" s="5" t="n">
        <v>40</v>
      </c>
      <c r="T266" s="5" t="s">
        <v>38</v>
      </c>
      <c r="U266" s="8" t="str">
        <f aca="false">IF(AND(TRIM(E266)="US",TRIM(G266)="Non-Exempt"),"US Non-Exempt EEs","")</f>
        <v/>
      </c>
      <c r="V266" s="8" t="str">
        <f aca="false">IF(AND(TRIM(E266)="US",TRIM(G266)="Non-Exempt"),IF(TRIM(D266)="CA","US California Non-Exempt","US Non-California Non-Exempt"),"")</f>
        <v/>
      </c>
      <c r="W266" s="8" t="str">
        <f aca="false">_xlfn.XLOOKUP(X266,ShiftCodes[Code],ShiftCodes[Work Schedule],"Unknown code")</f>
        <v>Standard (Mon–Fri 9:00–17:30)</v>
      </c>
      <c r="X266" s="9" t="s">
        <v>39</v>
      </c>
      <c r="Y266" s="5"/>
    </row>
    <row r="267" customFormat="false" ht="15" hidden="false" customHeight="false" outlineLevel="0" collapsed="false">
      <c r="A267" s="5" t="s">
        <v>391</v>
      </c>
      <c r="B267" s="5" t="s">
        <v>103</v>
      </c>
      <c r="C267" s="5" t="s">
        <v>180</v>
      </c>
      <c r="D267" s="5" t="s">
        <v>52</v>
      </c>
      <c r="E267" s="5" t="s">
        <v>52</v>
      </c>
      <c r="F267" s="5" t="s">
        <v>124</v>
      </c>
      <c r="G267" s="5" t="s">
        <v>31</v>
      </c>
      <c r="H267" s="5" t="s">
        <v>8</v>
      </c>
      <c r="I267" s="10" t="n">
        <v>70000</v>
      </c>
      <c r="J267" s="19"/>
      <c r="K267" s="5" t="s">
        <v>55</v>
      </c>
      <c r="L267" s="5" t="s">
        <v>56</v>
      </c>
      <c r="M267" s="6" t="n">
        <v>46024</v>
      </c>
      <c r="N267" s="6"/>
      <c r="O267" s="6"/>
      <c r="P267" s="5" t="s">
        <v>218</v>
      </c>
      <c r="Q267" s="5" t="s">
        <v>36</v>
      </c>
      <c r="R267" s="16" t="s">
        <v>37</v>
      </c>
      <c r="S267" s="5" t="n">
        <v>37.5</v>
      </c>
      <c r="T267" s="5" t="s">
        <v>38</v>
      </c>
      <c r="U267" s="8" t="str">
        <f aca="false">IF(AND(TRIM(E267)="US",TRIM(G267)="Non-Exempt"),"US Non-Exempt EEs","")</f>
        <v/>
      </c>
      <c r="V267" s="8" t="str">
        <f aca="false">IF(AND(TRIM(E267)="US",TRIM(G267)="Non-Exempt"),IF(TRIM(D267)="CA","US California Non-Exempt","US Non-California Non-Exempt"),"")</f>
        <v/>
      </c>
      <c r="W267" s="8" t="str">
        <f aca="false">_xlfn.XLOOKUP(X267,ShiftCodes[Code],ShiftCodes[Work Schedule],"Unknown code")</f>
        <v>Standard (Mon–Fri 9:00–17:30)</v>
      </c>
      <c r="X267" s="9" t="s">
        <v>39</v>
      </c>
      <c r="Y267" s="5"/>
    </row>
    <row r="268" customFormat="false" ht="15" hidden="false" customHeight="false" outlineLevel="0" collapsed="false">
      <c r="A268" s="5" t="s">
        <v>392</v>
      </c>
      <c r="B268" s="5" t="s">
        <v>103</v>
      </c>
      <c r="C268" s="5" t="s">
        <v>41</v>
      </c>
      <c r="D268" s="5" t="s">
        <v>84</v>
      </c>
      <c r="E268" s="5" t="s">
        <v>29</v>
      </c>
      <c r="F268" s="5" t="s">
        <v>124</v>
      </c>
      <c r="G268" s="5" t="s">
        <v>31</v>
      </c>
      <c r="H268" s="5" t="s">
        <v>8</v>
      </c>
      <c r="I268" s="10" t="n">
        <v>121000</v>
      </c>
      <c r="J268" s="12"/>
      <c r="K268" s="5" t="s">
        <v>33</v>
      </c>
      <c r="L268" s="5" t="s">
        <v>34</v>
      </c>
      <c r="M268" s="6" t="n">
        <v>46030</v>
      </c>
      <c r="N268" s="6"/>
      <c r="O268" s="6"/>
      <c r="P268" s="5" t="s">
        <v>136</v>
      </c>
      <c r="Q268" s="5" t="s">
        <v>36</v>
      </c>
      <c r="R268" s="16" t="s">
        <v>37</v>
      </c>
      <c r="S268" s="5" t="n">
        <v>40</v>
      </c>
      <c r="T268" s="5" t="s">
        <v>38</v>
      </c>
      <c r="U268" s="8" t="str">
        <f aca="false">IF(AND(TRIM(E268)="US",TRIM(G268)="Non-Exempt"),"US Non-Exempt EEs","")</f>
        <v/>
      </c>
      <c r="V268" s="8" t="str">
        <f aca="false">IF(AND(TRIM(E268)="US",TRIM(G268)="Non-Exempt"),IF(TRIM(D268)="CA","US California Non-Exempt","US Non-California Non-Exempt"),"")</f>
        <v/>
      </c>
      <c r="W268" s="8" t="str">
        <f aca="false">_xlfn.XLOOKUP(X268,ShiftCodes[Code],ShiftCodes[Work Schedule],"Unknown code")</f>
        <v>Standard (Mon–Fri 9:00–17:30)</v>
      </c>
      <c r="X268" s="9" t="s">
        <v>39</v>
      </c>
      <c r="Y268" s="5"/>
    </row>
    <row r="269" customFormat="false" ht="15" hidden="false" customHeight="false" outlineLevel="0" collapsed="false">
      <c r="A269" s="5" t="s">
        <v>393</v>
      </c>
      <c r="B269" s="5" t="s">
        <v>112</v>
      </c>
      <c r="C269" s="5" t="s">
        <v>100</v>
      </c>
      <c r="D269" s="5" t="s">
        <v>28</v>
      </c>
      <c r="E269" s="5" t="s">
        <v>29</v>
      </c>
      <c r="F269" s="5" t="s">
        <v>165</v>
      </c>
      <c r="G269" s="5" t="s">
        <v>31</v>
      </c>
      <c r="H269" s="5" t="s">
        <v>8</v>
      </c>
      <c r="I269" s="10" t="n">
        <v>166000</v>
      </c>
      <c r="J269" s="12"/>
      <c r="K269" s="5" t="s">
        <v>33</v>
      </c>
      <c r="L269" s="5" t="s">
        <v>34</v>
      </c>
      <c r="M269" s="6" t="n">
        <v>46035</v>
      </c>
      <c r="N269" s="6"/>
      <c r="O269" s="6"/>
      <c r="P269" s="5" t="s">
        <v>229</v>
      </c>
      <c r="Q269" s="5" t="s">
        <v>36</v>
      </c>
      <c r="R269" s="16" t="s">
        <v>37</v>
      </c>
      <c r="S269" s="5" t="n">
        <v>40</v>
      </c>
      <c r="T269" s="5" t="s">
        <v>38</v>
      </c>
      <c r="U269" s="8" t="str">
        <f aca="false">IF(AND(TRIM(E269)="US",TRIM(G269)="Non-Exempt"),"US Non-Exempt EEs","")</f>
        <v/>
      </c>
      <c r="V269" s="8" t="str">
        <f aca="false">IF(AND(TRIM(E269)="US",TRIM(G269)="Non-Exempt"),IF(TRIM(D269)="CA","US California Non-Exempt","US Non-California Non-Exempt"),"")</f>
        <v/>
      </c>
      <c r="W269" s="8" t="str">
        <f aca="false">_xlfn.XLOOKUP(X269,ShiftCodes[Code],ShiftCodes[Work Schedule],"Unknown code")</f>
        <v>Standard (Mon–Fri 9:00–17:30)</v>
      </c>
      <c r="X269" s="9" t="s">
        <v>39</v>
      </c>
      <c r="Y269" s="5"/>
    </row>
    <row r="270" customFormat="false" ht="15" hidden="false" customHeight="false" outlineLevel="0" collapsed="false">
      <c r="A270" s="5" t="s">
        <v>394</v>
      </c>
      <c r="B270" s="5" t="s">
        <v>99</v>
      </c>
      <c r="C270" s="5" t="s">
        <v>100</v>
      </c>
      <c r="D270" s="5" t="s">
        <v>28</v>
      </c>
      <c r="E270" s="5" t="s">
        <v>29</v>
      </c>
      <c r="F270" s="5" t="s">
        <v>149</v>
      </c>
      <c r="G270" s="5" t="s">
        <v>31</v>
      </c>
      <c r="H270" s="5" t="s">
        <v>8</v>
      </c>
      <c r="I270" s="10" t="n">
        <v>94000</v>
      </c>
      <c r="J270" s="12"/>
      <c r="K270" s="5" t="s">
        <v>33</v>
      </c>
      <c r="L270" s="5" t="s">
        <v>34</v>
      </c>
      <c r="M270" s="6" t="n">
        <v>46235</v>
      </c>
      <c r="N270" s="6"/>
      <c r="O270" s="6"/>
      <c r="P270" s="5" t="s">
        <v>308</v>
      </c>
      <c r="Q270" s="5" t="s">
        <v>36</v>
      </c>
      <c r="R270" s="16" t="s">
        <v>37</v>
      </c>
      <c r="S270" s="5" t="n">
        <v>40</v>
      </c>
      <c r="T270" s="5" t="s">
        <v>38</v>
      </c>
      <c r="U270" s="8" t="str">
        <f aca="false">IF(AND(TRIM(E270)="US",TRIM(G270)="Non-Exempt"),"US Non-Exempt EEs","")</f>
        <v/>
      </c>
      <c r="V270" s="8" t="str">
        <f aca="false">IF(AND(TRIM(E270)="US",TRIM(G270)="Non-Exempt"),IF(TRIM(D270)="CA","US California Non-Exempt","US Non-California Non-Exempt"),"")</f>
        <v/>
      </c>
      <c r="W270" s="8" t="str">
        <f aca="false">_xlfn.XLOOKUP(X270,ShiftCodes[Code],ShiftCodes[Work Schedule],"Unknown code")</f>
        <v>Standard (Mon–Fri 9:00–17:30)</v>
      </c>
      <c r="X270" s="9" t="s">
        <v>39</v>
      </c>
      <c r="Y270" s="5" t="s">
        <v>395</v>
      </c>
    </row>
    <row r="271" customFormat="false" ht="15" hidden="false" customHeight="false" outlineLevel="0" collapsed="false">
      <c r="A271" s="5" t="s">
        <v>396</v>
      </c>
      <c r="B271" s="5" t="s">
        <v>103</v>
      </c>
      <c r="C271" s="5" t="s">
        <v>41</v>
      </c>
      <c r="D271" s="5" t="s">
        <v>42</v>
      </c>
      <c r="E271" s="5" t="s">
        <v>29</v>
      </c>
      <c r="F271" s="5" t="s">
        <v>165</v>
      </c>
      <c r="G271" s="5" t="s">
        <v>31</v>
      </c>
      <c r="H271" s="5" t="s">
        <v>8</v>
      </c>
      <c r="I271" s="10" t="n">
        <v>174000</v>
      </c>
      <c r="J271" s="12"/>
      <c r="K271" s="5" t="s">
        <v>33</v>
      </c>
      <c r="L271" s="5" t="s">
        <v>34</v>
      </c>
      <c r="M271" s="6" t="n">
        <v>46053</v>
      </c>
      <c r="N271" s="6"/>
      <c r="O271" s="6"/>
      <c r="P271" s="5" t="s">
        <v>122</v>
      </c>
      <c r="Q271" s="5" t="s">
        <v>36</v>
      </c>
      <c r="R271" s="16" t="s">
        <v>37</v>
      </c>
      <c r="S271" s="5" t="n">
        <v>40</v>
      </c>
      <c r="T271" s="5" t="s">
        <v>38</v>
      </c>
      <c r="U271" s="8" t="str">
        <f aca="false">IF(AND(TRIM(E271)="US",TRIM(G271)="Non-Exempt"),"US Non-Exempt EEs","")</f>
        <v/>
      </c>
      <c r="V271" s="8" t="str">
        <f aca="false">IF(AND(TRIM(E271)="US",TRIM(G271)="Non-Exempt"),IF(TRIM(D271)="CA","US California Non-Exempt","US Non-California Non-Exempt"),"")</f>
        <v/>
      </c>
      <c r="W271" s="8" t="str">
        <f aca="false">_xlfn.XLOOKUP(X271,ShiftCodes[Code],ShiftCodes[Work Schedule],"Unknown code")</f>
        <v>Standard (Mon–Fri 9:00–17:30)</v>
      </c>
      <c r="X271" s="9" t="s">
        <v>39</v>
      </c>
      <c r="Y271" s="5"/>
    </row>
    <row r="272" customFormat="false" ht="15" hidden="false" customHeight="false" outlineLevel="0" collapsed="false">
      <c r="A272" s="5" t="s">
        <v>397</v>
      </c>
      <c r="B272" s="5" t="s">
        <v>112</v>
      </c>
      <c r="C272" s="5" t="s">
        <v>100</v>
      </c>
      <c r="D272" s="5" t="s">
        <v>28</v>
      </c>
      <c r="E272" s="5" t="s">
        <v>29</v>
      </c>
      <c r="F272" s="5" t="s">
        <v>124</v>
      </c>
      <c r="G272" s="5" t="s">
        <v>31</v>
      </c>
      <c r="H272" s="5" t="s">
        <v>8</v>
      </c>
      <c r="I272" s="10" t="n">
        <v>132000</v>
      </c>
      <c r="J272" s="12"/>
      <c r="K272" s="5" t="s">
        <v>33</v>
      </c>
      <c r="L272" s="5" t="s">
        <v>34</v>
      </c>
      <c r="M272" s="6" t="n">
        <v>46281</v>
      </c>
      <c r="N272" s="6"/>
      <c r="O272" s="6"/>
      <c r="P272" s="5" t="s">
        <v>229</v>
      </c>
      <c r="Q272" s="5" t="s">
        <v>36</v>
      </c>
      <c r="R272" s="16" t="s">
        <v>37</v>
      </c>
      <c r="S272" s="5" t="n">
        <v>40</v>
      </c>
      <c r="T272" s="5" t="s">
        <v>38</v>
      </c>
      <c r="U272" s="8" t="str">
        <f aca="false">IF(AND(TRIM(E272)="US",TRIM(G272)="Non-Exempt"),"US Non-Exempt EEs","")</f>
        <v/>
      </c>
      <c r="V272" s="8" t="str">
        <f aca="false">IF(AND(TRIM(E272)="US",TRIM(G272)="Non-Exempt"),IF(TRIM(D272)="CA","US California Non-Exempt","US Non-California Non-Exempt"),"")</f>
        <v/>
      </c>
      <c r="W272" s="8" t="str">
        <f aca="false">_xlfn.XLOOKUP(X272,ShiftCodes[Code],ShiftCodes[Work Schedule],"Unknown code")</f>
        <v>Standard (Mon–Fri 9:00–17:30)</v>
      </c>
      <c r="X272" s="9" t="s">
        <v>39</v>
      </c>
      <c r="Y272" s="5" t="s">
        <v>398</v>
      </c>
    </row>
    <row r="273" customFormat="false" ht="15" hidden="false" customHeight="false" outlineLevel="0" collapsed="false">
      <c r="A273" s="5" t="s">
        <v>399</v>
      </c>
      <c r="B273" s="5" t="s">
        <v>99</v>
      </c>
      <c r="C273" s="5" t="s">
        <v>180</v>
      </c>
      <c r="D273" s="5" t="s">
        <v>52</v>
      </c>
      <c r="E273" s="5" t="s">
        <v>52</v>
      </c>
      <c r="F273" s="5" t="s">
        <v>156</v>
      </c>
      <c r="G273" s="5" t="s">
        <v>31</v>
      </c>
      <c r="H273" s="5" t="s">
        <v>8</v>
      </c>
      <c r="I273" s="10" t="n">
        <v>95000</v>
      </c>
      <c r="J273" s="19"/>
      <c r="K273" s="5" t="s">
        <v>55</v>
      </c>
      <c r="L273" s="5" t="s">
        <v>56</v>
      </c>
      <c r="M273" s="6" t="n">
        <v>46056</v>
      </c>
      <c r="N273" s="6"/>
      <c r="O273" s="6"/>
      <c r="P273" s="5" t="s">
        <v>191</v>
      </c>
      <c r="Q273" s="5" t="s">
        <v>36</v>
      </c>
      <c r="R273" s="16" t="s">
        <v>37</v>
      </c>
      <c r="S273" s="5" t="n">
        <v>37.5</v>
      </c>
      <c r="T273" s="5" t="s">
        <v>38</v>
      </c>
      <c r="U273" s="8" t="str">
        <f aca="false">IF(AND(TRIM(E273)="US",TRIM(G273)="Non-Exempt"),"US Non-Exempt EEs","")</f>
        <v/>
      </c>
      <c r="V273" s="8" t="str">
        <f aca="false">IF(AND(TRIM(E273)="US",TRIM(G273)="Non-Exempt"),IF(TRIM(D273)="CA","US California Non-Exempt","US Non-California Non-Exempt"),"")</f>
        <v/>
      </c>
      <c r="W273" s="8" t="str">
        <f aca="false">_xlfn.XLOOKUP(X273,ShiftCodes[Code],ShiftCodes[Work Schedule],"Unknown code")</f>
        <v>Standard (Mon–Fri 9:00–17:30)</v>
      </c>
      <c r="X273" s="9" t="s">
        <v>39</v>
      </c>
      <c r="Y273" s="5"/>
    </row>
    <row r="274" customFormat="false" ht="15" hidden="false" customHeight="false" outlineLevel="0" collapsed="false">
      <c r="A274" s="5" t="s">
        <v>400</v>
      </c>
      <c r="B274" s="5" t="s">
        <v>103</v>
      </c>
      <c r="C274" s="5" t="s">
        <v>106</v>
      </c>
      <c r="D274" s="5" t="s">
        <v>42</v>
      </c>
      <c r="E274" s="5" t="s">
        <v>29</v>
      </c>
      <c r="F274" s="5" t="s">
        <v>163</v>
      </c>
      <c r="G274" s="5" t="s">
        <v>31</v>
      </c>
      <c r="H274" s="5" t="s">
        <v>8</v>
      </c>
      <c r="I274" s="10" t="n">
        <v>153000</v>
      </c>
      <c r="J274" s="12"/>
      <c r="K274" s="5" t="s">
        <v>33</v>
      </c>
      <c r="L274" s="5" t="s">
        <v>34</v>
      </c>
      <c r="M274" s="6" t="n">
        <v>46062</v>
      </c>
      <c r="N274" s="6"/>
      <c r="O274" s="6"/>
      <c r="P274" s="5" t="s">
        <v>122</v>
      </c>
      <c r="Q274" s="5" t="s">
        <v>36</v>
      </c>
      <c r="R274" s="16" t="s">
        <v>37</v>
      </c>
      <c r="S274" s="5" t="n">
        <v>40</v>
      </c>
      <c r="T274" s="5" t="s">
        <v>38</v>
      </c>
      <c r="U274" s="8" t="str">
        <f aca="false">IF(AND(TRIM(E274)="US",TRIM(G274)="Non-Exempt"),"US Non-Exempt EEs","")</f>
        <v/>
      </c>
      <c r="V274" s="8" t="str">
        <f aca="false">IF(AND(TRIM(E274)="US",TRIM(G274)="Non-Exempt"),IF(TRIM(D274)="CA","US California Non-Exempt","US Non-California Non-Exempt"),"")</f>
        <v/>
      </c>
      <c r="W274" s="8" t="str">
        <f aca="false">_xlfn.XLOOKUP(X274,ShiftCodes[Code],ShiftCodes[Work Schedule],"Unknown code")</f>
        <v>Standard (Mon–Fri 9:00–17:30)</v>
      </c>
      <c r="X274" s="9" t="s">
        <v>39</v>
      </c>
      <c r="Y274" s="5"/>
    </row>
    <row r="275" customFormat="false" ht="15" hidden="false" customHeight="false" outlineLevel="0" collapsed="false">
      <c r="A275" s="5" t="s">
        <v>401</v>
      </c>
      <c r="B275" s="5" t="s">
        <v>112</v>
      </c>
      <c r="C275" s="5" t="s">
        <v>100</v>
      </c>
      <c r="D275" s="5" t="s">
        <v>28</v>
      </c>
      <c r="E275" s="5" t="s">
        <v>29</v>
      </c>
      <c r="F275" s="5" t="s">
        <v>149</v>
      </c>
      <c r="G275" s="5" t="s">
        <v>31</v>
      </c>
      <c r="H275" s="5" t="s">
        <v>8</v>
      </c>
      <c r="I275" s="10" t="n">
        <v>112000</v>
      </c>
      <c r="J275" s="12"/>
      <c r="K275" s="5" t="s">
        <v>33</v>
      </c>
      <c r="L275" s="5" t="s">
        <v>34</v>
      </c>
      <c r="M275" s="6" t="n">
        <v>46250</v>
      </c>
      <c r="N275" s="6"/>
      <c r="O275" s="6"/>
      <c r="P275" s="5" t="s">
        <v>208</v>
      </c>
      <c r="Q275" s="5" t="s">
        <v>36</v>
      </c>
      <c r="R275" s="16" t="s">
        <v>37</v>
      </c>
      <c r="S275" s="5" t="n">
        <v>40</v>
      </c>
      <c r="T275" s="5" t="s">
        <v>38</v>
      </c>
      <c r="U275" s="8" t="str">
        <f aca="false">IF(AND(TRIM(E275)="US",TRIM(G275)="Non-Exempt"),"US Non-Exempt EEs","")</f>
        <v/>
      </c>
      <c r="V275" s="8" t="str">
        <f aca="false">IF(AND(TRIM(E275)="US",TRIM(G275)="Non-Exempt"),IF(TRIM(D275)="CA","US California Non-Exempt","US Non-California Non-Exempt"),"")</f>
        <v/>
      </c>
      <c r="W275" s="8" t="str">
        <f aca="false">_xlfn.XLOOKUP(X275,ShiftCodes[Code],ShiftCodes[Work Schedule],"Unknown code")</f>
        <v>Standard (Mon–Fri 9:00–17:30)</v>
      </c>
      <c r="X275" s="9" t="s">
        <v>39</v>
      </c>
      <c r="Y275" s="5" t="s">
        <v>402</v>
      </c>
    </row>
    <row r="276" customFormat="false" ht="15" hidden="false" customHeight="false" outlineLevel="0" collapsed="false">
      <c r="A276" s="5" t="s">
        <v>403</v>
      </c>
      <c r="B276" s="5" t="s">
        <v>109</v>
      </c>
      <c r="C276" s="5" t="s">
        <v>76</v>
      </c>
      <c r="D276" s="5" t="s">
        <v>28</v>
      </c>
      <c r="E276" s="5" t="s">
        <v>29</v>
      </c>
      <c r="F276" s="5" t="s">
        <v>121</v>
      </c>
      <c r="G276" s="5" t="s">
        <v>78</v>
      </c>
      <c r="H276" s="5" t="s">
        <v>79</v>
      </c>
      <c r="I276" s="10"/>
      <c r="J276" s="12" t="n">
        <v>36.5</v>
      </c>
      <c r="K276" s="5" t="s">
        <v>33</v>
      </c>
      <c r="L276" s="5" t="s">
        <v>80</v>
      </c>
      <c r="M276" s="6" t="n">
        <v>46063</v>
      </c>
      <c r="N276" s="6"/>
      <c r="O276" s="6"/>
      <c r="P276" s="5" t="s">
        <v>161</v>
      </c>
      <c r="Q276" s="5" t="s">
        <v>36</v>
      </c>
      <c r="R276" s="16" t="s">
        <v>37</v>
      </c>
      <c r="S276" s="5" t="n">
        <v>24</v>
      </c>
      <c r="T276" s="5" t="s">
        <v>140</v>
      </c>
      <c r="U276" s="8" t="str">
        <f aca="false">IF(AND(TRIM(E276)="US",TRIM(G276)="Non-Exempt"),"US Non-Exempt EEs","")</f>
        <v>US Non-Exempt EEs</v>
      </c>
      <c r="V276" s="8" t="str">
        <f aca="false">IF(AND(TRIM(E276)="US",TRIM(G276)="Non-Exempt"),IF(TRIM(D276)="CA","US California Non-Exempt","US Non-California Non-Exempt"),"")</f>
        <v>US California Non-Exempt</v>
      </c>
      <c r="W276" s="8" t="str">
        <f aca="false">_xlfn.XLOOKUP(X276,ShiftCodes[Code],ShiftCodes[Work Schedule],"Unknown code")</f>
        <v>Part-time – Day (Mon/Wed/Fri 06:00–14:30)</v>
      </c>
      <c r="X276" s="9" t="s">
        <v>141</v>
      </c>
      <c r="Y276" s="5"/>
    </row>
    <row r="277" customFormat="false" ht="15" hidden="false" customHeight="false" outlineLevel="0" collapsed="false">
      <c r="A277" s="5" t="s">
        <v>404</v>
      </c>
      <c r="B277" s="5" t="s">
        <v>103</v>
      </c>
      <c r="C277" s="5" t="s">
        <v>180</v>
      </c>
      <c r="D277" s="5" t="s">
        <v>52</v>
      </c>
      <c r="E277" s="5" t="s">
        <v>52</v>
      </c>
      <c r="F277" s="5" t="s">
        <v>156</v>
      </c>
      <c r="G277" s="5" t="s">
        <v>31</v>
      </c>
      <c r="H277" s="5" t="s">
        <v>8</v>
      </c>
      <c r="I277" s="10" t="n">
        <v>132000</v>
      </c>
      <c r="J277" s="19"/>
      <c r="K277" s="5" t="s">
        <v>55</v>
      </c>
      <c r="L277" s="5" t="s">
        <v>56</v>
      </c>
      <c r="M277" s="6" t="n">
        <v>46066</v>
      </c>
      <c r="N277" s="6"/>
      <c r="O277" s="6"/>
      <c r="P277" s="5" t="s">
        <v>218</v>
      </c>
      <c r="Q277" s="5" t="s">
        <v>36</v>
      </c>
      <c r="R277" s="16" t="s">
        <v>37</v>
      </c>
      <c r="S277" s="5" t="n">
        <v>37.5</v>
      </c>
      <c r="T277" s="5" t="s">
        <v>38</v>
      </c>
      <c r="U277" s="8" t="str">
        <f aca="false">IF(AND(TRIM(E277)="US",TRIM(G277)="Non-Exempt"),"US Non-Exempt EEs","")</f>
        <v/>
      </c>
      <c r="V277" s="8" t="str">
        <f aca="false">IF(AND(TRIM(E277)="US",TRIM(G277)="Non-Exempt"),IF(TRIM(D277)="CA","US California Non-Exempt","US Non-California Non-Exempt"),"")</f>
        <v/>
      </c>
      <c r="W277" s="8" t="str">
        <f aca="false">_xlfn.XLOOKUP(X277,ShiftCodes[Code],ShiftCodes[Work Schedule],"Unknown code")</f>
        <v>Standard (Mon–Fri 9:00–17:30)</v>
      </c>
      <c r="X277" s="9" t="s">
        <v>39</v>
      </c>
      <c r="Y277" s="5"/>
    </row>
    <row r="278" customFormat="false" ht="15" hidden="false" customHeight="false" outlineLevel="0" collapsed="false">
      <c r="A278" s="5" t="s">
        <v>405</v>
      </c>
      <c r="B278" s="5" t="s">
        <v>109</v>
      </c>
      <c r="C278" s="5" t="s">
        <v>113</v>
      </c>
      <c r="D278" s="5" t="s">
        <v>84</v>
      </c>
      <c r="E278" s="5" t="s">
        <v>29</v>
      </c>
      <c r="F278" s="5" t="s">
        <v>130</v>
      </c>
      <c r="G278" s="5" t="s">
        <v>78</v>
      </c>
      <c r="H278" s="5" t="s">
        <v>79</v>
      </c>
      <c r="I278" s="10"/>
      <c r="J278" s="12" t="n">
        <v>26.5</v>
      </c>
      <c r="K278" s="5" t="s">
        <v>33</v>
      </c>
      <c r="L278" s="5" t="s">
        <v>80</v>
      </c>
      <c r="M278" s="6" t="n">
        <v>46070</v>
      </c>
      <c r="N278" s="6"/>
      <c r="O278" s="6"/>
      <c r="P278" s="5" t="s">
        <v>118</v>
      </c>
      <c r="Q278" s="5" t="s">
        <v>36</v>
      </c>
      <c r="R278" s="16" t="s">
        <v>37</v>
      </c>
      <c r="S278" s="5" t="n">
        <v>40</v>
      </c>
      <c r="T278" s="5" t="s">
        <v>38</v>
      </c>
      <c r="U278" s="8" t="str">
        <f aca="false">IF(AND(TRIM(E278)="US",TRIM(G278)="Non-Exempt"),"US Non-Exempt EEs","")</f>
        <v>US Non-Exempt EEs</v>
      </c>
      <c r="V278" s="8" t="str">
        <f aca="false">IF(AND(TRIM(E278)="US",TRIM(G278)="Non-Exempt"),IF(TRIM(D278)="CA","US California Non-Exempt","US Non-California Non-Exempt"),"")</f>
        <v>US Non-California Non-Exempt</v>
      </c>
      <c r="W278" s="8" t="str">
        <f aca="false">_xlfn.XLOOKUP(X278,ShiftCodes[Code],ShiftCodes[Work Schedule],"Unknown code")</f>
        <v>Shift A – Day (Mon–Fri 06:00–14:30)</v>
      </c>
      <c r="X278" s="9" t="s">
        <v>81</v>
      </c>
      <c r="Y278" s="5"/>
    </row>
    <row r="279" customFormat="false" ht="15" hidden="false" customHeight="false" outlineLevel="0" collapsed="false">
      <c r="A279" s="5" t="s">
        <v>406</v>
      </c>
      <c r="B279" s="5" t="s">
        <v>103</v>
      </c>
      <c r="C279" s="5" t="s">
        <v>180</v>
      </c>
      <c r="D279" s="5" t="s">
        <v>52</v>
      </c>
      <c r="E279" s="5" t="s">
        <v>52</v>
      </c>
      <c r="F279" s="5" t="s">
        <v>156</v>
      </c>
      <c r="G279" s="5" t="s">
        <v>31</v>
      </c>
      <c r="H279" s="5" t="s">
        <v>8</v>
      </c>
      <c r="I279" s="10" t="n">
        <v>136000</v>
      </c>
      <c r="J279" s="19"/>
      <c r="K279" s="5" t="s">
        <v>55</v>
      </c>
      <c r="L279" s="5" t="s">
        <v>56</v>
      </c>
      <c r="M279" s="6" t="n">
        <v>46072</v>
      </c>
      <c r="N279" s="6"/>
      <c r="O279" s="6"/>
      <c r="P279" s="5" t="s">
        <v>218</v>
      </c>
      <c r="Q279" s="5" t="s">
        <v>36</v>
      </c>
      <c r="R279" s="16" t="s">
        <v>37</v>
      </c>
      <c r="S279" s="5" t="n">
        <v>37.5</v>
      </c>
      <c r="T279" s="5" t="s">
        <v>38</v>
      </c>
      <c r="U279" s="8" t="str">
        <f aca="false">IF(AND(TRIM(E279)="US",TRIM(G279)="Non-Exempt"),"US Non-Exempt EEs","")</f>
        <v/>
      </c>
      <c r="V279" s="8" t="str">
        <f aca="false">IF(AND(TRIM(E279)="US",TRIM(G279)="Non-Exempt"),IF(TRIM(D279)="CA","US California Non-Exempt","US Non-California Non-Exempt"),"")</f>
        <v/>
      </c>
      <c r="W279" s="8" t="str">
        <f aca="false">_xlfn.XLOOKUP(X279,ShiftCodes[Code],ShiftCodes[Work Schedule],"Unknown code")</f>
        <v>Standard (Mon–Fri 9:00–17:30)</v>
      </c>
      <c r="X279" s="9" t="s">
        <v>39</v>
      </c>
      <c r="Y279" s="5"/>
    </row>
    <row r="280" customFormat="false" ht="15" hidden="false" customHeight="false" outlineLevel="0" collapsed="false">
      <c r="A280" s="5" t="s">
        <v>407</v>
      </c>
      <c r="B280" s="5" t="s">
        <v>103</v>
      </c>
      <c r="C280" s="5" t="s">
        <v>41</v>
      </c>
      <c r="D280" s="5" t="s">
        <v>154</v>
      </c>
      <c r="E280" s="5" t="s">
        <v>29</v>
      </c>
      <c r="F280" s="5" t="s">
        <v>165</v>
      </c>
      <c r="G280" s="5" t="s">
        <v>31</v>
      </c>
      <c r="H280" s="5" t="s">
        <v>8</v>
      </c>
      <c r="I280" s="10" t="n">
        <v>201000</v>
      </c>
      <c r="J280" s="12"/>
      <c r="K280" s="5" t="s">
        <v>33</v>
      </c>
      <c r="L280" s="5" t="s">
        <v>34</v>
      </c>
      <c r="M280" s="6" t="n">
        <v>46074</v>
      </c>
      <c r="N280" s="6"/>
      <c r="O280" s="6"/>
      <c r="P280" s="5" t="s">
        <v>181</v>
      </c>
      <c r="Q280" s="5" t="s">
        <v>36</v>
      </c>
      <c r="R280" s="16" t="s">
        <v>37</v>
      </c>
      <c r="S280" s="5" t="n">
        <v>40</v>
      </c>
      <c r="T280" s="5" t="s">
        <v>38</v>
      </c>
      <c r="U280" s="8" t="str">
        <f aca="false">IF(AND(TRIM(E280)="US",TRIM(G280)="Non-Exempt"),"US Non-Exempt EEs","")</f>
        <v/>
      </c>
      <c r="V280" s="8" t="str">
        <f aca="false">IF(AND(TRIM(E280)="US",TRIM(G280)="Non-Exempt"),IF(TRIM(D280)="CA","US California Non-Exempt","US Non-California Non-Exempt"),"")</f>
        <v/>
      </c>
      <c r="W280" s="8" t="str">
        <f aca="false">_xlfn.XLOOKUP(X280,ShiftCodes[Code],ShiftCodes[Work Schedule],"Unknown code")</f>
        <v>Standard (Mon–Fri 9:00–17:30)</v>
      </c>
      <c r="X280" s="9" t="s">
        <v>39</v>
      </c>
      <c r="Y280" s="5"/>
    </row>
    <row r="281" customFormat="false" ht="15" hidden="false" customHeight="false" outlineLevel="0" collapsed="false">
      <c r="A281" s="5" t="s">
        <v>408</v>
      </c>
      <c r="B281" s="5" t="s">
        <v>112</v>
      </c>
      <c r="C281" s="5" t="s">
        <v>106</v>
      </c>
      <c r="D281" s="5" t="s">
        <v>42</v>
      </c>
      <c r="E281" s="5" t="s">
        <v>29</v>
      </c>
      <c r="F281" s="5" t="s">
        <v>156</v>
      </c>
      <c r="G281" s="5" t="s">
        <v>31</v>
      </c>
      <c r="H281" s="5" t="s">
        <v>8</v>
      </c>
      <c r="I281" s="10" t="n">
        <v>207000</v>
      </c>
      <c r="J281" s="12"/>
      <c r="K281" s="5" t="s">
        <v>33</v>
      </c>
      <c r="L281" s="5" t="s">
        <v>34</v>
      </c>
      <c r="M281" s="6" t="n">
        <v>46077</v>
      </c>
      <c r="N281" s="6"/>
      <c r="O281" s="6"/>
      <c r="P281" s="5" t="s">
        <v>187</v>
      </c>
      <c r="Q281" s="5" t="s">
        <v>36</v>
      </c>
      <c r="R281" s="16" t="s">
        <v>37</v>
      </c>
      <c r="S281" s="5" t="n">
        <v>40</v>
      </c>
      <c r="T281" s="5" t="s">
        <v>38</v>
      </c>
      <c r="U281" s="8" t="str">
        <f aca="false">IF(AND(TRIM(E281)="US",TRIM(G281)="Non-Exempt"),"US Non-Exempt EEs","")</f>
        <v/>
      </c>
      <c r="V281" s="8" t="str">
        <f aca="false">IF(AND(TRIM(E281)="US",TRIM(G281)="Non-Exempt"),IF(TRIM(D281)="CA","US California Non-Exempt","US Non-California Non-Exempt"),"")</f>
        <v/>
      </c>
      <c r="W281" s="8" t="str">
        <f aca="false">_xlfn.XLOOKUP(X281,ShiftCodes[Code],ShiftCodes[Work Schedule],"Unknown code")</f>
        <v>Standard (Mon–Fri 9:00–17:30)</v>
      </c>
      <c r="X281" s="9" t="s">
        <v>39</v>
      </c>
      <c r="Y281" s="5"/>
    </row>
    <row r="282" customFormat="false" ht="15" hidden="false" customHeight="false" outlineLevel="0" collapsed="false">
      <c r="A282" s="5" t="s">
        <v>409</v>
      </c>
      <c r="B282" s="5" t="s">
        <v>99</v>
      </c>
      <c r="C282" s="5" t="s">
        <v>100</v>
      </c>
      <c r="D282" s="5" t="s">
        <v>28</v>
      </c>
      <c r="E282" s="5" t="s">
        <v>29</v>
      </c>
      <c r="F282" s="5" t="s">
        <v>124</v>
      </c>
      <c r="G282" s="5" t="s">
        <v>31</v>
      </c>
      <c r="H282" s="5" t="s">
        <v>8</v>
      </c>
      <c r="I282" s="10" t="n">
        <v>101000</v>
      </c>
      <c r="J282" s="12"/>
      <c r="K282" s="5" t="s">
        <v>33</v>
      </c>
      <c r="L282" s="5" t="s">
        <v>34</v>
      </c>
      <c r="M282" s="6" t="n">
        <v>46079</v>
      </c>
      <c r="N282" s="6"/>
      <c r="O282" s="6" t="n">
        <v>46277</v>
      </c>
      <c r="P282" s="5" t="s">
        <v>308</v>
      </c>
      <c r="Q282" s="5" t="s">
        <v>93</v>
      </c>
      <c r="R282" s="16" t="s">
        <v>37</v>
      </c>
      <c r="S282" s="5" t="n">
        <v>40</v>
      </c>
      <c r="T282" s="5" t="s">
        <v>38</v>
      </c>
      <c r="U282" s="8" t="str">
        <f aca="false">IF(AND(TRIM(E282)="US",TRIM(G282)="Non-Exempt"),"US Non-Exempt EEs","")</f>
        <v/>
      </c>
      <c r="V282" s="8" t="str">
        <f aca="false">IF(AND(TRIM(E282)="US",TRIM(G282)="Non-Exempt"),IF(TRIM(D282)="CA","US California Non-Exempt","US Non-California Non-Exempt"),"")</f>
        <v/>
      </c>
      <c r="W282" s="8" t="str">
        <f aca="false">_xlfn.XLOOKUP(X282,ShiftCodes[Code],ShiftCodes[Work Schedule],"Unknown code")</f>
        <v>Standard (Mon–Fri 9:00–17:30)</v>
      </c>
      <c r="X282" s="9" t="s">
        <v>39</v>
      </c>
      <c r="Y282" s="5"/>
    </row>
    <row r="283" customFormat="false" ht="15" hidden="false" customHeight="false" outlineLevel="0" collapsed="false">
      <c r="A283" s="5" t="s">
        <v>410</v>
      </c>
      <c r="B283" s="5" t="s">
        <v>103</v>
      </c>
      <c r="C283" s="5" t="s">
        <v>41</v>
      </c>
      <c r="D283" s="5" t="s">
        <v>189</v>
      </c>
      <c r="E283" s="5" t="s">
        <v>29</v>
      </c>
      <c r="F283" s="5" t="s">
        <v>124</v>
      </c>
      <c r="G283" s="5" t="s">
        <v>31</v>
      </c>
      <c r="H283" s="5" t="s">
        <v>8</v>
      </c>
      <c r="I283" s="10" t="n">
        <v>125000</v>
      </c>
      <c r="J283" s="12"/>
      <c r="K283" s="5" t="s">
        <v>33</v>
      </c>
      <c r="L283" s="5" t="s">
        <v>34</v>
      </c>
      <c r="M283" s="6" t="n">
        <v>46081</v>
      </c>
      <c r="N283" s="6"/>
      <c r="O283" s="6"/>
      <c r="P283" s="5" t="s">
        <v>145</v>
      </c>
      <c r="Q283" s="5" t="s">
        <v>36</v>
      </c>
      <c r="R283" s="16" t="s">
        <v>37</v>
      </c>
      <c r="S283" s="5" t="n">
        <v>40</v>
      </c>
      <c r="T283" s="5" t="s">
        <v>38</v>
      </c>
      <c r="U283" s="8" t="str">
        <f aca="false">IF(AND(TRIM(E283)="US",TRIM(G283)="Non-Exempt"),"US Non-Exempt EEs","")</f>
        <v/>
      </c>
      <c r="V283" s="8" t="str">
        <f aca="false">IF(AND(TRIM(E283)="US",TRIM(G283)="Non-Exempt"),IF(TRIM(D283)="CA","US California Non-Exempt","US Non-California Non-Exempt"),"")</f>
        <v/>
      </c>
      <c r="W283" s="8" t="str">
        <f aca="false">_xlfn.XLOOKUP(X283,ShiftCodes[Code],ShiftCodes[Work Schedule],"Unknown code")</f>
        <v>Standard (Mon–Fri 9:00–17:30)</v>
      </c>
      <c r="X283" s="9" t="s">
        <v>39</v>
      </c>
      <c r="Y283" s="5"/>
    </row>
    <row r="284" customFormat="false" ht="15" hidden="false" customHeight="false" outlineLevel="0" collapsed="false">
      <c r="A284" s="5" t="s">
        <v>411</v>
      </c>
      <c r="B284" s="5" t="s">
        <v>112</v>
      </c>
      <c r="C284" s="5" t="s">
        <v>100</v>
      </c>
      <c r="D284" s="5" t="s">
        <v>28</v>
      </c>
      <c r="E284" s="5" t="s">
        <v>29</v>
      </c>
      <c r="F284" s="5" t="s">
        <v>124</v>
      </c>
      <c r="G284" s="5" t="s">
        <v>31</v>
      </c>
      <c r="H284" s="5" t="s">
        <v>8</v>
      </c>
      <c r="I284" s="10" t="n">
        <v>133000</v>
      </c>
      <c r="J284" s="12"/>
      <c r="K284" s="5" t="s">
        <v>33</v>
      </c>
      <c r="L284" s="5" t="s">
        <v>34</v>
      </c>
      <c r="M284" s="6" t="n">
        <v>46281</v>
      </c>
      <c r="N284" s="6"/>
      <c r="O284" s="6"/>
      <c r="P284" s="5" t="s">
        <v>204</v>
      </c>
      <c r="Q284" s="5" t="s">
        <v>36</v>
      </c>
      <c r="R284" s="16" t="s">
        <v>37</v>
      </c>
      <c r="S284" s="5" t="n">
        <v>40</v>
      </c>
      <c r="T284" s="5" t="s">
        <v>38</v>
      </c>
      <c r="U284" s="8" t="str">
        <f aca="false">IF(AND(TRIM(E284)="US",TRIM(G284)="Non-Exempt"),"US Non-Exempt EEs","")</f>
        <v/>
      </c>
      <c r="V284" s="8" t="str">
        <f aca="false">IF(AND(TRIM(E284)="US",TRIM(G284)="Non-Exempt"),IF(TRIM(D284)="CA","US California Non-Exempt","US Non-California Non-Exempt"),"")</f>
        <v/>
      </c>
      <c r="W284" s="8" t="str">
        <f aca="false">_xlfn.XLOOKUP(X284,ShiftCodes[Code],ShiftCodes[Work Schedule],"Unknown code")</f>
        <v>Standard (Mon–Fri 9:00–17:30)</v>
      </c>
      <c r="X284" s="9" t="s">
        <v>39</v>
      </c>
      <c r="Y284" s="5" t="s">
        <v>398</v>
      </c>
    </row>
    <row r="285" customFormat="false" ht="15" hidden="false" customHeight="false" outlineLevel="0" collapsed="false">
      <c r="A285" s="5" t="s">
        <v>412</v>
      </c>
      <c r="B285" s="5" t="s">
        <v>112</v>
      </c>
      <c r="C285" s="5" t="s">
        <v>106</v>
      </c>
      <c r="D285" s="5" t="s">
        <v>42</v>
      </c>
      <c r="E285" s="5" t="s">
        <v>29</v>
      </c>
      <c r="F285" s="5" t="s">
        <v>163</v>
      </c>
      <c r="G285" s="5" t="s">
        <v>31</v>
      </c>
      <c r="H285" s="5" t="s">
        <v>8</v>
      </c>
      <c r="I285" s="10" t="n">
        <v>160000</v>
      </c>
      <c r="J285" s="12"/>
      <c r="K285" s="5" t="s">
        <v>33</v>
      </c>
      <c r="L285" s="5" t="s">
        <v>34</v>
      </c>
      <c r="M285" s="6" t="n">
        <v>46089</v>
      </c>
      <c r="N285" s="6"/>
      <c r="O285" s="6"/>
      <c r="P285" s="5" t="s">
        <v>187</v>
      </c>
      <c r="Q285" s="5" t="s">
        <v>36</v>
      </c>
      <c r="R285" s="16" t="s">
        <v>37</v>
      </c>
      <c r="S285" s="5" t="n">
        <v>40</v>
      </c>
      <c r="T285" s="5" t="s">
        <v>38</v>
      </c>
      <c r="U285" s="8" t="str">
        <f aca="false">IF(AND(TRIM(E285)="US",TRIM(G285)="Non-Exempt"),"US Non-Exempt EEs","")</f>
        <v/>
      </c>
      <c r="V285" s="8" t="str">
        <f aca="false">IF(AND(TRIM(E285)="US",TRIM(G285)="Non-Exempt"),IF(TRIM(D285)="CA","US California Non-Exempt","US Non-California Non-Exempt"),"")</f>
        <v/>
      </c>
      <c r="W285" s="8" t="str">
        <f aca="false">_xlfn.XLOOKUP(X285,ShiftCodes[Code],ShiftCodes[Work Schedule],"Unknown code")</f>
        <v>Standard (Mon–Fri 9:00–17:30)</v>
      </c>
      <c r="X285" s="9" t="s">
        <v>39</v>
      </c>
      <c r="Y285" s="5"/>
    </row>
    <row r="286" customFormat="false" ht="15" hidden="false" customHeight="false" outlineLevel="0" collapsed="false">
      <c r="A286" s="5" t="s">
        <v>413</v>
      </c>
      <c r="B286" s="5" t="s">
        <v>103</v>
      </c>
      <c r="C286" s="5" t="s">
        <v>100</v>
      </c>
      <c r="D286" s="5" t="s">
        <v>28</v>
      </c>
      <c r="E286" s="5" t="s">
        <v>29</v>
      </c>
      <c r="F286" s="5" t="s">
        <v>165</v>
      </c>
      <c r="G286" s="5" t="s">
        <v>31</v>
      </c>
      <c r="H286" s="5" t="s">
        <v>8</v>
      </c>
      <c r="I286" s="10" t="n">
        <v>201000</v>
      </c>
      <c r="J286" s="12"/>
      <c r="K286" s="5" t="s">
        <v>33</v>
      </c>
      <c r="L286" s="5" t="s">
        <v>34</v>
      </c>
      <c r="M286" s="6" t="n">
        <v>46091</v>
      </c>
      <c r="N286" s="6"/>
      <c r="O286" s="6"/>
      <c r="P286" s="5" t="s">
        <v>175</v>
      </c>
      <c r="Q286" s="5" t="s">
        <v>36</v>
      </c>
      <c r="R286" s="16" t="s">
        <v>37</v>
      </c>
      <c r="S286" s="5" t="n">
        <v>40</v>
      </c>
      <c r="T286" s="5" t="s">
        <v>38</v>
      </c>
      <c r="U286" s="8" t="str">
        <f aca="false">IF(AND(TRIM(E286)="US",TRIM(G286)="Non-Exempt"),"US Non-Exempt EEs","")</f>
        <v/>
      </c>
      <c r="V286" s="8" t="str">
        <f aca="false">IF(AND(TRIM(E286)="US",TRIM(G286)="Non-Exempt"),IF(TRIM(D286)="CA","US California Non-Exempt","US Non-California Non-Exempt"),"")</f>
        <v/>
      </c>
      <c r="W286" s="8" t="str">
        <f aca="false">_xlfn.XLOOKUP(X286,ShiftCodes[Code],ShiftCodes[Work Schedule],"Unknown code")</f>
        <v>Standard (Mon–Fri 9:00–17:30)</v>
      </c>
      <c r="X286" s="9" t="s">
        <v>39</v>
      </c>
      <c r="Y286" s="5"/>
    </row>
    <row r="287" customFormat="false" ht="15" hidden="false" customHeight="false" outlineLevel="0" collapsed="false">
      <c r="A287" s="5" t="s">
        <v>414</v>
      </c>
      <c r="B287" s="5" t="s">
        <v>99</v>
      </c>
      <c r="C287" s="5" t="s">
        <v>100</v>
      </c>
      <c r="D287" s="5" t="s">
        <v>28</v>
      </c>
      <c r="E287" s="5" t="s">
        <v>29</v>
      </c>
      <c r="F287" s="5" t="s">
        <v>165</v>
      </c>
      <c r="G287" s="5" t="s">
        <v>31</v>
      </c>
      <c r="H287" s="5" t="s">
        <v>8</v>
      </c>
      <c r="I287" s="10" t="n">
        <v>145000</v>
      </c>
      <c r="J287" s="12"/>
      <c r="K287" s="5" t="s">
        <v>33</v>
      </c>
      <c r="L287" s="5" t="s">
        <v>34</v>
      </c>
      <c r="M287" s="6" t="n">
        <v>46095</v>
      </c>
      <c r="N287" s="6"/>
      <c r="O287" s="6"/>
      <c r="P287" s="5" t="s">
        <v>186</v>
      </c>
      <c r="Q287" s="5" t="s">
        <v>36</v>
      </c>
      <c r="R287" s="16" t="s">
        <v>37</v>
      </c>
      <c r="S287" s="5" t="n">
        <v>40</v>
      </c>
      <c r="T287" s="5" t="s">
        <v>38</v>
      </c>
      <c r="U287" s="8" t="str">
        <f aca="false">IF(AND(TRIM(E287)="US",TRIM(G287)="Non-Exempt"),"US Non-Exempt EEs","")</f>
        <v/>
      </c>
      <c r="V287" s="8" t="str">
        <f aca="false">IF(AND(TRIM(E287)="US",TRIM(G287)="Non-Exempt"),IF(TRIM(D287)="CA","US California Non-Exempt","US Non-California Non-Exempt"),"")</f>
        <v/>
      </c>
      <c r="W287" s="8" t="str">
        <f aca="false">_xlfn.XLOOKUP(X287,ShiftCodes[Code],ShiftCodes[Work Schedule],"Unknown code")</f>
        <v>Standard (Mon–Fri 9:00–17:30)</v>
      </c>
      <c r="X287" s="9" t="s">
        <v>39</v>
      </c>
      <c r="Y287" s="5"/>
    </row>
    <row r="288" customFormat="false" ht="15" hidden="false" customHeight="false" outlineLevel="0" collapsed="false">
      <c r="A288" s="5" t="s">
        <v>415</v>
      </c>
      <c r="B288" s="5" t="s">
        <v>99</v>
      </c>
      <c r="C288" s="5" t="s">
        <v>180</v>
      </c>
      <c r="D288" s="5" t="s">
        <v>52</v>
      </c>
      <c r="E288" s="5" t="s">
        <v>52</v>
      </c>
      <c r="F288" s="5" t="s">
        <v>236</v>
      </c>
      <c r="G288" s="5" t="s">
        <v>31</v>
      </c>
      <c r="H288" s="5" t="s">
        <v>8</v>
      </c>
      <c r="I288" s="10" t="n">
        <v>120000</v>
      </c>
      <c r="J288" s="19"/>
      <c r="K288" s="5" t="s">
        <v>55</v>
      </c>
      <c r="L288" s="5" t="s">
        <v>56</v>
      </c>
      <c r="M288" s="6" t="n">
        <v>46095</v>
      </c>
      <c r="N288" s="6"/>
      <c r="O288" s="6"/>
      <c r="P288" s="5" t="s">
        <v>191</v>
      </c>
      <c r="Q288" s="5" t="s">
        <v>36</v>
      </c>
      <c r="R288" s="16" t="s">
        <v>37</v>
      </c>
      <c r="S288" s="5" t="n">
        <v>37.5</v>
      </c>
      <c r="T288" s="5" t="s">
        <v>38</v>
      </c>
      <c r="U288" s="8" t="str">
        <f aca="false">IF(AND(TRIM(E288)="US",TRIM(G288)="Non-Exempt"),"US Non-Exempt EEs","")</f>
        <v/>
      </c>
      <c r="V288" s="8" t="str">
        <f aca="false">IF(AND(TRIM(E288)="US",TRIM(G288)="Non-Exempt"),IF(TRIM(D288)="CA","US California Non-Exempt","US Non-California Non-Exempt"),"")</f>
        <v/>
      </c>
      <c r="W288" s="8" t="str">
        <f aca="false">_xlfn.XLOOKUP(X288,ShiftCodes[Code],ShiftCodes[Work Schedule],"Unknown code")</f>
        <v>Standard (Mon–Fri 9:00–17:30)</v>
      </c>
      <c r="X288" s="9" t="s">
        <v>39</v>
      </c>
      <c r="Y288" s="5"/>
    </row>
    <row r="289" customFormat="false" ht="15" hidden="false" customHeight="false" outlineLevel="0" collapsed="false">
      <c r="A289" s="5" t="s">
        <v>416</v>
      </c>
      <c r="B289" s="5" t="s">
        <v>99</v>
      </c>
      <c r="C289" s="5" t="s">
        <v>100</v>
      </c>
      <c r="D289" s="5" t="s">
        <v>28</v>
      </c>
      <c r="E289" s="5" t="s">
        <v>29</v>
      </c>
      <c r="F289" s="5" t="s">
        <v>165</v>
      </c>
      <c r="G289" s="5" t="s">
        <v>31</v>
      </c>
      <c r="H289" s="5" t="s">
        <v>8</v>
      </c>
      <c r="I289" s="10" t="n">
        <v>173000</v>
      </c>
      <c r="J289" s="12"/>
      <c r="K289" s="5" t="s">
        <v>33</v>
      </c>
      <c r="L289" s="5" t="s">
        <v>34</v>
      </c>
      <c r="M289" s="6" t="n">
        <v>46096</v>
      </c>
      <c r="N289" s="6"/>
      <c r="O289" s="6"/>
      <c r="P289" s="5" t="s">
        <v>308</v>
      </c>
      <c r="Q289" s="5" t="s">
        <v>36</v>
      </c>
      <c r="R289" s="16" t="s">
        <v>37</v>
      </c>
      <c r="S289" s="5" t="n">
        <v>40</v>
      </c>
      <c r="T289" s="5" t="s">
        <v>38</v>
      </c>
      <c r="U289" s="8" t="str">
        <f aca="false">IF(AND(TRIM(E289)="US",TRIM(G289)="Non-Exempt"),"US Non-Exempt EEs","")</f>
        <v/>
      </c>
      <c r="V289" s="8" t="str">
        <f aca="false">IF(AND(TRIM(E289)="US",TRIM(G289)="Non-Exempt"),IF(TRIM(D289)="CA","US California Non-Exempt","US Non-California Non-Exempt"),"")</f>
        <v/>
      </c>
      <c r="W289" s="8" t="str">
        <f aca="false">_xlfn.XLOOKUP(X289,ShiftCodes[Code],ShiftCodes[Work Schedule],"Unknown code")</f>
        <v>Standard (Mon–Fri 9:00–17:30)</v>
      </c>
      <c r="X289" s="9" t="s">
        <v>39</v>
      </c>
      <c r="Y289" s="5"/>
    </row>
    <row r="290" customFormat="false" ht="15" hidden="false" customHeight="false" outlineLevel="0" collapsed="false">
      <c r="A290" s="5" t="s">
        <v>417</v>
      </c>
      <c r="B290" s="5" t="s">
        <v>109</v>
      </c>
      <c r="C290" s="5" t="s">
        <v>113</v>
      </c>
      <c r="D290" s="5" t="s">
        <v>84</v>
      </c>
      <c r="E290" s="5" t="s">
        <v>29</v>
      </c>
      <c r="F290" s="5" t="s">
        <v>124</v>
      </c>
      <c r="G290" s="5" t="s">
        <v>31</v>
      </c>
      <c r="H290" s="5" t="s">
        <v>8</v>
      </c>
      <c r="I290" s="10" t="n">
        <v>144000</v>
      </c>
      <c r="J290" s="12"/>
      <c r="K290" s="5" t="s">
        <v>33</v>
      </c>
      <c r="L290" s="5" t="s">
        <v>34</v>
      </c>
      <c r="M290" s="6" t="n">
        <v>46096</v>
      </c>
      <c r="N290" s="6"/>
      <c r="O290" s="6"/>
      <c r="P290" s="5" t="s">
        <v>178</v>
      </c>
      <c r="Q290" s="5" t="s">
        <v>36</v>
      </c>
      <c r="R290" s="16" t="s">
        <v>37</v>
      </c>
      <c r="S290" s="5" t="n">
        <v>40</v>
      </c>
      <c r="T290" s="5" t="s">
        <v>38</v>
      </c>
      <c r="U290" s="8" t="str">
        <f aca="false">IF(AND(TRIM(E290)="US",TRIM(G290)="Non-Exempt"),"US Non-Exempt EEs","")</f>
        <v/>
      </c>
      <c r="V290" s="8" t="str">
        <f aca="false">IF(AND(TRIM(E290)="US",TRIM(G290)="Non-Exempt"),IF(TRIM(D290)="CA","US California Non-Exempt","US Non-California Non-Exempt"),"")</f>
        <v/>
      </c>
      <c r="W290" s="8" t="str">
        <f aca="false">_xlfn.XLOOKUP(X290,ShiftCodes[Code],ShiftCodes[Work Schedule],"Unknown code")</f>
        <v>Standard (Mon–Fri 9:00–17:30)</v>
      </c>
      <c r="X290" s="9" t="s">
        <v>39</v>
      </c>
      <c r="Y290" s="5"/>
    </row>
    <row r="291" customFormat="false" ht="15" hidden="false" customHeight="false" outlineLevel="0" collapsed="false">
      <c r="A291" s="5" t="s">
        <v>418</v>
      </c>
      <c r="B291" s="5" t="s">
        <v>99</v>
      </c>
      <c r="C291" s="5" t="s">
        <v>127</v>
      </c>
      <c r="D291" s="5" t="s">
        <v>90</v>
      </c>
      <c r="E291" s="5" t="s">
        <v>29</v>
      </c>
      <c r="F291" s="5" t="s">
        <v>149</v>
      </c>
      <c r="G291" s="5" t="s">
        <v>31</v>
      </c>
      <c r="H291" s="5" t="s">
        <v>8</v>
      </c>
      <c r="I291" s="10" t="n">
        <v>90000</v>
      </c>
      <c r="J291" s="12"/>
      <c r="K291" s="5" t="s">
        <v>33</v>
      </c>
      <c r="L291" s="5" t="s">
        <v>34</v>
      </c>
      <c r="M291" s="6" t="n">
        <v>46099</v>
      </c>
      <c r="N291" s="6"/>
      <c r="O291" s="6"/>
      <c r="P291" s="5" t="s">
        <v>231</v>
      </c>
      <c r="Q291" s="5" t="s">
        <v>36</v>
      </c>
      <c r="R291" s="16" t="s">
        <v>37</v>
      </c>
      <c r="S291" s="5" t="n">
        <v>40</v>
      </c>
      <c r="T291" s="5" t="s">
        <v>38</v>
      </c>
      <c r="U291" s="8" t="str">
        <f aca="false">IF(AND(TRIM(E291)="US",TRIM(G291)="Non-Exempt"),"US Non-Exempt EEs","")</f>
        <v/>
      </c>
      <c r="V291" s="8" t="str">
        <f aca="false">IF(AND(TRIM(E291)="US",TRIM(G291)="Non-Exempt"),IF(TRIM(D291)="CA","US California Non-Exempt","US Non-California Non-Exempt"),"")</f>
        <v/>
      </c>
      <c r="W291" s="8" t="str">
        <f aca="false">_xlfn.XLOOKUP(X291,ShiftCodes[Code],ShiftCodes[Work Schedule],"Unknown code")</f>
        <v>Standard (Mon–Fri 9:00–17:30)</v>
      </c>
      <c r="X291" s="9" t="s">
        <v>39</v>
      </c>
      <c r="Y291" s="5"/>
    </row>
    <row r="292" customFormat="false" ht="15" hidden="false" customHeight="false" outlineLevel="0" collapsed="false">
      <c r="A292" s="5" t="s">
        <v>419</v>
      </c>
      <c r="B292" s="5" t="s">
        <v>109</v>
      </c>
      <c r="C292" s="5" t="s">
        <v>113</v>
      </c>
      <c r="D292" s="5" t="s">
        <v>84</v>
      </c>
      <c r="E292" s="5" t="s">
        <v>29</v>
      </c>
      <c r="F292" s="5" t="s">
        <v>130</v>
      </c>
      <c r="G292" s="5" t="s">
        <v>78</v>
      </c>
      <c r="H292" s="5" t="s">
        <v>79</v>
      </c>
      <c r="I292" s="10"/>
      <c r="J292" s="12" t="n">
        <v>25.75</v>
      </c>
      <c r="K292" s="5" t="s">
        <v>33</v>
      </c>
      <c r="L292" s="5" t="s">
        <v>80</v>
      </c>
      <c r="M292" s="6" t="n">
        <v>46099</v>
      </c>
      <c r="N292" s="6"/>
      <c r="O292" s="6"/>
      <c r="P292" s="5" t="s">
        <v>202</v>
      </c>
      <c r="Q292" s="5" t="s">
        <v>36</v>
      </c>
      <c r="R292" s="16" t="s">
        <v>37</v>
      </c>
      <c r="S292" s="5" t="n">
        <v>36</v>
      </c>
      <c r="T292" s="5" t="s">
        <v>38</v>
      </c>
      <c r="U292" s="8" t="str">
        <f aca="false">IF(AND(TRIM(E292)="US",TRIM(G292)="Non-Exempt"),"US Non-Exempt EEs","")</f>
        <v>US Non-Exempt EEs</v>
      </c>
      <c r="V292" s="8" t="str">
        <f aca="false">IF(AND(TRIM(E292)="US",TRIM(G292)="Non-Exempt"),IF(TRIM(D292)="CA","US California Non-Exempt","US Non-California Non-Exempt"),"")</f>
        <v>US Non-California Non-Exempt</v>
      </c>
      <c r="W292" s="8" t="str">
        <f aca="false">_xlfn.XLOOKUP(X292,ShiftCodes[Code],ShiftCodes[Work Schedule],"Unknown code")</f>
        <v>Shift D – Weekend (Fri–Sun 06:00–18:30)</v>
      </c>
      <c r="X292" s="9" t="s">
        <v>151</v>
      </c>
      <c r="Y292" s="5"/>
    </row>
    <row r="293" customFormat="false" ht="15" hidden="false" customHeight="false" outlineLevel="0" collapsed="false">
      <c r="A293" s="5" t="s">
        <v>420</v>
      </c>
      <c r="B293" s="5" t="s">
        <v>112</v>
      </c>
      <c r="C293" s="5" t="s">
        <v>68</v>
      </c>
      <c r="D293" s="5" t="s">
        <v>69</v>
      </c>
      <c r="E293" s="5" t="s">
        <v>70</v>
      </c>
      <c r="F293" s="5" t="s">
        <v>165</v>
      </c>
      <c r="G293" s="5" t="s">
        <v>31</v>
      </c>
      <c r="H293" s="5" t="s">
        <v>8</v>
      </c>
      <c r="I293" s="17" t="n">
        <v>4780000</v>
      </c>
      <c r="J293" s="18"/>
      <c r="K293" s="5" t="s">
        <v>72</v>
      </c>
      <c r="L293" s="5" t="s">
        <v>73</v>
      </c>
      <c r="M293" s="6" t="n">
        <v>46100</v>
      </c>
      <c r="N293" s="6"/>
      <c r="O293" s="6"/>
      <c r="P293" s="5" t="s">
        <v>209</v>
      </c>
      <c r="Q293" s="5" t="s">
        <v>36</v>
      </c>
      <c r="R293" s="16" t="s">
        <v>37</v>
      </c>
      <c r="S293" s="5" t="n">
        <v>40</v>
      </c>
      <c r="T293" s="5" t="s">
        <v>38</v>
      </c>
      <c r="U293" s="8" t="str">
        <f aca="false">IF(AND(TRIM(E293)="US",TRIM(G293)="Non-Exempt"),"US Non-Exempt EEs","")</f>
        <v/>
      </c>
      <c r="V293" s="8" t="str">
        <f aca="false">IF(AND(TRIM(E293)="US",TRIM(G293)="Non-Exempt"),IF(TRIM(D293)="CA","US California Non-Exempt","US Non-California Non-Exempt"),"")</f>
        <v/>
      </c>
      <c r="W293" s="8" t="str">
        <f aca="false">_xlfn.XLOOKUP(X293,ShiftCodes[Code],ShiftCodes[Work Schedule],"Unknown code")</f>
        <v>Standard (Mon–Fri 9:00–17:30)</v>
      </c>
      <c r="X293" s="9" t="s">
        <v>39</v>
      </c>
      <c r="Y293" s="5"/>
    </row>
    <row r="294" customFormat="false" ht="15" hidden="false" customHeight="false" outlineLevel="0" collapsed="false">
      <c r="A294" s="5" t="s">
        <v>421</v>
      </c>
      <c r="B294" s="5" t="s">
        <v>112</v>
      </c>
      <c r="C294" s="5" t="s">
        <v>100</v>
      </c>
      <c r="D294" s="5" t="s">
        <v>28</v>
      </c>
      <c r="E294" s="5" t="s">
        <v>29</v>
      </c>
      <c r="F294" s="5" t="s">
        <v>163</v>
      </c>
      <c r="G294" s="5" t="s">
        <v>31</v>
      </c>
      <c r="H294" s="5" t="s">
        <v>8</v>
      </c>
      <c r="I294" s="10" t="n">
        <v>144000</v>
      </c>
      <c r="J294" s="12"/>
      <c r="K294" s="5" t="s">
        <v>33</v>
      </c>
      <c r="L294" s="5" t="s">
        <v>34</v>
      </c>
      <c r="M294" s="6" t="n">
        <v>46103</v>
      </c>
      <c r="N294" s="6"/>
      <c r="O294" s="6"/>
      <c r="P294" s="5" t="s">
        <v>143</v>
      </c>
      <c r="Q294" s="5" t="s">
        <v>36</v>
      </c>
      <c r="R294" s="16" t="s">
        <v>37</v>
      </c>
      <c r="S294" s="5" t="n">
        <v>40</v>
      </c>
      <c r="T294" s="5" t="s">
        <v>38</v>
      </c>
      <c r="U294" s="8" t="str">
        <f aca="false">IF(AND(TRIM(E294)="US",TRIM(G294)="Non-Exempt"),"US Non-Exempt EEs","")</f>
        <v/>
      </c>
      <c r="V294" s="8" t="str">
        <f aca="false">IF(AND(TRIM(E294)="US",TRIM(G294)="Non-Exempt"),IF(TRIM(D294)="CA","US California Non-Exempt","US Non-California Non-Exempt"),"")</f>
        <v/>
      </c>
      <c r="W294" s="8" t="str">
        <f aca="false">_xlfn.XLOOKUP(X294,ShiftCodes[Code],ShiftCodes[Work Schedule],"Unknown code")</f>
        <v>Standard (Mon–Fri 9:00–17:30)</v>
      </c>
      <c r="X294" s="9" t="s">
        <v>39</v>
      </c>
      <c r="Y294" s="5"/>
    </row>
    <row r="295" customFormat="false" ht="15" hidden="false" customHeight="false" outlineLevel="0" collapsed="false">
      <c r="A295" s="5" t="s">
        <v>422</v>
      </c>
      <c r="B295" s="5" t="s">
        <v>99</v>
      </c>
      <c r="C295" s="5" t="s">
        <v>100</v>
      </c>
      <c r="D295" s="5" t="s">
        <v>28</v>
      </c>
      <c r="E295" s="5" t="s">
        <v>29</v>
      </c>
      <c r="F295" s="5" t="s">
        <v>163</v>
      </c>
      <c r="G295" s="5" t="s">
        <v>31</v>
      </c>
      <c r="H295" s="5" t="s">
        <v>8</v>
      </c>
      <c r="I295" s="10" t="n">
        <v>127000</v>
      </c>
      <c r="J295" s="12"/>
      <c r="K295" s="5" t="s">
        <v>33</v>
      </c>
      <c r="L295" s="5" t="s">
        <v>34</v>
      </c>
      <c r="M295" s="6" t="n">
        <v>46266</v>
      </c>
      <c r="N295" s="6"/>
      <c r="O295" s="6"/>
      <c r="P295" s="5" t="s">
        <v>308</v>
      </c>
      <c r="Q295" s="5" t="s">
        <v>36</v>
      </c>
      <c r="R295" s="16" t="s">
        <v>37</v>
      </c>
      <c r="S295" s="5" t="n">
        <v>40</v>
      </c>
      <c r="T295" s="5" t="s">
        <v>38</v>
      </c>
      <c r="U295" s="8" t="str">
        <f aca="false">IF(AND(TRIM(E295)="US",TRIM(G295)="Non-Exempt"),"US Non-Exempt EEs","")</f>
        <v/>
      </c>
      <c r="V295" s="8" t="str">
        <f aca="false">IF(AND(TRIM(E295)="US",TRIM(G295)="Non-Exempt"),IF(TRIM(D295)="CA","US California Non-Exempt","US Non-California Non-Exempt"),"")</f>
        <v/>
      </c>
      <c r="W295" s="8" t="str">
        <f aca="false">_xlfn.XLOOKUP(X295,ShiftCodes[Code],ShiftCodes[Work Schedule],"Unknown code")</f>
        <v>Standard (Mon–Fri 9:00–17:30)</v>
      </c>
      <c r="X295" s="9" t="s">
        <v>39</v>
      </c>
      <c r="Y295" s="5" t="s">
        <v>423</v>
      </c>
    </row>
    <row r="296" customFormat="false" ht="15" hidden="false" customHeight="false" outlineLevel="0" collapsed="false">
      <c r="A296" s="5" t="s">
        <v>424</v>
      </c>
      <c r="B296" s="5" t="s">
        <v>99</v>
      </c>
      <c r="C296" s="5" t="s">
        <v>68</v>
      </c>
      <c r="D296" s="5" t="s">
        <v>69</v>
      </c>
      <c r="E296" s="5" t="s">
        <v>70</v>
      </c>
      <c r="F296" s="5" t="s">
        <v>149</v>
      </c>
      <c r="G296" s="5" t="s">
        <v>31</v>
      </c>
      <c r="H296" s="5" t="s">
        <v>8</v>
      </c>
      <c r="I296" s="17" t="n">
        <v>1250000</v>
      </c>
      <c r="J296" s="18"/>
      <c r="K296" s="5" t="s">
        <v>72</v>
      </c>
      <c r="L296" s="5" t="s">
        <v>73</v>
      </c>
      <c r="M296" s="6" t="n">
        <v>46108</v>
      </c>
      <c r="N296" s="6"/>
      <c r="O296" s="6"/>
      <c r="P296" s="5" t="s">
        <v>171</v>
      </c>
      <c r="Q296" s="5" t="s">
        <v>36</v>
      </c>
      <c r="R296" s="16" t="s">
        <v>37</v>
      </c>
      <c r="S296" s="5" t="n">
        <v>40</v>
      </c>
      <c r="T296" s="5" t="s">
        <v>38</v>
      </c>
      <c r="U296" s="8" t="str">
        <f aca="false">IF(AND(TRIM(E296)="US",TRIM(G296)="Non-Exempt"),"US Non-Exempt EEs","")</f>
        <v/>
      </c>
      <c r="V296" s="8" t="str">
        <f aca="false">IF(AND(TRIM(E296)="US",TRIM(G296)="Non-Exempt"),IF(TRIM(D296)="CA","US California Non-Exempt","US Non-California Non-Exempt"),"")</f>
        <v/>
      </c>
      <c r="W296" s="8" t="str">
        <f aca="false">_xlfn.XLOOKUP(X296,ShiftCodes[Code],ShiftCodes[Work Schedule],"Unknown code")</f>
        <v>Standard (Mon–Fri 9:00–17:30)</v>
      </c>
      <c r="X296" s="9" t="s">
        <v>39</v>
      </c>
      <c r="Y296" s="5"/>
    </row>
    <row r="297" customFormat="false" ht="15" hidden="false" customHeight="false" outlineLevel="0" collapsed="false">
      <c r="A297" s="5" t="s">
        <v>425</v>
      </c>
      <c r="B297" s="5" t="s">
        <v>103</v>
      </c>
      <c r="C297" s="5" t="s">
        <v>100</v>
      </c>
      <c r="D297" s="5" t="s">
        <v>28</v>
      </c>
      <c r="E297" s="5" t="s">
        <v>29</v>
      </c>
      <c r="F297" s="5" t="s">
        <v>156</v>
      </c>
      <c r="G297" s="5" t="s">
        <v>31</v>
      </c>
      <c r="H297" s="5" t="s">
        <v>8</v>
      </c>
      <c r="I297" s="10" t="n">
        <v>208000</v>
      </c>
      <c r="J297" s="12"/>
      <c r="K297" s="5" t="s">
        <v>33</v>
      </c>
      <c r="L297" s="5" t="s">
        <v>34</v>
      </c>
      <c r="M297" s="6" t="n">
        <v>46109</v>
      </c>
      <c r="N297" s="6"/>
      <c r="O297" s="6"/>
      <c r="P297" s="5" t="s">
        <v>274</v>
      </c>
      <c r="Q297" s="5" t="s">
        <v>36</v>
      </c>
      <c r="R297" s="16" t="s">
        <v>37</v>
      </c>
      <c r="S297" s="5" t="n">
        <v>40</v>
      </c>
      <c r="T297" s="5" t="s">
        <v>38</v>
      </c>
      <c r="U297" s="8" t="str">
        <f aca="false">IF(AND(TRIM(E297)="US",TRIM(G297)="Non-Exempt"),"US Non-Exempt EEs","")</f>
        <v/>
      </c>
      <c r="V297" s="8" t="str">
        <f aca="false">IF(AND(TRIM(E297)="US",TRIM(G297)="Non-Exempt"),IF(TRIM(D297)="CA","US California Non-Exempt","US Non-California Non-Exempt"),"")</f>
        <v/>
      </c>
      <c r="W297" s="8" t="str">
        <f aca="false">_xlfn.XLOOKUP(X297,ShiftCodes[Code],ShiftCodes[Work Schedule],"Unknown code")</f>
        <v>Standard (Mon–Fri 9:00–17:30)</v>
      </c>
      <c r="X297" s="9" t="s">
        <v>39</v>
      </c>
      <c r="Y297" s="5"/>
    </row>
    <row r="298" customFormat="false" ht="15" hidden="false" customHeight="false" outlineLevel="0" collapsed="false">
      <c r="A298" s="5" t="s">
        <v>426</v>
      </c>
      <c r="B298" s="5" t="s">
        <v>109</v>
      </c>
      <c r="C298" s="5" t="s">
        <v>113</v>
      </c>
      <c r="D298" s="5" t="s">
        <v>84</v>
      </c>
      <c r="E298" s="5" t="s">
        <v>29</v>
      </c>
      <c r="F298" s="5" t="s">
        <v>163</v>
      </c>
      <c r="G298" s="5" t="s">
        <v>31</v>
      </c>
      <c r="H298" s="5" t="s">
        <v>8</v>
      </c>
      <c r="I298" s="10" t="n">
        <v>170000</v>
      </c>
      <c r="J298" s="12"/>
      <c r="K298" s="5" t="s">
        <v>33</v>
      </c>
      <c r="L298" s="5" t="s">
        <v>34</v>
      </c>
      <c r="M298" s="6" t="n">
        <v>46110</v>
      </c>
      <c r="N298" s="6"/>
      <c r="O298" s="6"/>
      <c r="P298" s="5" t="s">
        <v>178</v>
      </c>
      <c r="Q298" s="5" t="s">
        <v>36</v>
      </c>
      <c r="R298" s="16" t="s">
        <v>37</v>
      </c>
      <c r="S298" s="5" t="n">
        <v>40</v>
      </c>
      <c r="T298" s="5" t="s">
        <v>38</v>
      </c>
      <c r="U298" s="8" t="str">
        <f aca="false">IF(AND(TRIM(E298)="US",TRIM(G298)="Non-Exempt"),"US Non-Exempt EEs","")</f>
        <v/>
      </c>
      <c r="V298" s="8" t="str">
        <f aca="false">IF(AND(TRIM(E298)="US",TRIM(G298)="Non-Exempt"),IF(TRIM(D298)="CA","US California Non-Exempt","US Non-California Non-Exempt"),"")</f>
        <v/>
      </c>
      <c r="W298" s="8" t="str">
        <f aca="false">_xlfn.XLOOKUP(X298,ShiftCodes[Code],ShiftCodes[Work Schedule],"Unknown code")</f>
        <v>Standard (Mon–Fri 9:00–17:30)</v>
      </c>
      <c r="X298" s="9" t="s">
        <v>39</v>
      </c>
      <c r="Y298" s="5"/>
    </row>
    <row r="299" customFormat="false" ht="15" hidden="false" customHeight="false" outlineLevel="0" collapsed="false">
      <c r="A299" s="5" t="s">
        <v>427</v>
      </c>
      <c r="B299" s="5" t="s">
        <v>99</v>
      </c>
      <c r="C299" s="5" t="s">
        <v>100</v>
      </c>
      <c r="D299" s="5" t="s">
        <v>28</v>
      </c>
      <c r="E299" s="5" t="s">
        <v>29</v>
      </c>
      <c r="F299" s="5" t="s">
        <v>124</v>
      </c>
      <c r="G299" s="5" t="s">
        <v>31</v>
      </c>
      <c r="H299" s="5" t="s">
        <v>8</v>
      </c>
      <c r="I299" s="10" t="n">
        <v>110000</v>
      </c>
      <c r="J299" s="12"/>
      <c r="K299" s="5" t="s">
        <v>33</v>
      </c>
      <c r="L299" s="5" t="s">
        <v>34</v>
      </c>
      <c r="M299" s="6" t="n">
        <v>46250</v>
      </c>
      <c r="N299" s="6"/>
      <c r="O299" s="6"/>
      <c r="P299" s="5" t="s">
        <v>186</v>
      </c>
      <c r="Q299" s="5" t="s">
        <v>36</v>
      </c>
      <c r="R299" s="16" t="s">
        <v>37</v>
      </c>
      <c r="S299" s="5" t="n">
        <v>40</v>
      </c>
      <c r="T299" s="5" t="s">
        <v>38</v>
      </c>
      <c r="U299" s="8" t="str">
        <f aca="false">IF(AND(TRIM(E299)="US",TRIM(G299)="Non-Exempt"),"US Non-Exempt EEs","")</f>
        <v/>
      </c>
      <c r="V299" s="8" t="str">
        <f aca="false">IF(AND(TRIM(E299)="US",TRIM(G299)="Non-Exempt"),IF(TRIM(D299)="CA","US California Non-Exempt","US Non-California Non-Exempt"),"")</f>
        <v/>
      </c>
      <c r="W299" s="8" t="str">
        <f aca="false">_xlfn.XLOOKUP(X299,ShiftCodes[Code],ShiftCodes[Work Schedule],"Unknown code")</f>
        <v>Standard (Mon–Fri 9:00–17:30)</v>
      </c>
      <c r="X299" s="9" t="s">
        <v>39</v>
      </c>
      <c r="Y299" s="5" t="s">
        <v>402</v>
      </c>
    </row>
    <row r="300" customFormat="false" ht="15" hidden="false" customHeight="false" outlineLevel="0" collapsed="false">
      <c r="A300" s="5" t="s">
        <v>428</v>
      </c>
      <c r="B300" s="5" t="s">
        <v>109</v>
      </c>
      <c r="C300" s="5" t="s">
        <v>76</v>
      </c>
      <c r="D300" s="5" t="s">
        <v>28</v>
      </c>
      <c r="E300" s="5" t="s">
        <v>29</v>
      </c>
      <c r="F300" s="5" t="s">
        <v>163</v>
      </c>
      <c r="G300" s="5" t="s">
        <v>31</v>
      </c>
      <c r="H300" s="5" t="s">
        <v>8</v>
      </c>
      <c r="I300" s="10" t="n">
        <v>161000</v>
      </c>
      <c r="J300" s="12"/>
      <c r="K300" s="5" t="s">
        <v>33</v>
      </c>
      <c r="L300" s="5" t="s">
        <v>34</v>
      </c>
      <c r="M300" s="6" t="n">
        <v>46112</v>
      </c>
      <c r="N300" s="6"/>
      <c r="O300" s="6"/>
      <c r="P300" s="5" t="s">
        <v>213</v>
      </c>
      <c r="Q300" s="5" t="s">
        <v>36</v>
      </c>
      <c r="R300" s="16" t="s">
        <v>37</v>
      </c>
      <c r="S300" s="5" t="n">
        <v>40</v>
      </c>
      <c r="T300" s="5" t="s">
        <v>38</v>
      </c>
      <c r="U300" s="8" t="str">
        <f aca="false">IF(AND(TRIM(E300)="US",TRIM(G300)="Non-Exempt"),"US Non-Exempt EEs","")</f>
        <v/>
      </c>
      <c r="V300" s="8" t="str">
        <f aca="false">IF(AND(TRIM(E300)="US",TRIM(G300)="Non-Exempt"),IF(TRIM(D300)="CA","US California Non-Exempt","US Non-California Non-Exempt"),"")</f>
        <v/>
      </c>
      <c r="W300" s="8" t="str">
        <f aca="false">_xlfn.XLOOKUP(X300,ShiftCodes[Code],ShiftCodes[Work Schedule],"Unknown code")</f>
        <v>Standard (Mon–Fri 9:00–17:30)</v>
      </c>
      <c r="X300" s="9" t="s">
        <v>39</v>
      </c>
      <c r="Y300" s="5"/>
    </row>
    <row r="301" customFormat="false" ht="15" hidden="false" customHeight="false" outlineLevel="0" collapsed="false">
      <c r="A301" s="5" t="s">
        <v>429</v>
      </c>
      <c r="B301" s="5" t="s">
        <v>103</v>
      </c>
      <c r="C301" s="5" t="s">
        <v>106</v>
      </c>
      <c r="D301" s="5" t="s">
        <v>42</v>
      </c>
      <c r="E301" s="5" t="s">
        <v>29</v>
      </c>
      <c r="F301" s="5" t="s">
        <v>163</v>
      </c>
      <c r="G301" s="5" t="s">
        <v>31</v>
      </c>
      <c r="H301" s="5" t="s">
        <v>8</v>
      </c>
      <c r="I301" s="10" t="n">
        <v>146000</v>
      </c>
      <c r="J301" s="12"/>
      <c r="K301" s="5" t="s">
        <v>33</v>
      </c>
      <c r="L301" s="5" t="s">
        <v>34</v>
      </c>
      <c r="M301" s="6" t="n">
        <v>46115</v>
      </c>
      <c r="N301" s="6"/>
      <c r="O301" s="6"/>
      <c r="P301" s="5" t="s">
        <v>226</v>
      </c>
      <c r="Q301" s="5" t="s">
        <v>36</v>
      </c>
      <c r="R301" s="16" t="s">
        <v>37</v>
      </c>
      <c r="S301" s="5" t="n">
        <v>40</v>
      </c>
      <c r="T301" s="5" t="s">
        <v>38</v>
      </c>
      <c r="U301" s="8" t="str">
        <f aca="false">IF(AND(TRIM(E301)="US",TRIM(G301)="Non-Exempt"),"US Non-Exempt EEs","")</f>
        <v/>
      </c>
      <c r="V301" s="8" t="str">
        <f aca="false">IF(AND(TRIM(E301)="US",TRIM(G301)="Non-Exempt"),IF(TRIM(D301)="CA","US California Non-Exempt","US Non-California Non-Exempt"),"")</f>
        <v/>
      </c>
      <c r="W301" s="8" t="str">
        <f aca="false">_xlfn.XLOOKUP(X301,ShiftCodes[Code],ShiftCodes[Work Schedule],"Unknown code")</f>
        <v>Standard (Mon–Fri 9:00–17:30)</v>
      </c>
      <c r="X301" s="9" t="s">
        <v>39</v>
      </c>
      <c r="Y301" s="5"/>
    </row>
    <row r="302" customFormat="false" ht="15" hidden="false" customHeight="false" outlineLevel="0" collapsed="false">
      <c r="A302" s="5" t="s">
        <v>430</v>
      </c>
      <c r="B302" s="5" t="s">
        <v>103</v>
      </c>
      <c r="C302" s="5" t="s">
        <v>100</v>
      </c>
      <c r="D302" s="5" t="s">
        <v>28</v>
      </c>
      <c r="E302" s="5" t="s">
        <v>29</v>
      </c>
      <c r="F302" s="5" t="s">
        <v>124</v>
      </c>
      <c r="G302" s="5" t="s">
        <v>31</v>
      </c>
      <c r="H302" s="5" t="s">
        <v>8</v>
      </c>
      <c r="I302" s="10" t="n">
        <v>116000</v>
      </c>
      <c r="J302" s="12"/>
      <c r="K302" s="5" t="s">
        <v>33</v>
      </c>
      <c r="L302" s="5" t="s">
        <v>34</v>
      </c>
      <c r="M302" s="6" t="n">
        <v>46266</v>
      </c>
      <c r="N302" s="6"/>
      <c r="O302" s="6"/>
      <c r="P302" s="5" t="s">
        <v>274</v>
      </c>
      <c r="Q302" s="5" t="s">
        <v>36</v>
      </c>
      <c r="R302" s="16" t="s">
        <v>37</v>
      </c>
      <c r="S302" s="5" t="n">
        <v>40</v>
      </c>
      <c r="T302" s="5" t="s">
        <v>38</v>
      </c>
      <c r="U302" s="8" t="str">
        <f aca="false">IF(AND(TRIM(E302)="US",TRIM(G302)="Non-Exempt"),"US Non-Exempt EEs","")</f>
        <v/>
      </c>
      <c r="V302" s="8" t="str">
        <f aca="false">IF(AND(TRIM(E302)="US",TRIM(G302)="Non-Exempt"),IF(TRIM(D302)="CA","US California Non-Exempt","US Non-California Non-Exempt"),"")</f>
        <v/>
      </c>
      <c r="W302" s="8" t="str">
        <f aca="false">_xlfn.XLOOKUP(X302,ShiftCodes[Code],ShiftCodes[Work Schedule],"Unknown code")</f>
        <v>Standard (Mon–Fri 9:00–17:30)</v>
      </c>
      <c r="X302" s="9" t="s">
        <v>39</v>
      </c>
      <c r="Y302" s="5" t="s">
        <v>423</v>
      </c>
    </row>
    <row r="303" customFormat="false" ht="15" hidden="false" customHeight="false" outlineLevel="0" collapsed="false">
      <c r="A303" s="5" t="s">
        <v>431</v>
      </c>
      <c r="B303" s="5" t="s">
        <v>109</v>
      </c>
      <c r="C303" s="5" t="s">
        <v>76</v>
      </c>
      <c r="D303" s="5" t="s">
        <v>28</v>
      </c>
      <c r="E303" s="5" t="s">
        <v>29</v>
      </c>
      <c r="F303" s="5" t="s">
        <v>236</v>
      </c>
      <c r="G303" s="5" t="s">
        <v>31</v>
      </c>
      <c r="H303" s="5" t="s">
        <v>8</v>
      </c>
      <c r="I303" s="10" t="n">
        <v>271000</v>
      </c>
      <c r="J303" s="12"/>
      <c r="K303" s="5" t="s">
        <v>33</v>
      </c>
      <c r="L303" s="5" t="s">
        <v>34</v>
      </c>
      <c r="M303" s="6" t="n">
        <v>46124</v>
      </c>
      <c r="N303" s="6"/>
      <c r="O303" s="6"/>
      <c r="P303" s="5" t="s">
        <v>200</v>
      </c>
      <c r="Q303" s="5" t="s">
        <v>36</v>
      </c>
      <c r="R303" s="16" t="s">
        <v>37</v>
      </c>
      <c r="S303" s="5" t="n">
        <v>40</v>
      </c>
      <c r="T303" s="5" t="s">
        <v>38</v>
      </c>
      <c r="U303" s="8" t="str">
        <f aca="false">IF(AND(TRIM(E303)="US",TRIM(G303)="Non-Exempt"),"US Non-Exempt EEs","")</f>
        <v/>
      </c>
      <c r="V303" s="8" t="str">
        <f aca="false">IF(AND(TRIM(E303)="US",TRIM(G303)="Non-Exempt"),IF(TRIM(D303)="CA","US California Non-Exempt","US Non-California Non-Exempt"),"")</f>
        <v/>
      </c>
      <c r="W303" s="8" t="str">
        <f aca="false">_xlfn.XLOOKUP(X303,ShiftCodes[Code],ShiftCodes[Work Schedule],"Unknown code")</f>
        <v>Standard (Mon–Fri 9:00–17:30)</v>
      </c>
      <c r="X303" s="9" t="s">
        <v>39</v>
      </c>
      <c r="Y303" s="5"/>
    </row>
    <row r="304" customFormat="false" ht="15" hidden="false" customHeight="false" outlineLevel="0" collapsed="false">
      <c r="A304" s="5" t="s">
        <v>432</v>
      </c>
      <c r="B304" s="5" t="s">
        <v>99</v>
      </c>
      <c r="C304" s="5" t="s">
        <v>127</v>
      </c>
      <c r="D304" s="5" t="s">
        <v>90</v>
      </c>
      <c r="E304" s="5" t="s">
        <v>29</v>
      </c>
      <c r="F304" s="5" t="s">
        <v>163</v>
      </c>
      <c r="G304" s="5" t="s">
        <v>31</v>
      </c>
      <c r="H304" s="5" t="s">
        <v>8</v>
      </c>
      <c r="I304" s="10" t="n">
        <v>133000</v>
      </c>
      <c r="J304" s="12"/>
      <c r="K304" s="5" t="s">
        <v>33</v>
      </c>
      <c r="L304" s="5" t="s">
        <v>34</v>
      </c>
      <c r="M304" s="6" t="n">
        <v>46127</v>
      </c>
      <c r="N304" s="6"/>
      <c r="O304" s="6"/>
      <c r="P304" s="5" t="s">
        <v>231</v>
      </c>
      <c r="Q304" s="5" t="s">
        <v>36</v>
      </c>
      <c r="R304" s="16" t="s">
        <v>37</v>
      </c>
      <c r="S304" s="5" t="n">
        <v>40</v>
      </c>
      <c r="T304" s="5" t="s">
        <v>38</v>
      </c>
      <c r="U304" s="8" t="str">
        <f aca="false">IF(AND(TRIM(E304)="US",TRIM(G304)="Non-Exempt"),"US Non-Exempt EEs","")</f>
        <v/>
      </c>
      <c r="V304" s="8" t="str">
        <f aca="false">IF(AND(TRIM(E304)="US",TRIM(G304)="Non-Exempt"),IF(TRIM(D304)="CA","US California Non-Exempt","US Non-California Non-Exempt"),"")</f>
        <v/>
      </c>
      <c r="W304" s="8" t="str">
        <f aca="false">_xlfn.XLOOKUP(X304,ShiftCodes[Code],ShiftCodes[Work Schedule],"Unknown code")</f>
        <v>Standard (Mon–Fri 9:00–17:30)</v>
      </c>
      <c r="X304" s="9" t="s">
        <v>39</v>
      </c>
      <c r="Y304" s="5"/>
    </row>
    <row r="305" customFormat="false" ht="15" hidden="false" customHeight="false" outlineLevel="0" collapsed="false">
      <c r="A305" s="5" t="s">
        <v>433</v>
      </c>
      <c r="B305" s="5" t="s">
        <v>99</v>
      </c>
      <c r="C305" s="5" t="s">
        <v>68</v>
      </c>
      <c r="D305" s="5" t="s">
        <v>69</v>
      </c>
      <c r="E305" s="5" t="s">
        <v>70</v>
      </c>
      <c r="F305" s="5" t="s">
        <v>165</v>
      </c>
      <c r="G305" s="5" t="s">
        <v>31</v>
      </c>
      <c r="H305" s="5" t="s">
        <v>8</v>
      </c>
      <c r="I305" s="17" t="n">
        <v>5070000</v>
      </c>
      <c r="J305" s="18"/>
      <c r="K305" s="5" t="s">
        <v>72</v>
      </c>
      <c r="L305" s="5" t="s">
        <v>73</v>
      </c>
      <c r="M305" s="6" t="n">
        <v>46128</v>
      </c>
      <c r="N305" s="6"/>
      <c r="O305" s="6"/>
      <c r="P305" s="5" t="s">
        <v>171</v>
      </c>
      <c r="Q305" s="5" t="s">
        <v>36</v>
      </c>
      <c r="R305" s="16" t="s">
        <v>37</v>
      </c>
      <c r="S305" s="5" t="n">
        <v>40</v>
      </c>
      <c r="T305" s="5" t="s">
        <v>38</v>
      </c>
      <c r="U305" s="8" t="str">
        <f aca="false">IF(AND(TRIM(E305)="US",TRIM(G305)="Non-Exempt"),"US Non-Exempt EEs","")</f>
        <v/>
      </c>
      <c r="V305" s="8" t="str">
        <f aca="false">IF(AND(TRIM(E305)="US",TRIM(G305)="Non-Exempt"),IF(TRIM(D305)="CA","US California Non-Exempt","US Non-California Non-Exempt"),"")</f>
        <v/>
      </c>
      <c r="W305" s="8" t="str">
        <f aca="false">_xlfn.XLOOKUP(X305,ShiftCodes[Code],ShiftCodes[Work Schedule],"Unknown code")</f>
        <v>Standard (Mon–Fri 9:00–17:30)</v>
      </c>
      <c r="X305" s="9" t="s">
        <v>39</v>
      </c>
      <c r="Y305" s="5"/>
    </row>
    <row r="306" customFormat="false" ht="15" hidden="false" customHeight="false" outlineLevel="0" collapsed="false">
      <c r="A306" s="5" t="s">
        <v>434</v>
      </c>
      <c r="B306" s="5" t="s">
        <v>103</v>
      </c>
      <c r="C306" s="5" t="s">
        <v>100</v>
      </c>
      <c r="D306" s="5" t="s">
        <v>28</v>
      </c>
      <c r="E306" s="5" t="s">
        <v>29</v>
      </c>
      <c r="F306" s="5" t="s">
        <v>163</v>
      </c>
      <c r="G306" s="5" t="s">
        <v>31</v>
      </c>
      <c r="H306" s="5" t="s">
        <v>8</v>
      </c>
      <c r="I306" s="10" t="n">
        <v>153000</v>
      </c>
      <c r="J306" s="12"/>
      <c r="K306" s="5" t="s">
        <v>33</v>
      </c>
      <c r="L306" s="5" t="s">
        <v>34</v>
      </c>
      <c r="M306" s="6" t="n">
        <v>46131</v>
      </c>
      <c r="N306" s="6"/>
      <c r="O306" s="6"/>
      <c r="P306" s="5" t="s">
        <v>175</v>
      </c>
      <c r="Q306" s="5" t="s">
        <v>36</v>
      </c>
      <c r="R306" s="16" t="s">
        <v>37</v>
      </c>
      <c r="S306" s="5" t="n">
        <v>40</v>
      </c>
      <c r="T306" s="5" t="s">
        <v>38</v>
      </c>
      <c r="U306" s="8" t="str">
        <f aca="false">IF(AND(TRIM(E306)="US",TRIM(G306)="Non-Exempt"),"US Non-Exempt EEs","")</f>
        <v/>
      </c>
      <c r="V306" s="8" t="str">
        <f aca="false">IF(AND(TRIM(E306)="US",TRIM(G306)="Non-Exempt"),IF(TRIM(D306)="CA","US California Non-Exempt","US Non-California Non-Exempt"),"")</f>
        <v/>
      </c>
      <c r="W306" s="8" t="str">
        <f aca="false">_xlfn.XLOOKUP(X306,ShiftCodes[Code],ShiftCodes[Work Schedule],"Unknown code")</f>
        <v>Standard (Mon–Fri 9:00–17:30)</v>
      </c>
      <c r="X306" s="9" t="s">
        <v>39</v>
      </c>
      <c r="Y306" s="5"/>
    </row>
    <row r="307" customFormat="false" ht="15" hidden="false" customHeight="false" outlineLevel="0" collapsed="false">
      <c r="A307" s="5" t="s">
        <v>435</v>
      </c>
      <c r="B307" s="5" t="s">
        <v>112</v>
      </c>
      <c r="C307" s="5" t="s">
        <v>100</v>
      </c>
      <c r="D307" s="5" t="s">
        <v>28</v>
      </c>
      <c r="E307" s="5" t="s">
        <v>29</v>
      </c>
      <c r="F307" s="5" t="s">
        <v>156</v>
      </c>
      <c r="G307" s="5" t="s">
        <v>31</v>
      </c>
      <c r="H307" s="5" t="s">
        <v>8</v>
      </c>
      <c r="I307" s="10" t="n">
        <v>239000</v>
      </c>
      <c r="J307" s="12"/>
      <c r="K307" s="5" t="s">
        <v>33</v>
      </c>
      <c r="L307" s="5" t="s">
        <v>34</v>
      </c>
      <c r="M307" s="6" t="n">
        <v>46134</v>
      </c>
      <c r="N307" s="6"/>
      <c r="O307" s="6"/>
      <c r="P307" s="5" t="s">
        <v>229</v>
      </c>
      <c r="Q307" s="5" t="s">
        <v>36</v>
      </c>
      <c r="R307" s="16" t="s">
        <v>37</v>
      </c>
      <c r="S307" s="5" t="n">
        <v>40</v>
      </c>
      <c r="T307" s="5" t="s">
        <v>38</v>
      </c>
      <c r="U307" s="8" t="str">
        <f aca="false">IF(AND(TRIM(E307)="US",TRIM(G307)="Non-Exempt"),"US Non-Exempt EEs","")</f>
        <v/>
      </c>
      <c r="V307" s="8" t="str">
        <f aca="false">IF(AND(TRIM(E307)="US",TRIM(G307)="Non-Exempt"),IF(TRIM(D307)="CA","US California Non-Exempt","US Non-California Non-Exempt"),"")</f>
        <v/>
      </c>
      <c r="W307" s="8" t="str">
        <f aca="false">_xlfn.XLOOKUP(X307,ShiftCodes[Code],ShiftCodes[Work Schedule],"Unknown code")</f>
        <v>Standard (Mon–Fri 9:00–17:30)</v>
      </c>
      <c r="X307" s="9" t="s">
        <v>39</v>
      </c>
      <c r="Y307" s="5"/>
    </row>
    <row r="308" customFormat="false" ht="15" hidden="false" customHeight="false" outlineLevel="0" collapsed="false">
      <c r="A308" s="5" t="s">
        <v>436</v>
      </c>
      <c r="B308" s="5" t="s">
        <v>103</v>
      </c>
      <c r="C308" s="5" t="s">
        <v>100</v>
      </c>
      <c r="D308" s="5" t="s">
        <v>28</v>
      </c>
      <c r="E308" s="5" t="s">
        <v>29</v>
      </c>
      <c r="F308" s="5" t="s">
        <v>124</v>
      </c>
      <c r="G308" s="5" t="s">
        <v>31</v>
      </c>
      <c r="H308" s="5" t="s">
        <v>8</v>
      </c>
      <c r="I308" s="10" t="n">
        <v>115000</v>
      </c>
      <c r="J308" s="12"/>
      <c r="K308" s="5" t="s">
        <v>33</v>
      </c>
      <c r="L308" s="5" t="s">
        <v>34</v>
      </c>
      <c r="M308" s="6" t="n">
        <v>46266</v>
      </c>
      <c r="N308" s="6"/>
      <c r="O308" s="6"/>
      <c r="P308" s="5" t="s">
        <v>274</v>
      </c>
      <c r="Q308" s="5" t="s">
        <v>36</v>
      </c>
      <c r="R308" s="16" t="s">
        <v>37</v>
      </c>
      <c r="S308" s="5" t="n">
        <v>40</v>
      </c>
      <c r="T308" s="5" t="s">
        <v>38</v>
      </c>
      <c r="U308" s="8" t="str">
        <f aca="false">IF(AND(TRIM(E308)="US",TRIM(G308)="Non-Exempt"),"US Non-Exempt EEs","")</f>
        <v/>
      </c>
      <c r="V308" s="8" t="str">
        <f aca="false">IF(AND(TRIM(E308)="US",TRIM(G308)="Non-Exempt"),IF(TRIM(D308)="CA","US California Non-Exempt","US Non-California Non-Exempt"),"")</f>
        <v/>
      </c>
      <c r="W308" s="8" t="str">
        <f aca="false">_xlfn.XLOOKUP(X308,ShiftCodes[Code],ShiftCodes[Work Schedule],"Unknown code")</f>
        <v>Standard (Mon–Fri 9:00–17:30)</v>
      </c>
      <c r="X308" s="9" t="s">
        <v>39</v>
      </c>
      <c r="Y308" s="5" t="s">
        <v>423</v>
      </c>
    </row>
    <row r="309" customFormat="false" ht="15" hidden="false" customHeight="false" outlineLevel="0" collapsed="false">
      <c r="A309" s="5" t="s">
        <v>437</v>
      </c>
      <c r="B309" s="5" t="s">
        <v>109</v>
      </c>
      <c r="C309" s="5" t="s">
        <v>113</v>
      </c>
      <c r="D309" s="5" t="s">
        <v>84</v>
      </c>
      <c r="E309" s="5" t="s">
        <v>29</v>
      </c>
      <c r="F309" s="5" t="s">
        <v>130</v>
      </c>
      <c r="G309" s="5" t="s">
        <v>78</v>
      </c>
      <c r="H309" s="5" t="s">
        <v>79</v>
      </c>
      <c r="I309" s="10"/>
      <c r="J309" s="12" t="n">
        <v>27.25</v>
      </c>
      <c r="K309" s="5" t="s">
        <v>33</v>
      </c>
      <c r="L309" s="5" t="s">
        <v>80</v>
      </c>
      <c r="M309" s="6" t="n">
        <v>46140</v>
      </c>
      <c r="N309" s="6"/>
      <c r="O309" s="6"/>
      <c r="P309" s="5" t="s">
        <v>118</v>
      </c>
      <c r="Q309" s="5" t="s">
        <v>36</v>
      </c>
      <c r="R309" s="16" t="s">
        <v>37</v>
      </c>
      <c r="S309" s="5" t="n">
        <v>40</v>
      </c>
      <c r="T309" s="5" t="s">
        <v>38</v>
      </c>
      <c r="U309" s="8" t="str">
        <f aca="false">IF(AND(TRIM(E309)="US",TRIM(G309)="Non-Exempt"),"US Non-Exempt EEs","")</f>
        <v>US Non-Exempt EEs</v>
      </c>
      <c r="V309" s="8" t="str">
        <f aca="false">IF(AND(TRIM(E309)="US",TRIM(G309)="Non-Exempt"),IF(TRIM(D309)="CA","US California Non-Exempt","US Non-California Non-Exempt"),"")</f>
        <v>US Non-California Non-Exempt</v>
      </c>
      <c r="W309" s="8" t="str">
        <f aca="false">_xlfn.XLOOKUP(X309,ShiftCodes[Code],ShiftCodes[Work Schedule],"Unknown code")</f>
        <v>Shift C – Night (Sun–Thu 22:00–06:30)</v>
      </c>
      <c r="X309" s="9" t="s">
        <v>239</v>
      </c>
      <c r="Y309" s="5"/>
    </row>
    <row r="310" customFormat="false" ht="15" hidden="false" customHeight="false" outlineLevel="0" collapsed="false">
      <c r="A310" s="5" t="s">
        <v>438</v>
      </c>
      <c r="B310" s="5" t="s">
        <v>103</v>
      </c>
      <c r="C310" s="5" t="s">
        <v>100</v>
      </c>
      <c r="D310" s="5" t="s">
        <v>28</v>
      </c>
      <c r="E310" s="5" t="s">
        <v>29</v>
      </c>
      <c r="F310" s="5" t="s">
        <v>165</v>
      </c>
      <c r="G310" s="5" t="s">
        <v>31</v>
      </c>
      <c r="H310" s="5" t="s">
        <v>8</v>
      </c>
      <c r="I310" s="10" t="n">
        <v>192000</v>
      </c>
      <c r="J310" s="12"/>
      <c r="K310" s="5" t="s">
        <v>33</v>
      </c>
      <c r="L310" s="5" t="s">
        <v>34</v>
      </c>
      <c r="M310" s="6" t="n">
        <v>46141</v>
      </c>
      <c r="N310" s="6"/>
      <c r="O310" s="6"/>
      <c r="P310" s="5" t="s">
        <v>274</v>
      </c>
      <c r="Q310" s="5" t="s">
        <v>36</v>
      </c>
      <c r="R310" s="16" t="s">
        <v>37</v>
      </c>
      <c r="S310" s="5" t="n">
        <v>40</v>
      </c>
      <c r="T310" s="5" t="s">
        <v>38</v>
      </c>
      <c r="U310" s="8" t="str">
        <f aca="false">IF(AND(TRIM(E310)="US",TRIM(G310)="Non-Exempt"),"US Non-Exempt EEs","")</f>
        <v/>
      </c>
      <c r="V310" s="8" t="str">
        <f aca="false">IF(AND(TRIM(E310)="US",TRIM(G310)="Non-Exempt"),IF(TRIM(D310)="CA","US California Non-Exempt","US Non-California Non-Exempt"),"")</f>
        <v/>
      </c>
      <c r="W310" s="8" t="str">
        <f aca="false">_xlfn.XLOOKUP(X310,ShiftCodes[Code],ShiftCodes[Work Schedule],"Unknown code")</f>
        <v>Standard (Mon–Fri 9:00–17:30)</v>
      </c>
      <c r="X310" s="9" t="s">
        <v>39</v>
      </c>
      <c r="Y310" s="5"/>
    </row>
    <row r="311" customFormat="false" ht="15" hidden="false" customHeight="false" outlineLevel="0" collapsed="false">
      <c r="A311" s="5" t="s">
        <v>439</v>
      </c>
      <c r="B311" s="5" t="s">
        <v>112</v>
      </c>
      <c r="C311" s="5" t="s">
        <v>224</v>
      </c>
      <c r="D311" s="5" t="s">
        <v>225</v>
      </c>
      <c r="E311" s="5" t="s">
        <v>70</v>
      </c>
      <c r="F311" s="5" t="s">
        <v>163</v>
      </c>
      <c r="G311" s="5" t="s">
        <v>31</v>
      </c>
      <c r="H311" s="5" t="s">
        <v>8</v>
      </c>
      <c r="I311" s="17" t="n">
        <v>3330000</v>
      </c>
      <c r="J311" s="18"/>
      <c r="K311" s="5" t="s">
        <v>72</v>
      </c>
      <c r="L311" s="5" t="s">
        <v>73</v>
      </c>
      <c r="M311" s="6" t="n">
        <v>46151</v>
      </c>
      <c r="N311" s="6"/>
      <c r="O311" s="6"/>
      <c r="P311" s="5" t="s">
        <v>223</v>
      </c>
      <c r="Q311" s="5" t="s">
        <v>36</v>
      </c>
      <c r="R311" s="16" t="s">
        <v>37</v>
      </c>
      <c r="S311" s="5" t="n">
        <v>40</v>
      </c>
      <c r="T311" s="5" t="s">
        <v>38</v>
      </c>
      <c r="U311" s="8" t="str">
        <f aca="false">IF(AND(TRIM(E311)="US",TRIM(G311)="Non-Exempt"),"US Non-Exempt EEs","")</f>
        <v/>
      </c>
      <c r="V311" s="8" t="str">
        <f aca="false">IF(AND(TRIM(E311)="US",TRIM(G311)="Non-Exempt"),IF(TRIM(D311)="CA","US California Non-Exempt","US Non-California Non-Exempt"),"")</f>
        <v/>
      </c>
      <c r="W311" s="8" t="str">
        <f aca="false">_xlfn.XLOOKUP(X311,ShiftCodes[Code],ShiftCodes[Work Schedule],"Unknown code")</f>
        <v>Standard (Mon–Fri 9:00–17:30)</v>
      </c>
      <c r="X311" s="9" t="s">
        <v>39</v>
      </c>
      <c r="Y311" s="5"/>
    </row>
    <row r="312" customFormat="false" ht="15" hidden="false" customHeight="false" outlineLevel="0" collapsed="false">
      <c r="A312" s="5" t="s">
        <v>440</v>
      </c>
      <c r="B312" s="5" t="s">
        <v>103</v>
      </c>
      <c r="C312" s="5" t="s">
        <v>106</v>
      </c>
      <c r="D312" s="5" t="s">
        <v>42</v>
      </c>
      <c r="E312" s="5" t="s">
        <v>29</v>
      </c>
      <c r="F312" s="5" t="s">
        <v>124</v>
      </c>
      <c r="G312" s="5" t="s">
        <v>31</v>
      </c>
      <c r="H312" s="5" t="s">
        <v>8</v>
      </c>
      <c r="I312" s="10" t="n">
        <v>125000</v>
      </c>
      <c r="J312" s="12"/>
      <c r="K312" s="5" t="s">
        <v>33</v>
      </c>
      <c r="L312" s="5" t="s">
        <v>34</v>
      </c>
      <c r="M312" s="6" t="n">
        <v>46161</v>
      </c>
      <c r="N312" s="6"/>
      <c r="O312" s="6"/>
      <c r="P312" s="5" t="s">
        <v>122</v>
      </c>
      <c r="Q312" s="5" t="s">
        <v>36</v>
      </c>
      <c r="R312" s="16" t="s">
        <v>37</v>
      </c>
      <c r="S312" s="5" t="n">
        <v>40</v>
      </c>
      <c r="T312" s="5" t="s">
        <v>38</v>
      </c>
      <c r="U312" s="8" t="str">
        <f aca="false">IF(AND(TRIM(E312)="US",TRIM(G312)="Non-Exempt"),"US Non-Exempt EEs","")</f>
        <v/>
      </c>
      <c r="V312" s="8" t="str">
        <f aca="false">IF(AND(TRIM(E312)="US",TRIM(G312)="Non-Exempt"),IF(TRIM(D312)="CA","US California Non-Exempt","US Non-California Non-Exempt"),"")</f>
        <v/>
      </c>
      <c r="W312" s="8" t="str">
        <f aca="false">_xlfn.XLOOKUP(X312,ShiftCodes[Code],ShiftCodes[Work Schedule],"Unknown code")</f>
        <v>Standard (Mon–Fri 9:00–17:30)</v>
      </c>
      <c r="X312" s="9" t="s">
        <v>39</v>
      </c>
      <c r="Y312" s="5"/>
    </row>
    <row r="313" customFormat="false" ht="15" hidden="false" customHeight="false" outlineLevel="0" collapsed="false">
      <c r="A313" s="5" t="s">
        <v>441</v>
      </c>
      <c r="B313" s="5" t="s">
        <v>103</v>
      </c>
      <c r="C313" s="5" t="s">
        <v>106</v>
      </c>
      <c r="D313" s="5" t="s">
        <v>42</v>
      </c>
      <c r="E313" s="5" t="s">
        <v>29</v>
      </c>
      <c r="F313" s="5" t="s">
        <v>163</v>
      </c>
      <c r="G313" s="5" t="s">
        <v>31</v>
      </c>
      <c r="H313" s="5" t="s">
        <v>8</v>
      </c>
      <c r="I313" s="10" t="n">
        <v>163000</v>
      </c>
      <c r="J313" s="12"/>
      <c r="K313" s="5" t="s">
        <v>33</v>
      </c>
      <c r="L313" s="5" t="s">
        <v>34</v>
      </c>
      <c r="M313" s="6" t="n">
        <v>46162</v>
      </c>
      <c r="N313" s="6"/>
      <c r="O313" s="6"/>
      <c r="P313" s="5" t="s">
        <v>226</v>
      </c>
      <c r="Q313" s="5" t="s">
        <v>36</v>
      </c>
      <c r="R313" s="16" t="s">
        <v>37</v>
      </c>
      <c r="S313" s="5" t="n">
        <v>40</v>
      </c>
      <c r="T313" s="5" t="s">
        <v>38</v>
      </c>
      <c r="U313" s="8" t="str">
        <f aca="false">IF(AND(TRIM(E313)="US",TRIM(G313)="Non-Exempt"),"US Non-Exempt EEs","")</f>
        <v/>
      </c>
      <c r="V313" s="8" t="str">
        <f aca="false">IF(AND(TRIM(E313)="US",TRIM(G313)="Non-Exempt"),IF(TRIM(D313)="CA","US California Non-Exempt","US Non-California Non-Exempt"),"")</f>
        <v/>
      </c>
      <c r="W313" s="8" t="str">
        <f aca="false">_xlfn.XLOOKUP(X313,ShiftCodes[Code],ShiftCodes[Work Schedule],"Unknown code")</f>
        <v>Standard (Mon–Fri 9:00–17:30)</v>
      </c>
      <c r="X313" s="9" t="s">
        <v>39</v>
      </c>
      <c r="Y313" s="5"/>
    </row>
    <row r="314" customFormat="false" ht="15" hidden="false" customHeight="false" outlineLevel="0" collapsed="false">
      <c r="A314" s="5" t="s">
        <v>442</v>
      </c>
      <c r="B314" s="5" t="s">
        <v>112</v>
      </c>
      <c r="C314" s="5" t="s">
        <v>100</v>
      </c>
      <c r="D314" s="5" t="s">
        <v>28</v>
      </c>
      <c r="E314" s="5" t="s">
        <v>29</v>
      </c>
      <c r="F314" s="5" t="s">
        <v>124</v>
      </c>
      <c r="G314" s="5" t="s">
        <v>31</v>
      </c>
      <c r="H314" s="5" t="s">
        <v>8</v>
      </c>
      <c r="I314" s="10" t="n">
        <v>142000</v>
      </c>
      <c r="J314" s="12"/>
      <c r="K314" s="5" t="s">
        <v>33</v>
      </c>
      <c r="L314" s="5" t="s">
        <v>34</v>
      </c>
      <c r="M314" s="6" t="n">
        <v>46162</v>
      </c>
      <c r="N314" s="6"/>
      <c r="O314" s="6"/>
      <c r="P314" s="5" t="s">
        <v>204</v>
      </c>
      <c r="Q314" s="5" t="s">
        <v>36</v>
      </c>
      <c r="R314" s="16" t="s">
        <v>37</v>
      </c>
      <c r="S314" s="5" t="n">
        <v>40</v>
      </c>
      <c r="T314" s="5" t="s">
        <v>38</v>
      </c>
      <c r="U314" s="8" t="str">
        <f aca="false">IF(AND(TRIM(E314)="US",TRIM(G314)="Non-Exempt"),"US Non-Exempt EEs","")</f>
        <v/>
      </c>
      <c r="V314" s="8" t="str">
        <f aca="false">IF(AND(TRIM(E314)="US",TRIM(G314)="Non-Exempt"),IF(TRIM(D314)="CA","US California Non-Exempt","US Non-California Non-Exempt"),"")</f>
        <v/>
      </c>
      <c r="W314" s="8" t="str">
        <f aca="false">_xlfn.XLOOKUP(X314,ShiftCodes[Code],ShiftCodes[Work Schedule],"Unknown code")</f>
        <v>Standard (Mon–Fri 9:00–17:30)</v>
      </c>
      <c r="X314" s="9" t="s">
        <v>39</v>
      </c>
      <c r="Y314" s="5"/>
    </row>
    <row r="315" customFormat="false" ht="15" hidden="false" customHeight="false" outlineLevel="0" collapsed="false">
      <c r="A315" s="5" t="s">
        <v>443</v>
      </c>
      <c r="B315" s="5" t="s">
        <v>112</v>
      </c>
      <c r="C315" s="5" t="s">
        <v>106</v>
      </c>
      <c r="D315" s="5" t="s">
        <v>42</v>
      </c>
      <c r="E315" s="5" t="s">
        <v>29</v>
      </c>
      <c r="F315" s="5" t="s">
        <v>165</v>
      </c>
      <c r="G315" s="5" t="s">
        <v>31</v>
      </c>
      <c r="H315" s="5" t="s">
        <v>8</v>
      </c>
      <c r="I315" s="10" t="n">
        <v>168000</v>
      </c>
      <c r="J315" s="12"/>
      <c r="K315" s="5" t="s">
        <v>33</v>
      </c>
      <c r="L315" s="5" t="s">
        <v>34</v>
      </c>
      <c r="M315" s="6" t="n">
        <v>46163</v>
      </c>
      <c r="N315" s="6"/>
      <c r="O315" s="6"/>
      <c r="P315" s="5" t="s">
        <v>187</v>
      </c>
      <c r="Q315" s="5" t="s">
        <v>36</v>
      </c>
      <c r="R315" s="16" t="s">
        <v>37</v>
      </c>
      <c r="S315" s="5" t="n">
        <v>40</v>
      </c>
      <c r="T315" s="5" t="s">
        <v>38</v>
      </c>
      <c r="U315" s="8" t="str">
        <f aca="false">IF(AND(TRIM(E315)="US",TRIM(G315)="Non-Exempt"),"US Non-Exempt EEs","")</f>
        <v/>
      </c>
      <c r="V315" s="8" t="str">
        <f aca="false">IF(AND(TRIM(E315)="US",TRIM(G315)="Non-Exempt"),IF(TRIM(D315)="CA","US California Non-Exempt","US Non-California Non-Exempt"),"")</f>
        <v/>
      </c>
      <c r="W315" s="8" t="str">
        <f aca="false">_xlfn.XLOOKUP(X315,ShiftCodes[Code],ShiftCodes[Work Schedule],"Unknown code")</f>
        <v>Standard (Mon–Fri 9:00–17:30)</v>
      </c>
      <c r="X315" s="9" t="s">
        <v>39</v>
      </c>
      <c r="Y315" s="5"/>
    </row>
    <row r="316" customFormat="false" ht="15" hidden="false" customHeight="false" outlineLevel="0" collapsed="false">
      <c r="A316" s="5" t="s">
        <v>444</v>
      </c>
      <c r="B316" s="5" t="s">
        <v>103</v>
      </c>
      <c r="C316" s="5" t="s">
        <v>41</v>
      </c>
      <c r="D316" s="5" t="s">
        <v>28</v>
      </c>
      <c r="E316" s="5" t="s">
        <v>29</v>
      </c>
      <c r="F316" s="5" t="s">
        <v>124</v>
      </c>
      <c r="G316" s="5" t="s">
        <v>31</v>
      </c>
      <c r="H316" s="5" t="s">
        <v>8</v>
      </c>
      <c r="I316" s="10" t="n">
        <v>132000</v>
      </c>
      <c r="J316" s="12"/>
      <c r="K316" s="5" t="s">
        <v>33</v>
      </c>
      <c r="L316" s="5" t="s">
        <v>34</v>
      </c>
      <c r="M316" s="6" t="n">
        <v>46281</v>
      </c>
      <c r="N316" s="6"/>
      <c r="O316" s="6"/>
      <c r="P316" s="5" t="s">
        <v>226</v>
      </c>
      <c r="Q316" s="5" t="s">
        <v>36</v>
      </c>
      <c r="R316" s="16" t="s">
        <v>37</v>
      </c>
      <c r="S316" s="5" t="n">
        <v>40</v>
      </c>
      <c r="T316" s="5" t="s">
        <v>38</v>
      </c>
      <c r="U316" s="8" t="str">
        <f aca="false">IF(AND(TRIM(E316)="US",TRIM(G316)="Non-Exempt"),"US Non-Exempt EEs","")</f>
        <v/>
      </c>
      <c r="V316" s="8" t="str">
        <f aca="false">IF(AND(TRIM(E316)="US",TRIM(G316)="Non-Exempt"),IF(TRIM(D316)="CA","US California Non-Exempt","US Non-California Non-Exempt"),"")</f>
        <v/>
      </c>
      <c r="W316" s="8" t="str">
        <f aca="false">_xlfn.XLOOKUP(X316,ShiftCodes[Code],ShiftCodes[Work Schedule],"Unknown code")</f>
        <v>Standard (Mon–Fri 9:00–17:30)</v>
      </c>
      <c r="X316" s="9" t="s">
        <v>39</v>
      </c>
      <c r="Y316" s="5" t="s">
        <v>398</v>
      </c>
    </row>
    <row r="317" customFormat="false" ht="15" hidden="false" customHeight="false" outlineLevel="0" collapsed="false">
      <c r="A317" s="5" t="s">
        <v>445</v>
      </c>
      <c r="B317" s="5" t="s">
        <v>103</v>
      </c>
      <c r="C317" s="5" t="s">
        <v>100</v>
      </c>
      <c r="D317" s="5" t="s">
        <v>28</v>
      </c>
      <c r="E317" s="5" t="s">
        <v>29</v>
      </c>
      <c r="F317" s="5" t="s">
        <v>149</v>
      </c>
      <c r="G317" s="5" t="s">
        <v>31</v>
      </c>
      <c r="H317" s="5" t="s">
        <v>8</v>
      </c>
      <c r="I317" s="10" t="n">
        <v>100000</v>
      </c>
      <c r="J317" s="12"/>
      <c r="K317" s="5" t="s">
        <v>33</v>
      </c>
      <c r="L317" s="5" t="s">
        <v>34</v>
      </c>
      <c r="M317" s="6" t="n">
        <v>46235</v>
      </c>
      <c r="N317" s="6"/>
      <c r="O317" s="6"/>
      <c r="P317" s="5" t="s">
        <v>274</v>
      </c>
      <c r="Q317" s="5" t="s">
        <v>36</v>
      </c>
      <c r="R317" s="16" t="s">
        <v>37</v>
      </c>
      <c r="S317" s="5" t="n">
        <v>40</v>
      </c>
      <c r="T317" s="5" t="s">
        <v>38</v>
      </c>
      <c r="U317" s="8" t="str">
        <f aca="false">IF(AND(TRIM(E317)="US",TRIM(G317)="Non-Exempt"),"US Non-Exempt EEs","")</f>
        <v/>
      </c>
      <c r="V317" s="8" t="str">
        <f aca="false">IF(AND(TRIM(E317)="US",TRIM(G317)="Non-Exempt"),IF(TRIM(D317)="CA","US California Non-Exempt","US Non-California Non-Exempt"),"")</f>
        <v/>
      </c>
      <c r="W317" s="8" t="str">
        <f aca="false">_xlfn.XLOOKUP(X317,ShiftCodes[Code],ShiftCodes[Work Schedule],"Unknown code")</f>
        <v>Standard (Mon–Fri 9:00–17:30)</v>
      </c>
      <c r="X317" s="9" t="s">
        <v>39</v>
      </c>
      <c r="Y317" s="5" t="s">
        <v>395</v>
      </c>
    </row>
    <row r="318" customFormat="false" ht="15" hidden="false" customHeight="false" outlineLevel="0" collapsed="false">
      <c r="A318" s="5" t="s">
        <v>446</v>
      </c>
      <c r="B318" s="5" t="s">
        <v>109</v>
      </c>
      <c r="C318" s="5" t="s">
        <v>113</v>
      </c>
      <c r="D318" s="5" t="s">
        <v>84</v>
      </c>
      <c r="E318" s="5" t="s">
        <v>29</v>
      </c>
      <c r="F318" s="5" t="s">
        <v>165</v>
      </c>
      <c r="G318" s="5" t="s">
        <v>31</v>
      </c>
      <c r="H318" s="5" t="s">
        <v>8</v>
      </c>
      <c r="I318" s="10" t="n">
        <v>198000</v>
      </c>
      <c r="J318" s="12"/>
      <c r="K318" s="5" t="s">
        <v>33</v>
      </c>
      <c r="L318" s="5" t="s">
        <v>34</v>
      </c>
      <c r="M318" s="6" t="n">
        <v>46174</v>
      </c>
      <c r="N318" s="6"/>
      <c r="O318" s="6"/>
      <c r="P318" s="5" t="s">
        <v>178</v>
      </c>
      <c r="Q318" s="5" t="s">
        <v>36</v>
      </c>
      <c r="R318" s="16" t="s">
        <v>37</v>
      </c>
      <c r="S318" s="5" t="n">
        <v>40</v>
      </c>
      <c r="T318" s="5" t="s">
        <v>38</v>
      </c>
      <c r="U318" s="8" t="str">
        <f aca="false">IF(AND(TRIM(E318)="US",TRIM(G318)="Non-Exempt"),"US Non-Exempt EEs","")</f>
        <v/>
      </c>
      <c r="V318" s="8" t="str">
        <f aca="false">IF(AND(TRIM(E318)="US",TRIM(G318)="Non-Exempt"),IF(TRIM(D318)="CA","US California Non-Exempt","US Non-California Non-Exempt"),"")</f>
        <v/>
      </c>
      <c r="W318" s="8" t="str">
        <f aca="false">_xlfn.XLOOKUP(X318,ShiftCodes[Code],ShiftCodes[Work Schedule],"Unknown code")</f>
        <v>Standard (Mon–Fri 9:00–17:30)</v>
      </c>
      <c r="X318" s="9" t="s">
        <v>39</v>
      </c>
      <c r="Y318" s="5"/>
    </row>
    <row r="319" customFormat="false" ht="15" hidden="false" customHeight="false" outlineLevel="0" collapsed="false">
      <c r="A319" s="5" t="s">
        <v>447</v>
      </c>
      <c r="B319" s="5" t="s">
        <v>103</v>
      </c>
      <c r="C319" s="5" t="s">
        <v>41</v>
      </c>
      <c r="D319" s="5" t="s">
        <v>90</v>
      </c>
      <c r="E319" s="5" t="s">
        <v>29</v>
      </c>
      <c r="F319" s="5" t="s">
        <v>124</v>
      </c>
      <c r="G319" s="5" t="s">
        <v>31</v>
      </c>
      <c r="H319" s="5" t="s">
        <v>8</v>
      </c>
      <c r="I319" s="10" t="n">
        <v>134000</v>
      </c>
      <c r="J319" s="12"/>
      <c r="K319" s="5" t="s">
        <v>33</v>
      </c>
      <c r="L319" s="5" t="s">
        <v>34</v>
      </c>
      <c r="M319" s="6" t="n">
        <v>46183</v>
      </c>
      <c r="N319" s="6"/>
      <c r="O319" s="6"/>
      <c r="P319" s="5" t="s">
        <v>136</v>
      </c>
      <c r="Q319" s="5" t="s">
        <v>36</v>
      </c>
      <c r="R319" s="16" t="s">
        <v>37</v>
      </c>
      <c r="S319" s="5" t="n">
        <v>40</v>
      </c>
      <c r="T319" s="5" t="s">
        <v>38</v>
      </c>
      <c r="U319" s="8" t="str">
        <f aca="false">IF(AND(TRIM(E319)="US",TRIM(G319)="Non-Exempt"),"US Non-Exempt EEs","")</f>
        <v/>
      </c>
      <c r="V319" s="8" t="str">
        <f aca="false">IF(AND(TRIM(E319)="US",TRIM(G319)="Non-Exempt"),IF(TRIM(D319)="CA","US California Non-Exempt","US Non-California Non-Exempt"),"")</f>
        <v/>
      </c>
      <c r="W319" s="8" t="str">
        <f aca="false">_xlfn.XLOOKUP(X319,ShiftCodes[Code],ShiftCodes[Work Schedule],"Unknown code")</f>
        <v>Standard (Mon–Fri 9:00–17:30)</v>
      </c>
      <c r="X319" s="9" t="s">
        <v>39</v>
      </c>
      <c r="Y319" s="5"/>
    </row>
    <row r="320" customFormat="false" ht="15" hidden="false" customHeight="false" outlineLevel="0" collapsed="false">
      <c r="A320" s="5" t="s">
        <v>448</v>
      </c>
      <c r="B320" s="5" t="s">
        <v>112</v>
      </c>
      <c r="C320" s="5" t="s">
        <v>41</v>
      </c>
      <c r="D320" s="5" t="s">
        <v>185</v>
      </c>
      <c r="E320" s="5" t="s">
        <v>29</v>
      </c>
      <c r="F320" s="5" t="s">
        <v>163</v>
      </c>
      <c r="G320" s="5" t="s">
        <v>31</v>
      </c>
      <c r="H320" s="5" t="s">
        <v>8</v>
      </c>
      <c r="I320" s="10" t="n">
        <v>146000</v>
      </c>
      <c r="J320" s="12"/>
      <c r="K320" s="5" t="s">
        <v>33</v>
      </c>
      <c r="L320" s="5" t="s">
        <v>34</v>
      </c>
      <c r="M320" s="6" t="n">
        <v>46202</v>
      </c>
      <c r="N320" s="6"/>
      <c r="O320" s="6"/>
      <c r="P320" s="5" t="s">
        <v>182</v>
      </c>
      <c r="Q320" s="5" t="s">
        <v>36</v>
      </c>
      <c r="R320" s="16" t="s">
        <v>37</v>
      </c>
      <c r="S320" s="5" t="n">
        <v>40</v>
      </c>
      <c r="T320" s="5" t="s">
        <v>38</v>
      </c>
      <c r="U320" s="8" t="str">
        <f aca="false">IF(AND(TRIM(E320)="US",TRIM(G320)="Non-Exempt"),"US Non-Exempt EEs","")</f>
        <v/>
      </c>
      <c r="V320" s="8" t="str">
        <f aca="false">IF(AND(TRIM(E320)="US",TRIM(G320)="Non-Exempt"),IF(TRIM(D320)="CA","US California Non-Exempt","US Non-California Non-Exempt"),"")</f>
        <v/>
      </c>
      <c r="W320" s="8" t="str">
        <f aca="false">_xlfn.XLOOKUP(X320,ShiftCodes[Code],ShiftCodes[Work Schedule],"Unknown code")</f>
        <v>Standard (Mon–Fri 9:00–17:30)</v>
      </c>
      <c r="X320" s="9" t="s">
        <v>39</v>
      </c>
      <c r="Y320" s="5"/>
    </row>
    <row r="321" customFormat="false" ht="15" hidden="false" customHeight="false" outlineLevel="0" collapsed="false">
      <c r="A321" s="5" t="s">
        <v>449</v>
      </c>
      <c r="B321" s="5" t="s">
        <v>109</v>
      </c>
      <c r="C321" s="5" t="s">
        <v>113</v>
      </c>
      <c r="D321" s="5" t="s">
        <v>84</v>
      </c>
      <c r="E321" s="5" t="s">
        <v>29</v>
      </c>
      <c r="F321" s="5" t="s">
        <v>132</v>
      </c>
      <c r="G321" s="5" t="s">
        <v>78</v>
      </c>
      <c r="H321" s="5" t="s">
        <v>79</v>
      </c>
      <c r="I321" s="10"/>
      <c r="J321" s="12" t="n">
        <v>43.75</v>
      </c>
      <c r="K321" s="5" t="s">
        <v>33</v>
      </c>
      <c r="L321" s="5" t="s">
        <v>80</v>
      </c>
      <c r="M321" s="6" t="n">
        <v>46206</v>
      </c>
      <c r="N321" s="6"/>
      <c r="O321" s="6"/>
      <c r="P321" s="5" t="s">
        <v>202</v>
      </c>
      <c r="Q321" s="5" t="s">
        <v>36</v>
      </c>
      <c r="R321" s="16" t="s">
        <v>37</v>
      </c>
      <c r="S321" s="5" t="n">
        <v>40</v>
      </c>
      <c r="T321" s="5" t="s">
        <v>38</v>
      </c>
      <c r="U321" s="8" t="str">
        <f aca="false">IF(AND(TRIM(E321)="US",TRIM(G321)="Non-Exempt"),"US Non-Exempt EEs","")</f>
        <v>US Non-Exempt EEs</v>
      </c>
      <c r="V321" s="8" t="str">
        <f aca="false">IF(AND(TRIM(E321)="US",TRIM(G321)="Non-Exempt"),IF(TRIM(D321)="CA","US California Non-Exempt","US Non-California Non-Exempt"),"")</f>
        <v>US Non-California Non-Exempt</v>
      </c>
      <c r="W321" s="8" t="str">
        <f aca="false">_xlfn.XLOOKUP(X321,ShiftCodes[Code],ShiftCodes[Work Schedule],"Unknown code")</f>
        <v>Shift C – Night (Sun–Thu 22:00–06:30)</v>
      </c>
      <c r="X321" s="9" t="s">
        <v>239</v>
      </c>
      <c r="Y321" s="5"/>
    </row>
    <row r="322" customFormat="false" ht="15" hidden="false" customHeight="false" outlineLevel="0" collapsed="false">
      <c r="A322" s="5" t="s">
        <v>450</v>
      </c>
      <c r="B322" s="5" t="s">
        <v>112</v>
      </c>
      <c r="C322" s="5" t="s">
        <v>180</v>
      </c>
      <c r="D322" s="5" t="s">
        <v>52</v>
      </c>
      <c r="E322" s="5" t="s">
        <v>52</v>
      </c>
      <c r="F322" s="5" t="s">
        <v>149</v>
      </c>
      <c r="G322" s="5" t="s">
        <v>31</v>
      </c>
      <c r="H322" s="5" t="s">
        <v>8</v>
      </c>
      <c r="I322" s="10" t="n">
        <v>64000</v>
      </c>
      <c r="J322" s="19"/>
      <c r="K322" s="5" t="s">
        <v>55</v>
      </c>
      <c r="L322" s="5" t="s">
        <v>56</v>
      </c>
      <c r="M322" s="6" t="n">
        <v>46208</v>
      </c>
      <c r="N322" s="6"/>
      <c r="O322" s="6"/>
      <c r="P322" s="5" t="s">
        <v>179</v>
      </c>
      <c r="Q322" s="5" t="s">
        <v>36</v>
      </c>
      <c r="R322" s="16" t="s">
        <v>37</v>
      </c>
      <c r="S322" s="5" t="n">
        <v>37.5</v>
      </c>
      <c r="T322" s="5" t="s">
        <v>38</v>
      </c>
      <c r="U322" s="8" t="str">
        <f aca="false">IF(AND(TRIM(E322)="US",TRIM(G322)="Non-Exempt"),"US Non-Exempt EEs","")</f>
        <v/>
      </c>
      <c r="V322" s="8" t="str">
        <f aca="false">IF(AND(TRIM(E322)="US",TRIM(G322)="Non-Exempt"),IF(TRIM(D322)="CA","US California Non-Exempt","US Non-California Non-Exempt"),"")</f>
        <v/>
      </c>
      <c r="W322" s="8" t="str">
        <f aca="false">_xlfn.XLOOKUP(X322,ShiftCodes[Code],ShiftCodes[Work Schedule],"Unknown code")</f>
        <v>Standard (Mon–Fri 9:00–17:30)</v>
      </c>
      <c r="X322" s="9" t="s">
        <v>39</v>
      </c>
      <c r="Y322" s="5"/>
    </row>
    <row r="323" customFormat="false" ht="15" hidden="false" customHeight="false" outlineLevel="0" collapsed="false">
      <c r="A323" s="5" t="s">
        <v>451</v>
      </c>
      <c r="B323" s="5" t="s">
        <v>103</v>
      </c>
      <c r="C323" s="5" t="s">
        <v>41</v>
      </c>
      <c r="D323" s="5" t="s">
        <v>189</v>
      </c>
      <c r="E323" s="5" t="s">
        <v>29</v>
      </c>
      <c r="F323" s="5" t="s">
        <v>163</v>
      </c>
      <c r="G323" s="5" t="s">
        <v>31</v>
      </c>
      <c r="H323" s="5" t="s">
        <v>8</v>
      </c>
      <c r="I323" s="10" t="n">
        <v>168000</v>
      </c>
      <c r="J323" s="12"/>
      <c r="K323" s="5" t="s">
        <v>33</v>
      </c>
      <c r="L323" s="5" t="s">
        <v>34</v>
      </c>
      <c r="M323" s="6" t="n">
        <v>46211</v>
      </c>
      <c r="N323" s="6"/>
      <c r="O323" s="6"/>
      <c r="P323" s="5" t="s">
        <v>181</v>
      </c>
      <c r="Q323" s="5" t="s">
        <v>36</v>
      </c>
      <c r="R323" s="16" t="s">
        <v>37</v>
      </c>
      <c r="S323" s="5" t="n">
        <v>40</v>
      </c>
      <c r="T323" s="5" t="s">
        <v>38</v>
      </c>
      <c r="U323" s="8" t="str">
        <f aca="false">IF(AND(TRIM(E323)="US",TRIM(G323)="Non-Exempt"),"US Non-Exempt EEs","")</f>
        <v/>
      </c>
      <c r="V323" s="8" t="str">
        <f aca="false">IF(AND(TRIM(E323)="US",TRIM(G323)="Non-Exempt"),IF(TRIM(D323)="CA","US California Non-Exempt","US Non-California Non-Exempt"),"")</f>
        <v/>
      </c>
      <c r="W323" s="8" t="str">
        <f aca="false">_xlfn.XLOOKUP(X323,ShiftCodes[Code],ShiftCodes[Work Schedule],"Unknown code")</f>
        <v>Standard (Mon–Fri 9:00–17:30)</v>
      </c>
      <c r="X323" s="9" t="s">
        <v>39</v>
      </c>
      <c r="Y323" s="5"/>
    </row>
    <row r="324" customFormat="false" ht="15" hidden="false" customHeight="false" outlineLevel="0" collapsed="false">
      <c r="A324" s="5" t="s">
        <v>452</v>
      </c>
      <c r="B324" s="5" t="s">
        <v>109</v>
      </c>
      <c r="C324" s="5" t="s">
        <v>113</v>
      </c>
      <c r="D324" s="5" t="s">
        <v>84</v>
      </c>
      <c r="E324" s="5" t="s">
        <v>29</v>
      </c>
      <c r="F324" s="5" t="s">
        <v>121</v>
      </c>
      <c r="G324" s="5" t="s">
        <v>78</v>
      </c>
      <c r="H324" s="5" t="s">
        <v>79</v>
      </c>
      <c r="I324" s="10"/>
      <c r="J324" s="12" t="n">
        <v>33</v>
      </c>
      <c r="K324" s="5" t="s">
        <v>33</v>
      </c>
      <c r="L324" s="5" t="s">
        <v>80</v>
      </c>
      <c r="M324" s="6" t="n">
        <v>46213</v>
      </c>
      <c r="N324" s="6"/>
      <c r="O324" s="6"/>
      <c r="P324" s="5" t="s">
        <v>202</v>
      </c>
      <c r="Q324" s="5" t="s">
        <v>36</v>
      </c>
      <c r="R324" s="16" t="s">
        <v>37</v>
      </c>
      <c r="S324" s="5" t="n">
        <v>40</v>
      </c>
      <c r="T324" s="5" t="s">
        <v>38</v>
      </c>
      <c r="U324" s="8" t="str">
        <f aca="false">IF(AND(TRIM(E324)="US",TRIM(G324)="Non-Exempt"),"US Non-Exempt EEs","")</f>
        <v>US Non-Exempt EEs</v>
      </c>
      <c r="V324" s="8" t="str">
        <f aca="false">IF(AND(TRIM(E324)="US",TRIM(G324)="Non-Exempt"),IF(TRIM(D324)="CA","US California Non-Exempt","US Non-California Non-Exempt"),"")</f>
        <v>US Non-California Non-Exempt</v>
      </c>
      <c r="W324" s="8" t="str">
        <f aca="false">_xlfn.XLOOKUP(X324,ShiftCodes[Code],ShiftCodes[Work Schedule],"Unknown code")</f>
        <v>Shift B – Swing (Mon–Fri 14:00–22:30)</v>
      </c>
      <c r="X324" s="9" t="s">
        <v>85</v>
      </c>
      <c r="Y324" s="5"/>
    </row>
    <row r="325" customFormat="false" ht="15" hidden="false" customHeight="false" outlineLevel="0" collapsed="false">
      <c r="A325" s="5" t="s">
        <v>453</v>
      </c>
      <c r="B325" s="5" t="s">
        <v>112</v>
      </c>
      <c r="C325" s="5" t="s">
        <v>106</v>
      </c>
      <c r="D325" s="5" t="s">
        <v>42</v>
      </c>
      <c r="E325" s="5" t="s">
        <v>29</v>
      </c>
      <c r="F325" s="5" t="s">
        <v>165</v>
      </c>
      <c r="G325" s="5" t="s">
        <v>31</v>
      </c>
      <c r="H325" s="5" t="s">
        <v>8</v>
      </c>
      <c r="I325" s="10" t="n">
        <v>197000</v>
      </c>
      <c r="J325" s="12"/>
      <c r="K325" s="5" t="s">
        <v>33</v>
      </c>
      <c r="L325" s="5" t="s">
        <v>34</v>
      </c>
      <c r="M325" s="6" t="n">
        <v>46216</v>
      </c>
      <c r="N325" s="6"/>
      <c r="O325" s="6"/>
      <c r="P325" s="5" t="s">
        <v>182</v>
      </c>
      <c r="Q325" s="5" t="s">
        <v>36</v>
      </c>
      <c r="R325" s="16" t="s">
        <v>37</v>
      </c>
      <c r="S325" s="5" t="n">
        <v>40</v>
      </c>
      <c r="T325" s="5" t="s">
        <v>38</v>
      </c>
      <c r="U325" s="8" t="str">
        <f aca="false">IF(AND(TRIM(E325)="US",TRIM(G325)="Non-Exempt"),"US Non-Exempt EEs","")</f>
        <v/>
      </c>
      <c r="V325" s="8" t="str">
        <f aca="false">IF(AND(TRIM(E325)="US",TRIM(G325)="Non-Exempt"),IF(TRIM(D325)="CA","US California Non-Exempt","US Non-California Non-Exempt"),"")</f>
        <v/>
      </c>
      <c r="W325" s="8" t="str">
        <f aca="false">_xlfn.XLOOKUP(X325,ShiftCodes[Code],ShiftCodes[Work Schedule],"Unknown code")</f>
        <v>Standard (Mon–Fri 9:00–17:30)</v>
      </c>
      <c r="X325" s="9" t="s">
        <v>39</v>
      </c>
      <c r="Y325" s="5"/>
    </row>
    <row r="326" customFormat="false" ht="15" hidden="false" customHeight="false" outlineLevel="0" collapsed="false">
      <c r="A326" s="5" t="s">
        <v>454</v>
      </c>
      <c r="B326" s="5" t="s">
        <v>112</v>
      </c>
      <c r="C326" s="5" t="s">
        <v>100</v>
      </c>
      <c r="D326" s="5" t="s">
        <v>28</v>
      </c>
      <c r="E326" s="5" t="s">
        <v>29</v>
      </c>
      <c r="F326" s="5" t="s">
        <v>163</v>
      </c>
      <c r="G326" s="5" t="s">
        <v>31</v>
      </c>
      <c r="H326" s="5" t="s">
        <v>8</v>
      </c>
      <c r="I326" s="10" t="n">
        <v>168000</v>
      </c>
      <c r="J326" s="12"/>
      <c r="K326" s="5" t="s">
        <v>33</v>
      </c>
      <c r="L326" s="5" t="s">
        <v>34</v>
      </c>
      <c r="M326" s="6" t="n">
        <v>46216</v>
      </c>
      <c r="N326" s="6"/>
      <c r="O326" s="6"/>
      <c r="P326" s="5" t="s">
        <v>208</v>
      </c>
      <c r="Q326" s="5" t="s">
        <v>36</v>
      </c>
      <c r="R326" s="16" t="s">
        <v>37</v>
      </c>
      <c r="S326" s="5" t="n">
        <v>40</v>
      </c>
      <c r="T326" s="5" t="s">
        <v>38</v>
      </c>
      <c r="U326" s="8" t="str">
        <f aca="false">IF(AND(TRIM(E326)="US",TRIM(G326)="Non-Exempt"),"US Non-Exempt EEs","")</f>
        <v/>
      </c>
      <c r="V326" s="8" t="str">
        <f aca="false">IF(AND(TRIM(E326)="US",TRIM(G326)="Non-Exempt"),IF(TRIM(D326)="CA","US California Non-Exempt","US Non-California Non-Exempt"),"")</f>
        <v/>
      </c>
      <c r="W326" s="8" t="str">
        <f aca="false">_xlfn.XLOOKUP(X326,ShiftCodes[Code],ShiftCodes[Work Schedule],"Unknown code")</f>
        <v>Standard (Mon–Fri 9:00–17:30)</v>
      </c>
      <c r="X326" s="9" t="s">
        <v>39</v>
      </c>
      <c r="Y326" s="5"/>
    </row>
    <row r="327" customFormat="false" ht="15" hidden="false" customHeight="false" outlineLevel="0" collapsed="false">
      <c r="A327" s="5" t="s">
        <v>455</v>
      </c>
      <c r="B327" s="5" t="s">
        <v>109</v>
      </c>
      <c r="C327" s="5" t="s">
        <v>76</v>
      </c>
      <c r="D327" s="5" t="s">
        <v>28</v>
      </c>
      <c r="E327" s="5" t="s">
        <v>29</v>
      </c>
      <c r="F327" s="5" t="s">
        <v>165</v>
      </c>
      <c r="G327" s="5" t="s">
        <v>31</v>
      </c>
      <c r="H327" s="5" t="s">
        <v>8</v>
      </c>
      <c r="I327" s="10" t="n">
        <v>170000</v>
      </c>
      <c r="J327" s="12"/>
      <c r="K327" s="5" t="s">
        <v>33</v>
      </c>
      <c r="L327" s="5" t="s">
        <v>34</v>
      </c>
      <c r="M327" s="6" t="n">
        <v>46216</v>
      </c>
      <c r="N327" s="6"/>
      <c r="O327" s="6"/>
      <c r="P327" s="5" t="s">
        <v>213</v>
      </c>
      <c r="Q327" s="5" t="s">
        <v>36</v>
      </c>
      <c r="R327" s="16" t="s">
        <v>37</v>
      </c>
      <c r="S327" s="5" t="n">
        <v>40</v>
      </c>
      <c r="T327" s="5" t="s">
        <v>38</v>
      </c>
      <c r="U327" s="8" t="str">
        <f aca="false">IF(AND(TRIM(E327)="US",TRIM(G327)="Non-Exempt"),"US Non-Exempt EEs","")</f>
        <v/>
      </c>
      <c r="V327" s="8" t="str">
        <f aca="false">IF(AND(TRIM(E327)="US",TRIM(G327)="Non-Exempt"),IF(TRIM(D327)="CA","US California Non-Exempt","US Non-California Non-Exempt"),"")</f>
        <v/>
      </c>
      <c r="W327" s="8" t="str">
        <f aca="false">_xlfn.XLOOKUP(X327,ShiftCodes[Code],ShiftCodes[Work Schedule],"Unknown code")</f>
        <v>Standard (Mon–Fri 9:00–17:30)</v>
      </c>
      <c r="X327" s="9" t="s">
        <v>39</v>
      </c>
      <c r="Y327" s="5"/>
    </row>
    <row r="328" customFormat="false" ht="15" hidden="false" customHeight="false" outlineLevel="0" collapsed="false">
      <c r="A328" s="5" t="s">
        <v>456</v>
      </c>
      <c r="B328" s="5" t="s">
        <v>112</v>
      </c>
      <c r="C328" s="5" t="s">
        <v>41</v>
      </c>
      <c r="D328" s="5" t="s">
        <v>28</v>
      </c>
      <c r="E328" s="5" t="s">
        <v>29</v>
      </c>
      <c r="F328" s="5" t="s">
        <v>149</v>
      </c>
      <c r="G328" s="5" t="s">
        <v>31</v>
      </c>
      <c r="H328" s="5" t="s">
        <v>8</v>
      </c>
      <c r="I328" s="10" t="n">
        <v>102000</v>
      </c>
      <c r="J328" s="12"/>
      <c r="K328" s="5" t="s">
        <v>33</v>
      </c>
      <c r="L328" s="5" t="s">
        <v>34</v>
      </c>
      <c r="M328" s="6" t="n">
        <v>46235</v>
      </c>
      <c r="N328" s="6"/>
      <c r="O328" s="6"/>
      <c r="P328" s="5" t="s">
        <v>208</v>
      </c>
      <c r="Q328" s="5" t="s">
        <v>36</v>
      </c>
      <c r="R328" s="16" t="s">
        <v>37</v>
      </c>
      <c r="S328" s="5" t="n">
        <v>40</v>
      </c>
      <c r="T328" s="5" t="s">
        <v>38</v>
      </c>
      <c r="U328" s="8" t="str">
        <f aca="false">IF(AND(TRIM(E328)="US",TRIM(G328)="Non-Exempt"),"US Non-Exempt EEs","")</f>
        <v/>
      </c>
      <c r="V328" s="8" t="str">
        <f aca="false">IF(AND(TRIM(E328)="US",TRIM(G328)="Non-Exempt"),IF(TRIM(D328)="CA","US California Non-Exempt","US Non-California Non-Exempt"),"")</f>
        <v/>
      </c>
      <c r="W328" s="8" t="str">
        <f aca="false">_xlfn.XLOOKUP(X328,ShiftCodes[Code],ShiftCodes[Work Schedule],"Unknown code")</f>
        <v>Standard (Mon–Fri 9:00–17:30)</v>
      </c>
      <c r="X328" s="9" t="s">
        <v>39</v>
      </c>
      <c r="Y328" s="5" t="s">
        <v>395</v>
      </c>
    </row>
    <row r="329" customFormat="false" ht="15" hidden="false" customHeight="false" outlineLevel="0" collapsed="false">
      <c r="A329" s="5" t="s">
        <v>457</v>
      </c>
      <c r="B329" s="5" t="s">
        <v>112</v>
      </c>
      <c r="C329" s="5" t="s">
        <v>100</v>
      </c>
      <c r="D329" s="5" t="s">
        <v>28</v>
      </c>
      <c r="E329" s="5" t="s">
        <v>29</v>
      </c>
      <c r="F329" s="5" t="s">
        <v>165</v>
      </c>
      <c r="G329" s="5" t="s">
        <v>31</v>
      </c>
      <c r="H329" s="5" t="s">
        <v>8</v>
      </c>
      <c r="I329" s="10" t="n">
        <v>195000</v>
      </c>
      <c r="J329" s="12"/>
      <c r="K329" s="5" t="s">
        <v>33</v>
      </c>
      <c r="L329" s="5" t="s">
        <v>34</v>
      </c>
      <c r="M329" s="6" t="n">
        <v>46226</v>
      </c>
      <c r="N329" s="6"/>
      <c r="O329" s="6"/>
      <c r="P329" s="5" t="s">
        <v>204</v>
      </c>
      <c r="Q329" s="5" t="s">
        <v>36</v>
      </c>
      <c r="R329" s="16" t="s">
        <v>37</v>
      </c>
      <c r="S329" s="5" t="n">
        <v>40</v>
      </c>
      <c r="T329" s="5" t="s">
        <v>38</v>
      </c>
      <c r="U329" s="8" t="str">
        <f aca="false">IF(AND(TRIM(E329)="US",TRIM(G329)="Non-Exempt"),"US Non-Exempt EEs","")</f>
        <v/>
      </c>
      <c r="V329" s="8" t="str">
        <f aca="false">IF(AND(TRIM(E329)="US",TRIM(G329)="Non-Exempt"),IF(TRIM(D329)="CA","US California Non-Exempt","US Non-California Non-Exempt"),"")</f>
        <v/>
      </c>
      <c r="W329" s="8" t="str">
        <f aca="false">_xlfn.XLOOKUP(X329,ShiftCodes[Code],ShiftCodes[Work Schedule],"Unknown code")</f>
        <v>Standard (Mon–Fri 9:00–17:30)</v>
      </c>
      <c r="X329" s="9" t="s">
        <v>39</v>
      </c>
      <c r="Y329" s="5"/>
    </row>
    <row r="330" customFormat="false" ht="15" hidden="false" customHeight="false" outlineLevel="0" collapsed="false">
      <c r="A330" s="5" t="s">
        <v>458</v>
      </c>
      <c r="B330" s="5" t="s">
        <v>99</v>
      </c>
      <c r="C330" s="5" t="s">
        <v>41</v>
      </c>
      <c r="D330" s="5" t="s">
        <v>189</v>
      </c>
      <c r="E330" s="5" t="s">
        <v>29</v>
      </c>
      <c r="F330" s="5" t="s">
        <v>165</v>
      </c>
      <c r="G330" s="5" t="s">
        <v>31</v>
      </c>
      <c r="H330" s="5" t="s">
        <v>8</v>
      </c>
      <c r="I330" s="10" t="n">
        <v>159000</v>
      </c>
      <c r="J330" s="12"/>
      <c r="K330" s="5" t="s">
        <v>33</v>
      </c>
      <c r="L330" s="5" t="s">
        <v>34</v>
      </c>
      <c r="M330" s="6" t="n">
        <v>46226</v>
      </c>
      <c r="N330" s="6"/>
      <c r="O330" s="6"/>
      <c r="P330" s="5" t="s">
        <v>159</v>
      </c>
      <c r="Q330" s="5" t="s">
        <v>36</v>
      </c>
      <c r="R330" s="16" t="s">
        <v>37</v>
      </c>
      <c r="S330" s="5" t="n">
        <v>40</v>
      </c>
      <c r="T330" s="5" t="s">
        <v>38</v>
      </c>
      <c r="U330" s="8" t="str">
        <f aca="false">IF(AND(TRIM(E330)="US",TRIM(G330)="Non-Exempt"),"US Non-Exempt EEs","")</f>
        <v/>
      </c>
      <c r="V330" s="8" t="str">
        <f aca="false">IF(AND(TRIM(E330)="US",TRIM(G330)="Non-Exempt"),IF(TRIM(D330)="CA","US California Non-Exempt","US Non-California Non-Exempt"),"")</f>
        <v/>
      </c>
      <c r="W330" s="8" t="str">
        <f aca="false">_xlfn.XLOOKUP(X330,ShiftCodes[Code],ShiftCodes[Work Schedule],"Unknown code")</f>
        <v>Standard (Mon–Fri 9:00–17:30)</v>
      </c>
      <c r="X330" s="9" t="s">
        <v>39</v>
      </c>
      <c r="Y330" s="5"/>
    </row>
    <row r="331" customFormat="false" ht="15" hidden="false" customHeight="false" outlineLevel="0" collapsed="false">
      <c r="A331" s="5" t="s">
        <v>459</v>
      </c>
      <c r="B331" s="5" t="s">
        <v>103</v>
      </c>
      <c r="C331" s="5" t="s">
        <v>180</v>
      </c>
      <c r="D331" s="5" t="s">
        <v>52</v>
      </c>
      <c r="E331" s="5" t="s">
        <v>52</v>
      </c>
      <c r="F331" s="5" t="s">
        <v>124</v>
      </c>
      <c r="G331" s="5" t="s">
        <v>31</v>
      </c>
      <c r="H331" s="5" t="s">
        <v>8</v>
      </c>
      <c r="I331" s="10" t="n">
        <v>65000</v>
      </c>
      <c r="J331" s="19"/>
      <c r="K331" s="5" t="s">
        <v>55</v>
      </c>
      <c r="L331" s="5" t="s">
        <v>56</v>
      </c>
      <c r="M331" s="6" t="n">
        <v>46228</v>
      </c>
      <c r="N331" s="6"/>
      <c r="O331" s="6"/>
      <c r="P331" s="5" t="s">
        <v>218</v>
      </c>
      <c r="Q331" s="5" t="s">
        <v>36</v>
      </c>
      <c r="R331" s="16" t="s">
        <v>37</v>
      </c>
      <c r="S331" s="5" t="n">
        <v>37.5</v>
      </c>
      <c r="T331" s="5" t="s">
        <v>38</v>
      </c>
      <c r="U331" s="8" t="str">
        <f aca="false">IF(AND(TRIM(E331)="US",TRIM(G331)="Non-Exempt"),"US Non-Exempt EEs","")</f>
        <v/>
      </c>
      <c r="V331" s="8" t="str">
        <f aca="false">IF(AND(TRIM(E331)="US",TRIM(G331)="Non-Exempt"),IF(TRIM(D331)="CA","US California Non-Exempt","US Non-California Non-Exempt"),"")</f>
        <v/>
      </c>
      <c r="W331" s="8" t="str">
        <f aca="false">_xlfn.XLOOKUP(X331,ShiftCodes[Code],ShiftCodes[Work Schedule],"Unknown code")</f>
        <v>Standard (Mon–Fri 9:00–17:30)</v>
      </c>
      <c r="X331" s="9" t="s">
        <v>39</v>
      </c>
      <c r="Y331" s="5"/>
    </row>
    <row r="332" customFormat="false" ht="15" hidden="false" customHeight="false" outlineLevel="0" collapsed="false">
      <c r="A332" s="5" t="s">
        <v>460</v>
      </c>
      <c r="B332" s="5" t="s">
        <v>112</v>
      </c>
      <c r="C332" s="5" t="s">
        <v>68</v>
      </c>
      <c r="D332" s="5" t="s">
        <v>69</v>
      </c>
      <c r="E332" s="5" t="s">
        <v>70</v>
      </c>
      <c r="F332" s="5" t="s">
        <v>163</v>
      </c>
      <c r="G332" s="5" t="s">
        <v>31</v>
      </c>
      <c r="H332" s="5" t="s">
        <v>8</v>
      </c>
      <c r="I332" s="17" t="n">
        <v>3470000</v>
      </c>
      <c r="J332" s="18"/>
      <c r="K332" s="5" t="s">
        <v>72</v>
      </c>
      <c r="L332" s="5" t="s">
        <v>73</v>
      </c>
      <c r="M332" s="6" t="n">
        <v>46228</v>
      </c>
      <c r="N332" s="6"/>
      <c r="O332" s="6"/>
      <c r="P332" s="5" t="s">
        <v>209</v>
      </c>
      <c r="Q332" s="5" t="s">
        <v>36</v>
      </c>
      <c r="R332" s="16" t="s">
        <v>37</v>
      </c>
      <c r="S332" s="5" t="n">
        <v>40</v>
      </c>
      <c r="T332" s="5" t="s">
        <v>38</v>
      </c>
      <c r="U332" s="8" t="str">
        <f aca="false">IF(AND(TRIM(E332)="US",TRIM(G332)="Non-Exempt"),"US Non-Exempt EEs","")</f>
        <v/>
      </c>
      <c r="V332" s="8" t="str">
        <f aca="false">IF(AND(TRIM(E332)="US",TRIM(G332)="Non-Exempt"),IF(TRIM(D332)="CA","US California Non-Exempt","US Non-California Non-Exempt"),"")</f>
        <v/>
      </c>
      <c r="W332" s="8" t="str">
        <f aca="false">_xlfn.XLOOKUP(X332,ShiftCodes[Code],ShiftCodes[Work Schedule],"Unknown code")</f>
        <v>Standard (Mon–Fri 9:00–17:30)</v>
      </c>
      <c r="X332" s="9" t="s">
        <v>39</v>
      </c>
      <c r="Y332" s="5"/>
    </row>
    <row r="333" customFormat="false" ht="15" hidden="false" customHeight="false" outlineLevel="0" collapsed="false">
      <c r="A333" s="5" t="s">
        <v>461</v>
      </c>
      <c r="B333" s="5" t="s">
        <v>103</v>
      </c>
      <c r="C333" s="5" t="s">
        <v>41</v>
      </c>
      <c r="D333" s="5" t="s">
        <v>154</v>
      </c>
      <c r="E333" s="5" t="s">
        <v>29</v>
      </c>
      <c r="F333" s="5" t="s">
        <v>236</v>
      </c>
      <c r="G333" s="5" t="s">
        <v>31</v>
      </c>
      <c r="H333" s="5" t="s">
        <v>8</v>
      </c>
      <c r="I333" s="10" t="n">
        <v>259000</v>
      </c>
      <c r="J333" s="12"/>
      <c r="K333" s="5" t="s">
        <v>33</v>
      </c>
      <c r="L333" s="5" t="s">
        <v>34</v>
      </c>
      <c r="M333" s="6" t="n">
        <v>46240</v>
      </c>
      <c r="N333" s="6"/>
      <c r="O333" s="6"/>
      <c r="P333" s="5" t="s">
        <v>274</v>
      </c>
      <c r="Q333" s="5" t="s">
        <v>36</v>
      </c>
      <c r="R333" s="16" t="s">
        <v>37</v>
      </c>
      <c r="S333" s="5" t="n">
        <v>40</v>
      </c>
      <c r="T333" s="5" t="s">
        <v>38</v>
      </c>
      <c r="U333" s="8" t="str">
        <f aca="false">IF(AND(TRIM(E333)="US",TRIM(G333)="Non-Exempt"),"US Non-Exempt EEs","")</f>
        <v/>
      </c>
      <c r="V333" s="8" t="str">
        <f aca="false">IF(AND(TRIM(E333)="US",TRIM(G333)="Non-Exempt"),IF(TRIM(D333)="CA","US California Non-Exempt","US Non-California Non-Exempt"),"")</f>
        <v/>
      </c>
      <c r="W333" s="8" t="str">
        <f aca="false">_xlfn.XLOOKUP(X333,ShiftCodes[Code],ShiftCodes[Work Schedule],"Unknown code")</f>
        <v>Standard (Mon–Fri 9:00–17:30)</v>
      </c>
      <c r="X333" s="9" t="s">
        <v>39</v>
      </c>
      <c r="Y333" s="5"/>
    </row>
    <row r="334" customFormat="false" ht="15" hidden="false" customHeight="false" outlineLevel="0" collapsed="false">
      <c r="A334" s="5" t="s">
        <v>462</v>
      </c>
      <c r="B334" s="5" t="s">
        <v>103</v>
      </c>
      <c r="C334" s="5" t="s">
        <v>100</v>
      </c>
      <c r="D334" s="5" t="s">
        <v>28</v>
      </c>
      <c r="E334" s="5" t="s">
        <v>29</v>
      </c>
      <c r="F334" s="5" t="s">
        <v>165</v>
      </c>
      <c r="G334" s="5" t="s">
        <v>31</v>
      </c>
      <c r="H334" s="5" t="s">
        <v>8</v>
      </c>
      <c r="I334" s="10" t="n">
        <v>200000</v>
      </c>
      <c r="J334" s="12"/>
      <c r="K334" s="5" t="s">
        <v>33</v>
      </c>
      <c r="L334" s="5" t="s">
        <v>34</v>
      </c>
      <c r="M334" s="6" t="n">
        <v>46241</v>
      </c>
      <c r="N334" s="6"/>
      <c r="O334" s="6"/>
      <c r="P334" s="5" t="s">
        <v>175</v>
      </c>
      <c r="Q334" s="5" t="s">
        <v>36</v>
      </c>
      <c r="R334" s="16" t="s">
        <v>37</v>
      </c>
      <c r="S334" s="5" t="n">
        <v>40</v>
      </c>
      <c r="T334" s="5" t="s">
        <v>38</v>
      </c>
      <c r="U334" s="8" t="str">
        <f aca="false">IF(AND(TRIM(E334)="US",TRIM(G334)="Non-Exempt"),"US Non-Exempt EEs","")</f>
        <v/>
      </c>
      <c r="V334" s="8" t="str">
        <f aca="false">IF(AND(TRIM(E334)="US",TRIM(G334)="Non-Exempt"),IF(TRIM(D334)="CA","US California Non-Exempt","US Non-California Non-Exempt"),"")</f>
        <v/>
      </c>
      <c r="W334" s="8" t="str">
        <f aca="false">_xlfn.XLOOKUP(X334,ShiftCodes[Code],ShiftCodes[Work Schedule],"Unknown code")</f>
        <v>Standard (Mon–Fri 9:00–17:30)</v>
      </c>
      <c r="X334" s="9" t="s">
        <v>39</v>
      </c>
      <c r="Y334" s="5"/>
    </row>
    <row r="335" customFormat="false" ht="15" hidden="false" customHeight="false" outlineLevel="0" collapsed="false">
      <c r="A335" s="5" t="s">
        <v>463</v>
      </c>
      <c r="B335" s="5" t="s">
        <v>109</v>
      </c>
      <c r="C335" s="5" t="s">
        <v>113</v>
      </c>
      <c r="D335" s="5" t="s">
        <v>84</v>
      </c>
      <c r="E335" s="5" t="s">
        <v>29</v>
      </c>
      <c r="F335" s="5" t="s">
        <v>130</v>
      </c>
      <c r="G335" s="5" t="s">
        <v>78</v>
      </c>
      <c r="H335" s="5" t="s">
        <v>79</v>
      </c>
      <c r="I335" s="10"/>
      <c r="J335" s="12" t="n">
        <v>25.25</v>
      </c>
      <c r="K335" s="5" t="s">
        <v>33</v>
      </c>
      <c r="L335" s="5" t="s">
        <v>80</v>
      </c>
      <c r="M335" s="6" t="n">
        <v>46252</v>
      </c>
      <c r="N335" s="6"/>
      <c r="O335" s="6"/>
      <c r="P335" s="5" t="s">
        <v>118</v>
      </c>
      <c r="Q335" s="5" t="s">
        <v>36</v>
      </c>
      <c r="R335" s="16" t="s">
        <v>37</v>
      </c>
      <c r="S335" s="5" t="n">
        <v>40</v>
      </c>
      <c r="T335" s="5" t="s">
        <v>38</v>
      </c>
      <c r="U335" s="8" t="str">
        <f aca="false">IF(AND(TRIM(E335)="US",TRIM(G335)="Non-Exempt"),"US Non-Exempt EEs","")</f>
        <v>US Non-Exempt EEs</v>
      </c>
      <c r="V335" s="8" t="str">
        <f aca="false">IF(AND(TRIM(E335)="US",TRIM(G335)="Non-Exempt"),IF(TRIM(D335)="CA","US California Non-Exempt","US Non-California Non-Exempt"),"")</f>
        <v>US Non-California Non-Exempt</v>
      </c>
      <c r="W335" s="8" t="str">
        <f aca="false">_xlfn.XLOOKUP(X335,ShiftCodes[Code],ShiftCodes[Work Schedule],"Unknown code")</f>
        <v>Shift A – Day (Mon–Fri 06:00–14:30)</v>
      </c>
      <c r="X335" s="9" t="s">
        <v>81</v>
      </c>
      <c r="Y335" s="5"/>
    </row>
    <row r="336" customFormat="false" ht="15" hidden="false" customHeight="false" outlineLevel="0" collapsed="false">
      <c r="A336" s="5" t="s">
        <v>464</v>
      </c>
      <c r="B336" s="5" t="s">
        <v>103</v>
      </c>
      <c r="C336" s="5" t="s">
        <v>100</v>
      </c>
      <c r="D336" s="5" t="s">
        <v>28</v>
      </c>
      <c r="E336" s="5" t="s">
        <v>29</v>
      </c>
      <c r="F336" s="5" t="s">
        <v>236</v>
      </c>
      <c r="G336" s="5" t="s">
        <v>31</v>
      </c>
      <c r="H336" s="5" t="s">
        <v>8</v>
      </c>
      <c r="I336" s="10" t="n">
        <v>245000</v>
      </c>
      <c r="J336" s="12"/>
      <c r="K336" s="5" t="s">
        <v>33</v>
      </c>
      <c r="L336" s="5" t="s">
        <v>34</v>
      </c>
      <c r="M336" s="6" t="n">
        <v>46255</v>
      </c>
      <c r="N336" s="6"/>
      <c r="O336" s="6"/>
      <c r="P336" s="5" t="s">
        <v>175</v>
      </c>
      <c r="Q336" s="5" t="s">
        <v>36</v>
      </c>
      <c r="R336" s="16" t="s">
        <v>37</v>
      </c>
      <c r="S336" s="5" t="n">
        <v>40</v>
      </c>
      <c r="T336" s="5" t="s">
        <v>38</v>
      </c>
      <c r="U336" s="8" t="str">
        <f aca="false">IF(AND(TRIM(E336)="US",TRIM(G336)="Non-Exempt"),"US Non-Exempt EEs","")</f>
        <v/>
      </c>
      <c r="V336" s="8" t="str">
        <f aca="false">IF(AND(TRIM(E336)="US",TRIM(G336)="Non-Exempt"),IF(TRIM(D336)="CA","US California Non-Exempt","US Non-California Non-Exempt"),"")</f>
        <v/>
      </c>
      <c r="W336" s="8" t="str">
        <f aca="false">_xlfn.XLOOKUP(X336,ShiftCodes[Code],ShiftCodes[Work Schedule],"Unknown code")</f>
        <v>Standard (Mon–Fri 9:00–17:30)</v>
      </c>
      <c r="X336" s="9" t="s">
        <v>39</v>
      </c>
      <c r="Y336" s="5"/>
    </row>
    <row r="337" customFormat="false" ht="15" hidden="false" customHeight="false" outlineLevel="0" collapsed="false">
      <c r="A337" s="5" t="s">
        <v>465</v>
      </c>
      <c r="B337" s="5" t="s">
        <v>103</v>
      </c>
      <c r="C337" s="5" t="s">
        <v>100</v>
      </c>
      <c r="D337" s="5" t="s">
        <v>28</v>
      </c>
      <c r="E337" s="5" t="s">
        <v>29</v>
      </c>
      <c r="F337" s="5" t="s">
        <v>149</v>
      </c>
      <c r="G337" s="5" t="s">
        <v>31</v>
      </c>
      <c r="H337" s="5" t="s">
        <v>8</v>
      </c>
      <c r="I337" s="10" t="n">
        <v>106000</v>
      </c>
      <c r="J337" s="12"/>
      <c r="K337" s="5" t="s">
        <v>33</v>
      </c>
      <c r="L337" s="5" t="s">
        <v>34</v>
      </c>
      <c r="M337" s="6" t="n">
        <v>46250</v>
      </c>
      <c r="N337" s="6"/>
      <c r="O337" s="6"/>
      <c r="P337" s="5" t="s">
        <v>255</v>
      </c>
      <c r="Q337" s="5" t="s">
        <v>36</v>
      </c>
      <c r="R337" s="16" t="s">
        <v>37</v>
      </c>
      <c r="S337" s="5" t="n">
        <v>40</v>
      </c>
      <c r="T337" s="5" t="s">
        <v>38</v>
      </c>
      <c r="U337" s="8" t="str">
        <f aca="false">IF(AND(TRIM(E337)="US",TRIM(G337)="Non-Exempt"),"US Non-Exempt EEs","")</f>
        <v/>
      </c>
      <c r="V337" s="8" t="str">
        <f aca="false">IF(AND(TRIM(E337)="US",TRIM(G337)="Non-Exempt"),IF(TRIM(D337)="CA","US California Non-Exempt","US Non-California Non-Exempt"),"")</f>
        <v/>
      </c>
      <c r="W337" s="8" t="str">
        <f aca="false">_xlfn.XLOOKUP(X337,ShiftCodes[Code],ShiftCodes[Work Schedule],"Unknown code")</f>
        <v>Standard (Mon–Fri 9:00–17:30)</v>
      </c>
      <c r="X337" s="9" t="s">
        <v>39</v>
      </c>
      <c r="Y337" s="5" t="s">
        <v>402</v>
      </c>
    </row>
    <row r="338" customFormat="false" ht="15" hidden="false" customHeight="false" outlineLevel="0" collapsed="false">
      <c r="A338" s="5" t="s">
        <v>466</v>
      </c>
      <c r="B338" s="5" t="s">
        <v>103</v>
      </c>
      <c r="C338" s="5" t="s">
        <v>106</v>
      </c>
      <c r="D338" s="5" t="s">
        <v>42</v>
      </c>
      <c r="E338" s="5" t="s">
        <v>29</v>
      </c>
      <c r="F338" s="5" t="s">
        <v>149</v>
      </c>
      <c r="G338" s="5" t="s">
        <v>31</v>
      </c>
      <c r="H338" s="5" t="s">
        <v>8</v>
      </c>
      <c r="I338" s="10" t="n">
        <v>120000</v>
      </c>
      <c r="J338" s="12"/>
      <c r="K338" s="5" t="s">
        <v>33</v>
      </c>
      <c r="L338" s="5" t="s">
        <v>34</v>
      </c>
      <c r="M338" s="6" t="n">
        <v>46268</v>
      </c>
      <c r="N338" s="6"/>
      <c r="O338" s="6"/>
      <c r="P338" s="5" t="s">
        <v>226</v>
      </c>
      <c r="Q338" s="5" t="s">
        <v>36</v>
      </c>
      <c r="R338" s="16" t="s">
        <v>37</v>
      </c>
      <c r="S338" s="5" t="n">
        <v>40</v>
      </c>
      <c r="T338" s="5" t="s">
        <v>38</v>
      </c>
      <c r="U338" s="8" t="str">
        <f aca="false">IF(AND(TRIM(E338)="US",TRIM(G338)="Non-Exempt"),"US Non-Exempt EEs","")</f>
        <v/>
      </c>
      <c r="V338" s="8" t="str">
        <f aca="false">IF(AND(TRIM(E338)="US",TRIM(G338)="Non-Exempt"),IF(TRIM(D338)="CA","US California Non-Exempt","US Non-California Non-Exempt"),"")</f>
        <v/>
      </c>
      <c r="W338" s="8" t="str">
        <f aca="false">_xlfn.XLOOKUP(X338,ShiftCodes[Code],ShiftCodes[Work Schedule],"Unknown code")</f>
        <v>Standard (Mon–Fri 9:00–17:30)</v>
      </c>
      <c r="X338" s="9" t="s">
        <v>39</v>
      </c>
      <c r="Y338" s="5"/>
    </row>
    <row r="339" customFormat="false" ht="15" hidden="false" customHeight="false" outlineLevel="0" collapsed="false">
      <c r="A339" s="5" t="s">
        <v>467</v>
      </c>
      <c r="B339" s="5" t="s">
        <v>112</v>
      </c>
      <c r="C339" s="5" t="s">
        <v>180</v>
      </c>
      <c r="D339" s="5" t="s">
        <v>52</v>
      </c>
      <c r="E339" s="5" t="s">
        <v>52</v>
      </c>
      <c r="F339" s="5" t="s">
        <v>163</v>
      </c>
      <c r="G339" s="5" t="s">
        <v>31</v>
      </c>
      <c r="H339" s="5" t="s">
        <v>8</v>
      </c>
      <c r="I339" s="10" t="n">
        <v>84000</v>
      </c>
      <c r="J339" s="19"/>
      <c r="K339" s="5" t="s">
        <v>55</v>
      </c>
      <c r="L339" s="5" t="s">
        <v>56</v>
      </c>
      <c r="M339" s="6" t="n">
        <v>46277</v>
      </c>
      <c r="N339" s="6"/>
      <c r="O339" s="6"/>
      <c r="P339" s="5" t="s">
        <v>179</v>
      </c>
      <c r="Q339" s="5" t="s">
        <v>36</v>
      </c>
      <c r="R339" s="16" t="s">
        <v>37</v>
      </c>
      <c r="S339" s="5" t="n">
        <v>37.5</v>
      </c>
      <c r="T339" s="5" t="s">
        <v>38</v>
      </c>
      <c r="U339" s="8" t="str">
        <f aca="false">IF(AND(TRIM(E339)="US",TRIM(G339)="Non-Exempt"),"US Non-Exempt EEs","")</f>
        <v/>
      </c>
      <c r="V339" s="8" t="str">
        <f aca="false">IF(AND(TRIM(E339)="US",TRIM(G339)="Non-Exempt"),IF(TRIM(D339)="CA","US California Non-Exempt","US Non-California Non-Exempt"),"")</f>
        <v/>
      </c>
      <c r="W339" s="8" t="str">
        <f aca="false">_xlfn.XLOOKUP(X339,ShiftCodes[Code],ShiftCodes[Work Schedule],"Unknown code")</f>
        <v>Standard (Mon–Fri 9:00–17:30)</v>
      </c>
      <c r="X339" s="9" t="s">
        <v>39</v>
      </c>
      <c r="Y339" s="5"/>
    </row>
    <row r="340" customFormat="false" ht="15" hidden="false" customHeight="false" outlineLevel="0" collapsed="false">
      <c r="A340" s="5" t="s">
        <v>468</v>
      </c>
      <c r="B340" s="5" t="s">
        <v>112</v>
      </c>
      <c r="C340" s="5" t="s">
        <v>68</v>
      </c>
      <c r="D340" s="5" t="s">
        <v>69</v>
      </c>
      <c r="E340" s="5" t="s">
        <v>70</v>
      </c>
      <c r="F340" s="5" t="s">
        <v>236</v>
      </c>
      <c r="G340" s="5" t="s">
        <v>31</v>
      </c>
      <c r="H340" s="5" t="s">
        <v>8</v>
      </c>
      <c r="I340" s="17" t="n">
        <v>8380000</v>
      </c>
      <c r="J340" s="18"/>
      <c r="K340" s="5" t="s">
        <v>72</v>
      </c>
      <c r="L340" s="5" t="s">
        <v>73</v>
      </c>
      <c r="M340" s="6" t="n">
        <v>46280</v>
      </c>
      <c r="N340" s="6"/>
      <c r="O340" s="6"/>
      <c r="P340" s="5" t="s">
        <v>209</v>
      </c>
      <c r="Q340" s="5" t="s">
        <v>36</v>
      </c>
      <c r="R340" s="16" t="s">
        <v>37</v>
      </c>
      <c r="S340" s="5" t="n">
        <v>40</v>
      </c>
      <c r="T340" s="5" t="s">
        <v>38</v>
      </c>
      <c r="U340" s="8" t="str">
        <f aca="false">IF(AND(TRIM(E340)="US",TRIM(G340)="Non-Exempt"),"US Non-Exempt EEs","")</f>
        <v/>
      </c>
      <c r="V340" s="8" t="str">
        <f aca="false">IF(AND(TRIM(E340)="US",TRIM(G340)="Non-Exempt"),IF(TRIM(D340)="CA","US California Non-Exempt","US Non-California Non-Exempt"),"")</f>
        <v/>
      </c>
      <c r="W340" s="8" t="str">
        <f aca="false">_xlfn.XLOOKUP(X340,ShiftCodes[Code],ShiftCodes[Work Schedule],"Unknown code")</f>
        <v>Standard (Mon–Fri 9:00–17:30)</v>
      </c>
      <c r="X340" s="9" t="s">
        <v>39</v>
      </c>
      <c r="Y340" s="5"/>
    </row>
    <row r="341" customFormat="false" ht="15" hidden="false" customHeight="false" outlineLevel="0" collapsed="false">
      <c r="A341" s="5" t="s">
        <v>469</v>
      </c>
      <c r="B341" s="5" t="s">
        <v>112</v>
      </c>
      <c r="C341" s="5" t="s">
        <v>68</v>
      </c>
      <c r="D341" s="5" t="s">
        <v>69</v>
      </c>
      <c r="E341" s="5" t="s">
        <v>70</v>
      </c>
      <c r="F341" s="5" t="s">
        <v>156</v>
      </c>
      <c r="G341" s="5" t="s">
        <v>31</v>
      </c>
      <c r="H341" s="5" t="s">
        <v>8</v>
      </c>
      <c r="I341" s="17" t="n">
        <v>7480000</v>
      </c>
      <c r="J341" s="18"/>
      <c r="K341" s="5" t="s">
        <v>72</v>
      </c>
      <c r="L341" s="5" t="s">
        <v>73</v>
      </c>
      <c r="M341" s="6" t="n">
        <v>46281</v>
      </c>
      <c r="N341" s="6"/>
      <c r="O341" s="6"/>
      <c r="P341" s="5" t="s">
        <v>209</v>
      </c>
      <c r="Q341" s="5" t="s">
        <v>36</v>
      </c>
      <c r="R341" s="16" t="s">
        <v>37</v>
      </c>
      <c r="S341" s="5" t="n">
        <v>40</v>
      </c>
      <c r="T341" s="5" t="s">
        <v>38</v>
      </c>
      <c r="U341" s="8" t="str">
        <f aca="false">IF(AND(TRIM(E341)="US",TRIM(G341)="Non-Exempt"),"US Non-Exempt EEs","")</f>
        <v/>
      </c>
      <c r="V341" s="8" t="str">
        <f aca="false">IF(AND(TRIM(E341)="US",TRIM(G341)="Non-Exempt"),IF(TRIM(D341)="CA","US California Non-Exempt","US Non-California Non-Exempt"),"")</f>
        <v/>
      </c>
      <c r="W341" s="8" t="str">
        <f aca="false">_xlfn.XLOOKUP(X341,ShiftCodes[Code],ShiftCodes[Work Schedule],"Unknown code")</f>
        <v>Standard (Mon–Fri 9:00–17:30)</v>
      </c>
      <c r="X341" s="9" t="s">
        <v>39</v>
      </c>
      <c r="Y341" s="5"/>
    </row>
    <row r="342" customFormat="false" ht="15" hidden="false" customHeight="false" outlineLevel="0" collapsed="false">
      <c r="A342" s="5" t="s">
        <v>470</v>
      </c>
      <c r="B342" s="5" t="s">
        <v>112</v>
      </c>
      <c r="C342" s="5" t="s">
        <v>180</v>
      </c>
      <c r="D342" s="5" t="s">
        <v>52</v>
      </c>
      <c r="E342" s="5" t="s">
        <v>52</v>
      </c>
      <c r="F342" s="5" t="s">
        <v>124</v>
      </c>
      <c r="G342" s="5" t="s">
        <v>31</v>
      </c>
      <c r="H342" s="5" t="s">
        <v>8</v>
      </c>
      <c r="I342" s="10" t="n">
        <v>73000</v>
      </c>
      <c r="J342" s="19"/>
      <c r="K342" s="5" t="s">
        <v>55</v>
      </c>
      <c r="L342" s="5" t="s">
        <v>56</v>
      </c>
      <c r="M342" s="6" t="n">
        <v>46288</v>
      </c>
      <c r="N342" s="6"/>
      <c r="O342" s="6"/>
      <c r="P342" s="5" t="s">
        <v>179</v>
      </c>
      <c r="Q342" s="5" t="s">
        <v>36</v>
      </c>
      <c r="R342" s="16" t="s">
        <v>37</v>
      </c>
      <c r="S342" s="5" t="n">
        <v>37.5</v>
      </c>
      <c r="T342" s="5" t="s">
        <v>38</v>
      </c>
      <c r="U342" s="8" t="str">
        <f aca="false">IF(AND(TRIM(E342)="US",TRIM(G342)="Non-Exempt"),"US Non-Exempt EEs","")</f>
        <v/>
      </c>
      <c r="V342" s="8" t="str">
        <f aca="false">IF(AND(TRIM(E342)="US",TRIM(G342)="Non-Exempt"),IF(TRIM(D342)="CA","US California Non-Exempt","US Non-California Non-Exempt"),"")</f>
        <v/>
      </c>
      <c r="W342" s="8" t="str">
        <f aca="false">_xlfn.XLOOKUP(X342,ShiftCodes[Code],ShiftCodes[Work Schedule],"Unknown code")</f>
        <v>Standard (Mon–Fri 9:00–17:30)</v>
      </c>
      <c r="X342" s="9" t="s">
        <v>39</v>
      </c>
      <c r="Y342" s="5"/>
    </row>
    <row r="343" customFormat="false" ht="15" hidden="false" customHeight="false" outlineLevel="0" collapsed="false">
      <c r="A343" s="5" t="s">
        <v>471</v>
      </c>
      <c r="B343" s="5" t="s">
        <v>112</v>
      </c>
      <c r="C343" s="5" t="s">
        <v>180</v>
      </c>
      <c r="D343" s="5" t="s">
        <v>52</v>
      </c>
      <c r="E343" s="5" t="s">
        <v>52</v>
      </c>
      <c r="F343" s="5" t="s">
        <v>163</v>
      </c>
      <c r="G343" s="5" t="s">
        <v>31</v>
      </c>
      <c r="H343" s="5" t="s">
        <v>8</v>
      </c>
      <c r="I343" s="10" t="n">
        <v>89000</v>
      </c>
      <c r="J343" s="19"/>
      <c r="K343" s="5" t="s">
        <v>55</v>
      </c>
      <c r="L343" s="5" t="s">
        <v>56</v>
      </c>
      <c r="M343" s="6" t="n">
        <v>46296</v>
      </c>
      <c r="N343" s="6"/>
      <c r="O343" s="6"/>
      <c r="P343" s="5" t="s">
        <v>179</v>
      </c>
      <c r="Q343" s="5" t="s">
        <v>96</v>
      </c>
      <c r="R343" s="16" t="s">
        <v>37</v>
      </c>
      <c r="S343" s="5" t="n">
        <v>37.5</v>
      </c>
      <c r="T343" s="5" t="s">
        <v>38</v>
      </c>
      <c r="U343" s="8" t="str">
        <f aca="false">IF(AND(TRIM(E343)="US",TRIM(G343)="Non-Exempt"),"US Non-Exempt EEs","")</f>
        <v/>
      </c>
      <c r="V343" s="8" t="str">
        <f aca="false">IF(AND(TRIM(E343)="US",TRIM(G343)="Non-Exempt"),IF(TRIM(D343)="CA","US California Non-Exempt","US Non-California Non-Exempt"),"")</f>
        <v/>
      </c>
      <c r="W343" s="8" t="str">
        <f aca="false">_xlfn.XLOOKUP(X343,ShiftCodes[Code],ShiftCodes[Work Schedule],"Unknown code")</f>
        <v>Standard (Mon–Fri 9:00–17:30)</v>
      </c>
      <c r="X343" s="9" t="s">
        <v>39</v>
      </c>
      <c r="Y343" s="5"/>
    </row>
    <row r="344" customFormat="false" ht="15" hidden="false" customHeight="false" outlineLevel="0" collapsed="false">
      <c r="A344" s="5" t="s">
        <v>472</v>
      </c>
      <c r="B344" s="5" t="s">
        <v>112</v>
      </c>
      <c r="C344" s="5" t="s">
        <v>106</v>
      </c>
      <c r="D344" s="5" t="s">
        <v>42</v>
      </c>
      <c r="E344" s="5" t="s">
        <v>29</v>
      </c>
      <c r="F344" s="5" t="s">
        <v>165</v>
      </c>
      <c r="G344" s="5" t="s">
        <v>31</v>
      </c>
      <c r="H344" s="5" t="s">
        <v>8</v>
      </c>
      <c r="I344" s="10" t="n">
        <v>172000</v>
      </c>
      <c r="J344" s="12"/>
      <c r="K344" s="5" t="s">
        <v>33</v>
      </c>
      <c r="L344" s="5" t="s">
        <v>34</v>
      </c>
      <c r="M344" s="6" t="n">
        <v>46314</v>
      </c>
      <c r="N344" s="6"/>
      <c r="O344" s="6"/>
      <c r="P344" s="5" t="s">
        <v>182</v>
      </c>
      <c r="Q344" s="5" t="s">
        <v>96</v>
      </c>
      <c r="R344" s="16" t="s">
        <v>37</v>
      </c>
      <c r="S344" s="5" t="n">
        <v>40</v>
      </c>
      <c r="T344" s="5" t="s">
        <v>38</v>
      </c>
      <c r="U344" s="8" t="str">
        <f aca="false">IF(AND(TRIM(E344)="US",TRIM(G344)="Non-Exempt"),"US Non-Exempt EEs","")</f>
        <v/>
      </c>
      <c r="V344" s="8" t="str">
        <f aca="false">IF(AND(TRIM(E344)="US",TRIM(G344)="Non-Exempt"),IF(TRIM(D344)="CA","US California Non-Exempt","US Non-California Non-Exempt"),"")</f>
        <v/>
      </c>
      <c r="W344" s="8" t="str">
        <f aca="false">_xlfn.XLOOKUP(X344,ShiftCodes[Code],ShiftCodes[Work Schedule],"Unknown code")</f>
        <v>Standard (Mon–Fri 9:00–17:30)</v>
      </c>
      <c r="X344" s="9" t="s">
        <v>39</v>
      </c>
      <c r="Y344" s="5" t="s">
        <v>97</v>
      </c>
    </row>
    <row r="345" customFormat="false" ht="15" hidden="false" customHeight="false" outlineLevel="0" collapsed="false">
      <c r="A345" s="5" t="s">
        <v>473</v>
      </c>
      <c r="B345" s="5" t="s">
        <v>103</v>
      </c>
      <c r="C345" s="5" t="s">
        <v>41</v>
      </c>
      <c r="D345" s="5" t="s">
        <v>84</v>
      </c>
      <c r="E345" s="5" t="s">
        <v>29</v>
      </c>
      <c r="F345" s="5" t="s">
        <v>163</v>
      </c>
      <c r="G345" s="5" t="s">
        <v>31</v>
      </c>
      <c r="H345" s="5" t="s">
        <v>8</v>
      </c>
      <c r="I345" s="10" t="n">
        <v>171000</v>
      </c>
      <c r="J345" s="12"/>
      <c r="K345" s="5" t="s">
        <v>33</v>
      </c>
      <c r="L345" s="5" t="s">
        <v>34</v>
      </c>
      <c r="M345" s="6" t="n">
        <v>46313</v>
      </c>
      <c r="N345" s="6"/>
      <c r="O345" s="6"/>
      <c r="P345" s="5" t="s">
        <v>181</v>
      </c>
      <c r="Q345" s="5" t="s">
        <v>96</v>
      </c>
      <c r="R345" s="16" t="s">
        <v>37</v>
      </c>
      <c r="S345" s="5" t="n">
        <v>40</v>
      </c>
      <c r="T345" s="5" t="s">
        <v>38</v>
      </c>
      <c r="U345" s="8" t="str">
        <f aca="false">IF(AND(TRIM(E345)="US",TRIM(G345)="Non-Exempt"),"US Non-Exempt EEs","")</f>
        <v/>
      </c>
      <c r="V345" s="8" t="str">
        <f aca="false">IF(AND(TRIM(E345)="US",TRIM(G345)="Non-Exempt"),IF(TRIM(D345)="CA","US California Non-Exempt","US Non-California Non-Exempt"),"")</f>
        <v/>
      </c>
      <c r="W345" s="8" t="str">
        <f aca="false">_xlfn.XLOOKUP(X345,ShiftCodes[Code],ShiftCodes[Work Schedule],"Unknown code")</f>
        <v>Standard (Mon–Fri 9:00–17:30)</v>
      </c>
      <c r="X345" s="9" t="s">
        <v>39</v>
      </c>
      <c r="Y345" s="5"/>
    </row>
    <row r="346" customFormat="false" ht="15" hidden="false" customHeight="false" outlineLevel="0" collapsed="false">
      <c r="A346" s="5" t="s">
        <v>474</v>
      </c>
      <c r="B346" s="5" t="s">
        <v>112</v>
      </c>
      <c r="C346" s="5" t="s">
        <v>106</v>
      </c>
      <c r="D346" s="5" t="s">
        <v>42</v>
      </c>
      <c r="E346" s="5" t="s">
        <v>29</v>
      </c>
      <c r="F346" s="5" t="s">
        <v>124</v>
      </c>
      <c r="G346" s="5" t="s">
        <v>31</v>
      </c>
      <c r="H346" s="5" t="s">
        <v>8</v>
      </c>
      <c r="I346" s="10" t="n">
        <v>145000</v>
      </c>
      <c r="J346" s="12"/>
      <c r="K346" s="5" t="s">
        <v>33</v>
      </c>
      <c r="L346" s="5" t="s">
        <v>34</v>
      </c>
      <c r="M346" s="6" t="n">
        <v>46315</v>
      </c>
      <c r="N346" s="6"/>
      <c r="O346" s="6"/>
      <c r="P346" s="5" t="s">
        <v>182</v>
      </c>
      <c r="Q346" s="5" t="s">
        <v>96</v>
      </c>
      <c r="R346" s="16" t="s">
        <v>37</v>
      </c>
      <c r="S346" s="5" t="n">
        <v>40</v>
      </c>
      <c r="T346" s="5" t="s">
        <v>38</v>
      </c>
      <c r="U346" s="8" t="str">
        <f aca="false">IF(AND(TRIM(E346)="US",TRIM(G346)="Non-Exempt"),"US Non-Exempt EEs","")</f>
        <v/>
      </c>
      <c r="V346" s="8" t="str">
        <f aca="false">IF(AND(TRIM(E346)="US",TRIM(G346)="Non-Exempt"),IF(TRIM(D346)="CA","US California Non-Exempt","US Non-California Non-Exempt"),"")</f>
        <v/>
      </c>
      <c r="W346" s="8" t="str">
        <f aca="false">_xlfn.XLOOKUP(X346,ShiftCodes[Code],ShiftCodes[Work Schedule],"Unknown code")</f>
        <v>Standard (Mon–Fri 9:00–17:30)</v>
      </c>
      <c r="X346" s="9" t="s">
        <v>39</v>
      </c>
      <c r="Y346" s="5" t="s">
        <v>97</v>
      </c>
    </row>
    <row r="347" customFormat="false" ht="15" hidden="false" customHeight="false" outlineLevel="0" collapsed="false">
      <c r="A347" s="5" t="s">
        <v>475</v>
      </c>
      <c r="B347" s="5" t="s">
        <v>112</v>
      </c>
      <c r="C347" s="5" t="s">
        <v>106</v>
      </c>
      <c r="D347" s="5" t="s">
        <v>42</v>
      </c>
      <c r="E347" s="5" t="s">
        <v>29</v>
      </c>
      <c r="F347" s="5" t="s">
        <v>165</v>
      </c>
      <c r="G347" s="5" t="s">
        <v>31</v>
      </c>
      <c r="H347" s="5" t="s">
        <v>8</v>
      </c>
      <c r="I347" s="10" t="n">
        <v>169000</v>
      </c>
      <c r="J347" s="12"/>
      <c r="K347" s="5" t="s">
        <v>33</v>
      </c>
      <c r="L347" s="5" t="s">
        <v>34</v>
      </c>
      <c r="M347" s="6" t="n">
        <v>46321</v>
      </c>
      <c r="N347" s="6"/>
      <c r="O347" s="6"/>
      <c r="P347" s="5" t="s">
        <v>182</v>
      </c>
      <c r="Q347" s="5" t="s">
        <v>96</v>
      </c>
      <c r="R347" s="16" t="s">
        <v>37</v>
      </c>
      <c r="S347" s="5" t="n">
        <v>40</v>
      </c>
      <c r="T347" s="5" t="s">
        <v>38</v>
      </c>
      <c r="U347" s="8" t="str">
        <f aca="false">IF(AND(TRIM(E347)="US",TRIM(G347)="Non-Exempt"),"US Non-Exempt EEs","")</f>
        <v/>
      </c>
      <c r="V347" s="8" t="str">
        <f aca="false">IF(AND(TRIM(E347)="US",TRIM(G347)="Non-Exempt"),IF(TRIM(D347)="CA","US California Non-Exempt","US Non-California Non-Exempt"),"")</f>
        <v/>
      </c>
      <c r="W347" s="8" t="str">
        <f aca="false">_xlfn.XLOOKUP(X347,ShiftCodes[Code],ShiftCodes[Work Schedule],"Unknown code")</f>
        <v>Standard (Mon–Fri 9:00–17:30)</v>
      </c>
      <c r="X347" s="9" t="s">
        <v>39</v>
      </c>
      <c r="Y347" s="5"/>
    </row>
    <row r="348" customFormat="false" ht="15" hidden="false" customHeight="false" outlineLevel="0" collapsed="false">
      <c r="A348" s="5" t="s">
        <v>476</v>
      </c>
      <c r="B348" s="5" t="s">
        <v>109</v>
      </c>
      <c r="C348" s="5" t="s">
        <v>113</v>
      </c>
      <c r="D348" s="5" t="s">
        <v>84</v>
      </c>
      <c r="E348" s="5" t="s">
        <v>29</v>
      </c>
      <c r="F348" s="5" t="s">
        <v>121</v>
      </c>
      <c r="G348" s="5" t="s">
        <v>78</v>
      </c>
      <c r="H348" s="5" t="s">
        <v>79</v>
      </c>
      <c r="I348" s="10"/>
      <c r="J348" s="12" t="n">
        <v>33.5</v>
      </c>
      <c r="K348" s="5" t="s">
        <v>33</v>
      </c>
      <c r="L348" s="5" t="s">
        <v>80</v>
      </c>
      <c r="M348" s="6" t="n">
        <v>46302</v>
      </c>
      <c r="N348" s="6"/>
      <c r="O348" s="6"/>
      <c r="P348" s="5" t="s">
        <v>202</v>
      </c>
      <c r="Q348" s="5" t="s">
        <v>96</v>
      </c>
      <c r="R348" s="16" t="s">
        <v>37</v>
      </c>
      <c r="S348" s="5" t="n">
        <v>40</v>
      </c>
      <c r="T348" s="5" t="s">
        <v>38</v>
      </c>
      <c r="U348" s="8" t="str">
        <f aca="false">IF(AND(TRIM(E348)="US",TRIM(G348)="Non-Exempt"),"US Non-Exempt EEs","")</f>
        <v>US Non-Exempt EEs</v>
      </c>
      <c r="V348" s="8" t="str">
        <f aca="false">IF(AND(TRIM(E348)="US",TRIM(G348)="Non-Exempt"),IF(TRIM(D348)="CA","US California Non-Exempt","US Non-California Non-Exempt"),"")</f>
        <v>US Non-California Non-Exempt</v>
      </c>
      <c r="W348" s="8" t="str">
        <f aca="false">_xlfn.XLOOKUP(X348,ShiftCodes[Code],ShiftCodes[Work Schedule],"Unknown code")</f>
        <v>Shift B – Swing (Mon–Fri 14:00–22:30)</v>
      </c>
      <c r="X348" s="9" t="s">
        <v>85</v>
      </c>
      <c r="Y348" s="5"/>
    </row>
    <row r="349" customFormat="false" ht="15" hidden="false" customHeight="false" outlineLevel="0" collapsed="false">
      <c r="A349" s="5" t="s">
        <v>477</v>
      </c>
      <c r="B349" s="5" t="s">
        <v>103</v>
      </c>
      <c r="C349" s="5" t="s">
        <v>41</v>
      </c>
      <c r="D349" s="5" t="s">
        <v>84</v>
      </c>
      <c r="E349" s="5" t="s">
        <v>29</v>
      </c>
      <c r="F349" s="5" t="s">
        <v>165</v>
      </c>
      <c r="G349" s="5" t="s">
        <v>31</v>
      </c>
      <c r="H349" s="5" t="s">
        <v>8</v>
      </c>
      <c r="I349" s="10" t="n">
        <v>185000</v>
      </c>
      <c r="J349" s="12"/>
      <c r="K349" s="5" t="s">
        <v>33</v>
      </c>
      <c r="L349" s="5" t="s">
        <v>34</v>
      </c>
      <c r="M349" s="6" t="n">
        <v>46317</v>
      </c>
      <c r="N349" s="6"/>
      <c r="O349" s="6"/>
      <c r="P349" s="5" t="s">
        <v>255</v>
      </c>
      <c r="Q349" s="5" t="s">
        <v>96</v>
      </c>
      <c r="R349" s="16" t="s">
        <v>37</v>
      </c>
      <c r="S349" s="5" t="n">
        <v>40</v>
      </c>
      <c r="T349" s="5" t="s">
        <v>38</v>
      </c>
      <c r="U349" s="8" t="str">
        <f aca="false">IF(AND(TRIM(E349)="US",TRIM(G349)="Non-Exempt"),"US Non-Exempt EEs","")</f>
        <v/>
      </c>
      <c r="V349" s="8" t="str">
        <f aca="false">IF(AND(TRIM(E349)="US",TRIM(G349)="Non-Exempt"),IF(TRIM(D349)="CA","US California Non-Exempt","US Non-California Non-Exempt"),"")</f>
        <v/>
      </c>
      <c r="W349" s="8" t="str">
        <f aca="false">_xlfn.XLOOKUP(X349,ShiftCodes[Code],ShiftCodes[Work Schedule],"Unknown code")</f>
        <v>Standard (Mon–Fri 9:00–17:30)</v>
      </c>
      <c r="X349" s="9" t="s">
        <v>39</v>
      </c>
      <c r="Y349" s="5" t="s">
        <v>97</v>
      </c>
    </row>
    <row r="350" customFormat="false" ht="15" hidden="false" customHeight="false" outlineLevel="0" collapsed="false">
      <c r="A350" s="5" t="s">
        <v>478</v>
      </c>
      <c r="B350" s="5" t="s">
        <v>109</v>
      </c>
      <c r="C350" s="5" t="s">
        <v>113</v>
      </c>
      <c r="D350" s="5" t="s">
        <v>84</v>
      </c>
      <c r="E350" s="5" t="s">
        <v>29</v>
      </c>
      <c r="F350" s="5" t="s">
        <v>130</v>
      </c>
      <c r="G350" s="5" t="s">
        <v>78</v>
      </c>
      <c r="H350" s="5" t="s">
        <v>79</v>
      </c>
      <c r="I350" s="10"/>
      <c r="J350" s="12" t="n">
        <v>27.25</v>
      </c>
      <c r="K350" s="5" t="s">
        <v>33</v>
      </c>
      <c r="L350" s="5" t="s">
        <v>80</v>
      </c>
      <c r="M350" s="6" t="n">
        <v>46309</v>
      </c>
      <c r="N350" s="6"/>
      <c r="O350" s="6"/>
      <c r="P350" s="5" t="s">
        <v>202</v>
      </c>
      <c r="Q350" s="5" t="s">
        <v>96</v>
      </c>
      <c r="R350" s="16" t="s">
        <v>37</v>
      </c>
      <c r="S350" s="5" t="n">
        <v>40</v>
      </c>
      <c r="T350" s="5" t="s">
        <v>38</v>
      </c>
      <c r="U350" s="8" t="str">
        <f aca="false">IF(AND(TRIM(E350)="US",TRIM(G350)="Non-Exempt"),"US Non-Exempt EEs","")</f>
        <v>US Non-Exempt EEs</v>
      </c>
      <c r="V350" s="8" t="str">
        <f aca="false">IF(AND(TRIM(E350)="US",TRIM(G350)="Non-Exempt"),IF(TRIM(D350)="CA","US California Non-Exempt","US Non-California Non-Exempt"),"")</f>
        <v>US Non-California Non-Exempt</v>
      </c>
      <c r="W350" s="8" t="str">
        <f aca="false">_xlfn.XLOOKUP(X350,ShiftCodes[Code],ShiftCodes[Work Schedule],"Unknown code")</f>
        <v>Shift A – Day (Mon–Fri 06:00–14:30)</v>
      </c>
      <c r="X350" s="9" t="s">
        <v>81</v>
      </c>
      <c r="Y350" s="5"/>
    </row>
    <row r="351" customFormat="false" ht="15" hidden="false" customHeight="false" outlineLevel="0" collapsed="false">
      <c r="A351" s="5" t="s">
        <v>479</v>
      </c>
      <c r="B351" s="14" t="s">
        <v>103</v>
      </c>
      <c r="C351" s="14" t="s">
        <v>106</v>
      </c>
      <c r="D351" s="14" t="s">
        <v>42</v>
      </c>
      <c r="E351" s="5" t="s">
        <v>29</v>
      </c>
      <c r="F351" s="5" t="s">
        <v>163</v>
      </c>
      <c r="G351" s="5" t="s">
        <v>31</v>
      </c>
      <c r="H351" s="14" t="s">
        <v>8</v>
      </c>
      <c r="I351" s="10" t="n">
        <v>159000</v>
      </c>
      <c r="J351" s="12"/>
      <c r="K351" s="5" t="s">
        <v>33</v>
      </c>
      <c r="L351" s="5" t="s">
        <v>34</v>
      </c>
      <c r="M351" s="6" t="n">
        <v>46321</v>
      </c>
      <c r="N351" s="6"/>
      <c r="O351" s="6"/>
      <c r="P351" s="5" t="s">
        <v>122</v>
      </c>
      <c r="Q351" s="5" t="s">
        <v>96</v>
      </c>
      <c r="R351" s="16" t="s">
        <v>37</v>
      </c>
      <c r="S351" s="5" t="n">
        <v>40</v>
      </c>
      <c r="T351" s="5" t="s">
        <v>38</v>
      </c>
      <c r="U351" s="8" t="str">
        <f aca="false">IF(AND(TRIM(E351)="US",TRIM(G351)="Non-Exempt"),"US Non-Exempt EEs","")</f>
        <v/>
      </c>
      <c r="V351" s="8" t="str">
        <f aca="false">IF(AND(TRIM(E351)="US",TRIM(G351)="Non-Exempt"),IF(TRIM(D351)="CA","US California Non-Exempt","US Non-California Non-Exempt"),"")</f>
        <v/>
      </c>
      <c r="W351" s="8" t="str">
        <f aca="false">_xlfn.XLOOKUP(X351,ShiftCodes[Code],ShiftCodes[Work Schedule],"Unknown code")</f>
        <v>Standard (Mon–Fri 9:00–17:30)</v>
      </c>
      <c r="X351" s="9" t="s">
        <v>39</v>
      </c>
      <c r="Y351" s="5" t="s">
        <v>97</v>
      </c>
    </row>
    <row r="352" customFormat="false" ht="15" hidden="false" customHeight="false" outlineLevel="0" collapsed="false">
      <c r="A352" s="5" t="s">
        <v>480</v>
      </c>
      <c r="B352" s="14" t="s">
        <v>112</v>
      </c>
      <c r="C352" s="14" t="s">
        <v>481</v>
      </c>
      <c r="D352" s="14" t="s">
        <v>62</v>
      </c>
      <c r="E352" s="5" t="s">
        <v>28</v>
      </c>
      <c r="F352" s="5" t="s">
        <v>163</v>
      </c>
      <c r="G352" s="5" t="s">
        <v>31</v>
      </c>
      <c r="H352" s="14" t="s">
        <v>8</v>
      </c>
      <c r="I352" s="10" t="n">
        <v>148000</v>
      </c>
      <c r="J352" s="12"/>
      <c r="K352" s="5" t="s">
        <v>64</v>
      </c>
      <c r="L352" s="5" t="s">
        <v>65</v>
      </c>
      <c r="M352" s="6" t="n">
        <v>45870</v>
      </c>
      <c r="N352" s="6"/>
      <c r="O352" s="6"/>
      <c r="P352" s="5" t="s">
        <v>143</v>
      </c>
      <c r="Q352" s="5" t="s">
        <v>36</v>
      </c>
      <c r="R352" s="16" t="s">
        <v>37</v>
      </c>
      <c r="S352" s="5" t="n">
        <v>40</v>
      </c>
      <c r="T352" s="5" t="s">
        <v>38</v>
      </c>
      <c r="U352" s="8" t="str">
        <f aca="false">IF(AND(TRIM(E352)="US",TRIM(G352)="Non-Exempt"),"US Non-Exempt EEs","")</f>
        <v/>
      </c>
      <c r="V352" s="8" t="str">
        <f aca="false">IF(AND(TRIM(E352)="US",TRIM(G352)="Non-Exempt"),IF(TRIM(D352)="CA","US California Non-Exempt","US Non-California Non-Exempt"),"")</f>
        <v/>
      </c>
      <c r="W352" s="8" t="str">
        <f aca="false">_xlfn.XLOOKUP(X352,ShiftCodes[Code],ShiftCodes[Work Schedule],"Unknown code")</f>
        <v>Standard (Mon–Fri 9:00–17:30)</v>
      </c>
      <c r="X352" s="9" t="s">
        <v>39</v>
      </c>
      <c r="Y352" s="5"/>
    </row>
    <row r="353" customFormat="false" ht="15" hidden="false" customHeight="false" outlineLevel="0" collapsed="false">
      <c r="A353" s="5" t="s">
        <v>482</v>
      </c>
      <c r="B353" s="14" t="s">
        <v>112</v>
      </c>
      <c r="C353" s="14" t="s">
        <v>481</v>
      </c>
      <c r="D353" s="14" t="s">
        <v>62</v>
      </c>
      <c r="E353" s="5" t="s">
        <v>28</v>
      </c>
      <c r="F353" s="5" t="s">
        <v>124</v>
      </c>
      <c r="G353" s="5" t="s">
        <v>31</v>
      </c>
      <c r="H353" s="14" t="s">
        <v>8</v>
      </c>
      <c r="I353" s="10" t="n">
        <v>120000</v>
      </c>
      <c r="J353" s="12"/>
      <c r="K353" s="5" t="s">
        <v>64</v>
      </c>
      <c r="L353" s="5" t="s">
        <v>65</v>
      </c>
      <c r="M353" s="6" t="n">
        <v>45720</v>
      </c>
      <c r="N353" s="6"/>
      <c r="O353" s="6"/>
      <c r="P353" s="5" t="s">
        <v>133</v>
      </c>
      <c r="Q353" s="5" t="s">
        <v>36</v>
      </c>
      <c r="R353" s="16" t="s">
        <v>37</v>
      </c>
      <c r="S353" s="5" t="n">
        <v>40</v>
      </c>
      <c r="T353" s="5" t="s">
        <v>38</v>
      </c>
      <c r="U353" s="8" t="str">
        <f aca="false">IF(AND(TRIM(E353)="US",TRIM(G353)="Non-Exempt"),"US Non-Exempt EEs","")</f>
        <v/>
      </c>
      <c r="V353" s="8" t="str">
        <f aca="false">IF(AND(TRIM(E353)="US",TRIM(G353)="Non-Exempt"),IF(TRIM(D353)="CA","US California Non-Exempt","US Non-California Non-Exempt"),"")</f>
        <v/>
      </c>
      <c r="W353" s="8" t="str">
        <f aca="false">_xlfn.XLOOKUP(X353,ShiftCodes[Code],ShiftCodes[Work Schedule],"Unknown code")</f>
        <v>Standard (Mon–Fri 9:00–17:30)</v>
      </c>
      <c r="X353" s="9" t="s">
        <v>39</v>
      </c>
      <c r="Y353" s="5"/>
    </row>
    <row r="354" customFormat="false" ht="15" hidden="false" customHeight="false" outlineLevel="0" collapsed="false">
      <c r="A354" s="5" t="s">
        <v>483</v>
      </c>
      <c r="B354" s="14" t="s">
        <v>112</v>
      </c>
      <c r="C354" s="14" t="s">
        <v>484</v>
      </c>
      <c r="D354" s="14" t="s">
        <v>485</v>
      </c>
      <c r="E354" s="5" t="s">
        <v>28</v>
      </c>
      <c r="F354" s="5" t="s">
        <v>165</v>
      </c>
      <c r="G354" s="5" t="s">
        <v>31</v>
      </c>
      <c r="H354" s="14" t="s">
        <v>8</v>
      </c>
      <c r="I354" s="10" t="n">
        <v>172000</v>
      </c>
      <c r="J354" s="12"/>
      <c r="K354" s="5" t="s">
        <v>64</v>
      </c>
      <c r="L354" s="5" t="s">
        <v>65</v>
      </c>
      <c r="M354" s="6" t="n">
        <v>45610</v>
      </c>
      <c r="N354" s="6"/>
      <c r="O354" s="6"/>
      <c r="P354" s="5" t="s">
        <v>187</v>
      </c>
      <c r="Q354" s="5" t="s">
        <v>36</v>
      </c>
      <c r="R354" s="16" t="s">
        <v>37</v>
      </c>
      <c r="S354" s="5" t="n">
        <v>40</v>
      </c>
      <c r="T354" s="5" t="s">
        <v>38</v>
      </c>
      <c r="U354" s="8" t="str">
        <f aca="false">IF(AND(TRIM(E354)="US",TRIM(G354)="Non-Exempt"),"US Non-Exempt EEs","")</f>
        <v/>
      </c>
      <c r="V354" s="8" t="str">
        <f aca="false">IF(AND(TRIM(E354)="US",TRIM(G354)="Non-Exempt"),IF(TRIM(D354)="CA","US California Non-Exempt","US Non-California Non-Exempt"),"")</f>
        <v/>
      </c>
      <c r="W354" s="8" t="str">
        <f aca="false">_xlfn.XLOOKUP(X354,ShiftCodes[Code],ShiftCodes[Work Schedule],"Unknown code")</f>
        <v>Standard (Mon–Fri 9:00–17:30)</v>
      </c>
      <c r="X354" s="9" t="s">
        <v>39</v>
      </c>
      <c r="Y354" s="5"/>
    </row>
    <row r="355" customFormat="false" ht="15" hidden="false" customHeight="false" outlineLevel="0" collapsed="false">
      <c r="A355" s="5" t="s">
        <v>486</v>
      </c>
      <c r="B355" s="14" t="s">
        <v>112</v>
      </c>
      <c r="C355" s="14" t="s">
        <v>484</v>
      </c>
      <c r="D355" s="14" t="s">
        <v>485</v>
      </c>
      <c r="E355" s="5" t="s">
        <v>28</v>
      </c>
      <c r="F355" s="5" t="s">
        <v>149</v>
      </c>
      <c r="G355" s="5" t="s">
        <v>31</v>
      </c>
      <c r="H355" s="14" t="s">
        <v>8</v>
      </c>
      <c r="I355" s="10" t="n">
        <v>98000</v>
      </c>
      <c r="J355" s="12"/>
      <c r="K355" s="5" t="s">
        <v>64</v>
      </c>
      <c r="L355" s="5" t="s">
        <v>65</v>
      </c>
      <c r="M355" s="6" t="n">
        <v>46050</v>
      </c>
      <c r="N355" s="6"/>
      <c r="O355" s="6"/>
      <c r="P355" s="5" t="s">
        <v>182</v>
      </c>
      <c r="Q355" s="5" t="s">
        <v>36</v>
      </c>
      <c r="R355" s="16" t="s">
        <v>37</v>
      </c>
      <c r="S355" s="5" t="n">
        <v>40</v>
      </c>
      <c r="T355" s="5" t="s">
        <v>38</v>
      </c>
      <c r="U355" s="8" t="str">
        <f aca="false">IF(AND(TRIM(E355)="US",TRIM(G355)="Non-Exempt"),"US Non-Exempt EEs","")</f>
        <v/>
      </c>
      <c r="V355" s="8" t="str">
        <f aca="false">IF(AND(TRIM(E355)="US",TRIM(G355)="Non-Exempt"),IF(TRIM(D355)="CA","US California Non-Exempt","US Non-California Non-Exempt"),"")</f>
        <v/>
      </c>
      <c r="W355" s="8" t="str">
        <f aca="false">_xlfn.XLOOKUP(X355,ShiftCodes[Code],ShiftCodes[Work Schedule],"Unknown code")</f>
        <v>Standard (Mon–Fri 9:00–17:30)</v>
      </c>
      <c r="X355" s="9" t="s">
        <v>39</v>
      </c>
      <c r="Y355" s="5"/>
    </row>
    <row r="356" customFormat="false" ht="15" hidden="false" customHeight="false" outlineLevel="0" collapsed="false">
      <c r="A356" s="5" t="s">
        <v>487</v>
      </c>
      <c r="B356" s="14" t="s">
        <v>112</v>
      </c>
      <c r="C356" s="14" t="s">
        <v>488</v>
      </c>
      <c r="D356" s="14" t="s">
        <v>489</v>
      </c>
      <c r="E356" s="5" t="s">
        <v>28</v>
      </c>
      <c r="F356" s="5" t="s">
        <v>163</v>
      </c>
      <c r="G356" s="5" t="s">
        <v>31</v>
      </c>
      <c r="H356" s="14" t="s">
        <v>8</v>
      </c>
      <c r="I356" s="10" t="n">
        <v>142000</v>
      </c>
      <c r="J356" s="12"/>
      <c r="K356" s="5" t="s">
        <v>64</v>
      </c>
      <c r="L356" s="5" t="s">
        <v>65</v>
      </c>
      <c r="M356" s="6" t="n">
        <v>45950</v>
      </c>
      <c r="N356" s="6"/>
      <c r="O356" s="6"/>
      <c r="P356" s="5" t="s">
        <v>208</v>
      </c>
      <c r="Q356" s="5" t="s">
        <v>36</v>
      </c>
      <c r="R356" s="16" t="s">
        <v>37</v>
      </c>
      <c r="S356" s="5" t="n">
        <v>40</v>
      </c>
      <c r="T356" s="5" t="s">
        <v>38</v>
      </c>
      <c r="U356" s="8" t="str">
        <f aca="false">IF(AND(TRIM(E356)="US",TRIM(G356)="Non-Exempt"),"US Non-Exempt EEs","")</f>
        <v/>
      </c>
      <c r="V356" s="8" t="str">
        <f aca="false">IF(AND(TRIM(E356)="US",TRIM(G356)="Non-Exempt"),IF(TRIM(D356)="CA","US California Non-Exempt","US Non-California Non-Exempt"),"")</f>
        <v/>
      </c>
      <c r="W356" s="8" t="str">
        <f aca="false">_xlfn.XLOOKUP(X356,ShiftCodes[Code],ShiftCodes[Work Schedule],"Unknown code")</f>
        <v>Standard (Mon–Fri 9:00–17:30)</v>
      </c>
      <c r="X356" s="9" t="s">
        <v>39</v>
      </c>
      <c r="Y356" s="5"/>
    </row>
    <row r="357" customFormat="false" ht="15" hidden="false" customHeight="false" outlineLevel="0" collapsed="false">
      <c r="A357" s="5" t="s">
        <v>490</v>
      </c>
      <c r="B357" s="14" t="s">
        <v>112</v>
      </c>
      <c r="C357" s="14" t="s">
        <v>481</v>
      </c>
      <c r="D357" s="14" t="s">
        <v>62</v>
      </c>
      <c r="E357" s="5" t="s">
        <v>28</v>
      </c>
      <c r="F357" s="5" t="s">
        <v>156</v>
      </c>
      <c r="G357" s="5" t="s">
        <v>31</v>
      </c>
      <c r="H357" s="14" t="s">
        <v>8</v>
      </c>
      <c r="I357" s="10" t="n">
        <v>205000</v>
      </c>
      <c r="J357" s="12"/>
      <c r="K357" s="5" t="s">
        <v>64</v>
      </c>
      <c r="L357" s="5" t="s">
        <v>65</v>
      </c>
      <c r="M357" s="6" t="n">
        <v>45400</v>
      </c>
      <c r="N357" s="6"/>
      <c r="O357" s="6"/>
      <c r="P357" s="5" t="s">
        <v>146</v>
      </c>
      <c r="Q357" s="5" t="s">
        <v>36</v>
      </c>
      <c r="R357" s="16" t="s">
        <v>37</v>
      </c>
      <c r="S357" s="5" t="n">
        <v>40</v>
      </c>
      <c r="T357" s="5" t="s">
        <v>38</v>
      </c>
      <c r="U357" s="8" t="str">
        <f aca="false">IF(AND(TRIM(E357)="US",TRIM(G357)="Non-Exempt"),"US Non-Exempt EEs","")</f>
        <v/>
      </c>
      <c r="V357" s="8" t="str">
        <f aca="false">IF(AND(TRIM(E357)="US",TRIM(G357)="Non-Exempt"),IF(TRIM(D357)="CA","US California Non-Exempt","US Non-California Non-Exempt"),"")</f>
        <v/>
      </c>
      <c r="W357" s="8" t="str">
        <f aca="false">_xlfn.XLOOKUP(X357,ShiftCodes[Code],ShiftCodes[Work Schedule],"Unknown code")</f>
        <v>Standard (Mon–Fri 9:00–17:30)</v>
      </c>
      <c r="X357" s="9" t="s">
        <v>39</v>
      </c>
      <c r="Y357" s="5"/>
    </row>
    <row r="358" customFormat="false" ht="15" hidden="false" customHeight="false" outlineLevel="0" collapsed="false">
      <c r="A358" s="5" t="s">
        <v>491</v>
      </c>
      <c r="B358" s="14" t="s">
        <v>112</v>
      </c>
      <c r="C358" s="14" t="s">
        <v>492</v>
      </c>
      <c r="D358" s="14" t="s">
        <v>62</v>
      </c>
      <c r="E358" s="5" t="s">
        <v>28</v>
      </c>
      <c r="F358" s="5" t="s">
        <v>124</v>
      </c>
      <c r="G358" s="5" t="s">
        <v>31</v>
      </c>
      <c r="H358" s="14" t="s">
        <v>8</v>
      </c>
      <c r="I358" s="10" t="n">
        <v>118000</v>
      </c>
      <c r="J358" s="12"/>
      <c r="K358" s="5" t="s">
        <v>64</v>
      </c>
      <c r="L358" s="5" t="s">
        <v>65</v>
      </c>
      <c r="M358" s="6" t="n">
        <v>46160</v>
      </c>
      <c r="N358" s="6"/>
      <c r="O358" s="6"/>
      <c r="P358" s="5" t="s">
        <v>229</v>
      </c>
      <c r="Q358" s="5" t="s">
        <v>36</v>
      </c>
      <c r="R358" s="16" t="s">
        <v>37</v>
      </c>
      <c r="S358" s="5" t="n">
        <v>40</v>
      </c>
      <c r="T358" s="5" t="s">
        <v>38</v>
      </c>
      <c r="U358" s="8" t="str">
        <f aca="false">IF(AND(TRIM(E358)="US",TRIM(G358)="Non-Exempt"),"US Non-Exempt EEs","")</f>
        <v/>
      </c>
      <c r="V358" s="8" t="str">
        <f aca="false">IF(AND(TRIM(E358)="US",TRIM(G358)="Non-Exempt"),IF(TRIM(D358)="CA","US California Non-Exempt","US Non-California Non-Exempt"),"")</f>
        <v/>
      </c>
      <c r="W358" s="8" t="str">
        <f aca="false">_xlfn.XLOOKUP(X358,ShiftCodes[Code],ShiftCodes[Work Schedule],"Unknown code")</f>
        <v>Standard (Mon–Fri 9:00–17:30)</v>
      </c>
      <c r="X358" s="9" t="s">
        <v>39</v>
      </c>
      <c r="Y358" s="5"/>
    </row>
    <row r="359" customFormat="false" ht="15" hidden="false" customHeight="false" outlineLevel="0" collapsed="false">
      <c r="A359" s="5" t="s">
        <v>493</v>
      </c>
      <c r="B359" s="14" t="s">
        <v>112</v>
      </c>
      <c r="C359" s="14" t="s">
        <v>481</v>
      </c>
      <c r="D359" s="14" t="s">
        <v>62</v>
      </c>
      <c r="E359" s="5" t="s">
        <v>28</v>
      </c>
      <c r="F359" s="5" t="s">
        <v>165</v>
      </c>
      <c r="G359" s="5" t="s">
        <v>31</v>
      </c>
      <c r="H359" s="14" t="s">
        <v>8</v>
      </c>
      <c r="I359" s="10" t="n">
        <v>168000</v>
      </c>
      <c r="J359" s="12"/>
      <c r="K359" s="5" t="s">
        <v>64</v>
      </c>
      <c r="L359" s="5" t="s">
        <v>65</v>
      </c>
      <c r="M359" s="6" t="n">
        <v>46310</v>
      </c>
      <c r="N359" s="6"/>
      <c r="O359" s="6"/>
      <c r="P359" s="5" t="s">
        <v>204</v>
      </c>
      <c r="Q359" s="5" t="s">
        <v>96</v>
      </c>
      <c r="R359" s="16" t="s">
        <v>37</v>
      </c>
      <c r="S359" s="5" t="n">
        <v>40</v>
      </c>
      <c r="T359" s="5" t="s">
        <v>38</v>
      </c>
      <c r="U359" s="8" t="str">
        <f aca="false">IF(AND(TRIM(E359)="US",TRIM(G359)="Non-Exempt"),"US Non-Exempt EEs","")</f>
        <v/>
      </c>
      <c r="V359" s="8" t="str">
        <f aca="false">IF(AND(TRIM(E359)="US",TRIM(G359)="Non-Exempt"),IF(TRIM(D359)="CA","US California Non-Exempt","US Non-California Non-Exempt"),"")</f>
        <v/>
      </c>
      <c r="W359" s="8" t="str">
        <f aca="false">_xlfn.XLOOKUP(X359,ShiftCodes[Code],ShiftCodes[Work Schedule],"Unknown code")</f>
        <v>Standard (Mon–Fri 9:00–17:30)</v>
      </c>
      <c r="X359" s="9" t="s">
        <v>39</v>
      </c>
      <c r="Y359" s="5"/>
    </row>
    <row r="360" customFormat="false" ht="15" hidden="false" customHeight="false" outlineLevel="0" collapsed="false">
      <c r="A360" s="5" t="s">
        <v>494</v>
      </c>
      <c r="B360" s="14" t="s">
        <v>103</v>
      </c>
      <c r="C360" s="14" t="s">
        <v>481</v>
      </c>
      <c r="D360" s="14" t="s">
        <v>62</v>
      </c>
      <c r="E360" s="5" t="s">
        <v>28</v>
      </c>
      <c r="F360" s="5" t="s">
        <v>163</v>
      </c>
      <c r="G360" s="5" t="s">
        <v>31</v>
      </c>
      <c r="H360" s="14" t="s">
        <v>8</v>
      </c>
      <c r="I360" s="10" t="n">
        <v>145000</v>
      </c>
      <c r="J360" s="12"/>
      <c r="K360" s="5" t="s">
        <v>64</v>
      </c>
      <c r="L360" s="5" t="s">
        <v>65</v>
      </c>
      <c r="M360" s="6" t="n">
        <v>45780</v>
      </c>
      <c r="N360" s="6"/>
      <c r="O360" s="6"/>
      <c r="P360" s="5" t="s">
        <v>122</v>
      </c>
      <c r="Q360" s="5" t="s">
        <v>36</v>
      </c>
      <c r="R360" s="16" t="s">
        <v>37</v>
      </c>
      <c r="S360" s="5" t="n">
        <v>40</v>
      </c>
      <c r="T360" s="5" t="s">
        <v>38</v>
      </c>
      <c r="U360" s="8" t="str">
        <f aca="false">IF(AND(TRIM(E360)="US",TRIM(G360)="Non-Exempt"),"US Non-Exempt EEs","")</f>
        <v/>
      </c>
      <c r="V360" s="8" t="str">
        <f aca="false">IF(AND(TRIM(E360)="US",TRIM(G360)="Non-Exempt"),IF(TRIM(D360)="CA","US California Non-Exempt","US Non-California Non-Exempt"),"")</f>
        <v/>
      </c>
      <c r="W360" s="8" t="str">
        <f aca="false">_xlfn.XLOOKUP(X360,ShiftCodes[Code],ShiftCodes[Work Schedule],"Unknown code")</f>
        <v>Standard (Mon–Fri 9:00–17:30)</v>
      </c>
      <c r="X360" s="9" t="s">
        <v>39</v>
      </c>
      <c r="Y360" s="5"/>
    </row>
    <row r="361" customFormat="false" ht="15" hidden="false" customHeight="false" outlineLevel="0" collapsed="false">
      <c r="A361" s="5" t="s">
        <v>495</v>
      </c>
      <c r="B361" s="14" t="s">
        <v>103</v>
      </c>
      <c r="C361" s="14" t="s">
        <v>484</v>
      </c>
      <c r="D361" s="14" t="s">
        <v>485</v>
      </c>
      <c r="E361" s="5" t="s">
        <v>28</v>
      </c>
      <c r="F361" s="5" t="s">
        <v>165</v>
      </c>
      <c r="G361" s="5" t="s">
        <v>31</v>
      </c>
      <c r="H361" s="14" t="s">
        <v>8</v>
      </c>
      <c r="I361" s="10" t="n">
        <v>175000</v>
      </c>
      <c r="J361" s="12"/>
      <c r="K361" s="5" t="s">
        <v>64</v>
      </c>
      <c r="L361" s="5" t="s">
        <v>65</v>
      </c>
      <c r="M361" s="6" t="n">
        <v>45500</v>
      </c>
      <c r="N361" s="6"/>
      <c r="O361" s="6" t="n">
        <v>46310</v>
      </c>
      <c r="P361" s="5" t="s">
        <v>145</v>
      </c>
      <c r="Q361" s="5" t="s">
        <v>93</v>
      </c>
      <c r="R361" s="16" t="s">
        <v>37</v>
      </c>
      <c r="S361" s="5" t="n">
        <v>40</v>
      </c>
      <c r="T361" s="5" t="s">
        <v>38</v>
      </c>
      <c r="U361" s="8" t="str">
        <f aca="false">IF(AND(TRIM(E361)="US",TRIM(G361)="Non-Exempt"),"US Non-Exempt EEs","")</f>
        <v/>
      </c>
      <c r="V361" s="8" t="str">
        <f aca="false">IF(AND(TRIM(E361)="US",TRIM(G361)="Non-Exempt"),IF(TRIM(D361)="CA","US California Non-Exempt","US Non-California Non-Exempt"),"")</f>
        <v/>
      </c>
      <c r="W361" s="8" t="str">
        <f aca="false">_xlfn.XLOOKUP(X361,ShiftCodes[Code],ShiftCodes[Work Schedule],"Unknown code")</f>
        <v>Standard (Mon–Fri 9:00–17:30)</v>
      </c>
      <c r="X361" s="9" t="s">
        <v>39</v>
      </c>
      <c r="Y361" s="5"/>
    </row>
    <row r="362" customFormat="false" ht="15" hidden="false" customHeight="false" outlineLevel="0" collapsed="false">
      <c r="A362" s="5" t="s">
        <v>496</v>
      </c>
      <c r="B362" s="14" t="s">
        <v>103</v>
      </c>
      <c r="C362" s="14" t="s">
        <v>484</v>
      </c>
      <c r="D362" s="14" t="s">
        <v>485</v>
      </c>
      <c r="E362" s="5" t="s">
        <v>28</v>
      </c>
      <c r="F362" s="5" t="s">
        <v>124</v>
      </c>
      <c r="G362" s="5" t="s">
        <v>31</v>
      </c>
      <c r="H362" s="14" t="s">
        <v>8</v>
      </c>
      <c r="I362" s="10" t="n">
        <v>116000</v>
      </c>
      <c r="J362" s="12"/>
      <c r="K362" s="5" t="s">
        <v>64</v>
      </c>
      <c r="L362" s="5" t="s">
        <v>65</v>
      </c>
      <c r="M362" s="6" t="n">
        <v>46080</v>
      </c>
      <c r="N362" s="6"/>
      <c r="O362" s="6"/>
      <c r="P362" s="5" t="s">
        <v>181</v>
      </c>
      <c r="Q362" s="5" t="s">
        <v>36</v>
      </c>
      <c r="R362" s="16" t="s">
        <v>37</v>
      </c>
      <c r="S362" s="5" t="n">
        <v>40</v>
      </c>
      <c r="T362" s="5" t="s">
        <v>38</v>
      </c>
      <c r="U362" s="8" t="str">
        <f aca="false">IF(AND(TRIM(E362)="US",TRIM(G362)="Non-Exempt"),"US Non-Exempt EEs","")</f>
        <v/>
      </c>
      <c r="V362" s="8" t="str">
        <f aca="false">IF(AND(TRIM(E362)="US",TRIM(G362)="Non-Exempt"),IF(TRIM(D362)="CA","US California Non-Exempt","US Non-California Non-Exempt"),"")</f>
        <v/>
      </c>
      <c r="W362" s="8" t="str">
        <f aca="false">_xlfn.XLOOKUP(X362,ShiftCodes[Code],ShiftCodes[Work Schedule],"Unknown code")</f>
        <v>Standard (Mon–Fri 9:00–17:30)</v>
      </c>
      <c r="X362" s="9" t="s">
        <v>39</v>
      </c>
      <c r="Y362" s="5"/>
    </row>
    <row r="363" customFormat="false" ht="15" hidden="false" customHeight="false" outlineLevel="0" collapsed="false">
      <c r="A363" s="5" t="s">
        <v>497</v>
      </c>
      <c r="B363" s="14" t="s">
        <v>103</v>
      </c>
      <c r="C363" s="14" t="s">
        <v>488</v>
      </c>
      <c r="D363" s="14" t="s">
        <v>489</v>
      </c>
      <c r="E363" s="5" t="s">
        <v>28</v>
      </c>
      <c r="F363" s="5" t="s">
        <v>156</v>
      </c>
      <c r="G363" s="5" t="s">
        <v>31</v>
      </c>
      <c r="H363" s="14" t="s">
        <v>8</v>
      </c>
      <c r="I363" s="10" t="n">
        <v>220000</v>
      </c>
      <c r="J363" s="12"/>
      <c r="K363" s="5" t="s">
        <v>64</v>
      </c>
      <c r="L363" s="5" t="s">
        <v>65</v>
      </c>
      <c r="M363" s="6" t="n">
        <v>45300</v>
      </c>
      <c r="N363" s="6"/>
      <c r="O363" s="6"/>
      <c r="P363" s="5" t="s">
        <v>116</v>
      </c>
      <c r="Q363" s="5" t="s">
        <v>36</v>
      </c>
      <c r="R363" s="16" t="s">
        <v>37</v>
      </c>
      <c r="S363" s="5" t="n">
        <v>40</v>
      </c>
      <c r="T363" s="5" t="s">
        <v>38</v>
      </c>
      <c r="U363" s="8" t="str">
        <f aca="false">IF(AND(TRIM(E363)="US",TRIM(G363)="Non-Exempt"),"US Non-Exempt EEs","")</f>
        <v/>
      </c>
      <c r="V363" s="8" t="str">
        <f aca="false">IF(AND(TRIM(E363)="US",TRIM(G363)="Non-Exempt"),IF(TRIM(D363)="CA","US California Non-Exempt","US Non-California Non-Exempt"),"")</f>
        <v/>
      </c>
      <c r="W363" s="8" t="str">
        <f aca="false">_xlfn.XLOOKUP(X363,ShiftCodes[Code],ShiftCodes[Work Schedule],"Unknown code")</f>
        <v>Standard (Mon–Fri 9:00–17:30)</v>
      </c>
      <c r="X363" s="9" t="s">
        <v>39</v>
      </c>
      <c r="Y363" s="5"/>
    </row>
    <row r="364" customFormat="false" ht="15" hidden="false" customHeight="false" outlineLevel="0" collapsed="false">
      <c r="A364" s="5" t="s">
        <v>498</v>
      </c>
      <c r="B364" s="14" t="s">
        <v>103</v>
      </c>
      <c r="C364" s="14" t="s">
        <v>481</v>
      </c>
      <c r="D364" s="14" t="s">
        <v>62</v>
      </c>
      <c r="E364" s="5" t="s">
        <v>28</v>
      </c>
      <c r="F364" s="5" t="s">
        <v>149</v>
      </c>
      <c r="G364" s="5" t="s">
        <v>31</v>
      </c>
      <c r="H364" s="14" t="s">
        <v>8</v>
      </c>
      <c r="I364" s="10" t="n">
        <v>96000</v>
      </c>
      <c r="J364" s="12"/>
      <c r="K364" s="5" t="s">
        <v>64</v>
      </c>
      <c r="L364" s="5" t="s">
        <v>65</v>
      </c>
      <c r="M364" s="6" t="n">
        <v>46200</v>
      </c>
      <c r="N364" s="6"/>
      <c r="O364" s="6"/>
      <c r="P364" s="5" t="s">
        <v>255</v>
      </c>
      <c r="Q364" s="5" t="s">
        <v>36</v>
      </c>
      <c r="R364" s="16" t="s">
        <v>37</v>
      </c>
      <c r="S364" s="5" t="n">
        <v>40</v>
      </c>
      <c r="T364" s="5" t="s">
        <v>38</v>
      </c>
      <c r="U364" s="8" t="str">
        <f aca="false">IF(AND(TRIM(E364)="US",TRIM(G364)="Non-Exempt"),"US Non-Exempt EEs","")</f>
        <v/>
      </c>
      <c r="V364" s="8" t="str">
        <f aca="false">IF(AND(TRIM(E364)="US",TRIM(G364)="Non-Exempt"),IF(TRIM(D364)="CA","US California Non-Exempt","US Non-California Non-Exempt"),"")</f>
        <v/>
      </c>
      <c r="W364" s="8" t="str">
        <f aca="false">_xlfn.XLOOKUP(X364,ShiftCodes[Code],ShiftCodes[Work Schedule],"Unknown code")</f>
        <v>Standard (Mon–Fri 9:00–17:30)</v>
      </c>
      <c r="X364" s="9" t="s">
        <v>39</v>
      </c>
      <c r="Y364" s="5"/>
    </row>
    <row r="365" customFormat="false" ht="15" hidden="false" customHeight="false" outlineLevel="0" collapsed="false">
      <c r="A365" s="5" t="s">
        <v>499</v>
      </c>
      <c r="B365" s="14" t="s">
        <v>103</v>
      </c>
      <c r="C365" s="14" t="s">
        <v>481</v>
      </c>
      <c r="D365" s="14" t="s">
        <v>62</v>
      </c>
      <c r="E365" s="5" t="s">
        <v>28</v>
      </c>
      <c r="F365" s="5" t="s">
        <v>119</v>
      </c>
      <c r="G365" s="5" t="s">
        <v>31</v>
      </c>
      <c r="H365" s="14" t="s">
        <v>8</v>
      </c>
      <c r="I365" s="10" t="n">
        <v>215000</v>
      </c>
      <c r="J365" s="12"/>
      <c r="K365" s="5" t="s">
        <v>64</v>
      </c>
      <c r="L365" s="5" t="s">
        <v>65</v>
      </c>
      <c r="M365" s="6" t="n">
        <v>45150</v>
      </c>
      <c r="N365" s="6"/>
      <c r="O365" s="6"/>
      <c r="P365" s="5" t="s">
        <v>105</v>
      </c>
      <c r="Q365" s="5" t="s">
        <v>36</v>
      </c>
      <c r="R365" s="16" t="s">
        <v>37</v>
      </c>
      <c r="S365" s="5" t="n">
        <v>40</v>
      </c>
      <c r="T365" s="5" t="s">
        <v>38</v>
      </c>
      <c r="U365" s="8" t="str">
        <f aca="false">IF(AND(TRIM(E365)="US",TRIM(G365)="Non-Exempt"),"US Non-Exempt EEs","")</f>
        <v/>
      </c>
      <c r="V365" s="8" t="str">
        <f aca="false">IF(AND(TRIM(E365)="US",TRIM(G365)="Non-Exempt"),IF(TRIM(D365)="CA","US California Non-Exempt","US Non-California Non-Exempt"),"")</f>
        <v/>
      </c>
      <c r="W365" s="8" t="str">
        <f aca="false">_xlfn.XLOOKUP(X365,ShiftCodes[Code],ShiftCodes[Work Schedule],"Unknown code")</f>
        <v>Standard (Mon–Fri 9:00–17:30)</v>
      </c>
      <c r="X365" s="9" t="s">
        <v>39</v>
      </c>
      <c r="Y365" s="5"/>
    </row>
    <row r="366" customFormat="false" ht="15" hidden="false" customHeight="false" outlineLevel="0" collapsed="false">
      <c r="A366" s="5" t="s">
        <v>500</v>
      </c>
      <c r="B366" s="14" t="s">
        <v>103</v>
      </c>
      <c r="C366" s="14" t="s">
        <v>492</v>
      </c>
      <c r="D366" s="14" t="s">
        <v>62</v>
      </c>
      <c r="E366" s="5" t="s">
        <v>28</v>
      </c>
      <c r="F366" s="5" t="s">
        <v>163</v>
      </c>
      <c r="G366" s="5" t="s">
        <v>31</v>
      </c>
      <c r="H366" s="14" t="s">
        <v>8</v>
      </c>
      <c r="I366" s="10" t="n">
        <v>140000</v>
      </c>
      <c r="J366" s="12"/>
      <c r="K366" s="5" t="s">
        <v>64</v>
      </c>
      <c r="L366" s="5" t="s">
        <v>65</v>
      </c>
      <c r="M366" s="6" t="n">
        <v>46318</v>
      </c>
      <c r="N366" s="6"/>
      <c r="O366" s="6"/>
      <c r="P366" s="5" t="s">
        <v>274</v>
      </c>
      <c r="Q366" s="5" t="s">
        <v>96</v>
      </c>
      <c r="R366" s="16" t="s">
        <v>37</v>
      </c>
      <c r="S366" s="5" t="n">
        <v>40</v>
      </c>
      <c r="T366" s="5" t="s">
        <v>38</v>
      </c>
      <c r="U366" s="8" t="str">
        <f aca="false">IF(AND(TRIM(E366)="US",TRIM(G366)="Non-Exempt"),"US Non-Exempt EEs","")</f>
        <v/>
      </c>
      <c r="V366" s="8" t="str">
        <f aca="false">IF(AND(TRIM(E366)="US",TRIM(G366)="Non-Exempt"),IF(TRIM(D366)="CA","US California Non-Exempt","US Non-California Non-Exempt"),"")</f>
        <v/>
      </c>
      <c r="W366" s="8" t="str">
        <f aca="false">_xlfn.XLOOKUP(X366,ShiftCodes[Code],ShiftCodes[Work Schedule],"Unknown code")</f>
        <v>Standard (Mon–Fri 9:00–17:30)</v>
      </c>
      <c r="X366" s="9" t="s">
        <v>39</v>
      </c>
      <c r="Y366" s="5"/>
    </row>
    <row r="367" customFormat="false" ht="15" hidden="false" customHeight="false" outlineLevel="0" collapsed="false">
      <c r="A367" s="5" t="s">
        <v>501</v>
      </c>
      <c r="B367" s="14" t="s">
        <v>109</v>
      </c>
      <c r="C367" s="14" t="s">
        <v>481</v>
      </c>
      <c r="D367" s="14" t="s">
        <v>62</v>
      </c>
      <c r="E367" s="5" t="s">
        <v>28</v>
      </c>
      <c r="F367" s="5" t="s">
        <v>121</v>
      </c>
      <c r="G367" s="5" t="s">
        <v>78</v>
      </c>
      <c r="H367" s="14" t="s">
        <v>79</v>
      </c>
      <c r="I367" s="10"/>
      <c r="J367" s="12" t="n">
        <v>36</v>
      </c>
      <c r="K367" s="5" t="s">
        <v>64</v>
      </c>
      <c r="L367" s="5" t="s">
        <v>65</v>
      </c>
      <c r="M367" s="6" t="n">
        <v>45830</v>
      </c>
      <c r="N367" s="6"/>
      <c r="O367" s="6"/>
      <c r="P367" s="5" t="s">
        <v>178</v>
      </c>
      <c r="Q367" s="5" t="s">
        <v>36</v>
      </c>
      <c r="R367" s="16" t="s">
        <v>37</v>
      </c>
      <c r="S367" s="5" t="n">
        <v>40</v>
      </c>
      <c r="T367" s="5" t="s">
        <v>38</v>
      </c>
      <c r="U367" s="8" t="str">
        <f aca="false">IF(AND(TRIM(E367)="US",TRIM(G367)="Non-Exempt"),"US Non-Exempt EEs","")</f>
        <v/>
      </c>
      <c r="V367" s="8" t="str">
        <f aca="false">IF(AND(TRIM(E367)="US",TRIM(G367)="Non-Exempt"),IF(TRIM(D367)="CA","US California Non-Exempt","US Non-California Non-Exempt"),"")</f>
        <v/>
      </c>
      <c r="W367" s="8" t="str">
        <f aca="false">_xlfn.XLOOKUP(X367,ShiftCodes[Code],ShiftCodes[Work Schedule],"Unknown code")</f>
        <v>Shift A – Day (Mon–Fri 06:00–14:30)</v>
      </c>
      <c r="X367" s="9" t="s">
        <v>81</v>
      </c>
      <c r="Y367" s="5"/>
    </row>
    <row r="368" customFormat="false" ht="15" hidden="false" customHeight="false" outlineLevel="0" collapsed="false">
      <c r="A368" s="5" t="s">
        <v>502</v>
      </c>
      <c r="B368" s="14" t="s">
        <v>109</v>
      </c>
      <c r="C368" s="14" t="s">
        <v>481</v>
      </c>
      <c r="D368" s="14" t="s">
        <v>62</v>
      </c>
      <c r="E368" s="5" t="s">
        <v>28</v>
      </c>
      <c r="F368" s="5" t="s">
        <v>130</v>
      </c>
      <c r="G368" s="5" t="s">
        <v>78</v>
      </c>
      <c r="H368" s="14" t="s">
        <v>79</v>
      </c>
      <c r="I368" s="10"/>
      <c r="J368" s="12" t="n">
        <v>28.25</v>
      </c>
      <c r="K368" s="5" t="s">
        <v>64</v>
      </c>
      <c r="L368" s="5" t="s">
        <v>65</v>
      </c>
      <c r="M368" s="6" t="n">
        <v>46120</v>
      </c>
      <c r="N368" s="6"/>
      <c r="O368" s="6"/>
      <c r="P368" s="5" t="s">
        <v>178</v>
      </c>
      <c r="Q368" s="5" t="s">
        <v>36</v>
      </c>
      <c r="R368" s="16" t="s">
        <v>37</v>
      </c>
      <c r="S368" s="5" t="n">
        <v>40</v>
      </c>
      <c r="T368" s="5" t="s">
        <v>38</v>
      </c>
      <c r="U368" s="8" t="str">
        <f aca="false">IF(AND(TRIM(E368)="US",TRIM(G368)="Non-Exempt"),"US Non-Exempt EEs","")</f>
        <v/>
      </c>
      <c r="V368" s="8" t="str">
        <f aca="false">IF(AND(TRIM(E368)="US",TRIM(G368)="Non-Exempt"),IF(TRIM(D368)="CA","US California Non-Exempt","US Non-California Non-Exempt"),"")</f>
        <v/>
      </c>
      <c r="W368" s="8" t="str">
        <f aca="false">_xlfn.XLOOKUP(X368,ShiftCodes[Code],ShiftCodes[Work Schedule],"Unknown code")</f>
        <v>Shift B – Swing (Mon–Fri 14:00–22:30)</v>
      </c>
      <c r="X368" s="9" t="s">
        <v>85</v>
      </c>
      <c r="Y368" s="5"/>
    </row>
    <row r="369" customFormat="false" ht="15" hidden="false" customHeight="false" outlineLevel="0" collapsed="false">
      <c r="A369" s="5" t="s">
        <v>503</v>
      </c>
      <c r="B369" s="14" t="s">
        <v>109</v>
      </c>
      <c r="C369" s="14" t="s">
        <v>488</v>
      </c>
      <c r="D369" s="14" t="s">
        <v>489</v>
      </c>
      <c r="E369" s="5" t="s">
        <v>28</v>
      </c>
      <c r="F369" s="5" t="s">
        <v>132</v>
      </c>
      <c r="G369" s="5" t="s">
        <v>78</v>
      </c>
      <c r="H369" s="14" t="s">
        <v>79</v>
      </c>
      <c r="I369" s="10"/>
      <c r="J369" s="12" t="n">
        <v>41</v>
      </c>
      <c r="K369" s="5" t="s">
        <v>64</v>
      </c>
      <c r="L369" s="5" t="s">
        <v>65</v>
      </c>
      <c r="M369" s="6" t="n">
        <v>45680</v>
      </c>
      <c r="N369" s="6"/>
      <c r="O369" s="6"/>
      <c r="P369" s="5" t="s">
        <v>200</v>
      </c>
      <c r="Q369" s="5" t="s">
        <v>36</v>
      </c>
      <c r="R369" s="16" t="s">
        <v>37</v>
      </c>
      <c r="S369" s="5" t="n">
        <v>40</v>
      </c>
      <c r="T369" s="5" t="s">
        <v>38</v>
      </c>
      <c r="U369" s="8" t="str">
        <f aca="false">IF(AND(TRIM(E369)="US",TRIM(G369)="Non-Exempt"),"US Non-Exempt EEs","")</f>
        <v/>
      </c>
      <c r="V369" s="8" t="str">
        <f aca="false">IF(AND(TRIM(E369)="US",TRIM(G369)="Non-Exempt"),IF(TRIM(D369)="CA","US California Non-Exempt","US Non-California Non-Exempt"),"")</f>
        <v/>
      </c>
      <c r="W369" s="8" t="str">
        <f aca="false">_xlfn.XLOOKUP(X369,ShiftCodes[Code],ShiftCodes[Work Schedule],"Unknown code")</f>
        <v>Shift C – Night (Sun–Thu 22:00–06:30)</v>
      </c>
      <c r="X369" s="9" t="s">
        <v>239</v>
      </c>
      <c r="Y369" s="5"/>
    </row>
    <row r="370" customFormat="false" ht="15" hidden="false" customHeight="false" outlineLevel="0" collapsed="false">
      <c r="A370" s="5" t="s">
        <v>504</v>
      </c>
      <c r="B370" s="14" t="s">
        <v>109</v>
      </c>
      <c r="C370" s="14" t="s">
        <v>484</v>
      </c>
      <c r="D370" s="14" t="s">
        <v>485</v>
      </c>
      <c r="E370" s="5" t="s">
        <v>28</v>
      </c>
      <c r="F370" s="5" t="s">
        <v>121</v>
      </c>
      <c r="G370" s="5" t="s">
        <v>78</v>
      </c>
      <c r="H370" s="14" t="s">
        <v>79</v>
      </c>
      <c r="I370" s="10"/>
      <c r="J370" s="12" t="n">
        <v>35</v>
      </c>
      <c r="K370" s="5" t="s">
        <v>64</v>
      </c>
      <c r="L370" s="5" t="s">
        <v>65</v>
      </c>
      <c r="M370" s="6" t="n">
        <v>45990</v>
      </c>
      <c r="N370" s="6"/>
      <c r="O370" s="6"/>
      <c r="P370" s="5" t="s">
        <v>213</v>
      </c>
      <c r="Q370" s="5" t="s">
        <v>36</v>
      </c>
      <c r="R370" s="16" t="s">
        <v>37</v>
      </c>
      <c r="S370" s="5" t="n">
        <v>40</v>
      </c>
      <c r="T370" s="5" t="s">
        <v>38</v>
      </c>
      <c r="U370" s="8" t="str">
        <f aca="false">IF(AND(TRIM(E370)="US",TRIM(G370)="Non-Exempt"),"US Non-Exempt EEs","")</f>
        <v/>
      </c>
      <c r="V370" s="8" t="str">
        <f aca="false">IF(AND(TRIM(E370)="US",TRIM(G370)="Non-Exempt"),IF(TRIM(D370)="CA","US California Non-Exempt","US Non-California Non-Exempt"),"")</f>
        <v/>
      </c>
      <c r="W370" s="8" t="str">
        <f aca="false">_xlfn.XLOOKUP(X370,ShiftCodes[Code],ShiftCodes[Work Schedule],"Unknown code")</f>
        <v>Shift A – Day (Mon–Fri 06:00–14:30)</v>
      </c>
      <c r="X370" s="9" t="s">
        <v>81</v>
      </c>
      <c r="Y370" s="5"/>
    </row>
    <row r="371" customFormat="false" ht="15" hidden="false" customHeight="false" outlineLevel="0" collapsed="false">
      <c r="A371" s="5" t="s">
        <v>505</v>
      </c>
      <c r="B371" s="14" t="s">
        <v>109</v>
      </c>
      <c r="C371" s="14" t="s">
        <v>481</v>
      </c>
      <c r="D371" s="14" t="s">
        <v>62</v>
      </c>
      <c r="E371" s="5" t="s">
        <v>28</v>
      </c>
      <c r="F371" s="5" t="s">
        <v>163</v>
      </c>
      <c r="G371" s="5" t="s">
        <v>31</v>
      </c>
      <c r="H371" s="14" t="s">
        <v>8</v>
      </c>
      <c r="I371" s="10" t="n">
        <v>138000</v>
      </c>
      <c r="J371" s="12"/>
      <c r="K371" s="5" t="s">
        <v>64</v>
      </c>
      <c r="L371" s="5" t="s">
        <v>65</v>
      </c>
      <c r="M371" s="6" t="n">
        <v>45560</v>
      </c>
      <c r="N371" s="6"/>
      <c r="O371" s="6"/>
      <c r="P371" s="5" t="s">
        <v>115</v>
      </c>
      <c r="Q371" s="5" t="s">
        <v>36</v>
      </c>
      <c r="R371" s="16" t="s">
        <v>37</v>
      </c>
      <c r="S371" s="5" t="n">
        <v>40</v>
      </c>
      <c r="T371" s="5" t="s">
        <v>38</v>
      </c>
      <c r="U371" s="8" t="str">
        <f aca="false">IF(AND(TRIM(E371)="US",TRIM(G371)="Non-Exempt"),"US Non-Exempt EEs","")</f>
        <v/>
      </c>
      <c r="V371" s="8" t="str">
        <f aca="false">IF(AND(TRIM(E371)="US",TRIM(G371)="Non-Exempt"),IF(TRIM(D371)="CA","US California Non-Exempt","US Non-California Non-Exempt"),"")</f>
        <v/>
      </c>
      <c r="W371" s="8" t="str">
        <f aca="false">_xlfn.XLOOKUP(X371,ShiftCodes[Code],ShiftCodes[Work Schedule],"Unknown code")</f>
        <v>Standard (Mon–Fri 9:00–17:30)</v>
      </c>
      <c r="X371" s="9" t="s">
        <v>39</v>
      </c>
      <c r="Y371" s="5"/>
    </row>
    <row r="372" customFormat="false" ht="15" hidden="false" customHeight="false" outlineLevel="0" collapsed="false">
      <c r="A372" s="5" t="s">
        <v>506</v>
      </c>
      <c r="B372" s="14" t="s">
        <v>109</v>
      </c>
      <c r="C372" s="14" t="s">
        <v>488</v>
      </c>
      <c r="D372" s="14" t="s">
        <v>489</v>
      </c>
      <c r="E372" s="5" t="s">
        <v>28</v>
      </c>
      <c r="F372" s="5" t="s">
        <v>130</v>
      </c>
      <c r="G372" s="5" t="s">
        <v>78</v>
      </c>
      <c r="H372" s="14" t="s">
        <v>79</v>
      </c>
      <c r="I372" s="10"/>
      <c r="J372" s="12" t="n">
        <v>27.75</v>
      </c>
      <c r="K372" s="5" t="s">
        <v>64</v>
      </c>
      <c r="L372" s="5" t="s">
        <v>65</v>
      </c>
      <c r="M372" s="6" t="n">
        <v>46305</v>
      </c>
      <c r="N372" s="6"/>
      <c r="O372" s="6"/>
      <c r="P372" s="5" t="s">
        <v>202</v>
      </c>
      <c r="Q372" s="5" t="s">
        <v>96</v>
      </c>
      <c r="R372" s="16" t="s">
        <v>37</v>
      </c>
      <c r="S372" s="5" t="n">
        <v>40</v>
      </c>
      <c r="T372" s="5" t="s">
        <v>38</v>
      </c>
      <c r="U372" s="8" t="str">
        <f aca="false">IF(AND(TRIM(E372)="US",TRIM(G372)="Non-Exempt"),"US Non-Exempt EEs","")</f>
        <v/>
      </c>
      <c r="V372" s="8" t="str">
        <f aca="false">IF(AND(TRIM(E372)="US",TRIM(G372)="Non-Exempt"),IF(TRIM(D372)="CA","US California Non-Exempt","US Non-California Non-Exempt"),"")</f>
        <v/>
      </c>
      <c r="W372" s="8" t="str">
        <f aca="false">_xlfn.XLOOKUP(X372,ShiftCodes[Code],ShiftCodes[Work Schedule],"Unknown code")</f>
        <v>Shift A – Day (Mon–Fri 06:00–14:30)</v>
      </c>
      <c r="X372" s="9" t="s">
        <v>81</v>
      </c>
      <c r="Y372" s="5"/>
    </row>
    <row r="373" customFormat="false" ht="15" hidden="false" customHeight="false" outlineLevel="0" collapsed="false">
      <c r="A373" s="5" t="s">
        <v>507</v>
      </c>
      <c r="B373" s="14" t="s">
        <v>99</v>
      </c>
      <c r="C373" s="14" t="s">
        <v>481</v>
      </c>
      <c r="D373" s="14" t="s">
        <v>62</v>
      </c>
      <c r="E373" s="5" t="s">
        <v>28</v>
      </c>
      <c r="F373" s="5" t="s">
        <v>163</v>
      </c>
      <c r="G373" s="5" t="s">
        <v>31</v>
      </c>
      <c r="H373" s="14" t="s">
        <v>8</v>
      </c>
      <c r="I373" s="10" t="n">
        <v>132000</v>
      </c>
      <c r="J373" s="12"/>
      <c r="K373" s="5" t="s">
        <v>64</v>
      </c>
      <c r="L373" s="5" t="s">
        <v>65</v>
      </c>
      <c r="M373" s="6" t="n">
        <v>45740</v>
      </c>
      <c r="N373" s="6"/>
      <c r="O373" s="6"/>
      <c r="P373" s="5" t="s">
        <v>159</v>
      </c>
      <c r="Q373" s="5" t="s">
        <v>36</v>
      </c>
      <c r="R373" s="16" t="s">
        <v>37</v>
      </c>
      <c r="S373" s="5" t="n">
        <v>40</v>
      </c>
      <c r="T373" s="5" t="s">
        <v>38</v>
      </c>
      <c r="U373" s="8" t="str">
        <f aca="false">IF(AND(TRIM(E373)="US",TRIM(G373)="Non-Exempt"),"US Non-Exempt EEs","")</f>
        <v/>
      </c>
      <c r="V373" s="8" t="str">
        <f aca="false">IF(AND(TRIM(E373)="US",TRIM(G373)="Non-Exempt"),IF(TRIM(D373)="CA","US California Non-Exempt","US Non-California Non-Exempt"),"")</f>
        <v/>
      </c>
      <c r="W373" s="8" t="str">
        <f aca="false">_xlfn.XLOOKUP(X373,ShiftCodes[Code],ShiftCodes[Work Schedule],"Unknown code")</f>
        <v>Standard (Mon–Fri 9:00–17:30)</v>
      </c>
      <c r="X373" s="9" t="s">
        <v>39</v>
      </c>
      <c r="Y373" s="5"/>
    </row>
    <row r="374" customFormat="false" ht="15" hidden="false" customHeight="false" outlineLevel="0" collapsed="false">
      <c r="A374" s="5" t="s">
        <v>508</v>
      </c>
      <c r="B374" s="14" t="s">
        <v>99</v>
      </c>
      <c r="C374" s="14" t="s">
        <v>481</v>
      </c>
      <c r="D374" s="14" t="s">
        <v>62</v>
      </c>
      <c r="E374" s="5" t="s">
        <v>28</v>
      </c>
      <c r="F374" s="5" t="s">
        <v>124</v>
      </c>
      <c r="G374" s="5" t="s">
        <v>31</v>
      </c>
      <c r="H374" s="14" t="s">
        <v>8</v>
      </c>
      <c r="I374" s="10" t="n">
        <v>102000</v>
      </c>
      <c r="J374" s="12"/>
      <c r="K374" s="5" t="s">
        <v>64</v>
      </c>
      <c r="L374" s="5" t="s">
        <v>65</v>
      </c>
      <c r="M374" s="6" t="n">
        <v>46010</v>
      </c>
      <c r="N374" s="6"/>
      <c r="O374" s="6"/>
      <c r="P374" s="5" t="s">
        <v>186</v>
      </c>
      <c r="Q374" s="5" t="s">
        <v>36</v>
      </c>
      <c r="R374" s="16" t="s">
        <v>37</v>
      </c>
      <c r="S374" s="5" t="n">
        <v>40</v>
      </c>
      <c r="T374" s="5" t="s">
        <v>38</v>
      </c>
      <c r="U374" s="8" t="str">
        <f aca="false">IF(AND(TRIM(E374)="US",TRIM(G374)="Non-Exempt"),"US Non-Exempt EEs","")</f>
        <v/>
      </c>
      <c r="V374" s="8" t="str">
        <f aca="false">IF(AND(TRIM(E374)="US",TRIM(G374)="Non-Exempt"),IF(TRIM(D374)="CA","US California Non-Exempt","US Non-California Non-Exempt"),"")</f>
        <v/>
      </c>
      <c r="W374" s="8" t="str">
        <f aca="false">_xlfn.XLOOKUP(X374,ShiftCodes[Code],ShiftCodes[Work Schedule],"Unknown code")</f>
        <v>Standard (Mon–Fri 9:00–17:30)</v>
      </c>
      <c r="X374" s="9" t="s">
        <v>39</v>
      </c>
      <c r="Y374" s="5"/>
    </row>
    <row r="375" customFormat="false" ht="15" hidden="false" customHeight="false" outlineLevel="0" collapsed="false">
      <c r="A375" s="5" t="s">
        <v>509</v>
      </c>
      <c r="B375" s="14" t="s">
        <v>99</v>
      </c>
      <c r="C375" s="14" t="s">
        <v>484</v>
      </c>
      <c r="D375" s="14" t="s">
        <v>485</v>
      </c>
      <c r="E375" s="5" t="s">
        <v>28</v>
      </c>
      <c r="F375" s="5" t="s">
        <v>165</v>
      </c>
      <c r="G375" s="5" t="s">
        <v>31</v>
      </c>
      <c r="H375" s="14" t="s">
        <v>8</v>
      </c>
      <c r="I375" s="10" t="n">
        <v>158000</v>
      </c>
      <c r="J375" s="12"/>
      <c r="K375" s="5" t="s">
        <v>64</v>
      </c>
      <c r="L375" s="5" t="s">
        <v>65</v>
      </c>
      <c r="M375" s="6" t="n">
        <v>45450</v>
      </c>
      <c r="N375" s="6"/>
      <c r="O375" s="6"/>
      <c r="P375" s="5" t="s">
        <v>152</v>
      </c>
      <c r="Q375" s="5" t="s">
        <v>36</v>
      </c>
      <c r="R375" s="16" t="s">
        <v>37</v>
      </c>
      <c r="S375" s="5" t="n">
        <v>40</v>
      </c>
      <c r="T375" s="5" t="s">
        <v>38</v>
      </c>
      <c r="U375" s="8" t="str">
        <f aca="false">IF(AND(TRIM(E375)="US",TRIM(G375)="Non-Exempt"),"US Non-Exempt EEs","")</f>
        <v/>
      </c>
      <c r="V375" s="8" t="str">
        <f aca="false">IF(AND(TRIM(E375)="US",TRIM(G375)="Non-Exempt"),IF(TRIM(D375)="CA","US California Non-Exempt","US Non-California Non-Exempt"),"")</f>
        <v/>
      </c>
      <c r="W375" s="8" t="str">
        <f aca="false">_xlfn.XLOOKUP(X375,ShiftCodes[Code],ShiftCodes[Work Schedule],"Unknown code")</f>
        <v>Standard (Mon–Fri 9:00–17:30)</v>
      </c>
      <c r="X375" s="9" t="s">
        <v>39</v>
      </c>
      <c r="Y375" s="5"/>
    </row>
    <row r="376" customFormat="false" ht="15" hidden="false" customHeight="false" outlineLevel="0" collapsed="false">
      <c r="A376" s="5" t="s">
        <v>510</v>
      </c>
      <c r="B376" s="14" t="s">
        <v>99</v>
      </c>
      <c r="C376" s="14" t="s">
        <v>488</v>
      </c>
      <c r="D376" s="14" t="s">
        <v>489</v>
      </c>
      <c r="E376" s="5" t="s">
        <v>28</v>
      </c>
      <c r="F376" s="5" t="s">
        <v>149</v>
      </c>
      <c r="G376" s="5" t="s">
        <v>31</v>
      </c>
      <c r="H376" s="14" t="s">
        <v>8</v>
      </c>
      <c r="I376" s="10" t="n">
        <v>88000</v>
      </c>
      <c r="J376" s="12"/>
      <c r="K376" s="5" t="s">
        <v>64</v>
      </c>
      <c r="L376" s="5" t="s">
        <v>65</v>
      </c>
      <c r="M376" s="6" t="n">
        <v>46140</v>
      </c>
      <c r="N376" s="6"/>
      <c r="O376" s="6"/>
      <c r="P376" s="5" t="s">
        <v>231</v>
      </c>
      <c r="Q376" s="5" t="s">
        <v>36</v>
      </c>
      <c r="R376" s="16" t="s">
        <v>37</v>
      </c>
      <c r="S376" s="5" t="n">
        <v>40</v>
      </c>
      <c r="T376" s="5" t="s">
        <v>38</v>
      </c>
      <c r="U376" s="8" t="str">
        <f aca="false">IF(AND(TRIM(E376)="US",TRIM(G376)="Non-Exempt"),"US Non-Exempt EEs","")</f>
        <v/>
      </c>
      <c r="V376" s="8" t="str">
        <f aca="false">IF(AND(TRIM(E376)="US",TRIM(G376)="Non-Exempt"),IF(TRIM(D376)="CA","US California Non-Exempt","US Non-California Non-Exempt"),"")</f>
        <v/>
      </c>
      <c r="W376" s="8" t="str">
        <f aca="false">_xlfn.XLOOKUP(X376,ShiftCodes[Code],ShiftCodes[Work Schedule],"Unknown code")</f>
        <v>Standard (Mon–Fri 9:00–17:30)</v>
      </c>
      <c r="X376" s="9" t="s">
        <v>39</v>
      </c>
      <c r="Y376" s="5"/>
    </row>
    <row r="377" customFormat="false" ht="15" hidden="false" customHeight="false" outlineLevel="0" collapsed="false">
      <c r="A377" s="7" t="s">
        <v>511</v>
      </c>
      <c r="B377" s="5" t="s">
        <v>99</v>
      </c>
      <c r="C377" s="5" t="s">
        <v>100</v>
      </c>
      <c r="D377" s="5" t="s">
        <v>28</v>
      </c>
      <c r="E377" s="20" t="s">
        <v>29</v>
      </c>
      <c r="H377" s="5" t="s">
        <v>79</v>
      </c>
      <c r="J377" s="0" t="n">
        <v>75</v>
      </c>
      <c r="K377" s="21" t="s">
        <v>33</v>
      </c>
      <c r="P377" s="21" t="s">
        <v>35</v>
      </c>
      <c r="R377" s="7" t="s">
        <v>512</v>
      </c>
      <c r="S377" s="5" t="n">
        <v>40</v>
      </c>
      <c r="T377" s="5" t="s">
        <v>38</v>
      </c>
      <c r="U377" s="8" t="str">
        <f aca="false">IF(AND(TRIM(E377)="US",TRIM(G377)="Non-Exempt"),"US Non-Exempt EEs","")</f>
        <v/>
      </c>
      <c r="V377" s="8" t="str">
        <f aca="false">IF(AND(TRIM(E377)="US",TRIM(G377)="Non-Exempt"),IF(TRIM(D377)="CA","US California Non-Exempt","US Non-California Non-Exempt"),"")</f>
        <v/>
      </c>
      <c r="W377" s="8" t="str">
        <f aca="false">_xlfn.XLOOKUP(X377,ShiftCodes[Code],ShiftCodes[Work Schedule],"Unknown code")</f>
        <v>Standard (Mon–Fri 9:00–17:30)</v>
      </c>
      <c r="X377" s="9" t="s">
        <v>39</v>
      </c>
      <c r="Y377" s="5"/>
    </row>
    <row r="378" customFormat="false" ht="15" hidden="false" customHeight="false" outlineLevel="0" collapsed="false">
      <c r="A378" s="7" t="s">
        <v>513</v>
      </c>
      <c r="B378" s="5" t="s">
        <v>99</v>
      </c>
      <c r="C378" s="5" t="s">
        <v>127</v>
      </c>
      <c r="D378" s="5" t="s">
        <v>90</v>
      </c>
      <c r="E378" s="20" t="s">
        <v>29</v>
      </c>
      <c r="H378" s="5" t="s">
        <v>79</v>
      </c>
      <c r="J378" s="0" t="n">
        <v>80</v>
      </c>
      <c r="K378" s="5" t="s">
        <v>33</v>
      </c>
      <c r="P378" s="5" t="s">
        <v>35</v>
      </c>
      <c r="R378" s="7" t="s">
        <v>512</v>
      </c>
      <c r="S378" s="5" t="n">
        <v>40</v>
      </c>
      <c r="T378" s="5" t="s">
        <v>38</v>
      </c>
      <c r="U378" s="8" t="str">
        <f aca="false">IF(AND(TRIM(E378)="US",TRIM(G378)="Non-Exempt"),"US Non-Exempt EEs","")</f>
        <v/>
      </c>
      <c r="V378" s="8" t="str">
        <f aca="false">IF(AND(TRIM(E378)="US",TRIM(G378)="Non-Exempt"),IF(TRIM(D378)="CA","US California Non-Exempt","US Non-California Non-Exempt"),"")</f>
        <v/>
      </c>
      <c r="W378" s="8" t="str">
        <f aca="false">_xlfn.XLOOKUP(X378,ShiftCodes[Code],ShiftCodes[Work Schedule],"Unknown code")</f>
        <v>Standard (Mon–Fri 9:00–17:30)</v>
      </c>
      <c r="X378" s="9" t="s">
        <v>39</v>
      </c>
      <c r="Y378" s="5"/>
    </row>
    <row r="379" customFormat="false" ht="15" hidden="false" customHeight="false" outlineLevel="0" collapsed="false">
      <c r="A379" s="7" t="s">
        <v>514</v>
      </c>
      <c r="B379" s="5" t="s">
        <v>109</v>
      </c>
      <c r="C379" s="5" t="s">
        <v>113</v>
      </c>
      <c r="D379" s="5" t="s">
        <v>84</v>
      </c>
      <c r="E379" s="20" t="s">
        <v>29</v>
      </c>
      <c r="H379" s="5" t="s">
        <v>79</v>
      </c>
      <c r="J379" s="0" t="n">
        <v>74.5</v>
      </c>
      <c r="K379" s="5" t="s">
        <v>33</v>
      </c>
      <c r="P379" s="5" t="s">
        <v>57</v>
      </c>
      <c r="R379" s="7" t="s">
        <v>512</v>
      </c>
      <c r="S379" s="5" t="n">
        <v>40</v>
      </c>
      <c r="T379" s="5" t="s">
        <v>38</v>
      </c>
      <c r="U379" s="8" t="str">
        <f aca="false">IF(AND(TRIM(E379)="US",TRIM(G379)="Non-Exempt"),"US Non-Exempt EEs","")</f>
        <v/>
      </c>
      <c r="V379" s="8" t="str">
        <f aca="false">IF(AND(TRIM(E379)="US",TRIM(G379)="Non-Exempt"),IF(TRIM(D379)="CA","US California Non-Exempt","US Non-California Non-Exempt"),"")</f>
        <v/>
      </c>
      <c r="W379" s="8" t="str">
        <f aca="false">_xlfn.XLOOKUP(X379,ShiftCodes[Code],ShiftCodes[Work Schedule],"Unknown code")</f>
        <v>Standard (Mon–Fri 9:00–17:30)</v>
      </c>
      <c r="X379" s="9" t="s">
        <v>39</v>
      </c>
      <c r="Y379" s="5"/>
    </row>
    <row r="380" customFormat="false" ht="15" hidden="false" customHeight="false" outlineLevel="0" collapsed="false">
      <c r="A380" s="7" t="s">
        <v>515</v>
      </c>
      <c r="B380" s="5" t="s">
        <v>109</v>
      </c>
      <c r="C380" s="5" t="s">
        <v>180</v>
      </c>
      <c r="D380" s="5" t="s">
        <v>52</v>
      </c>
      <c r="E380" s="20" t="s">
        <v>52</v>
      </c>
      <c r="H380" s="5" t="s">
        <v>79</v>
      </c>
      <c r="J380" s="0" t="n">
        <v>68</v>
      </c>
      <c r="K380" s="5" t="s">
        <v>55</v>
      </c>
      <c r="P380" s="5" t="s">
        <v>57</v>
      </c>
      <c r="R380" s="7" t="s">
        <v>512</v>
      </c>
      <c r="S380" s="5" t="n">
        <v>37.5</v>
      </c>
      <c r="T380" s="5" t="s">
        <v>38</v>
      </c>
      <c r="U380" s="8" t="str">
        <f aca="false">IF(AND(TRIM(E380)="US",TRIM(G380)="Non-Exempt"),"US Non-Exempt EEs","")</f>
        <v/>
      </c>
      <c r="V380" s="8" t="str">
        <f aca="false">IF(AND(TRIM(E380)="US",TRIM(G380)="Non-Exempt"),IF(TRIM(D380)="CA","US California Non-Exempt","US Non-California Non-Exempt"),"")</f>
        <v/>
      </c>
      <c r="W380" s="8" t="str">
        <f aca="false">_xlfn.XLOOKUP(X380,ShiftCodes[Code],ShiftCodes[Work Schedule],"Unknown code")</f>
        <v>Standard (Mon–Fri 9:00–17:30)</v>
      </c>
      <c r="X380" s="9" t="s">
        <v>39</v>
      </c>
      <c r="Y380" s="5"/>
    </row>
    <row r="381" customFormat="false" ht="15" hidden="false" customHeight="false" outlineLevel="0" collapsed="false">
      <c r="A381" s="7" t="s">
        <v>516</v>
      </c>
      <c r="B381" s="5" t="s">
        <v>112</v>
      </c>
      <c r="C381" s="5" t="s">
        <v>68</v>
      </c>
      <c r="D381" s="5" t="s">
        <v>69</v>
      </c>
      <c r="E381" s="20" t="s">
        <v>70</v>
      </c>
      <c r="H381" s="5" t="s">
        <v>79</v>
      </c>
      <c r="J381" s="0" t="n">
        <v>1500</v>
      </c>
      <c r="K381" s="5" t="s">
        <v>72</v>
      </c>
      <c r="P381" s="5" t="s">
        <v>66</v>
      </c>
      <c r="R381" s="7" t="s">
        <v>512</v>
      </c>
      <c r="S381" s="5" t="n">
        <v>40</v>
      </c>
      <c r="T381" s="5" t="s">
        <v>38</v>
      </c>
      <c r="U381" s="8" t="str">
        <f aca="false">IF(AND(TRIM(E381)="US",TRIM(G381)="Non-Exempt"),"US Non-Exempt EEs","")</f>
        <v/>
      </c>
      <c r="V381" s="8" t="str">
        <f aca="false">IF(AND(TRIM(E381)="US",TRIM(G381)="Non-Exempt"),IF(TRIM(D381)="CA","US California Non-Exempt","US Non-California Non-Exempt"),"")</f>
        <v/>
      </c>
      <c r="W381" s="8" t="str">
        <f aca="false">_xlfn.XLOOKUP(X381,ShiftCodes[Code],ShiftCodes[Work Schedule],"Unknown code")</f>
        <v>Standard (Mon–Fri 9:00–17:30)</v>
      </c>
      <c r="X381" s="9" t="s">
        <v>39</v>
      </c>
      <c r="Y381" s="5"/>
    </row>
    <row r="382" customFormat="false" ht="15" hidden="false" customHeight="false" outlineLevel="0" collapsed="false">
      <c r="A382" s="7" t="s">
        <v>517</v>
      </c>
      <c r="B382" s="5" t="s">
        <v>109</v>
      </c>
      <c r="C382" s="5" t="s">
        <v>481</v>
      </c>
      <c r="D382" s="5" t="s">
        <v>62</v>
      </c>
      <c r="E382" s="20" t="s">
        <v>28</v>
      </c>
      <c r="H382" s="5" t="s">
        <v>79</v>
      </c>
      <c r="J382" s="0" t="n">
        <v>72</v>
      </c>
      <c r="K382" s="5" t="s">
        <v>64</v>
      </c>
      <c r="P382" s="5" t="s">
        <v>57</v>
      </c>
      <c r="R382" s="7" t="s">
        <v>512</v>
      </c>
      <c r="S382" s="5" t="n">
        <v>40</v>
      </c>
      <c r="T382" s="5" t="s">
        <v>38</v>
      </c>
      <c r="U382" s="8" t="str">
        <f aca="false">IF(AND(TRIM(E382)="US",TRIM(G382)="Non-Exempt"),"US Non-Exempt EEs","")</f>
        <v/>
      </c>
      <c r="V382" s="8" t="str">
        <f aca="false">IF(AND(TRIM(E382)="US",TRIM(G382)="Non-Exempt"),IF(TRIM(D382)="CA","US California Non-Exempt","US Non-California Non-Exempt"),"")</f>
        <v/>
      </c>
      <c r="W382" s="8" t="str">
        <f aca="false">_xlfn.XLOOKUP(X382,ShiftCodes[Code],ShiftCodes[Work Schedule],"Unknown code")</f>
        <v>Standard (Mon–Fri 9:00–17:30)</v>
      </c>
      <c r="X382" s="9" t="s">
        <v>39</v>
      </c>
      <c r="Y382" s="5"/>
    </row>
    <row r="383" customFormat="false" ht="15" hidden="false" customHeight="false" outlineLevel="0" collapsed="false">
      <c r="A383" s="7" t="s">
        <v>518</v>
      </c>
      <c r="B383" s="5" t="s">
        <v>112</v>
      </c>
      <c r="C383" s="5" t="s">
        <v>68</v>
      </c>
      <c r="D383" s="5" t="s">
        <v>69</v>
      </c>
      <c r="E383" s="20" t="s">
        <v>70</v>
      </c>
      <c r="H383" s="5" t="s">
        <v>79</v>
      </c>
      <c r="J383" s="0" t="n">
        <v>2000</v>
      </c>
      <c r="K383" s="14" t="s">
        <v>72</v>
      </c>
      <c r="P383" s="14" t="s">
        <v>66</v>
      </c>
      <c r="R383" s="7" t="s">
        <v>512</v>
      </c>
      <c r="S383" s="5" t="n">
        <v>40</v>
      </c>
      <c r="T383" s="5" t="s">
        <v>38</v>
      </c>
      <c r="U383" s="8" t="str">
        <f aca="false">IF(AND(TRIM(E383)="US",TRIM(G383)="Non-Exempt"),"US Non-Exempt EEs","")</f>
        <v/>
      </c>
      <c r="V383" s="8" t="str">
        <f aca="false">IF(AND(TRIM(E383)="US",TRIM(G383)="Non-Exempt"),IF(TRIM(D383)="CA","US California Non-Exempt","US Non-California Non-Exempt"),"")</f>
        <v/>
      </c>
      <c r="W383" s="8" t="str">
        <f aca="false">_xlfn.XLOOKUP(X383,ShiftCodes[Code],ShiftCodes[Work Schedule],"Unknown code")</f>
        <v>Standard (Mon–Fri 9:00–17:30)</v>
      </c>
      <c r="X383" s="9" t="s">
        <v>39</v>
      </c>
      <c r="Y383" s="5"/>
    </row>
    <row r="384" customFormat="false" ht="15" hidden="false" customHeight="false" outlineLevel="0" collapsed="false">
      <c r="A384" s="5" t="s">
        <v>519</v>
      </c>
      <c r="B384" s="21" t="s">
        <v>99</v>
      </c>
      <c r="C384" s="21" t="s">
        <v>100</v>
      </c>
      <c r="D384" s="21" t="s">
        <v>28</v>
      </c>
      <c r="E384" s="5" t="s">
        <v>29</v>
      </c>
      <c r="F384" s="5"/>
      <c r="G384" s="5"/>
      <c r="H384" s="21" t="s">
        <v>79</v>
      </c>
      <c r="I384" s="5"/>
      <c r="J384" s="12" t="n">
        <v>91.5</v>
      </c>
      <c r="K384" s="5" t="s">
        <v>33</v>
      </c>
      <c r="L384" s="5"/>
      <c r="M384" s="6" t="n">
        <v>45348</v>
      </c>
      <c r="N384" s="6"/>
      <c r="O384" s="6"/>
      <c r="P384" s="5" t="s">
        <v>135</v>
      </c>
      <c r="Q384" s="5" t="s">
        <v>36</v>
      </c>
      <c r="R384" s="5" t="s">
        <v>512</v>
      </c>
      <c r="S384" s="21" t="n">
        <v>40</v>
      </c>
      <c r="T384" s="21" t="s">
        <v>38</v>
      </c>
      <c r="U384" s="8" t="str">
        <f aca="false">IF(AND(TRIM(E384)="US",TRIM(G384)="Non-Exempt"),"US Non-Exempt EEs","")</f>
        <v/>
      </c>
      <c r="V384" s="8" t="str">
        <f aca="false">IF(AND(TRIM(E384)="US",TRIM(G384)="Non-Exempt"),IF(TRIM(D384)="CA","US California Non-Exempt","US Non-California Non-Exempt"),"")</f>
        <v/>
      </c>
      <c r="W384" s="8" t="str">
        <f aca="false">_xlfn.XLOOKUP(X384,ShiftCodes[Code],ShiftCodes[Work Schedule],"Unknown code")</f>
        <v>Standard (Mon–Fri 9:00–17:30)</v>
      </c>
      <c r="X384" s="9" t="s">
        <v>39</v>
      </c>
      <c r="Y384" s="5"/>
    </row>
    <row r="385" customFormat="false" ht="15" hidden="false" customHeight="false" outlineLevel="0" collapsed="false">
      <c r="A385" s="5" t="s">
        <v>520</v>
      </c>
      <c r="B385" s="5" t="s">
        <v>103</v>
      </c>
      <c r="C385" s="5" t="s">
        <v>100</v>
      </c>
      <c r="D385" s="5" t="s">
        <v>28</v>
      </c>
      <c r="E385" s="5" t="s">
        <v>29</v>
      </c>
      <c r="F385" s="5"/>
      <c r="G385" s="5"/>
      <c r="H385" s="5" t="s">
        <v>79</v>
      </c>
      <c r="I385" s="5"/>
      <c r="J385" s="12" t="n">
        <v>71</v>
      </c>
      <c r="K385" s="5" t="s">
        <v>33</v>
      </c>
      <c r="L385" s="5"/>
      <c r="M385" s="6" t="n">
        <v>45375</v>
      </c>
      <c r="N385" s="6"/>
      <c r="O385" s="6"/>
      <c r="P385" s="5" t="s">
        <v>116</v>
      </c>
      <c r="Q385" s="5" t="s">
        <v>36</v>
      </c>
      <c r="R385" s="5" t="s">
        <v>512</v>
      </c>
      <c r="S385" s="5" t="n">
        <v>40</v>
      </c>
      <c r="T385" s="5" t="s">
        <v>38</v>
      </c>
      <c r="U385" s="8" t="str">
        <f aca="false">IF(AND(TRIM(E385)="US",TRIM(G385)="Non-Exempt"),"US Non-Exempt EEs","")</f>
        <v/>
      </c>
      <c r="V385" s="8" t="str">
        <f aca="false">IF(AND(TRIM(E385)="US",TRIM(G385)="Non-Exempt"),IF(TRIM(D385)="CA","US California Non-Exempt","US Non-California Non-Exempt"),"")</f>
        <v/>
      </c>
      <c r="W385" s="8" t="str">
        <f aca="false">_xlfn.XLOOKUP(X385,ShiftCodes[Code],ShiftCodes[Work Schedule],"Unknown code")</f>
        <v>Standard (Mon–Fri 9:00–17:30)</v>
      </c>
      <c r="X385" s="9" t="s">
        <v>39</v>
      </c>
      <c r="Y385" s="5"/>
    </row>
    <row r="386" customFormat="false" ht="15" hidden="false" customHeight="false" outlineLevel="0" collapsed="false">
      <c r="A386" s="5" t="s">
        <v>521</v>
      </c>
      <c r="B386" s="5" t="s">
        <v>103</v>
      </c>
      <c r="C386" s="5" t="s">
        <v>106</v>
      </c>
      <c r="D386" s="5" t="s">
        <v>42</v>
      </c>
      <c r="E386" s="5" t="s">
        <v>29</v>
      </c>
      <c r="F386" s="5"/>
      <c r="G386" s="5"/>
      <c r="H386" s="5" t="s">
        <v>79</v>
      </c>
      <c r="I386" s="5"/>
      <c r="J386" s="12" t="n">
        <v>74.5</v>
      </c>
      <c r="K386" s="5" t="s">
        <v>33</v>
      </c>
      <c r="L386" s="5"/>
      <c r="M386" s="6" t="n">
        <v>45460</v>
      </c>
      <c r="N386" s="6"/>
      <c r="O386" s="6"/>
      <c r="P386" s="5" t="s">
        <v>122</v>
      </c>
      <c r="Q386" s="5" t="s">
        <v>36</v>
      </c>
      <c r="R386" s="5" t="s">
        <v>512</v>
      </c>
      <c r="S386" s="5" t="n">
        <v>40</v>
      </c>
      <c r="T386" s="5" t="s">
        <v>38</v>
      </c>
      <c r="U386" s="8" t="str">
        <f aca="false">IF(AND(TRIM(E386)="US",TRIM(G386)="Non-Exempt"),"US Non-Exempt EEs","")</f>
        <v/>
      </c>
      <c r="V386" s="8" t="str">
        <f aca="false">IF(AND(TRIM(E386)="US",TRIM(G386)="Non-Exempt"),IF(TRIM(D386)="CA","US California Non-Exempt","US Non-California Non-Exempt"),"")</f>
        <v/>
      </c>
      <c r="W386" s="8" t="str">
        <f aca="false">_xlfn.XLOOKUP(X386,ShiftCodes[Code],ShiftCodes[Work Schedule],"Unknown code")</f>
        <v>Standard (Mon–Fri 9:00–17:30)</v>
      </c>
      <c r="X386" s="9" t="s">
        <v>39</v>
      </c>
      <c r="Y386" s="5"/>
    </row>
    <row r="387" customFormat="false" ht="15" hidden="false" customHeight="false" outlineLevel="0" collapsed="false">
      <c r="A387" s="5" t="s">
        <v>522</v>
      </c>
      <c r="B387" s="5" t="s">
        <v>103</v>
      </c>
      <c r="C387" s="5" t="s">
        <v>100</v>
      </c>
      <c r="D387" s="5" t="s">
        <v>28</v>
      </c>
      <c r="E387" s="5" t="s">
        <v>29</v>
      </c>
      <c r="F387" s="5"/>
      <c r="G387" s="5"/>
      <c r="H387" s="5" t="s">
        <v>79</v>
      </c>
      <c r="I387" s="5"/>
      <c r="J387" s="12" t="n">
        <v>85</v>
      </c>
      <c r="K387" s="5" t="s">
        <v>33</v>
      </c>
      <c r="L387" s="5"/>
      <c r="M387" s="6" t="n">
        <v>45470</v>
      </c>
      <c r="N387" s="6"/>
      <c r="O387" s="6"/>
      <c r="P387" s="5" t="s">
        <v>175</v>
      </c>
      <c r="Q387" s="5" t="s">
        <v>36</v>
      </c>
      <c r="R387" s="5" t="s">
        <v>512</v>
      </c>
      <c r="S387" s="5" t="n">
        <v>40</v>
      </c>
      <c r="T387" s="5" t="s">
        <v>38</v>
      </c>
      <c r="U387" s="8" t="str">
        <f aca="false">IF(AND(TRIM(E387)="US",TRIM(G387)="Non-Exempt"),"US Non-Exempt EEs","")</f>
        <v/>
      </c>
      <c r="V387" s="8" t="str">
        <f aca="false">IF(AND(TRIM(E387)="US",TRIM(G387)="Non-Exempt"),IF(TRIM(D387)="CA","US California Non-Exempt","US Non-California Non-Exempt"),"")</f>
        <v/>
      </c>
      <c r="W387" s="8" t="str">
        <f aca="false">_xlfn.XLOOKUP(X387,ShiftCodes[Code],ShiftCodes[Work Schedule],"Unknown code")</f>
        <v>Standard (Mon–Fri 9:00–17:30)</v>
      </c>
      <c r="X387" s="9" t="s">
        <v>39</v>
      </c>
      <c r="Y387" s="5"/>
    </row>
    <row r="388" customFormat="false" ht="15" hidden="false" customHeight="false" outlineLevel="0" collapsed="false">
      <c r="A388" s="5" t="s">
        <v>523</v>
      </c>
      <c r="B388" s="5" t="s">
        <v>112</v>
      </c>
      <c r="C388" s="5" t="s">
        <v>106</v>
      </c>
      <c r="D388" s="5" t="s">
        <v>42</v>
      </c>
      <c r="E388" s="5" t="s">
        <v>29</v>
      </c>
      <c r="F388" s="5"/>
      <c r="G388" s="5"/>
      <c r="H388" s="5" t="s">
        <v>79</v>
      </c>
      <c r="I388" s="5"/>
      <c r="J388" s="12" t="n">
        <v>98</v>
      </c>
      <c r="K388" s="5" t="s">
        <v>33</v>
      </c>
      <c r="L388" s="5"/>
      <c r="M388" s="6" t="n">
        <v>45578</v>
      </c>
      <c r="N388" s="6"/>
      <c r="O388" s="6"/>
      <c r="P388" s="5" t="s">
        <v>182</v>
      </c>
      <c r="Q388" s="5" t="s">
        <v>36</v>
      </c>
      <c r="R388" s="5" t="s">
        <v>512</v>
      </c>
      <c r="S388" s="5" t="n">
        <v>40</v>
      </c>
      <c r="T388" s="5" t="s">
        <v>38</v>
      </c>
      <c r="U388" s="8" t="str">
        <f aca="false">IF(AND(TRIM(E388)="US",TRIM(G388)="Non-Exempt"),"US Non-Exempt EEs","")</f>
        <v/>
      </c>
      <c r="V388" s="8" t="str">
        <f aca="false">IF(AND(TRIM(E388)="US",TRIM(G388)="Non-Exempt"),IF(TRIM(D388)="CA","US California Non-Exempt","US Non-California Non-Exempt"),"")</f>
        <v/>
      </c>
      <c r="W388" s="8" t="str">
        <f aca="false">_xlfn.XLOOKUP(X388,ShiftCodes[Code],ShiftCodes[Work Schedule],"Unknown code")</f>
        <v>Standard (Mon–Fri 9:00–17:30)</v>
      </c>
      <c r="X388" s="9" t="s">
        <v>39</v>
      </c>
      <c r="Y388" s="5"/>
    </row>
    <row r="389" customFormat="false" ht="15" hidden="false" customHeight="false" outlineLevel="0" collapsed="false">
      <c r="A389" s="5" t="s">
        <v>524</v>
      </c>
      <c r="B389" s="5" t="s">
        <v>99</v>
      </c>
      <c r="C389" s="5" t="s">
        <v>68</v>
      </c>
      <c r="D389" s="5" t="s">
        <v>69</v>
      </c>
      <c r="E389" s="5" t="s">
        <v>70</v>
      </c>
      <c r="F389" s="5"/>
      <c r="G389" s="5"/>
      <c r="H389" s="5" t="s">
        <v>79</v>
      </c>
      <c r="I389" s="5"/>
      <c r="J389" s="18" t="n">
        <v>1700</v>
      </c>
      <c r="K389" s="5" t="s">
        <v>72</v>
      </c>
      <c r="L389" s="5"/>
      <c r="M389" s="6" t="n">
        <v>45726</v>
      </c>
      <c r="N389" s="6"/>
      <c r="O389" s="6"/>
      <c r="P389" s="5" t="s">
        <v>171</v>
      </c>
      <c r="Q389" s="5" t="s">
        <v>36</v>
      </c>
      <c r="R389" s="5" t="s">
        <v>512</v>
      </c>
      <c r="S389" s="5" t="n">
        <v>40</v>
      </c>
      <c r="T389" s="5" t="s">
        <v>38</v>
      </c>
      <c r="U389" s="8" t="str">
        <f aca="false">IF(AND(TRIM(E389)="US",TRIM(G389)="Non-Exempt"),"US Non-Exempt EEs","")</f>
        <v/>
      </c>
      <c r="V389" s="8" t="str">
        <f aca="false">IF(AND(TRIM(E389)="US",TRIM(G389)="Non-Exempt"),IF(TRIM(D389)="CA","US California Non-Exempt","US Non-California Non-Exempt"),"")</f>
        <v/>
      </c>
      <c r="W389" s="8" t="str">
        <f aca="false">_xlfn.XLOOKUP(X389,ShiftCodes[Code],ShiftCodes[Work Schedule],"Unknown code")</f>
        <v>Standard (Mon–Fri 9:00–17:30)</v>
      </c>
      <c r="X389" s="9" t="s">
        <v>39</v>
      </c>
      <c r="Y389" s="5"/>
    </row>
    <row r="390" customFormat="false" ht="15" hidden="false" customHeight="false" outlineLevel="0" collapsed="false">
      <c r="A390" s="5" t="s">
        <v>525</v>
      </c>
      <c r="B390" s="5" t="s">
        <v>109</v>
      </c>
      <c r="C390" s="5" t="s">
        <v>113</v>
      </c>
      <c r="D390" s="5" t="s">
        <v>84</v>
      </c>
      <c r="E390" s="5" t="s">
        <v>29</v>
      </c>
      <c r="F390" s="5"/>
      <c r="G390" s="5"/>
      <c r="H390" s="5" t="s">
        <v>79</v>
      </c>
      <c r="I390" s="5"/>
      <c r="J390" s="12" t="n">
        <v>117.5</v>
      </c>
      <c r="K390" s="5" t="s">
        <v>33</v>
      </c>
      <c r="L390" s="5"/>
      <c r="M390" s="6" t="n">
        <v>45792</v>
      </c>
      <c r="N390" s="6"/>
      <c r="O390" s="6"/>
      <c r="P390" s="5" t="s">
        <v>178</v>
      </c>
      <c r="Q390" s="5" t="s">
        <v>36</v>
      </c>
      <c r="R390" s="5" t="s">
        <v>512</v>
      </c>
      <c r="S390" s="5" t="n">
        <v>40</v>
      </c>
      <c r="T390" s="5" t="s">
        <v>38</v>
      </c>
      <c r="U390" s="8" t="str">
        <f aca="false">IF(AND(TRIM(E390)="US",TRIM(G390)="Non-Exempt"),"US Non-Exempt EEs","")</f>
        <v/>
      </c>
      <c r="V390" s="8" t="str">
        <f aca="false">IF(AND(TRIM(E390)="US",TRIM(G390)="Non-Exempt"),IF(TRIM(D390)="CA","US California Non-Exempt","US Non-California Non-Exempt"),"")</f>
        <v/>
      </c>
      <c r="W390" s="8" t="str">
        <f aca="false">_xlfn.XLOOKUP(X390,ShiftCodes[Code],ShiftCodes[Work Schedule],"Unknown code")</f>
        <v>Standard (Mon–Fri 9:00–17:30)</v>
      </c>
      <c r="X390" s="9" t="s">
        <v>39</v>
      </c>
      <c r="Y390" s="5"/>
    </row>
    <row r="391" customFormat="false" ht="15" hidden="false" customHeight="false" outlineLevel="0" collapsed="false">
      <c r="A391" s="5" t="s">
        <v>526</v>
      </c>
      <c r="B391" s="5" t="s">
        <v>112</v>
      </c>
      <c r="C391" s="5" t="s">
        <v>100</v>
      </c>
      <c r="D391" s="5" t="s">
        <v>28</v>
      </c>
      <c r="E391" s="5" t="s">
        <v>29</v>
      </c>
      <c r="F391" s="5"/>
      <c r="G391" s="5"/>
      <c r="H391" s="5" t="s">
        <v>79</v>
      </c>
      <c r="I391" s="5"/>
      <c r="J391" s="12" t="n">
        <v>67.5</v>
      </c>
      <c r="K391" s="5" t="s">
        <v>33</v>
      </c>
      <c r="L391" s="5"/>
      <c r="M391" s="6" t="n">
        <v>45797</v>
      </c>
      <c r="N391" s="6"/>
      <c r="O391" s="6"/>
      <c r="P391" s="5" t="s">
        <v>204</v>
      </c>
      <c r="Q391" s="5" t="s">
        <v>36</v>
      </c>
      <c r="R391" s="5" t="s">
        <v>512</v>
      </c>
      <c r="S391" s="5" t="n">
        <v>40</v>
      </c>
      <c r="T391" s="5" t="s">
        <v>38</v>
      </c>
      <c r="U391" s="8" t="str">
        <f aca="false">IF(AND(TRIM(E391)="US",TRIM(G391)="Non-Exempt"),"US Non-Exempt EEs","")</f>
        <v/>
      </c>
      <c r="V391" s="8" t="str">
        <f aca="false">IF(AND(TRIM(E391)="US",TRIM(G391)="Non-Exempt"),IF(TRIM(D391)="CA","US California Non-Exempt","US Non-California Non-Exempt"),"")</f>
        <v/>
      </c>
      <c r="W391" s="8" t="str">
        <f aca="false">_xlfn.XLOOKUP(X391,ShiftCodes[Code],ShiftCodes[Work Schedule],"Unknown code")</f>
        <v>Standard (Mon–Fri 9:00–17:30)</v>
      </c>
      <c r="X391" s="9" t="s">
        <v>39</v>
      </c>
      <c r="Y391" s="5"/>
    </row>
    <row r="392" customFormat="false" ht="15" hidden="false" customHeight="false" outlineLevel="0" collapsed="false">
      <c r="A392" s="5" t="s">
        <v>527</v>
      </c>
      <c r="B392" s="5" t="s">
        <v>112</v>
      </c>
      <c r="C392" s="5" t="s">
        <v>68</v>
      </c>
      <c r="D392" s="5" t="s">
        <v>69</v>
      </c>
      <c r="E392" s="5" t="s">
        <v>70</v>
      </c>
      <c r="F392" s="5"/>
      <c r="G392" s="5"/>
      <c r="H392" s="5" t="s">
        <v>79</v>
      </c>
      <c r="I392" s="5"/>
      <c r="J392" s="18" t="n">
        <v>2350</v>
      </c>
      <c r="K392" s="5" t="s">
        <v>72</v>
      </c>
      <c r="L392" s="5"/>
      <c r="M392" s="6" t="n">
        <v>45807</v>
      </c>
      <c r="N392" s="6"/>
      <c r="O392" s="6"/>
      <c r="P392" s="5" t="s">
        <v>209</v>
      </c>
      <c r="Q392" s="5" t="s">
        <v>36</v>
      </c>
      <c r="R392" s="5" t="s">
        <v>512</v>
      </c>
      <c r="S392" s="5" t="n">
        <v>40</v>
      </c>
      <c r="T392" s="5" t="s">
        <v>38</v>
      </c>
      <c r="U392" s="8" t="str">
        <f aca="false">IF(AND(TRIM(E392)="US",TRIM(G392)="Non-Exempt"),"US Non-Exempt EEs","")</f>
        <v/>
      </c>
      <c r="V392" s="8" t="str">
        <f aca="false">IF(AND(TRIM(E392)="US",TRIM(G392)="Non-Exempt"),IF(TRIM(D392)="CA","US California Non-Exempt","US Non-California Non-Exempt"),"")</f>
        <v/>
      </c>
      <c r="W392" s="8" t="str">
        <f aca="false">_xlfn.XLOOKUP(X392,ShiftCodes[Code],ShiftCodes[Work Schedule],"Unknown code")</f>
        <v>Standard (Mon–Fri 9:00–17:30)</v>
      </c>
      <c r="X392" s="9" t="s">
        <v>39</v>
      </c>
      <c r="Y392" s="5"/>
    </row>
    <row r="393" customFormat="false" ht="15" hidden="false" customHeight="false" outlineLevel="0" collapsed="false">
      <c r="A393" s="5" t="s">
        <v>528</v>
      </c>
      <c r="B393" s="5" t="s">
        <v>103</v>
      </c>
      <c r="C393" s="5" t="s">
        <v>106</v>
      </c>
      <c r="D393" s="5" t="s">
        <v>42</v>
      </c>
      <c r="E393" s="5" t="s">
        <v>29</v>
      </c>
      <c r="F393" s="5"/>
      <c r="G393" s="5"/>
      <c r="H393" s="5" t="s">
        <v>79</v>
      </c>
      <c r="I393" s="5"/>
      <c r="J393" s="12" t="n">
        <v>119.5</v>
      </c>
      <c r="K393" s="5" t="s">
        <v>33</v>
      </c>
      <c r="L393" s="5"/>
      <c r="M393" s="6" t="n">
        <v>45921</v>
      </c>
      <c r="N393" s="6"/>
      <c r="O393" s="6"/>
      <c r="P393" s="5" t="s">
        <v>145</v>
      </c>
      <c r="Q393" s="5" t="s">
        <v>36</v>
      </c>
      <c r="R393" s="5" t="s">
        <v>512</v>
      </c>
      <c r="S393" s="5" t="n">
        <v>40</v>
      </c>
      <c r="T393" s="5" t="s">
        <v>38</v>
      </c>
      <c r="U393" s="8" t="str">
        <f aca="false">IF(AND(TRIM(E393)="US",TRIM(G393)="Non-Exempt"),"US Non-Exempt EEs","")</f>
        <v/>
      </c>
      <c r="V393" s="8" t="str">
        <f aca="false">IF(AND(TRIM(E393)="US",TRIM(G393)="Non-Exempt"),IF(TRIM(D393)="CA","US California Non-Exempt","US Non-California Non-Exempt"),"")</f>
        <v/>
      </c>
      <c r="W393" s="8" t="str">
        <f aca="false">_xlfn.XLOOKUP(X393,ShiftCodes[Code],ShiftCodes[Work Schedule],"Unknown code")</f>
        <v>Standard (Mon–Fri 9:00–17:30)</v>
      </c>
      <c r="X393" s="9" t="s">
        <v>39</v>
      </c>
      <c r="Y393" s="5"/>
    </row>
    <row r="394" customFormat="false" ht="15" hidden="false" customHeight="false" outlineLevel="0" collapsed="false">
      <c r="A394" s="5" t="s">
        <v>529</v>
      </c>
      <c r="B394" s="5" t="s">
        <v>103</v>
      </c>
      <c r="C394" s="5" t="s">
        <v>106</v>
      </c>
      <c r="D394" s="5" t="s">
        <v>42</v>
      </c>
      <c r="E394" s="5" t="s">
        <v>29</v>
      </c>
      <c r="F394" s="5"/>
      <c r="G394" s="5"/>
      <c r="H394" s="5" t="s">
        <v>79</v>
      </c>
      <c r="I394" s="5"/>
      <c r="J394" s="12" t="n">
        <v>95</v>
      </c>
      <c r="K394" s="5" t="s">
        <v>33</v>
      </c>
      <c r="L394" s="5"/>
      <c r="M394" s="6" t="n">
        <v>45923</v>
      </c>
      <c r="N394" s="6"/>
      <c r="O394" s="6"/>
      <c r="P394" s="5" t="s">
        <v>122</v>
      </c>
      <c r="Q394" s="5" t="s">
        <v>36</v>
      </c>
      <c r="R394" s="5" t="s">
        <v>512</v>
      </c>
      <c r="S394" s="5" t="n">
        <v>40</v>
      </c>
      <c r="T394" s="5" t="s">
        <v>38</v>
      </c>
      <c r="U394" s="8" t="str">
        <f aca="false">IF(AND(TRIM(E394)="US",TRIM(G394)="Non-Exempt"),"US Non-Exempt EEs","")</f>
        <v/>
      </c>
      <c r="V394" s="8" t="str">
        <f aca="false">IF(AND(TRIM(E394)="US",TRIM(G394)="Non-Exempt"),IF(TRIM(D394)="CA","US California Non-Exempt","US Non-California Non-Exempt"),"")</f>
        <v/>
      </c>
      <c r="W394" s="8" t="str">
        <f aca="false">_xlfn.XLOOKUP(X394,ShiftCodes[Code],ShiftCodes[Work Schedule],"Unknown code")</f>
        <v>Standard (Mon–Fri 9:00–17:30)</v>
      </c>
      <c r="X394" s="9" t="s">
        <v>39</v>
      </c>
      <c r="Y394" s="5"/>
    </row>
    <row r="395" customFormat="false" ht="15" hidden="false" customHeight="false" outlineLevel="0" collapsed="false">
      <c r="A395" s="5" t="s">
        <v>530</v>
      </c>
      <c r="B395" s="5" t="s">
        <v>109</v>
      </c>
      <c r="C395" s="5" t="s">
        <v>113</v>
      </c>
      <c r="D395" s="5" t="s">
        <v>84</v>
      </c>
      <c r="E395" s="5" t="s">
        <v>29</v>
      </c>
      <c r="F395" s="5"/>
      <c r="G395" s="5"/>
      <c r="H395" s="5" t="s">
        <v>79</v>
      </c>
      <c r="I395" s="5"/>
      <c r="J395" s="12" t="n">
        <v>95.5</v>
      </c>
      <c r="K395" s="5" t="s">
        <v>33</v>
      </c>
      <c r="L395" s="5"/>
      <c r="M395" s="6" t="n">
        <v>45930</v>
      </c>
      <c r="N395" s="6"/>
      <c r="O395" s="6"/>
      <c r="P395" s="5" t="s">
        <v>202</v>
      </c>
      <c r="Q395" s="5" t="s">
        <v>36</v>
      </c>
      <c r="R395" s="5" t="s">
        <v>512</v>
      </c>
      <c r="S395" s="5" t="n">
        <v>40</v>
      </c>
      <c r="T395" s="5" t="s">
        <v>38</v>
      </c>
      <c r="U395" s="8" t="str">
        <f aca="false">IF(AND(TRIM(E395)="US",TRIM(G395)="Non-Exempt"),"US Non-Exempt EEs","")</f>
        <v/>
      </c>
      <c r="V395" s="8" t="str">
        <f aca="false">IF(AND(TRIM(E395)="US",TRIM(G395)="Non-Exempt"),IF(TRIM(D395)="CA","US California Non-Exempt","US Non-California Non-Exempt"),"")</f>
        <v/>
      </c>
      <c r="W395" s="8" t="str">
        <f aca="false">_xlfn.XLOOKUP(X395,ShiftCodes[Code],ShiftCodes[Work Schedule],"Unknown code")</f>
        <v>Standard (Mon–Fri 9:00–17:30)</v>
      </c>
      <c r="X395" s="9" t="s">
        <v>39</v>
      </c>
      <c r="Y395" s="5"/>
    </row>
    <row r="396" customFormat="false" ht="15" hidden="false" customHeight="false" outlineLevel="0" collapsed="false">
      <c r="A396" s="5" t="s">
        <v>531</v>
      </c>
      <c r="B396" s="5" t="s">
        <v>103</v>
      </c>
      <c r="C396" s="5" t="s">
        <v>100</v>
      </c>
      <c r="D396" s="5" t="s">
        <v>28</v>
      </c>
      <c r="E396" s="5" t="s">
        <v>29</v>
      </c>
      <c r="F396" s="5"/>
      <c r="G396" s="5"/>
      <c r="H396" s="5" t="s">
        <v>79</v>
      </c>
      <c r="I396" s="5"/>
      <c r="J396" s="12" t="n">
        <v>71.5</v>
      </c>
      <c r="K396" s="5" t="s">
        <v>33</v>
      </c>
      <c r="L396" s="5"/>
      <c r="M396" s="6" t="n">
        <v>45948</v>
      </c>
      <c r="N396" s="6"/>
      <c r="O396" s="6"/>
      <c r="P396" s="5" t="s">
        <v>274</v>
      </c>
      <c r="Q396" s="5" t="s">
        <v>36</v>
      </c>
      <c r="R396" s="5" t="s">
        <v>512</v>
      </c>
      <c r="S396" s="5" t="n">
        <v>40</v>
      </c>
      <c r="T396" s="5" t="s">
        <v>38</v>
      </c>
      <c r="U396" s="8" t="str">
        <f aca="false">IF(AND(TRIM(E396)="US",TRIM(G396)="Non-Exempt"),"US Non-Exempt EEs","")</f>
        <v/>
      </c>
      <c r="V396" s="8" t="str">
        <f aca="false">IF(AND(TRIM(E396)="US",TRIM(G396)="Non-Exempt"),IF(TRIM(D396)="CA","US California Non-Exempt","US Non-California Non-Exempt"),"")</f>
        <v/>
      </c>
      <c r="W396" s="8" t="str">
        <f aca="false">_xlfn.XLOOKUP(X396,ShiftCodes[Code],ShiftCodes[Work Schedule],"Unknown code")</f>
        <v>Standard (Mon–Fri 9:00–17:30)</v>
      </c>
      <c r="X396" s="9" t="s">
        <v>39</v>
      </c>
      <c r="Y396" s="5"/>
    </row>
    <row r="397" customFormat="false" ht="15" hidden="false" customHeight="false" outlineLevel="0" collapsed="false">
      <c r="A397" s="5" t="s">
        <v>532</v>
      </c>
      <c r="B397" s="5" t="s">
        <v>112</v>
      </c>
      <c r="C397" s="5" t="s">
        <v>100</v>
      </c>
      <c r="D397" s="5" t="s">
        <v>28</v>
      </c>
      <c r="E397" s="5" t="s">
        <v>29</v>
      </c>
      <c r="F397" s="5"/>
      <c r="G397" s="5"/>
      <c r="H397" s="5" t="s">
        <v>79</v>
      </c>
      <c r="I397" s="5"/>
      <c r="J397" s="12" t="n">
        <v>65</v>
      </c>
      <c r="K397" s="5" t="s">
        <v>33</v>
      </c>
      <c r="L397" s="5"/>
      <c r="M397" s="6" t="n">
        <v>45990</v>
      </c>
      <c r="N397" s="6"/>
      <c r="O397" s="6"/>
      <c r="P397" s="5" t="s">
        <v>229</v>
      </c>
      <c r="Q397" s="5" t="s">
        <v>36</v>
      </c>
      <c r="R397" s="5" t="s">
        <v>512</v>
      </c>
      <c r="S397" s="5" t="n">
        <v>40</v>
      </c>
      <c r="T397" s="5" t="s">
        <v>38</v>
      </c>
      <c r="U397" s="8" t="str">
        <f aca="false">IF(AND(TRIM(E397)="US",TRIM(G397)="Non-Exempt"),"US Non-Exempt EEs","")</f>
        <v/>
      </c>
      <c r="V397" s="8" t="str">
        <f aca="false">IF(AND(TRIM(E397)="US",TRIM(G397)="Non-Exempt"),IF(TRIM(D397)="CA","US California Non-Exempt","US Non-California Non-Exempt"),"")</f>
        <v/>
      </c>
      <c r="W397" s="8" t="str">
        <f aca="false">_xlfn.XLOOKUP(X397,ShiftCodes[Code],ShiftCodes[Work Schedule],"Unknown code")</f>
        <v>Standard (Mon–Fri 9:00–17:30)</v>
      </c>
      <c r="X397" s="9" t="s">
        <v>39</v>
      </c>
      <c r="Y397" s="5"/>
    </row>
    <row r="398" customFormat="false" ht="15" hidden="false" customHeight="false" outlineLevel="0" collapsed="false">
      <c r="A398" s="5" t="s">
        <v>533</v>
      </c>
      <c r="B398" s="5" t="s">
        <v>99</v>
      </c>
      <c r="C398" s="5" t="s">
        <v>68</v>
      </c>
      <c r="D398" s="5" t="s">
        <v>69</v>
      </c>
      <c r="E398" s="5" t="s">
        <v>70</v>
      </c>
      <c r="F398" s="5"/>
      <c r="G398" s="5"/>
      <c r="H398" s="5" t="s">
        <v>79</v>
      </c>
      <c r="I398" s="5"/>
      <c r="J398" s="18" t="n">
        <v>2450</v>
      </c>
      <c r="K398" s="5" t="s">
        <v>72</v>
      </c>
      <c r="L398" s="5"/>
      <c r="M398" s="6" t="n">
        <v>46002</v>
      </c>
      <c r="N398" s="6"/>
      <c r="O398" s="6"/>
      <c r="P398" s="5" t="s">
        <v>171</v>
      </c>
      <c r="Q398" s="5" t="s">
        <v>36</v>
      </c>
      <c r="R398" s="5" t="s">
        <v>512</v>
      </c>
      <c r="S398" s="5" t="n">
        <v>40</v>
      </c>
      <c r="T398" s="5" t="s">
        <v>38</v>
      </c>
      <c r="U398" s="8" t="str">
        <f aca="false">IF(AND(TRIM(E398)="US",TRIM(G398)="Non-Exempt"),"US Non-Exempt EEs","")</f>
        <v/>
      </c>
      <c r="V398" s="8" t="str">
        <f aca="false">IF(AND(TRIM(E398)="US",TRIM(G398)="Non-Exempt"),IF(TRIM(D398)="CA","US California Non-Exempt","US Non-California Non-Exempt"),"")</f>
        <v/>
      </c>
      <c r="W398" s="8" t="str">
        <f aca="false">_xlfn.XLOOKUP(X398,ShiftCodes[Code],ShiftCodes[Work Schedule],"Unknown code")</f>
        <v>Standard (Mon–Fri 9:00–17:30)</v>
      </c>
      <c r="X398" s="9" t="s">
        <v>39</v>
      </c>
      <c r="Y398" s="5"/>
    </row>
    <row r="399" customFormat="false" ht="15" hidden="false" customHeight="false" outlineLevel="0" collapsed="false">
      <c r="A399" s="5" t="s">
        <v>534</v>
      </c>
      <c r="B399" s="5" t="s">
        <v>103</v>
      </c>
      <c r="C399" s="5" t="s">
        <v>100</v>
      </c>
      <c r="D399" s="5" t="s">
        <v>28</v>
      </c>
      <c r="E399" s="5" t="s">
        <v>29</v>
      </c>
      <c r="F399" s="5"/>
      <c r="G399" s="5"/>
      <c r="H399" s="5" t="s">
        <v>79</v>
      </c>
      <c r="I399" s="5"/>
      <c r="J399" s="12" t="n">
        <v>114</v>
      </c>
      <c r="K399" s="5" t="s">
        <v>33</v>
      </c>
      <c r="L399" s="5"/>
      <c r="M399" s="6" t="n">
        <v>46010</v>
      </c>
      <c r="N399" s="6"/>
      <c r="O399" s="6"/>
      <c r="P399" s="5" t="s">
        <v>116</v>
      </c>
      <c r="Q399" s="5" t="s">
        <v>36</v>
      </c>
      <c r="R399" s="5" t="s">
        <v>512</v>
      </c>
      <c r="S399" s="5" t="n">
        <v>40</v>
      </c>
      <c r="T399" s="5" t="s">
        <v>38</v>
      </c>
      <c r="U399" s="8" t="str">
        <f aca="false">IF(AND(TRIM(E399)="US",TRIM(G399)="Non-Exempt"),"US Non-Exempt EEs","")</f>
        <v/>
      </c>
      <c r="V399" s="8" t="str">
        <f aca="false">IF(AND(TRIM(E399)="US",TRIM(G399)="Non-Exempt"),IF(TRIM(D399)="CA","US California Non-Exempt","US Non-California Non-Exempt"),"")</f>
        <v/>
      </c>
      <c r="W399" s="8" t="str">
        <f aca="false">_xlfn.XLOOKUP(X399,ShiftCodes[Code],ShiftCodes[Work Schedule],"Unknown code")</f>
        <v>Standard (Mon–Fri 9:00–17:30)</v>
      </c>
      <c r="X399" s="9" t="s">
        <v>39</v>
      </c>
      <c r="Y399" s="5"/>
    </row>
    <row r="400" customFormat="false" ht="15" hidden="false" customHeight="false" outlineLevel="0" collapsed="false">
      <c r="A400" s="5" t="s">
        <v>535</v>
      </c>
      <c r="B400" s="5" t="s">
        <v>99</v>
      </c>
      <c r="C400" s="5" t="s">
        <v>100</v>
      </c>
      <c r="D400" s="5" t="s">
        <v>28</v>
      </c>
      <c r="E400" s="5" t="s">
        <v>29</v>
      </c>
      <c r="F400" s="5"/>
      <c r="G400" s="5"/>
      <c r="H400" s="5" t="s">
        <v>79</v>
      </c>
      <c r="I400" s="5"/>
      <c r="J400" s="12" t="n">
        <v>69</v>
      </c>
      <c r="K400" s="5" t="s">
        <v>33</v>
      </c>
      <c r="L400" s="5"/>
      <c r="M400" s="6" t="n">
        <v>46015</v>
      </c>
      <c r="N400" s="6"/>
      <c r="O400" s="6"/>
      <c r="P400" s="5" t="s">
        <v>135</v>
      </c>
      <c r="Q400" s="5" t="s">
        <v>36</v>
      </c>
      <c r="R400" s="5" t="s">
        <v>512</v>
      </c>
      <c r="S400" s="5" t="n">
        <v>40</v>
      </c>
      <c r="T400" s="5" t="s">
        <v>38</v>
      </c>
      <c r="U400" s="8" t="str">
        <f aca="false">IF(AND(TRIM(E400)="US",TRIM(G400)="Non-Exempt"),"US Non-Exempt EEs","")</f>
        <v/>
      </c>
      <c r="V400" s="8" t="str">
        <f aca="false">IF(AND(TRIM(E400)="US",TRIM(G400)="Non-Exempt"),IF(TRIM(D400)="CA","US California Non-Exempt","US Non-California Non-Exempt"),"")</f>
        <v/>
      </c>
      <c r="W400" s="8" t="str">
        <f aca="false">_xlfn.XLOOKUP(X400,ShiftCodes[Code],ShiftCodes[Work Schedule],"Unknown code")</f>
        <v>Standard (Mon–Fri 9:00–17:30)</v>
      </c>
      <c r="X400" s="9" t="s">
        <v>39</v>
      </c>
      <c r="Y400" s="5"/>
    </row>
    <row r="401" customFormat="false" ht="15" hidden="false" customHeight="false" outlineLevel="0" collapsed="false">
      <c r="A401" s="5" t="s">
        <v>536</v>
      </c>
      <c r="B401" s="5" t="s">
        <v>112</v>
      </c>
      <c r="C401" s="5" t="s">
        <v>100</v>
      </c>
      <c r="D401" s="5" t="s">
        <v>28</v>
      </c>
      <c r="E401" s="5" t="s">
        <v>29</v>
      </c>
      <c r="F401" s="5"/>
      <c r="G401" s="5"/>
      <c r="H401" s="5" t="s">
        <v>79</v>
      </c>
      <c r="I401" s="5"/>
      <c r="J401" s="12" t="n">
        <v>107.5</v>
      </c>
      <c r="K401" s="5" t="s">
        <v>33</v>
      </c>
      <c r="L401" s="5"/>
      <c r="M401" s="6" t="n">
        <v>46046</v>
      </c>
      <c r="N401" s="6"/>
      <c r="O401" s="6"/>
      <c r="P401" s="5" t="s">
        <v>133</v>
      </c>
      <c r="Q401" s="5" t="s">
        <v>36</v>
      </c>
      <c r="R401" s="5" t="s">
        <v>512</v>
      </c>
      <c r="S401" s="5" t="n">
        <v>40</v>
      </c>
      <c r="T401" s="5" t="s">
        <v>38</v>
      </c>
      <c r="U401" s="8" t="str">
        <f aca="false">IF(AND(TRIM(E401)="US",TRIM(G401)="Non-Exempt"),"US Non-Exempt EEs","")</f>
        <v/>
      </c>
      <c r="V401" s="8" t="str">
        <f aca="false">IF(AND(TRIM(E401)="US",TRIM(G401)="Non-Exempt"),IF(TRIM(D401)="CA","US California Non-Exempt","US Non-California Non-Exempt"),"")</f>
        <v/>
      </c>
      <c r="W401" s="8" t="str">
        <f aca="false">_xlfn.XLOOKUP(X401,ShiftCodes[Code],ShiftCodes[Work Schedule],"Unknown code")</f>
        <v>Standard (Mon–Fri 9:00–17:30)</v>
      </c>
      <c r="X401" s="9" t="s">
        <v>39</v>
      </c>
      <c r="Y401" s="5"/>
    </row>
    <row r="402" customFormat="false" ht="15" hidden="false" customHeight="false" outlineLevel="0" collapsed="false">
      <c r="A402" s="5" t="s">
        <v>537</v>
      </c>
      <c r="B402" s="5" t="s">
        <v>109</v>
      </c>
      <c r="C402" s="5" t="s">
        <v>76</v>
      </c>
      <c r="D402" s="5" t="s">
        <v>28</v>
      </c>
      <c r="E402" s="5" t="s">
        <v>29</v>
      </c>
      <c r="F402" s="5"/>
      <c r="G402" s="5"/>
      <c r="H402" s="5" t="s">
        <v>79</v>
      </c>
      <c r="I402" s="5"/>
      <c r="J402" s="12" t="n">
        <v>72</v>
      </c>
      <c r="K402" s="5" t="s">
        <v>33</v>
      </c>
      <c r="L402" s="5"/>
      <c r="M402" s="6" t="n">
        <v>46061</v>
      </c>
      <c r="N402" s="6"/>
      <c r="O402" s="6"/>
      <c r="P402" s="5" t="s">
        <v>161</v>
      </c>
      <c r="Q402" s="5" t="s">
        <v>36</v>
      </c>
      <c r="R402" s="5" t="s">
        <v>512</v>
      </c>
      <c r="S402" s="5" t="n">
        <v>40</v>
      </c>
      <c r="T402" s="5" t="s">
        <v>38</v>
      </c>
      <c r="U402" s="8" t="str">
        <f aca="false">IF(AND(TRIM(E402)="US",TRIM(G402)="Non-Exempt"),"US Non-Exempt EEs","")</f>
        <v/>
      </c>
      <c r="V402" s="8" t="str">
        <f aca="false">IF(AND(TRIM(E402)="US",TRIM(G402)="Non-Exempt"),IF(TRIM(D402)="CA","US California Non-Exempt","US Non-California Non-Exempt"),"")</f>
        <v/>
      </c>
      <c r="W402" s="8" t="str">
        <f aca="false">_xlfn.XLOOKUP(X402,ShiftCodes[Code],ShiftCodes[Work Schedule],"Unknown code")</f>
        <v>Standard (Mon–Fri 9:00–17:30)</v>
      </c>
      <c r="X402" s="9" t="s">
        <v>39</v>
      </c>
      <c r="Y402" s="5"/>
    </row>
    <row r="403" customFormat="false" ht="15" hidden="false" customHeight="false" outlineLevel="0" collapsed="false">
      <c r="A403" s="5" t="s">
        <v>538</v>
      </c>
      <c r="B403" s="5" t="s">
        <v>103</v>
      </c>
      <c r="C403" s="5" t="s">
        <v>106</v>
      </c>
      <c r="D403" s="5" t="s">
        <v>42</v>
      </c>
      <c r="E403" s="5" t="s">
        <v>29</v>
      </c>
      <c r="F403" s="5"/>
      <c r="G403" s="5"/>
      <c r="H403" s="5" t="s">
        <v>79</v>
      </c>
      <c r="I403" s="5"/>
      <c r="J403" s="12" t="n">
        <v>104.5</v>
      </c>
      <c r="K403" s="5" t="s">
        <v>33</v>
      </c>
      <c r="L403" s="5"/>
      <c r="M403" s="6" t="n">
        <v>46063</v>
      </c>
      <c r="N403" s="6"/>
      <c r="O403" s="6"/>
      <c r="P403" s="5" t="s">
        <v>122</v>
      </c>
      <c r="Q403" s="5" t="s">
        <v>36</v>
      </c>
      <c r="R403" s="5" t="s">
        <v>512</v>
      </c>
      <c r="S403" s="5" t="n">
        <v>40</v>
      </c>
      <c r="T403" s="5" t="s">
        <v>38</v>
      </c>
      <c r="U403" s="8" t="str">
        <f aca="false">IF(AND(TRIM(E403)="US",TRIM(G403)="Non-Exempt"),"US Non-Exempt EEs","")</f>
        <v/>
      </c>
      <c r="V403" s="8" t="str">
        <f aca="false">IF(AND(TRIM(E403)="US",TRIM(G403)="Non-Exempt"),IF(TRIM(D403)="CA","US California Non-Exempt","US Non-California Non-Exempt"),"")</f>
        <v/>
      </c>
      <c r="W403" s="8" t="str">
        <f aca="false">_xlfn.XLOOKUP(X403,ShiftCodes[Code],ShiftCodes[Work Schedule],"Unknown code")</f>
        <v>Standard (Mon–Fri 9:00–17:30)</v>
      </c>
      <c r="X403" s="9" t="s">
        <v>39</v>
      </c>
      <c r="Y403" s="5"/>
    </row>
    <row r="404" customFormat="false" ht="15" hidden="false" customHeight="false" outlineLevel="0" collapsed="false">
      <c r="A404" s="5" t="s">
        <v>539</v>
      </c>
      <c r="B404" s="5" t="s">
        <v>103</v>
      </c>
      <c r="C404" s="5" t="s">
        <v>100</v>
      </c>
      <c r="D404" s="5" t="s">
        <v>28</v>
      </c>
      <c r="E404" s="5" t="s">
        <v>29</v>
      </c>
      <c r="F404" s="5"/>
      <c r="G404" s="5"/>
      <c r="H404" s="5" t="s">
        <v>79</v>
      </c>
      <c r="I404" s="5"/>
      <c r="J404" s="12" t="n">
        <v>71.5</v>
      </c>
      <c r="K404" s="5" t="s">
        <v>33</v>
      </c>
      <c r="L404" s="5"/>
      <c r="M404" s="6" t="n">
        <v>46197</v>
      </c>
      <c r="N404" s="6"/>
      <c r="O404" s="6"/>
      <c r="P404" s="5" t="s">
        <v>116</v>
      </c>
      <c r="Q404" s="5" t="s">
        <v>36</v>
      </c>
      <c r="R404" s="5" t="s">
        <v>512</v>
      </c>
      <c r="S404" s="5" t="n">
        <v>40</v>
      </c>
      <c r="T404" s="5" t="s">
        <v>38</v>
      </c>
      <c r="U404" s="8" t="str">
        <f aca="false">IF(AND(TRIM(E404)="US",TRIM(G404)="Non-Exempt"),"US Non-Exempt EEs","")</f>
        <v/>
      </c>
      <c r="V404" s="8" t="str">
        <f aca="false">IF(AND(TRIM(E404)="US",TRIM(G404)="Non-Exempt"),IF(TRIM(D404)="CA","US California Non-Exempt","US Non-California Non-Exempt"),"")</f>
        <v/>
      </c>
      <c r="W404" s="8" t="str">
        <f aca="false">_xlfn.XLOOKUP(X404,ShiftCodes[Code],ShiftCodes[Work Schedule],"Unknown code")</f>
        <v>Standard (Mon–Fri 9:00–17:30)</v>
      </c>
      <c r="X404" s="9" t="s">
        <v>39</v>
      </c>
      <c r="Y404" s="5"/>
    </row>
    <row r="405" customFormat="false" ht="15" hidden="false" customHeight="false" outlineLevel="0" collapsed="false">
      <c r="A405" s="5" t="s">
        <v>540</v>
      </c>
      <c r="B405" s="5" t="s">
        <v>109</v>
      </c>
      <c r="C405" s="5" t="s">
        <v>76</v>
      </c>
      <c r="D405" s="5" t="s">
        <v>28</v>
      </c>
      <c r="E405" s="5" t="s">
        <v>29</v>
      </c>
      <c r="F405" s="5"/>
      <c r="G405" s="5"/>
      <c r="H405" s="5" t="s">
        <v>79</v>
      </c>
      <c r="I405" s="5"/>
      <c r="J405" s="12" t="n">
        <v>112.5</v>
      </c>
      <c r="K405" s="5" t="s">
        <v>33</v>
      </c>
      <c r="L405" s="5"/>
      <c r="M405" s="6" t="n">
        <v>46215</v>
      </c>
      <c r="N405" s="6"/>
      <c r="O405" s="6"/>
      <c r="P405" s="5" t="s">
        <v>213</v>
      </c>
      <c r="Q405" s="5" t="s">
        <v>36</v>
      </c>
      <c r="R405" s="5" t="s">
        <v>512</v>
      </c>
      <c r="S405" s="5" t="n">
        <v>40</v>
      </c>
      <c r="T405" s="5" t="s">
        <v>38</v>
      </c>
      <c r="U405" s="8" t="str">
        <f aca="false">IF(AND(TRIM(E405)="US",TRIM(G405)="Non-Exempt"),"US Non-Exempt EEs","")</f>
        <v/>
      </c>
      <c r="V405" s="8" t="str">
        <f aca="false">IF(AND(TRIM(E405)="US",TRIM(G405)="Non-Exempt"),IF(TRIM(D405)="CA","US California Non-Exempt","US Non-California Non-Exempt"),"")</f>
        <v/>
      </c>
      <c r="W405" s="8" t="str">
        <f aca="false">_xlfn.XLOOKUP(X405,ShiftCodes[Code],ShiftCodes[Work Schedule],"Unknown code")</f>
        <v>Standard (Mon–Fri 9:00–17:30)</v>
      </c>
      <c r="X405" s="9" t="s">
        <v>39</v>
      </c>
      <c r="Y405" s="5"/>
    </row>
    <row r="406" customFormat="false" ht="15" hidden="false" customHeight="false" outlineLevel="0" collapsed="false">
      <c r="A406" s="5" t="s">
        <v>541</v>
      </c>
      <c r="B406" s="5" t="s">
        <v>112</v>
      </c>
      <c r="C406" s="5" t="s">
        <v>100</v>
      </c>
      <c r="D406" s="5" t="s">
        <v>28</v>
      </c>
      <c r="E406" s="5" t="s">
        <v>29</v>
      </c>
      <c r="F406" s="5"/>
      <c r="G406" s="5"/>
      <c r="H406" s="5" t="s">
        <v>79</v>
      </c>
      <c r="I406" s="5"/>
      <c r="J406" s="12" t="n">
        <v>99.5</v>
      </c>
      <c r="K406" s="5" t="s">
        <v>33</v>
      </c>
      <c r="L406" s="5"/>
      <c r="M406" s="6" t="n">
        <v>46232</v>
      </c>
      <c r="N406" s="6"/>
      <c r="O406" s="6"/>
      <c r="P406" s="5" t="s">
        <v>229</v>
      </c>
      <c r="Q406" s="5" t="s">
        <v>36</v>
      </c>
      <c r="R406" s="5" t="s">
        <v>512</v>
      </c>
      <c r="S406" s="5" t="n">
        <v>40</v>
      </c>
      <c r="T406" s="5" t="s">
        <v>38</v>
      </c>
      <c r="U406" s="8" t="str">
        <f aca="false">IF(AND(TRIM(E406)="US",TRIM(G406)="Non-Exempt"),"US Non-Exempt EEs","")</f>
        <v/>
      </c>
      <c r="V406" s="8" t="str">
        <f aca="false">IF(AND(TRIM(E406)="US",TRIM(G406)="Non-Exempt"),IF(TRIM(D406)="CA","US California Non-Exempt","US Non-California Non-Exempt"),"")</f>
        <v/>
      </c>
      <c r="W406" s="8" t="str">
        <f aca="false">_xlfn.XLOOKUP(X406,ShiftCodes[Code],ShiftCodes[Work Schedule],"Unknown code")</f>
        <v>Standard (Mon–Fri 9:00–17:30)</v>
      </c>
      <c r="X406" s="9" t="s">
        <v>39</v>
      </c>
      <c r="Y406" s="5"/>
    </row>
  </sheetData>
  <dataValidations count="1">
    <dataValidation allowBlank="true" errorStyle="stop" operator="between" showDropDown="false" showErrorMessage="true" showInputMessage="true" sqref="X2:X406" type="list">
      <formula1>'Shift Codes'!$A$2:$A$7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12" activePane="bottomLeft" state="frozen"/>
      <selection pane="topLeft" activeCell="A1" activeCellId="0" sqref="A1"/>
      <selection pane="bottomLeft" activeCell="B6" activeCellId="0" sqref="B6"/>
    </sheetView>
  </sheetViews>
  <sheetFormatPr defaultColWidth="10.5390625" defaultRowHeight="15" customHeight="false" zeroHeight="false" outlineLevelRow="0" outlineLevelCol="0"/>
  <cols>
    <col collapsed="false" customWidth="true" hidden="false" outlineLevel="0" max="1" min="1" style="0" width="13.66"/>
    <col collapsed="false" customWidth="true" hidden="false" outlineLevel="0" max="2" min="2" style="0" width="27.83"/>
    <col collapsed="false" customWidth="true" hidden="false" outlineLevel="0" max="3" min="3" style="0" width="24.33"/>
    <col collapsed="false" customWidth="true" hidden="false" outlineLevel="0" max="4" min="4" style="0" width="19.83"/>
    <col collapsed="false" customWidth="true" hidden="false" outlineLevel="0" max="5" min="5" style="0" width="72.66"/>
    <col collapsed="false" customWidth="true" hidden="false" outlineLevel="0" max="6" min="6" style="0" width="5.5"/>
    <col collapsed="false" customWidth="true" hidden="false" outlineLevel="0" max="8" min="8" style="0" width="34.17"/>
    <col collapsed="false" customWidth="true" hidden="false" outlineLevel="0" max="9" min="9" style="0" width="19.83"/>
  </cols>
  <sheetData>
    <row r="1" customFormat="false" ht="15" hidden="false" customHeight="false" outlineLevel="0" collapsed="false">
      <c r="A1" s="22" t="s">
        <v>542</v>
      </c>
      <c r="B1" s="22" t="s">
        <v>543</v>
      </c>
      <c r="C1" s="22" t="s">
        <v>544</v>
      </c>
      <c r="D1" s="22" t="s">
        <v>545</v>
      </c>
      <c r="E1" s="22" t="s">
        <v>24</v>
      </c>
      <c r="F1" s="22" t="s">
        <v>546</v>
      </c>
      <c r="H1" s="1" t="s">
        <v>547</v>
      </c>
      <c r="I1" s="23"/>
    </row>
    <row r="2" customFormat="false" ht="15" hidden="false" customHeight="false" outlineLevel="0" collapsed="false">
      <c r="A2" s="5" t="s">
        <v>25</v>
      </c>
      <c r="B2" s="5" t="s">
        <v>548</v>
      </c>
      <c r="C2" s="24" t="s">
        <v>549</v>
      </c>
      <c r="D2" s="25" t="str">
        <f aca="false" t="array" ref="D2:D2">IF(F2="n/a","—",IF(_xlfn.XLOOKUP(TRIM(SUBSTITUTE(A2,_xlfn.UNICHAR(160)," ")),TRIM(SUBSTITUTE('worker file'!$A$2:$A$406,_xlfn.UNICHAR(160)," ")),'worker file'!$L$2:$L$406,"")="US Biweekly",$I$3,$I$2))</f>
        <v>—</v>
      </c>
      <c r="E2" s="5"/>
      <c r="F2" s="5" t="s">
        <v>550</v>
      </c>
      <c r="H2" s="23" t="s">
        <v>551</v>
      </c>
      <c r="I2" s="26" t="n">
        <v>46295</v>
      </c>
    </row>
    <row r="3" customFormat="false" ht="15" hidden="false" customHeight="false" outlineLevel="0" collapsed="false">
      <c r="A3" s="5" t="s">
        <v>75</v>
      </c>
      <c r="B3" s="5" t="s">
        <v>552</v>
      </c>
      <c r="C3" s="27" t="n">
        <v>46.5</v>
      </c>
      <c r="D3" s="25" t="n">
        <f aca="false" t="array" ref="D3:D3">IF(F3="n/a","—",IF(_xlfn.XLOOKUP(TRIM(SUBSTITUTE(A3,_xlfn.UNICHAR(160)," ")),TRIM(SUBSTITUTE('worker file'!$A$2:$A$406,_xlfn.UNICHAR(160)," ")),'worker file'!$L$2:$L$406,"")="US Biweekly",$I$3,$I$2))</f>
        <v>46298</v>
      </c>
      <c r="E3" s="5" t="s">
        <v>553</v>
      </c>
      <c r="F3" s="5" t="s">
        <v>554</v>
      </c>
      <c r="H3" s="23" t="s">
        <v>555</v>
      </c>
      <c r="I3" s="26" t="n">
        <v>46298</v>
      </c>
    </row>
    <row r="4" customFormat="false" ht="15" hidden="false" customHeight="false" outlineLevel="0" collapsed="false">
      <c r="A4" s="5" t="s">
        <v>75</v>
      </c>
      <c r="B4" s="5" t="s">
        <v>556</v>
      </c>
      <c r="C4" s="27" t="n">
        <v>28</v>
      </c>
      <c r="D4" s="25" t="n">
        <f aca="false" t="array" ref="D4:D4">IF(F4="n/a","—",IF(_xlfn.XLOOKUP(TRIM(SUBSTITUTE(A4,_xlfn.UNICHAR(160)," ")),TRIM(SUBSTITUTE('worker file'!$A$2:$A$406,_xlfn.UNICHAR(160)," ")),'worker file'!$L$2:$L$406,"")="US Biweekly",$I$3,$I$2))</f>
        <v>46298</v>
      </c>
      <c r="E4" s="5"/>
      <c r="F4" s="5" t="s">
        <v>554</v>
      </c>
    </row>
    <row r="5" customFormat="false" ht="15" hidden="false" customHeight="false" outlineLevel="0" collapsed="false">
      <c r="A5" s="5" t="s">
        <v>48</v>
      </c>
      <c r="B5" s="5" t="s">
        <v>557</v>
      </c>
      <c r="C5" s="28" t="n">
        <v>14.5</v>
      </c>
      <c r="D5" s="25" t="n">
        <f aca="false" t="array" ref="D5:D5">IF(F5="n/a","—",IF(_xlfn.XLOOKUP(TRIM(SUBSTITUTE(A5,_xlfn.UNICHAR(160)," ")),TRIM(SUBSTITUTE('worker file'!$A$2:$A$406,_xlfn.UNICHAR(160)," ")),'worker file'!$L$2:$L$406,"")="US Biweekly",$I$3,$I$2))</f>
        <v>46295</v>
      </c>
      <c r="E5" s="5" t="s">
        <v>558</v>
      </c>
      <c r="F5" s="5" t="s">
        <v>559</v>
      </c>
    </row>
    <row r="6" customFormat="false" ht="15" hidden="false" customHeight="false" outlineLevel="0" collapsed="false">
      <c r="A6" s="5" t="s">
        <v>59</v>
      </c>
      <c r="B6" s="5" t="s">
        <v>560</v>
      </c>
      <c r="C6" s="28" t="n">
        <v>9</v>
      </c>
      <c r="D6" s="25" t="n">
        <f aca="false" t="array" ref="D6:D6">IF(F6="n/a","—",IF(_xlfn.XLOOKUP(TRIM(SUBSTITUTE(A6,_xlfn.UNICHAR(160)," ")),TRIM(SUBSTITUTE('worker file'!$A$2:$A$406,_xlfn.UNICHAR(160)," ")),'worker file'!$L$2:$L$406,"")="US Biweekly",$I$3,$I$2))</f>
        <v>46295</v>
      </c>
      <c r="E6" s="5" t="s">
        <v>561</v>
      </c>
      <c r="F6" s="5" t="s">
        <v>559</v>
      </c>
    </row>
    <row r="7" customFormat="false" ht="15" hidden="false" customHeight="false" outlineLevel="0" collapsed="false">
      <c r="A7" s="5" t="s">
        <v>67</v>
      </c>
      <c r="B7" s="5" t="s">
        <v>562</v>
      </c>
      <c r="C7" s="28" t="n">
        <v>11</v>
      </c>
      <c r="D7" s="25" t="n">
        <f aca="false" t="array" ref="D7:D7">IF(F7="n/a","—",IF(_xlfn.XLOOKUP(TRIM(SUBSTITUTE(A7,_xlfn.UNICHAR(160)," ")),TRIM(SUBSTITUTE('worker file'!$A$2:$A$406,_xlfn.UNICHAR(160)," ")),'worker file'!$L$2:$L$406,"")="US Biweekly",$I$3,$I$2))</f>
        <v>46295</v>
      </c>
      <c r="E7" s="5" t="s">
        <v>563</v>
      </c>
      <c r="F7" s="5" t="s">
        <v>559</v>
      </c>
    </row>
    <row r="8" customFormat="false" ht="15" hidden="false" customHeight="false" outlineLevel="0" collapsed="false">
      <c r="A8" s="5" t="s">
        <v>86</v>
      </c>
      <c r="B8" s="5" t="s">
        <v>552</v>
      </c>
      <c r="C8" s="27" t="n">
        <v>31</v>
      </c>
      <c r="D8" s="25" t="n">
        <f aca="false" t="array" ref="D8:D8">IF(F8="n/a","—",IF(_xlfn.XLOOKUP(TRIM(SUBSTITUTE(A8,_xlfn.UNICHAR(160)," ")),TRIM(SUBSTITUTE('worker file'!$A$2:$A$406,_xlfn.UNICHAR(160)," ")),'worker file'!$L$2:$L$406,"")="US Biweekly",$I$3,$I$2))</f>
        <v>46298</v>
      </c>
      <c r="E8" s="5" t="s">
        <v>564</v>
      </c>
      <c r="F8" s="5" t="s">
        <v>554</v>
      </c>
    </row>
    <row r="9" customFormat="false" ht="15" hidden="false" customHeight="false" outlineLevel="0" collapsed="false">
      <c r="A9" s="5" t="s">
        <v>565</v>
      </c>
      <c r="B9" s="5" t="s">
        <v>566</v>
      </c>
      <c r="C9" s="29"/>
      <c r="D9" s="25" t="n">
        <f aca="false" t="array" ref="D9:D9">IF(F9="n/a","—",IF(_xlfn.XLOOKUP(TRIM(SUBSTITUTE(A9,_xlfn.UNICHAR(160)," ")),TRIM(SUBSTITUTE('worker file'!$A$2:$A$406,_xlfn.UNICHAR(160)," ")),'worker file'!$L$2:$L$406,"")="US Biweekly",$I$3,$I$2))</f>
        <v>46298</v>
      </c>
      <c r="E9" s="5" t="s">
        <v>567</v>
      </c>
      <c r="F9" s="5" t="s">
        <v>554</v>
      </c>
    </row>
    <row r="10" customFormat="false" ht="15" hidden="false" customHeight="false" outlineLevel="0" collapsed="false">
      <c r="A10" s="5" t="s">
        <v>98</v>
      </c>
      <c r="B10" s="5" t="s">
        <v>568</v>
      </c>
      <c r="C10" s="24" t="s">
        <v>569</v>
      </c>
      <c r="D10" s="25" t="str">
        <f aca="false" t="array" ref="D10:D10">IF(F10="n/a","—",IF(_xlfn.XLOOKUP(TRIM(SUBSTITUTE(A10,_xlfn.UNICHAR(160)," ")),TRIM(SUBSTITUTE('worker file'!$A$2:$A$406,_xlfn.UNICHAR(160)," ")),'worker file'!$L$2:$L$406,"")="US Biweekly",$I$3,$I$2))</f>
        <v>—</v>
      </c>
      <c r="E10" s="5" t="s">
        <v>570</v>
      </c>
      <c r="F10" s="5" t="s">
        <v>550</v>
      </c>
    </row>
    <row r="11" customFormat="false" ht="15" hidden="false" customHeight="false" outlineLevel="0" collapsed="false">
      <c r="A11" s="5" t="s">
        <v>98</v>
      </c>
      <c r="B11" s="5" t="s">
        <v>566</v>
      </c>
      <c r="C11" s="27" t="n">
        <v>67.75</v>
      </c>
      <c r="D11" s="25" t="n">
        <f aca="false" t="array" ref="D11:D11">IF(F11="n/a","—",IF(_xlfn.XLOOKUP(TRIM(SUBSTITUTE(A11,_xlfn.UNICHAR(160)," ")),TRIM(SUBSTITUTE('worker file'!$A$2:$A$406,_xlfn.UNICHAR(160)," ")),'worker file'!$L$2:$L$406,"")="US Biweekly",$I$3,$I$2))</f>
        <v>46295</v>
      </c>
      <c r="E11" s="5" t="s">
        <v>571</v>
      </c>
      <c r="F11" s="5" t="s">
        <v>554</v>
      </c>
    </row>
    <row r="12" customFormat="false" ht="15" hidden="false" customHeight="false" outlineLevel="0" collapsed="false">
      <c r="A12" s="5" t="s">
        <v>102</v>
      </c>
      <c r="B12" s="5" t="s">
        <v>568</v>
      </c>
      <c r="C12" s="24" t="s">
        <v>569</v>
      </c>
      <c r="D12" s="25" t="str">
        <f aca="false" t="array" ref="D12:D12">IF(F12="n/a","—",IF(_xlfn.XLOOKUP(TRIM(SUBSTITUTE(A12,_xlfn.UNICHAR(160)," ")),TRIM(SUBSTITUTE('worker file'!$A$2:$A$406,_xlfn.UNICHAR(160)," ")),'worker file'!$L$2:$L$406,"")="US Biweekly",$I$3,$I$2))</f>
        <v>—</v>
      </c>
      <c r="E12" s="5" t="s">
        <v>570</v>
      </c>
      <c r="F12" s="5" t="s">
        <v>550</v>
      </c>
    </row>
    <row r="13" customFormat="false" ht="15" hidden="false" customHeight="false" outlineLevel="0" collapsed="false">
      <c r="A13" s="5" t="s">
        <v>102</v>
      </c>
      <c r="B13" s="5" t="s">
        <v>566</v>
      </c>
      <c r="C13" s="27" t="n">
        <v>24.25</v>
      </c>
      <c r="D13" s="25" t="n">
        <f aca="false" t="array" ref="D13:D13">IF(F13="n/a","—",IF(_xlfn.XLOOKUP(TRIM(SUBSTITUTE(A13,_xlfn.UNICHAR(160)," ")),TRIM(SUBSTITUTE('worker file'!$A$2:$A$406,_xlfn.UNICHAR(160)," ")),'worker file'!$L$2:$L$406,"")="US Biweekly",$I$3,$I$2))</f>
        <v>46295</v>
      </c>
      <c r="E13" s="5" t="s">
        <v>571</v>
      </c>
      <c r="F13" s="5" t="s">
        <v>554</v>
      </c>
    </row>
    <row r="14" customFormat="false" ht="15" hidden="false" customHeight="false" outlineLevel="0" collapsed="false">
      <c r="A14" s="5" t="s">
        <v>105</v>
      </c>
      <c r="B14" s="5" t="s">
        <v>568</v>
      </c>
      <c r="C14" s="24" t="s">
        <v>569</v>
      </c>
      <c r="D14" s="25" t="str">
        <f aca="false" t="array" ref="D14:D14">IF(F14="n/a","—",IF(_xlfn.XLOOKUP(TRIM(SUBSTITUTE(A14,_xlfn.UNICHAR(160)," ")),TRIM(SUBSTITUTE('worker file'!$A$2:$A$406,_xlfn.UNICHAR(160)," ")),'worker file'!$L$2:$L$406,"")="US Biweekly",$I$3,$I$2))</f>
        <v>—</v>
      </c>
      <c r="E14" s="5" t="s">
        <v>570</v>
      </c>
      <c r="F14" s="5" t="s">
        <v>550</v>
      </c>
    </row>
    <row r="15" customFormat="false" ht="15" hidden="false" customHeight="false" outlineLevel="0" collapsed="false">
      <c r="A15" s="5" t="s">
        <v>572</v>
      </c>
      <c r="B15" s="5" t="s">
        <v>568</v>
      </c>
      <c r="C15" s="24" t="s">
        <v>569</v>
      </c>
      <c r="D15" s="25" t="str">
        <f aca="false" t="array" ref="D15:D15">IF(F15="n/a","—",IF(_xlfn.XLOOKUP(TRIM(SUBSTITUTE(A15,_xlfn.UNICHAR(160)," ")),TRIM(SUBSTITUTE('worker file'!$A$2:$A$406,_xlfn.UNICHAR(160)," ")),'worker file'!$L$2:$L$406,"")="US Biweekly",$I$3,$I$2))</f>
        <v>—</v>
      </c>
      <c r="E15" s="5" t="s">
        <v>570</v>
      </c>
      <c r="F15" s="5" t="s">
        <v>550</v>
      </c>
    </row>
    <row r="16" customFormat="false" ht="15" hidden="false" customHeight="false" outlineLevel="0" collapsed="false">
      <c r="A16" s="5" t="s">
        <v>108</v>
      </c>
      <c r="B16" s="5" t="s">
        <v>568</v>
      </c>
      <c r="C16" s="24" t="s">
        <v>569</v>
      </c>
      <c r="D16" s="25" t="str">
        <f aca="false" t="array" ref="D16:D16">IF(F16="n/a","—",IF(_xlfn.XLOOKUP(TRIM(SUBSTITUTE(A16,_xlfn.UNICHAR(160)," ")),TRIM(SUBSTITUTE('worker file'!$A$2:$A$406,_xlfn.UNICHAR(160)," ")),'worker file'!$L$2:$L$406,"")="US Biweekly",$I$3,$I$2))</f>
        <v>—</v>
      </c>
      <c r="E16" s="5" t="s">
        <v>570</v>
      </c>
      <c r="F16" s="5" t="s">
        <v>550</v>
      </c>
    </row>
    <row r="17" customFormat="false" ht="15" hidden="false" customHeight="false" outlineLevel="0" collapsed="false">
      <c r="A17" s="5" t="s">
        <v>108</v>
      </c>
      <c r="B17" s="5" t="s">
        <v>566</v>
      </c>
      <c r="C17" s="27" t="n">
        <v>63.5</v>
      </c>
      <c r="D17" s="25" t="n">
        <f aca="false" t="array" ref="D17:D17">IF(F17="n/a","—",IF(_xlfn.XLOOKUP(TRIM(SUBSTITUTE(A17,_xlfn.UNICHAR(160)," ")),TRIM(SUBSTITUTE('worker file'!$A$2:$A$406,_xlfn.UNICHAR(160)," ")),'worker file'!$L$2:$L$406,"")="US Biweekly",$I$3,$I$2))</f>
        <v>46295</v>
      </c>
      <c r="E17" s="5" t="s">
        <v>571</v>
      </c>
      <c r="F17" s="5" t="s">
        <v>554</v>
      </c>
    </row>
    <row r="18" customFormat="false" ht="15" hidden="false" customHeight="false" outlineLevel="0" collapsed="false">
      <c r="A18" s="5" t="s">
        <v>111</v>
      </c>
      <c r="B18" s="5" t="s">
        <v>568</v>
      </c>
      <c r="C18" s="24" t="s">
        <v>569</v>
      </c>
      <c r="D18" s="25" t="str">
        <f aca="false" t="array" ref="D18:D18">IF(F18="n/a","—",IF(_xlfn.XLOOKUP(TRIM(SUBSTITUTE(A18,_xlfn.UNICHAR(160)," ")),TRIM(SUBSTITUTE('worker file'!$A$2:$A$406,_xlfn.UNICHAR(160)," ")),'worker file'!$L$2:$L$406,"")="US Biweekly",$I$3,$I$2))</f>
        <v>—</v>
      </c>
      <c r="E18" s="5" t="s">
        <v>570</v>
      </c>
      <c r="F18" s="5" t="s">
        <v>550</v>
      </c>
    </row>
    <row r="19" customFormat="false" ht="15" hidden="false" customHeight="false" outlineLevel="0" collapsed="false">
      <c r="A19" s="5" t="s">
        <v>111</v>
      </c>
      <c r="B19" s="5" t="s">
        <v>566</v>
      </c>
      <c r="C19" s="27" t="n">
        <v>68</v>
      </c>
      <c r="D19" s="25" t="n">
        <f aca="false" t="array" ref="D19:D19">IF(F19="n/a","—",IF(_xlfn.XLOOKUP(TRIM(SUBSTITUTE(A19,_xlfn.UNICHAR(160)," ")),TRIM(SUBSTITUTE('worker file'!$A$2:$A$406,_xlfn.UNICHAR(160)," ")),'worker file'!$L$2:$L$406,"")="US Biweekly",$I$3,$I$2))</f>
        <v>46295</v>
      </c>
      <c r="E19" s="5" t="s">
        <v>571</v>
      </c>
      <c r="F19" s="5" t="s">
        <v>554</v>
      </c>
    </row>
    <row r="20" customFormat="false" ht="15" hidden="false" customHeight="false" outlineLevel="0" collapsed="false">
      <c r="A20" s="5" t="s">
        <v>114</v>
      </c>
      <c r="B20" s="5" t="s">
        <v>568</v>
      </c>
      <c r="C20" s="24" t="s">
        <v>569</v>
      </c>
      <c r="D20" s="25" t="str">
        <f aca="false" t="array" ref="D20:D20">IF(F20="n/a","—",IF(_xlfn.XLOOKUP(TRIM(SUBSTITUTE(A20,_xlfn.UNICHAR(160)," ")),TRIM(SUBSTITUTE('worker file'!$A$2:$A$406,_xlfn.UNICHAR(160)," ")),'worker file'!$L$2:$L$406,"")="US Biweekly",$I$3,$I$2))</f>
        <v>—</v>
      </c>
      <c r="E20" s="5" t="s">
        <v>570</v>
      </c>
      <c r="F20" s="5" t="s">
        <v>550</v>
      </c>
    </row>
    <row r="21" customFormat="false" ht="15" hidden="false" customHeight="false" outlineLevel="0" collapsed="false">
      <c r="A21" s="5" t="s">
        <v>114</v>
      </c>
      <c r="B21" s="5" t="s">
        <v>566</v>
      </c>
      <c r="C21" s="27" t="n">
        <v>61.75</v>
      </c>
      <c r="D21" s="25" t="n">
        <f aca="false" t="array" ref="D21:D21">IF(F21="n/a","—",IF(_xlfn.XLOOKUP(TRIM(SUBSTITUTE(A21,_xlfn.UNICHAR(160)," ")),TRIM(SUBSTITUTE('worker file'!$A$2:$A$406,_xlfn.UNICHAR(160)," ")),'worker file'!$L$2:$L$406,"")="US Biweekly",$I$3,$I$2))</f>
        <v>46295</v>
      </c>
      <c r="E21" s="5" t="s">
        <v>571</v>
      </c>
      <c r="F21" s="5" t="s">
        <v>554</v>
      </c>
    </row>
    <row r="22" customFormat="false" ht="15" hidden="false" customHeight="false" outlineLevel="0" collapsed="false">
      <c r="A22" s="5" t="s">
        <v>115</v>
      </c>
      <c r="B22" s="5" t="s">
        <v>568</v>
      </c>
      <c r="C22" s="24" t="s">
        <v>569</v>
      </c>
      <c r="D22" s="25" t="str">
        <f aca="false" t="array" ref="D22:D22">IF(F22="n/a","—",IF(_xlfn.XLOOKUP(TRIM(SUBSTITUTE(A22,_xlfn.UNICHAR(160)," ")),TRIM(SUBSTITUTE('worker file'!$A$2:$A$406,_xlfn.UNICHAR(160)," ")),'worker file'!$L$2:$L$406,"")="US Biweekly",$I$3,$I$2))</f>
        <v>—</v>
      </c>
      <c r="E22" s="5" t="s">
        <v>570</v>
      </c>
      <c r="F22" s="5" t="s">
        <v>550</v>
      </c>
    </row>
    <row r="23" customFormat="false" ht="15" hidden="false" customHeight="false" outlineLevel="0" collapsed="false">
      <c r="A23" s="5" t="s">
        <v>115</v>
      </c>
      <c r="B23" s="5" t="s">
        <v>566</v>
      </c>
      <c r="C23" s="27" t="n">
        <v>63</v>
      </c>
      <c r="D23" s="25" t="n">
        <f aca="false" t="array" ref="D23:D23">IF(F23="n/a","—",IF(_xlfn.XLOOKUP(TRIM(SUBSTITUTE(A23,_xlfn.UNICHAR(160)," ")),TRIM(SUBSTITUTE('worker file'!$A$2:$A$406,_xlfn.UNICHAR(160)," ")),'worker file'!$L$2:$L$406,"")="US Biweekly",$I$3,$I$2))</f>
        <v>46295</v>
      </c>
      <c r="E23" s="5" t="s">
        <v>571</v>
      </c>
      <c r="F23" s="5" t="s">
        <v>554</v>
      </c>
    </row>
    <row r="24" customFormat="false" ht="15" hidden="false" customHeight="false" outlineLevel="0" collapsed="false">
      <c r="A24" s="5" t="s">
        <v>116</v>
      </c>
      <c r="B24" s="5" t="s">
        <v>568</v>
      </c>
      <c r="C24" s="24" t="s">
        <v>569</v>
      </c>
      <c r="D24" s="25" t="str">
        <f aca="false" t="array" ref="D24:D24">IF(F24="n/a","—",IF(_xlfn.XLOOKUP(TRIM(SUBSTITUTE(A24,_xlfn.UNICHAR(160)," ")),TRIM(SUBSTITUTE('worker file'!$A$2:$A$406,_xlfn.UNICHAR(160)," ")),'worker file'!$L$2:$L$406,"")="US Biweekly",$I$3,$I$2))</f>
        <v>—</v>
      </c>
      <c r="E24" s="5" t="s">
        <v>570</v>
      </c>
      <c r="F24" s="5" t="s">
        <v>550</v>
      </c>
    </row>
    <row r="25" customFormat="false" ht="15" hidden="false" customHeight="false" outlineLevel="0" collapsed="false">
      <c r="A25" s="5" t="s">
        <v>116</v>
      </c>
      <c r="B25" s="5" t="s">
        <v>566</v>
      </c>
      <c r="C25" s="27" t="n">
        <v>54.25</v>
      </c>
      <c r="D25" s="25" t="n">
        <f aca="false" t="array" ref="D25:D25">IF(F25="n/a","—",IF(_xlfn.XLOOKUP(TRIM(SUBSTITUTE(A25,_xlfn.UNICHAR(160)," ")),TRIM(SUBSTITUTE('worker file'!$A$2:$A$406,_xlfn.UNICHAR(160)," ")),'worker file'!$L$2:$L$406,"")="US Biweekly",$I$3,$I$2))</f>
        <v>46295</v>
      </c>
      <c r="E25" s="5" t="s">
        <v>571</v>
      </c>
      <c r="F25" s="5" t="s">
        <v>554</v>
      </c>
    </row>
    <row r="26" customFormat="false" ht="15" hidden="false" customHeight="false" outlineLevel="0" collapsed="false">
      <c r="A26" s="5" t="s">
        <v>117</v>
      </c>
      <c r="B26" s="5" t="s">
        <v>568</v>
      </c>
      <c r="C26" s="24" t="s">
        <v>569</v>
      </c>
      <c r="D26" s="25" t="str">
        <f aca="false" t="array" ref="D26:D26">IF(F26="n/a","—",IF(_xlfn.XLOOKUP(TRIM(SUBSTITUTE(A26,_xlfn.UNICHAR(160)," ")),TRIM(SUBSTITUTE('worker file'!$A$2:$A$406,_xlfn.UNICHAR(160)," ")),'worker file'!$L$2:$L$406,"")="US Biweekly",$I$3,$I$2))</f>
        <v>—</v>
      </c>
      <c r="E26" s="5" t="s">
        <v>570</v>
      </c>
      <c r="F26" s="5" t="s">
        <v>550</v>
      </c>
    </row>
    <row r="27" customFormat="false" ht="15" hidden="false" customHeight="false" outlineLevel="0" collapsed="false">
      <c r="A27" s="5" t="s">
        <v>117</v>
      </c>
      <c r="B27" s="5" t="s">
        <v>566</v>
      </c>
      <c r="C27" s="27" t="n">
        <v>73.5</v>
      </c>
      <c r="D27" s="25" t="n">
        <f aca="false" t="array" ref="D27:D27">IF(F27="n/a","—",IF(_xlfn.XLOOKUP(TRIM(SUBSTITUTE(A27,_xlfn.UNICHAR(160)," ")),TRIM(SUBSTITUTE('worker file'!$A$2:$A$406,_xlfn.UNICHAR(160)," ")),'worker file'!$L$2:$L$406,"")="US Biweekly",$I$3,$I$2))</f>
        <v>46295</v>
      </c>
      <c r="E27" s="5" t="s">
        <v>571</v>
      </c>
      <c r="F27" s="5" t="s">
        <v>554</v>
      </c>
    </row>
    <row r="28" customFormat="false" ht="15" hidden="false" customHeight="false" outlineLevel="0" collapsed="false">
      <c r="A28" s="5" t="s">
        <v>118</v>
      </c>
      <c r="B28" s="5" t="s">
        <v>568</v>
      </c>
      <c r="C28" s="24" t="s">
        <v>569</v>
      </c>
      <c r="D28" s="25" t="str">
        <f aca="false" t="array" ref="D28:D28">IF(F28="n/a","—",IF(_xlfn.XLOOKUP(TRIM(SUBSTITUTE(A28,_xlfn.UNICHAR(160)," ")),TRIM(SUBSTITUTE('worker file'!$A$2:$A$406,_xlfn.UNICHAR(160)," ")),'worker file'!$L$2:$L$406,"")="US Biweekly",$I$3,$I$2))</f>
        <v>—</v>
      </c>
      <c r="E28" s="5" t="s">
        <v>570</v>
      </c>
      <c r="F28" s="5" t="s">
        <v>550</v>
      </c>
    </row>
    <row r="29" customFormat="false" ht="15" hidden="false" customHeight="false" outlineLevel="0" collapsed="false">
      <c r="A29" s="5" t="s">
        <v>120</v>
      </c>
      <c r="B29" s="5" t="s">
        <v>573</v>
      </c>
      <c r="C29" s="27" t="n">
        <v>120</v>
      </c>
      <c r="D29" s="25" t="n">
        <f aca="false" t="array" ref="D29:D29">IF(F29="n/a","—",IF(_xlfn.XLOOKUP(TRIM(SUBSTITUTE(A29,_xlfn.UNICHAR(160)," ")),TRIM(SUBSTITUTE('worker file'!$A$2:$A$406,_xlfn.UNICHAR(160)," ")),'worker file'!$L$2:$L$406,"")="US Biweekly",$I$3,$I$2))</f>
        <v>46298</v>
      </c>
      <c r="E29" s="5" t="s">
        <v>574</v>
      </c>
      <c r="F29" s="5" t="s">
        <v>554</v>
      </c>
    </row>
    <row r="30" customFormat="false" ht="15" hidden="false" customHeight="false" outlineLevel="0" collapsed="false">
      <c r="A30" s="5" t="s">
        <v>120</v>
      </c>
      <c r="B30" s="5" t="s">
        <v>575</v>
      </c>
      <c r="C30" s="27" t="n">
        <v>6.5</v>
      </c>
      <c r="D30" s="25" t="n">
        <f aca="false" t="array" ref="D30:D30">IF(F30="n/a","—",IF(_xlfn.XLOOKUP(TRIM(SUBSTITUTE(A30,_xlfn.UNICHAR(160)," ")),TRIM(SUBSTITUTE('worker file'!$A$2:$A$406,_xlfn.UNICHAR(160)," ")),'worker file'!$L$2:$L$406,"")="US Biweekly",$I$3,$I$2))</f>
        <v>46298</v>
      </c>
      <c r="E30" s="5" t="s">
        <v>576</v>
      </c>
      <c r="F30" s="5" t="s">
        <v>554</v>
      </c>
    </row>
    <row r="31" customFormat="false" ht="15" hidden="false" customHeight="false" outlineLevel="0" collapsed="false">
      <c r="A31" s="5" t="s">
        <v>122</v>
      </c>
      <c r="B31" s="5" t="s">
        <v>568</v>
      </c>
      <c r="C31" s="24" t="s">
        <v>569</v>
      </c>
      <c r="D31" s="25" t="str">
        <f aca="false" t="array" ref="D31:D31">IF(F31="n/a","—",IF(_xlfn.XLOOKUP(TRIM(SUBSTITUTE(A31,_xlfn.UNICHAR(160)," ")),TRIM(SUBSTITUTE('worker file'!$A$2:$A$406,_xlfn.UNICHAR(160)," ")),'worker file'!$L$2:$L$406,"")="US Biweekly",$I$3,$I$2))</f>
        <v>—</v>
      </c>
      <c r="E31" s="5" t="s">
        <v>570</v>
      </c>
      <c r="F31" s="5" t="s">
        <v>550</v>
      </c>
    </row>
    <row r="32" customFormat="false" ht="15" hidden="false" customHeight="false" outlineLevel="0" collapsed="false">
      <c r="A32" s="5" t="s">
        <v>123</v>
      </c>
      <c r="B32" s="5" t="s">
        <v>568</v>
      </c>
      <c r="C32" s="24" t="s">
        <v>569</v>
      </c>
      <c r="D32" s="25" t="str">
        <f aca="false" t="array" ref="D32:D32">IF(F32="n/a","—",IF(_xlfn.XLOOKUP(TRIM(SUBSTITUTE(A32,_xlfn.UNICHAR(160)," ")),TRIM(SUBSTITUTE('worker file'!$A$2:$A$406,_xlfn.UNICHAR(160)," ")),'worker file'!$L$2:$L$406,"")="US Biweekly",$I$3,$I$2))</f>
        <v>—</v>
      </c>
      <c r="E32" s="5" t="s">
        <v>570</v>
      </c>
      <c r="F32" s="5" t="s">
        <v>550</v>
      </c>
    </row>
    <row r="33" customFormat="false" ht="15" hidden="false" customHeight="false" outlineLevel="0" collapsed="false">
      <c r="A33" s="5" t="s">
        <v>126</v>
      </c>
      <c r="B33" s="5" t="s">
        <v>568</v>
      </c>
      <c r="C33" s="24" t="s">
        <v>569</v>
      </c>
      <c r="D33" s="25" t="str">
        <f aca="false" t="array" ref="D33:D33">IF(F33="n/a","—",IF(_xlfn.XLOOKUP(TRIM(SUBSTITUTE(A33,_xlfn.UNICHAR(160)," ")),TRIM(SUBSTITUTE('worker file'!$A$2:$A$406,_xlfn.UNICHAR(160)," ")),'worker file'!$L$2:$L$406,"")="US Biweekly",$I$3,$I$2))</f>
        <v>—</v>
      </c>
      <c r="E33" s="5" t="s">
        <v>570</v>
      </c>
      <c r="F33" s="5" t="s">
        <v>550</v>
      </c>
    </row>
    <row r="34" customFormat="false" ht="15" hidden="false" customHeight="false" outlineLevel="0" collapsed="false">
      <c r="A34" s="5" t="s">
        <v>126</v>
      </c>
      <c r="B34" s="5" t="s">
        <v>577</v>
      </c>
      <c r="C34" s="27" t="n">
        <v>47.25</v>
      </c>
      <c r="D34" s="25" t="n">
        <f aca="false" t="array" ref="D34:D34">IF(F34="n/a","—",IF(_xlfn.XLOOKUP(TRIM(SUBSTITUTE(A34,_xlfn.UNICHAR(160)," ")),TRIM(SUBSTITUTE('worker file'!$A$2:$A$406,_xlfn.UNICHAR(160)," ")),'worker file'!$L$2:$L$406,"")="US Biweekly",$I$3,$I$2))</f>
        <v>46295</v>
      </c>
      <c r="E34" s="5" t="s">
        <v>578</v>
      </c>
      <c r="F34" s="5" t="s">
        <v>554</v>
      </c>
    </row>
    <row r="35" customFormat="false" ht="15" hidden="false" customHeight="false" outlineLevel="0" collapsed="false">
      <c r="A35" s="5" t="s">
        <v>128</v>
      </c>
      <c r="B35" s="5" t="s">
        <v>568</v>
      </c>
      <c r="C35" s="24" t="s">
        <v>569</v>
      </c>
      <c r="D35" s="25" t="str">
        <f aca="false" t="array" ref="D35:D35">IF(F35="n/a","—",IF(_xlfn.XLOOKUP(TRIM(SUBSTITUTE(A35,_xlfn.UNICHAR(160)," ")),TRIM(SUBSTITUTE('worker file'!$A$2:$A$406,_xlfn.UNICHAR(160)," ")),'worker file'!$L$2:$L$406,"")="US Biweekly",$I$3,$I$2))</f>
        <v>—</v>
      </c>
      <c r="E35" s="5" t="s">
        <v>570</v>
      </c>
      <c r="F35" s="5" t="s">
        <v>550</v>
      </c>
    </row>
    <row r="36" customFormat="false" ht="15" hidden="false" customHeight="false" outlineLevel="0" collapsed="false">
      <c r="A36" s="5" t="s">
        <v>128</v>
      </c>
      <c r="B36" s="5" t="s">
        <v>566</v>
      </c>
      <c r="C36" s="27" t="n">
        <v>47.5</v>
      </c>
      <c r="D36" s="25" t="n">
        <f aca="false" t="array" ref="D36:D36">IF(F36="n/a","—",IF(_xlfn.XLOOKUP(TRIM(SUBSTITUTE(A36,_xlfn.UNICHAR(160)," ")),TRIM(SUBSTITUTE('worker file'!$A$2:$A$406,_xlfn.UNICHAR(160)," ")),'worker file'!$L$2:$L$406,"")="US Biweekly",$I$3,$I$2))</f>
        <v>46295</v>
      </c>
      <c r="E36" s="5" t="s">
        <v>571</v>
      </c>
      <c r="F36" s="5" t="s">
        <v>554</v>
      </c>
    </row>
    <row r="37" customFormat="false" ht="15" hidden="false" customHeight="false" outlineLevel="0" collapsed="false">
      <c r="A37" s="5" t="s">
        <v>129</v>
      </c>
      <c r="B37" s="5" t="s">
        <v>573</v>
      </c>
      <c r="C37" s="27" t="n">
        <v>120</v>
      </c>
      <c r="D37" s="25" t="n">
        <f aca="false" t="array" ref="D37:D37">IF(F37="n/a","—",IF(_xlfn.XLOOKUP(TRIM(SUBSTITUTE(A37,_xlfn.UNICHAR(160)," ")),TRIM(SUBSTITUTE('worker file'!$A$2:$A$406,_xlfn.UNICHAR(160)," ")),'worker file'!$L$2:$L$406,"")="US Biweekly",$I$3,$I$2))</f>
        <v>46298</v>
      </c>
      <c r="E37" s="5" t="s">
        <v>574</v>
      </c>
      <c r="F37" s="5" t="s">
        <v>554</v>
      </c>
    </row>
    <row r="38" customFormat="false" ht="15" hidden="false" customHeight="false" outlineLevel="0" collapsed="false">
      <c r="A38" s="5" t="s">
        <v>129</v>
      </c>
      <c r="B38" s="5" t="s">
        <v>566</v>
      </c>
      <c r="C38" s="27" t="n">
        <v>31.75</v>
      </c>
      <c r="D38" s="25" t="n">
        <f aca="false" t="array" ref="D38:D38">IF(F38="n/a","—",IF(_xlfn.XLOOKUP(TRIM(SUBSTITUTE(A38,_xlfn.UNICHAR(160)," ")),TRIM(SUBSTITUTE('worker file'!$A$2:$A$406,_xlfn.UNICHAR(160)," ")),'worker file'!$L$2:$L$406,"")="US Biweekly",$I$3,$I$2))</f>
        <v>46298</v>
      </c>
      <c r="E38" s="5" t="s">
        <v>571</v>
      </c>
      <c r="F38" s="5" t="s">
        <v>554</v>
      </c>
    </row>
    <row r="39" customFormat="false" ht="15" hidden="false" customHeight="false" outlineLevel="0" collapsed="false">
      <c r="A39" s="5" t="s">
        <v>579</v>
      </c>
      <c r="B39" s="5" t="s">
        <v>573</v>
      </c>
      <c r="C39" s="27" t="n">
        <v>77.25</v>
      </c>
      <c r="D39" s="25" t="n">
        <f aca="false" t="array" ref="D39:D39">IF(F39="n/a","—",IF(_xlfn.XLOOKUP(TRIM(SUBSTITUTE(A39,_xlfn.UNICHAR(160)," ")),TRIM(SUBSTITUTE('worker file'!$A$2:$A$406,_xlfn.UNICHAR(160)," ")),'worker file'!$L$2:$L$406,"")="US Biweekly",$I$3,$I$2))</f>
        <v>46298</v>
      </c>
      <c r="E39" s="5" t="s">
        <v>574</v>
      </c>
      <c r="F39" s="5" t="s">
        <v>554</v>
      </c>
    </row>
    <row r="40" customFormat="false" ht="15" hidden="false" customHeight="false" outlineLevel="0" collapsed="false">
      <c r="A40" s="5" t="s">
        <v>579</v>
      </c>
      <c r="B40" s="5" t="s">
        <v>575</v>
      </c>
      <c r="C40" s="27" t="n">
        <v>28</v>
      </c>
      <c r="D40" s="25" t="n">
        <f aca="false" t="array" ref="D40:D40">IF(F40="n/a","—",IF(_xlfn.XLOOKUP(TRIM(SUBSTITUTE(A40,_xlfn.UNICHAR(160)," ")),TRIM(SUBSTITUTE('worker file'!$A$2:$A$406,_xlfn.UNICHAR(160)," ")),'worker file'!$L$2:$L$406,"")="US Biweekly",$I$3,$I$2))</f>
        <v>46298</v>
      </c>
      <c r="E40" s="5" t="s">
        <v>576</v>
      </c>
      <c r="F40" s="5" t="s">
        <v>554</v>
      </c>
    </row>
    <row r="41" customFormat="false" ht="15" hidden="false" customHeight="false" outlineLevel="0" collapsed="false">
      <c r="A41" s="5" t="s">
        <v>131</v>
      </c>
      <c r="B41" s="5" t="s">
        <v>573</v>
      </c>
      <c r="C41" s="27" t="n">
        <v>120</v>
      </c>
      <c r="D41" s="25" t="n">
        <f aca="false" t="array" ref="D41:D41">IF(F41="n/a","—",IF(_xlfn.XLOOKUP(TRIM(SUBSTITUTE(A41,_xlfn.UNICHAR(160)," ")),TRIM(SUBSTITUTE('worker file'!$A$2:$A$406,_xlfn.UNICHAR(160)," ")),'worker file'!$L$2:$L$406,"")="US Biweekly",$I$3,$I$2))</f>
        <v>46298</v>
      </c>
      <c r="E41" s="5" t="s">
        <v>580</v>
      </c>
      <c r="F41" s="5" t="s">
        <v>554</v>
      </c>
    </row>
    <row r="42" customFormat="false" ht="15" hidden="false" customHeight="false" outlineLevel="0" collapsed="false">
      <c r="A42" s="5" t="s">
        <v>131</v>
      </c>
      <c r="B42" s="5" t="s">
        <v>566</v>
      </c>
      <c r="C42" s="27" t="n">
        <v>35.5</v>
      </c>
      <c r="D42" s="25" t="n">
        <f aca="false" t="array" ref="D42:D42">IF(F42="n/a","—",IF(_xlfn.XLOOKUP(TRIM(SUBSTITUTE(A42,_xlfn.UNICHAR(160)," ")),TRIM(SUBSTITUTE('worker file'!$A$2:$A$406,_xlfn.UNICHAR(160)," ")),'worker file'!$L$2:$L$406,"")="US Biweekly",$I$3,$I$2))</f>
        <v>46298</v>
      </c>
      <c r="E42" s="5" t="s">
        <v>571</v>
      </c>
      <c r="F42" s="5" t="s">
        <v>554</v>
      </c>
    </row>
    <row r="43" customFormat="false" ht="15" hidden="false" customHeight="false" outlineLevel="0" collapsed="false">
      <c r="A43" s="5" t="s">
        <v>133</v>
      </c>
      <c r="B43" s="5" t="s">
        <v>568</v>
      </c>
      <c r="C43" s="24" t="s">
        <v>569</v>
      </c>
      <c r="D43" s="25" t="str">
        <f aca="false" t="array" ref="D43:D43">IF(F43="n/a","—",IF(_xlfn.XLOOKUP(TRIM(SUBSTITUTE(A43,_xlfn.UNICHAR(160)," ")),TRIM(SUBSTITUTE('worker file'!$A$2:$A$406,_xlfn.UNICHAR(160)," ")),'worker file'!$L$2:$L$406,"")="US Biweekly",$I$3,$I$2))</f>
        <v>—</v>
      </c>
      <c r="E43" s="5" t="s">
        <v>570</v>
      </c>
      <c r="F43" s="5" t="s">
        <v>550</v>
      </c>
    </row>
    <row r="44" customFormat="false" ht="15" hidden="false" customHeight="false" outlineLevel="0" collapsed="false">
      <c r="A44" s="5" t="s">
        <v>133</v>
      </c>
      <c r="B44" s="5" t="s">
        <v>566</v>
      </c>
      <c r="C44" s="27" t="n">
        <v>46.75</v>
      </c>
      <c r="D44" s="25" t="n">
        <f aca="false" t="array" ref="D44:D44">IF(F44="n/a","—",IF(_xlfn.XLOOKUP(TRIM(SUBSTITUTE(A44,_xlfn.UNICHAR(160)," ")),TRIM(SUBSTITUTE('worker file'!$A$2:$A$406,_xlfn.UNICHAR(160)," ")),'worker file'!$L$2:$L$406,"")="US Biweekly",$I$3,$I$2))</f>
        <v>46295</v>
      </c>
      <c r="E44" s="5" t="s">
        <v>571</v>
      </c>
      <c r="F44" s="5" t="s">
        <v>554</v>
      </c>
    </row>
    <row r="45" customFormat="false" ht="15" hidden="false" customHeight="false" outlineLevel="0" collapsed="false">
      <c r="A45" s="5" t="s">
        <v>134</v>
      </c>
      <c r="B45" s="5" t="s">
        <v>573</v>
      </c>
      <c r="C45" s="27" t="n">
        <v>120</v>
      </c>
      <c r="D45" s="25" t="n">
        <f aca="false" t="array" ref="D45:D45">IF(F45="n/a","—",IF(_xlfn.XLOOKUP(TRIM(SUBSTITUTE(A45,_xlfn.UNICHAR(160)," ")),TRIM(SUBSTITUTE('worker file'!$A$2:$A$406,_xlfn.UNICHAR(160)," ")),'worker file'!$L$2:$L$406,"")="US Biweekly",$I$3,$I$2))</f>
        <v>46298</v>
      </c>
      <c r="E45" s="5" t="s">
        <v>574</v>
      </c>
      <c r="F45" s="5" t="s">
        <v>554</v>
      </c>
    </row>
    <row r="46" customFormat="false" ht="15" hidden="false" customHeight="false" outlineLevel="0" collapsed="false">
      <c r="A46" s="5" t="s">
        <v>134</v>
      </c>
      <c r="B46" s="5" t="s">
        <v>566</v>
      </c>
      <c r="C46" s="27" t="n">
        <v>46.5</v>
      </c>
      <c r="D46" s="25" t="n">
        <f aca="false" t="array" ref="D46:D46">IF(F46="n/a","—",IF(_xlfn.XLOOKUP(TRIM(SUBSTITUTE(A46,_xlfn.UNICHAR(160)," ")),TRIM(SUBSTITUTE('worker file'!$A$2:$A$406,_xlfn.UNICHAR(160)," ")),'worker file'!$L$2:$L$406,"")="US Biweekly",$I$3,$I$2))</f>
        <v>46298</v>
      </c>
      <c r="E46" s="5" t="s">
        <v>571</v>
      </c>
      <c r="F46" s="5" t="s">
        <v>554</v>
      </c>
    </row>
    <row r="47" customFormat="false" ht="15" hidden="false" customHeight="false" outlineLevel="0" collapsed="false">
      <c r="A47" s="5" t="s">
        <v>135</v>
      </c>
      <c r="B47" s="5" t="s">
        <v>568</v>
      </c>
      <c r="C47" s="24" t="s">
        <v>569</v>
      </c>
      <c r="D47" s="25" t="str">
        <f aca="false" t="array" ref="D47:D47">IF(F47="n/a","—",IF(_xlfn.XLOOKUP(TRIM(SUBSTITUTE(A47,_xlfn.UNICHAR(160)," ")),TRIM(SUBSTITUTE('worker file'!$A$2:$A$406,_xlfn.UNICHAR(160)," ")),'worker file'!$L$2:$L$406,"")="US Biweekly",$I$3,$I$2))</f>
        <v>—</v>
      </c>
      <c r="E47" s="5" t="s">
        <v>570</v>
      </c>
      <c r="F47" s="5" t="s">
        <v>550</v>
      </c>
    </row>
    <row r="48" customFormat="false" ht="15" hidden="false" customHeight="false" outlineLevel="0" collapsed="false">
      <c r="A48" s="5" t="s">
        <v>135</v>
      </c>
      <c r="B48" s="5" t="s">
        <v>566</v>
      </c>
      <c r="C48" s="27" t="n">
        <v>65.75</v>
      </c>
      <c r="D48" s="25" t="n">
        <f aca="false" t="array" ref="D48:D48">IF(F48="n/a","—",IF(_xlfn.XLOOKUP(TRIM(SUBSTITUTE(A48,_xlfn.UNICHAR(160)," ")),TRIM(SUBSTITUTE('worker file'!$A$2:$A$406,_xlfn.UNICHAR(160)," ")),'worker file'!$L$2:$L$406,"")="US Biweekly",$I$3,$I$2))</f>
        <v>46295</v>
      </c>
      <c r="E48" s="5" t="s">
        <v>571</v>
      </c>
      <c r="F48" s="5" t="s">
        <v>554</v>
      </c>
    </row>
    <row r="49" customFormat="false" ht="15" hidden="false" customHeight="false" outlineLevel="0" collapsed="false">
      <c r="A49" s="5" t="s">
        <v>136</v>
      </c>
      <c r="B49" s="5" t="s">
        <v>568</v>
      </c>
      <c r="C49" s="24" t="s">
        <v>569</v>
      </c>
      <c r="D49" s="25" t="str">
        <f aca="false" t="array" ref="D49:D49">IF(F49="n/a","—",IF(_xlfn.XLOOKUP(TRIM(SUBSTITUTE(A49,_xlfn.UNICHAR(160)," ")),TRIM(SUBSTITUTE('worker file'!$A$2:$A$406,_xlfn.UNICHAR(160)," ")),'worker file'!$L$2:$L$406,"")="US Biweekly",$I$3,$I$2))</f>
        <v>—</v>
      </c>
      <c r="E49" s="5" t="s">
        <v>570</v>
      </c>
      <c r="F49" s="5" t="s">
        <v>550</v>
      </c>
    </row>
    <row r="50" customFormat="false" ht="15" hidden="false" customHeight="false" outlineLevel="0" collapsed="false">
      <c r="A50" s="5" t="s">
        <v>136</v>
      </c>
      <c r="B50" s="5" t="s">
        <v>566</v>
      </c>
      <c r="C50" s="27" t="n">
        <v>28.75</v>
      </c>
      <c r="D50" s="25" t="n">
        <f aca="false" t="array" ref="D50:D50">IF(F50="n/a","—",IF(_xlfn.XLOOKUP(TRIM(SUBSTITUTE(A50,_xlfn.UNICHAR(160)," ")),TRIM(SUBSTITUTE('worker file'!$A$2:$A$406,_xlfn.UNICHAR(160)," ")),'worker file'!$L$2:$L$406,"")="US Biweekly",$I$3,$I$2))</f>
        <v>46295</v>
      </c>
      <c r="E50" s="5" t="s">
        <v>571</v>
      </c>
      <c r="F50" s="5" t="s">
        <v>554</v>
      </c>
    </row>
    <row r="51" customFormat="false" ht="15" hidden="false" customHeight="false" outlineLevel="0" collapsed="false">
      <c r="A51" s="5" t="s">
        <v>137</v>
      </c>
      <c r="B51" s="5" t="s">
        <v>573</v>
      </c>
      <c r="C51" s="27" t="n">
        <v>120</v>
      </c>
      <c r="D51" s="25" t="n">
        <f aca="false" t="array" ref="D51:D51">IF(F51="n/a","—",IF(_xlfn.XLOOKUP(TRIM(SUBSTITUTE(A51,_xlfn.UNICHAR(160)," ")),TRIM(SUBSTITUTE('worker file'!$A$2:$A$406,_xlfn.UNICHAR(160)," ")),'worker file'!$L$2:$L$406,"")="US Biweekly",$I$3,$I$2))</f>
        <v>46298</v>
      </c>
      <c r="E51" s="5" t="s">
        <v>581</v>
      </c>
      <c r="F51" s="5" t="s">
        <v>554</v>
      </c>
    </row>
    <row r="52" customFormat="false" ht="15" hidden="false" customHeight="false" outlineLevel="0" collapsed="false">
      <c r="A52" s="5" t="s">
        <v>137</v>
      </c>
      <c r="B52" s="5" t="s">
        <v>566</v>
      </c>
      <c r="C52" s="27" t="n">
        <v>11</v>
      </c>
      <c r="D52" s="25" t="n">
        <f aca="false" t="array" ref="D52:D52">IF(F52="n/a","—",IF(_xlfn.XLOOKUP(TRIM(SUBSTITUTE(A52,_xlfn.UNICHAR(160)," ")),TRIM(SUBSTITUTE('worker file'!$A$2:$A$406,_xlfn.UNICHAR(160)," ")),'worker file'!$L$2:$L$406,"")="US Biweekly",$I$3,$I$2))</f>
        <v>46298</v>
      </c>
      <c r="E52" s="5" t="s">
        <v>571</v>
      </c>
      <c r="F52" s="5" t="s">
        <v>554</v>
      </c>
    </row>
    <row r="53" customFormat="false" ht="15" hidden="false" customHeight="false" outlineLevel="0" collapsed="false">
      <c r="A53" s="5" t="s">
        <v>139</v>
      </c>
      <c r="B53" s="5" t="s">
        <v>573</v>
      </c>
      <c r="C53" s="27" t="n">
        <v>74.5</v>
      </c>
      <c r="D53" s="25" t="n">
        <f aca="false" t="array" ref="D53:D53">IF(F53="n/a","—",IF(_xlfn.XLOOKUP(TRIM(SUBSTITUTE(A53,_xlfn.UNICHAR(160)," ")),TRIM(SUBSTITUTE('worker file'!$A$2:$A$406,_xlfn.UNICHAR(160)," ")),'worker file'!$L$2:$L$406,"")="US Biweekly",$I$3,$I$2))</f>
        <v>46298</v>
      </c>
      <c r="E53" s="5" t="s">
        <v>581</v>
      </c>
      <c r="F53" s="5" t="s">
        <v>554</v>
      </c>
    </row>
    <row r="54" customFormat="false" ht="15" hidden="false" customHeight="false" outlineLevel="0" collapsed="false">
      <c r="A54" s="5" t="s">
        <v>139</v>
      </c>
      <c r="B54" s="5" t="s">
        <v>566</v>
      </c>
      <c r="C54" s="27" t="n">
        <v>0</v>
      </c>
      <c r="D54" s="25" t="n">
        <f aca="false" t="array" ref="D54:D54">IF(F54="n/a","—",IF(_xlfn.XLOOKUP(TRIM(SUBSTITUTE(A54,_xlfn.UNICHAR(160)," ")),TRIM(SUBSTITUTE('worker file'!$A$2:$A$406,_xlfn.UNICHAR(160)," ")),'worker file'!$L$2:$L$406,"")="US Biweekly",$I$3,$I$2))</f>
        <v>46298</v>
      </c>
      <c r="E54" s="5" t="s">
        <v>571</v>
      </c>
      <c r="F54" s="5" t="s">
        <v>554</v>
      </c>
    </row>
    <row r="55" customFormat="false" ht="15" hidden="false" customHeight="false" outlineLevel="0" collapsed="false">
      <c r="A55" s="5" t="s">
        <v>143</v>
      </c>
      <c r="B55" s="5" t="s">
        <v>568</v>
      </c>
      <c r="C55" s="24" t="s">
        <v>569</v>
      </c>
      <c r="D55" s="25" t="str">
        <f aca="false" t="array" ref="D55:D55">IF(F55="n/a","—",IF(_xlfn.XLOOKUP(TRIM(SUBSTITUTE(A55,_xlfn.UNICHAR(160)," ")),TRIM(SUBSTITUTE('worker file'!$A$2:$A$406,_xlfn.UNICHAR(160)," ")),'worker file'!$L$2:$L$406,"")="US Biweekly",$I$3,$I$2))</f>
        <v>—</v>
      </c>
      <c r="E55" s="5" t="s">
        <v>570</v>
      </c>
      <c r="F55" s="5" t="s">
        <v>550</v>
      </c>
    </row>
    <row r="56" customFormat="false" ht="15" hidden="false" customHeight="false" outlineLevel="0" collapsed="false">
      <c r="A56" s="5" t="s">
        <v>143</v>
      </c>
      <c r="B56" s="5" t="s">
        <v>566</v>
      </c>
      <c r="C56" s="27" t="n">
        <v>33.5</v>
      </c>
      <c r="D56" s="25" t="n">
        <f aca="false" t="array" ref="D56:D56">IF(F56="n/a","—",IF(_xlfn.XLOOKUP(TRIM(SUBSTITUTE(A56,_xlfn.UNICHAR(160)," ")),TRIM(SUBSTITUTE('worker file'!$A$2:$A$406,_xlfn.UNICHAR(160)," ")),'worker file'!$L$2:$L$406,"")="US Biweekly",$I$3,$I$2))</f>
        <v>46295</v>
      </c>
      <c r="E56" s="5" t="s">
        <v>571</v>
      </c>
      <c r="F56" s="5" t="s">
        <v>554</v>
      </c>
    </row>
    <row r="57" customFormat="false" ht="15" hidden="false" customHeight="false" outlineLevel="0" collapsed="false">
      <c r="A57" s="5" t="s">
        <v>144</v>
      </c>
      <c r="B57" s="5" t="s">
        <v>568</v>
      </c>
      <c r="C57" s="24" t="s">
        <v>569</v>
      </c>
      <c r="D57" s="25" t="str">
        <f aca="false" t="array" ref="D57:D57">IF(F57="n/a","—",IF(_xlfn.XLOOKUP(TRIM(SUBSTITUTE(A57,_xlfn.UNICHAR(160)," ")),TRIM(SUBSTITUTE('worker file'!$A$2:$A$406,_xlfn.UNICHAR(160)," ")),'worker file'!$L$2:$L$406,"")="US Biweekly",$I$3,$I$2))</f>
        <v>—</v>
      </c>
      <c r="E57" s="5" t="s">
        <v>570</v>
      </c>
      <c r="F57" s="5" t="s">
        <v>550</v>
      </c>
    </row>
    <row r="58" customFormat="false" ht="15" hidden="false" customHeight="false" outlineLevel="0" collapsed="false">
      <c r="A58" s="5" t="s">
        <v>144</v>
      </c>
      <c r="B58" s="5" t="s">
        <v>566</v>
      </c>
      <c r="C58" s="27" t="n">
        <v>25.5</v>
      </c>
      <c r="D58" s="25" t="n">
        <f aca="false" t="array" ref="D58:D58">IF(F58="n/a","—",IF(_xlfn.XLOOKUP(TRIM(SUBSTITUTE(A58,_xlfn.UNICHAR(160)," ")),TRIM(SUBSTITUTE('worker file'!$A$2:$A$406,_xlfn.UNICHAR(160)," ")),'worker file'!$L$2:$L$406,"")="US Biweekly",$I$3,$I$2))</f>
        <v>46295</v>
      </c>
      <c r="E58" s="5" t="s">
        <v>571</v>
      </c>
      <c r="F58" s="5" t="s">
        <v>554</v>
      </c>
    </row>
    <row r="59" customFormat="false" ht="15" hidden="false" customHeight="false" outlineLevel="0" collapsed="false">
      <c r="A59" s="5" t="s">
        <v>145</v>
      </c>
      <c r="B59" s="5" t="s">
        <v>568</v>
      </c>
      <c r="C59" s="24" t="s">
        <v>569</v>
      </c>
      <c r="D59" s="25" t="str">
        <f aca="false" t="array" ref="D59:D59">IF(F59="n/a","—",IF(_xlfn.XLOOKUP(TRIM(SUBSTITUTE(A59,_xlfn.UNICHAR(160)," ")),TRIM(SUBSTITUTE('worker file'!$A$2:$A$406,_xlfn.UNICHAR(160)," ")),'worker file'!$L$2:$L$406,"")="US Biweekly",$I$3,$I$2))</f>
        <v>—</v>
      </c>
      <c r="E59" s="5" t="s">
        <v>570</v>
      </c>
      <c r="F59" s="5" t="s">
        <v>550</v>
      </c>
    </row>
    <row r="60" customFormat="false" ht="15" hidden="false" customHeight="false" outlineLevel="0" collapsed="false">
      <c r="A60" s="5" t="s">
        <v>146</v>
      </c>
      <c r="B60" s="5" t="s">
        <v>568</v>
      </c>
      <c r="C60" s="24" t="s">
        <v>569</v>
      </c>
      <c r="D60" s="25" t="str">
        <f aca="false" t="array" ref="D60:D60">IF(F60="n/a","—",IF(_xlfn.XLOOKUP(TRIM(SUBSTITUTE(A60,_xlfn.UNICHAR(160)," ")),TRIM(SUBSTITUTE('worker file'!$A$2:$A$406,_xlfn.UNICHAR(160)," ")),'worker file'!$L$2:$L$406,"")="US Biweekly",$I$3,$I$2))</f>
        <v>—</v>
      </c>
      <c r="E60" s="5" t="s">
        <v>570</v>
      </c>
      <c r="F60" s="5" t="s">
        <v>550</v>
      </c>
    </row>
    <row r="61" customFormat="false" ht="15" hidden="false" customHeight="false" outlineLevel="0" collapsed="false">
      <c r="A61" s="5" t="s">
        <v>147</v>
      </c>
      <c r="B61" s="5" t="s">
        <v>573</v>
      </c>
      <c r="C61" s="27" t="n">
        <v>93.75</v>
      </c>
      <c r="D61" s="25" t="n">
        <f aca="false" t="array" ref="D61:D61">IF(F61="n/a","—",IF(_xlfn.XLOOKUP(TRIM(SUBSTITUTE(A61,_xlfn.UNICHAR(160)," ")),TRIM(SUBSTITUTE('worker file'!$A$2:$A$406,_xlfn.UNICHAR(160)," ")),'worker file'!$L$2:$L$406,"")="US Biweekly",$I$3,$I$2))</f>
        <v>46298</v>
      </c>
      <c r="E61" s="5" t="s">
        <v>574</v>
      </c>
      <c r="F61" s="5" t="s">
        <v>554</v>
      </c>
    </row>
    <row r="62" customFormat="false" ht="15" hidden="false" customHeight="false" outlineLevel="0" collapsed="false">
      <c r="A62" s="5" t="s">
        <v>147</v>
      </c>
      <c r="B62" s="5" t="s">
        <v>566</v>
      </c>
      <c r="C62" s="27" t="n">
        <v>28.5</v>
      </c>
      <c r="D62" s="25" t="n">
        <f aca="false" t="array" ref="D62:D62">IF(F62="n/a","—",IF(_xlfn.XLOOKUP(TRIM(SUBSTITUTE(A62,_xlfn.UNICHAR(160)," ")),TRIM(SUBSTITUTE('worker file'!$A$2:$A$406,_xlfn.UNICHAR(160)," ")),'worker file'!$L$2:$L$406,"")="US Biweekly",$I$3,$I$2))</f>
        <v>46298</v>
      </c>
      <c r="E62" s="5" t="s">
        <v>571</v>
      </c>
      <c r="F62" s="5" t="s">
        <v>554</v>
      </c>
    </row>
    <row r="63" customFormat="false" ht="15" hidden="false" customHeight="false" outlineLevel="0" collapsed="false">
      <c r="A63" s="5" t="s">
        <v>148</v>
      </c>
      <c r="B63" s="5" t="s">
        <v>568</v>
      </c>
      <c r="C63" s="24" t="s">
        <v>569</v>
      </c>
      <c r="D63" s="25" t="str">
        <f aca="false" t="array" ref="D63:D63">IF(F63="n/a","—",IF(_xlfn.XLOOKUP(TRIM(SUBSTITUTE(A63,_xlfn.UNICHAR(160)," ")),TRIM(SUBSTITUTE('worker file'!$A$2:$A$406,_xlfn.UNICHAR(160)," ")),'worker file'!$L$2:$L$406,"")="US Biweekly",$I$3,$I$2))</f>
        <v>—</v>
      </c>
      <c r="E63" s="5" t="s">
        <v>570</v>
      </c>
      <c r="F63" s="5" t="s">
        <v>550</v>
      </c>
    </row>
    <row r="64" customFormat="false" ht="15" hidden="false" customHeight="false" outlineLevel="0" collapsed="false">
      <c r="A64" s="5" t="s">
        <v>148</v>
      </c>
      <c r="B64" s="5" t="s">
        <v>566</v>
      </c>
      <c r="C64" s="27" t="n">
        <v>54.75</v>
      </c>
      <c r="D64" s="25" t="n">
        <f aca="false" t="array" ref="D64:D64">IF(F64="n/a","—",IF(_xlfn.XLOOKUP(TRIM(SUBSTITUTE(A64,_xlfn.UNICHAR(160)," ")),TRIM(SUBSTITUTE('worker file'!$A$2:$A$406,_xlfn.UNICHAR(160)," ")),'worker file'!$L$2:$L$406,"")="US Biweekly",$I$3,$I$2))</f>
        <v>46295</v>
      </c>
      <c r="E64" s="5" t="s">
        <v>571</v>
      </c>
      <c r="F64" s="5" t="s">
        <v>554</v>
      </c>
    </row>
    <row r="65" customFormat="false" ht="15" hidden="false" customHeight="false" outlineLevel="0" collapsed="false">
      <c r="A65" s="5" t="s">
        <v>150</v>
      </c>
      <c r="B65" s="5" t="s">
        <v>573</v>
      </c>
      <c r="C65" s="27" t="n">
        <v>120</v>
      </c>
      <c r="D65" s="25" t="n">
        <f aca="false" t="array" ref="D65:D65">IF(F65="n/a","—",IF(_xlfn.XLOOKUP(TRIM(SUBSTITUTE(A65,_xlfn.UNICHAR(160)," ")),TRIM(SUBSTITUTE('worker file'!$A$2:$A$406,_xlfn.UNICHAR(160)," ")),'worker file'!$L$2:$L$406,"")="US Biweekly",$I$3,$I$2))</f>
        <v>46298</v>
      </c>
      <c r="E65" s="5" t="s">
        <v>574</v>
      </c>
      <c r="F65" s="5" t="s">
        <v>554</v>
      </c>
    </row>
    <row r="66" customFormat="false" ht="15" hidden="false" customHeight="false" outlineLevel="0" collapsed="false">
      <c r="A66" s="5" t="s">
        <v>150</v>
      </c>
      <c r="B66" s="5" t="s">
        <v>575</v>
      </c>
      <c r="C66" s="27" t="n">
        <v>14</v>
      </c>
      <c r="D66" s="25" t="n">
        <f aca="false" t="array" ref="D66:D66">IF(F66="n/a","—",IF(_xlfn.XLOOKUP(TRIM(SUBSTITUTE(A66,_xlfn.UNICHAR(160)," ")),TRIM(SUBSTITUTE('worker file'!$A$2:$A$406,_xlfn.UNICHAR(160)," ")),'worker file'!$L$2:$L$406,"")="US Biweekly",$I$3,$I$2))</f>
        <v>46298</v>
      </c>
      <c r="E66" s="5" t="s">
        <v>576</v>
      </c>
      <c r="F66" s="5" t="s">
        <v>554</v>
      </c>
    </row>
    <row r="67" customFormat="false" ht="15" hidden="false" customHeight="false" outlineLevel="0" collapsed="false">
      <c r="A67" s="5" t="s">
        <v>152</v>
      </c>
      <c r="B67" s="5" t="s">
        <v>568</v>
      </c>
      <c r="C67" s="24" t="s">
        <v>569</v>
      </c>
      <c r="D67" s="25" t="str">
        <f aca="false" t="array" ref="D67:D67">IF(F67="n/a","—",IF(_xlfn.XLOOKUP(TRIM(SUBSTITUTE(A67,_xlfn.UNICHAR(160)," ")),TRIM(SUBSTITUTE('worker file'!$A$2:$A$406,_xlfn.UNICHAR(160)," ")),'worker file'!$L$2:$L$406,"")="US Biweekly",$I$3,$I$2))</f>
        <v>—</v>
      </c>
      <c r="E67" s="5" t="s">
        <v>570</v>
      </c>
      <c r="F67" s="5" t="s">
        <v>550</v>
      </c>
    </row>
    <row r="68" customFormat="false" ht="15" hidden="false" customHeight="false" outlineLevel="0" collapsed="false">
      <c r="A68" s="5" t="s">
        <v>152</v>
      </c>
      <c r="B68" s="5" t="s">
        <v>566</v>
      </c>
      <c r="C68" s="27" t="n">
        <v>67.25</v>
      </c>
      <c r="D68" s="25" t="n">
        <f aca="false" t="array" ref="D68:D68">IF(F68="n/a","—",IF(_xlfn.XLOOKUP(TRIM(SUBSTITUTE(A68,_xlfn.UNICHAR(160)," ")),TRIM(SUBSTITUTE('worker file'!$A$2:$A$406,_xlfn.UNICHAR(160)," ")),'worker file'!$L$2:$L$406,"")="US Biweekly",$I$3,$I$2))</f>
        <v>46295</v>
      </c>
      <c r="E68" s="5" t="s">
        <v>571</v>
      </c>
      <c r="F68" s="5" t="s">
        <v>554</v>
      </c>
    </row>
    <row r="69" customFormat="false" ht="15" hidden="false" customHeight="false" outlineLevel="0" collapsed="false">
      <c r="A69" s="5" t="s">
        <v>153</v>
      </c>
      <c r="B69" s="5" t="s">
        <v>568</v>
      </c>
      <c r="C69" s="24" t="s">
        <v>569</v>
      </c>
      <c r="D69" s="25" t="str">
        <f aca="false" t="array" ref="D69:D69">IF(F69="n/a","—",IF(_xlfn.XLOOKUP(TRIM(SUBSTITUTE(A69,_xlfn.UNICHAR(160)," ")),TRIM(SUBSTITUTE('worker file'!$A$2:$A$406,_xlfn.UNICHAR(160)," ")),'worker file'!$L$2:$L$406,"")="US Biweekly",$I$3,$I$2))</f>
        <v>—</v>
      </c>
      <c r="E69" s="5" t="s">
        <v>570</v>
      </c>
      <c r="F69" s="5" t="s">
        <v>550</v>
      </c>
    </row>
    <row r="70" customFormat="false" ht="15" hidden="false" customHeight="false" outlineLevel="0" collapsed="false">
      <c r="A70" s="5" t="s">
        <v>153</v>
      </c>
      <c r="B70" s="5" t="s">
        <v>582</v>
      </c>
      <c r="C70" s="27" t="n">
        <v>23.5</v>
      </c>
      <c r="D70" s="25" t="n">
        <f aca="false" t="array" ref="D70:D70">IF(F70="n/a","—",IF(_xlfn.XLOOKUP(TRIM(SUBSTITUTE(A70,_xlfn.UNICHAR(160)," ")),TRIM(SUBSTITUTE('worker file'!$A$2:$A$406,_xlfn.UNICHAR(160)," ")),'worker file'!$L$2:$L$406,"")="US Biweekly",$I$3,$I$2))</f>
        <v>46295</v>
      </c>
      <c r="E70" s="5" t="s">
        <v>583</v>
      </c>
      <c r="F70" s="5" t="s">
        <v>554</v>
      </c>
    </row>
    <row r="71" customFormat="false" ht="15" hidden="false" customHeight="false" outlineLevel="0" collapsed="false">
      <c r="A71" s="5" t="s">
        <v>155</v>
      </c>
      <c r="B71" s="5" t="s">
        <v>568</v>
      </c>
      <c r="C71" s="24" t="s">
        <v>569</v>
      </c>
      <c r="D71" s="25" t="str">
        <f aca="false" t="array" ref="D71:D71">IF(F71="n/a","—",IF(_xlfn.XLOOKUP(TRIM(SUBSTITUTE(A71,_xlfn.UNICHAR(160)," ")),TRIM(SUBSTITUTE('worker file'!$A$2:$A$406,_xlfn.UNICHAR(160)," ")),'worker file'!$L$2:$L$406,"")="US Biweekly",$I$3,$I$2))</f>
        <v>—</v>
      </c>
      <c r="E71" s="5" t="s">
        <v>570</v>
      </c>
      <c r="F71" s="5" t="s">
        <v>550</v>
      </c>
    </row>
    <row r="72" customFormat="false" ht="15" hidden="false" customHeight="false" outlineLevel="0" collapsed="false">
      <c r="A72" s="5" t="s">
        <v>157</v>
      </c>
      <c r="B72" s="5" t="s">
        <v>573</v>
      </c>
      <c r="C72" s="27" t="n">
        <v>120</v>
      </c>
      <c r="D72" s="25" t="n">
        <f aca="false" t="array" ref="D72:D72">IF(F72="n/a","—",IF(_xlfn.XLOOKUP(TRIM(SUBSTITUTE(A72,_xlfn.UNICHAR(160)," ")),TRIM(SUBSTITUTE('worker file'!$A$2:$A$406,_xlfn.UNICHAR(160)," ")),'worker file'!$L$2:$L$406,"")="US Biweekly",$I$3,$I$2))</f>
        <v>46298</v>
      </c>
      <c r="E72" s="5" t="s">
        <v>574</v>
      </c>
      <c r="F72" s="5" t="s">
        <v>554</v>
      </c>
    </row>
    <row r="73" customFormat="false" ht="15" hidden="false" customHeight="false" outlineLevel="0" collapsed="false">
      <c r="A73" s="5" t="s">
        <v>157</v>
      </c>
      <c r="B73" s="5" t="s">
        <v>566</v>
      </c>
      <c r="C73" s="27" t="n">
        <v>39.75</v>
      </c>
      <c r="D73" s="25" t="n">
        <f aca="false" t="array" ref="D73:D73">IF(F73="n/a","—",IF(_xlfn.XLOOKUP(TRIM(SUBSTITUTE(A73,_xlfn.UNICHAR(160)," ")),TRIM(SUBSTITUTE('worker file'!$A$2:$A$406,_xlfn.UNICHAR(160)," ")),'worker file'!$L$2:$L$406,"")="US Biweekly",$I$3,$I$2))</f>
        <v>46298</v>
      </c>
      <c r="E73" s="5" t="s">
        <v>571</v>
      </c>
      <c r="F73" s="5" t="s">
        <v>554</v>
      </c>
    </row>
    <row r="74" customFormat="false" ht="15" hidden="false" customHeight="false" outlineLevel="0" collapsed="false">
      <c r="A74" s="5" t="s">
        <v>158</v>
      </c>
      <c r="B74" s="5" t="s">
        <v>568</v>
      </c>
      <c r="C74" s="24" t="s">
        <v>569</v>
      </c>
      <c r="D74" s="25" t="str">
        <f aca="false" t="array" ref="D74:D74">IF(F74="n/a","—",IF(_xlfn.XLOOKUP(TRIM(SUBSTITUTE(A74,_xlfn.UNICHAR(160)," ")),TRIM(SUBSTITUTE('worker file'!$A$2:$A$406,_xlfn.UNICHAR(160)," ")),'worker file'!$L$2:$L$406,"")="US Biweekly",$I$3,$I$2))</f>
        <v>—</v>
      </c>
      <c r="E74" s="5" t="s">
        <v>570</v>
      </c>
      <c r="F74" s="5" t="s">
        <v>550</v>
      </c>
    </row>
    <row r="75" customFormat="false" ht="15" hidden="false" customHeight="false" outlineLevel="0" collapsed="false">
      <c r="A75" s="5" t="s">
        <v>158</v>
      </c>
      <c r="B75" s="5" t="s">
        <v>582</v>
      </c>
      <c r="C75" s="27" t="n">
        <v>36.5</v>
      </c>
      <c r="D75" s="25" t="n">
        <f aca="false" t="array" ref="D75:D75">IF(F75="n/a","—",IF(_xlfn.XLOOKUP(TRIM(SUBSTITUTE(A75,_xlfn.UNICHAR(160)," ")),TRIM(SUBSTITUTE('worker file'!$A$2:$A$406,_xlfn.UNICHAR(160)," ")),'worker file'!$L$2:$L$406,"")="US Biweekly",$I$3,$I$2))</f>
        <v>46295</v>
      </c>
      <c r="E75" s="5" t="s">
        <v>583</v>
      </c>
      <c r="F75" s="5" t="s">
        <v>554</v>
      </c>
    </row>
    <row r="76" customFormat="false" ht="15" hidden="false" customHeight="false" outlineLevel="0" collapsed="false">
      <c r="A76" s="5" t="s">
        <v>159</v>
      </c>
      <c r="B76" s="5" t="s">
        <v>568</v>
      </c>
      <c r="C76" s="24" t="s">
        <v>569</v>
      </c>
      <c r="D76" s="25" t="str">
        <f aca="false" t="array" ref="D76:D76">IF(F76="n/a","—",IF(_xlfn.XLOOKUP(TRIM(SUBSTITUTE(A76,_xlfn.UNICHAR(160)," ")),TRIM(SUBSTITUTE('worker file'!$A$2:$A$406,_xlfn.UNICHAR(160)," ")),'worker file'!$L$2:$L$406,"")="US Biweekly",$I$3,$I$2))</f>
        <v>—</v>
      </c>
      <c r="E76" s="5" t="s">
        <v>570</v>
      </c>
      <c r="F76" s="5" t="s">
        <v>550</v>
      </c>
    </row>
    <row r="77" customFormat="false" ht="15" hidden="false" customHeight="false" outlineLevel="0" collapsed="false">
      <c r="A77" s="5" t="s">
        <v>159</v>
      </c>
      <c r="B77" s="5" t="s">
        <v>566</v>
      </c>
      <c r="C77" s="27" t="n">
        <v>65</v>
      </c>
      <c r="D77" s="25" t="n">
        <f aca="false" t="array" ref="D77:D77">IF(F77="n/a","—",IF(_xlfn.XLOOKUP(TRIM(SUBSTITUTE(A77,_xlfn.UNICHAR(160)," ")),TRIM(SUBSTITUTE('worker file'!$A$2:$A$406,_xlfn.UNICHAR(160)," ")),'worker file'!$L$2:$L$406,"")="US Biweekly",$I$3,$I$2))</f>
        <v>46295</v>
      </c>
      <c r="E77" s="5" t="s">
        <v>571</v>
      </c>
      <c r="F77" s="5" t="s">
        <v>554</v>
      </c>
    </row>
    <row r="78" customFormat="false" ht="15" hidden="false" customHeight="false" outlineLevel="0" collapsed="false">
      <c r="A78" s="5" t="s">
        <v>160</v>
      </c>
      <c r="B78" s="5" t="s">
        <v>568</v>
      </c>
      <c r="C78" s="24" t="s">
        <v>569</v>
      </c>
      <c r="D78" s="25" t="str">
        <f aca="false" t="array" ref="D78:D78">IF(F78="n/a","—",IF(_xlfn.XLOOKUP(TRIM(SUBSTITUTE(A78,_xlfn.UNICHAR(160)," ")),TRIM(SUBSTITUTE('worker file'!$A$2:$A$406,_xlfn.UNICHAR(160)," ")),'worker file'!$L$2:$L$406,"")="US Biweekly",$I$3,$I$2))</f>
        <v>—</v>
      </c>
      <c r="E78" s="5" t="s">
        <v>570</v>
      </c>
      <c r="F78" s="5" t="s">
        <v>550</v>
      </c>
    </row>
    <row r="79" customFormat="false" ht="15" hidden="false" customHeight="false" outlineLevel="0" collapsed="false">
      <c r="A79" s="5" t="s">
        <v>160</v>
      </c>
      <c r="B79" s="5" t="s">
        <v>566</v>
      </c>
      <c r="C79" s="27" t="n">
        <v>79</v>
      </c>
      <c r="D79" s="25" t="n">
        <f aca="false" t="array" ref="D79:D79">IF(F79="n/a","—",IF(_xlfn.XLOOKUP(TRIM(SUBSTITUTE(A79,_xlfn.UNICHAR(160)," ")),TRIM(SUBSTITUTE('worker file'!$A$2:$A$406,_xlfn.UNICHAR(160)," ")),'worker file'!$L$2:$L$406,"")="US Biweekly",$I$3,$I$2))</f>
        <v>46295</v>
      </c>
      <c r="E79" s="5" t="s">
        <v>571</v>
      </c>
      <c r="F79" s="5" t="s">
        <v>554</v>
      </c>
    </row>
    <row r="80" customFormat="false" ht="15" hidden="false" customHeight="false" outlineLevel="0" collapsed="false">
      <c r="A80" s="5" t="s">
        <v>161</v>
      </c>
      <c r="B80" s="5" t="s">
        <v>568</v>
      </c>
      <c r="C80" s="24" t="s">
        <v>569</v>
      </c>
      <c r="D80" s="25" t="str">
        <f aca="false" t="array" ref="D80:D80">IF(F80="n/a","—",IF(_xlfn.XLOOKUP(TRIM(SUBSTITUTE(A80,_xlfn.UNICHAR(160)," ")),TRIM(SUBSTITUTE('worker file'!$A$2:$A$406,_xlfn.UNICHAR(160)," ")),'worker file'!$L$2:$L$406,"")="US Biweekly",$I$3,$I$2))</f>
        <v>—</v>
      </c>
      <c r="E80" s="5" t="s">
        <v>570</v>
      </c>
      <c r="F80" s="5" t="s">
        <v>550</v>
      </c>
    </row>
    <row r="81" customFormat="false" ht="15" hidden="false" customHeight="false" outlineLevel="0" collapsed="false">
      <c r="A81" s="5" t="s">
        <v>161</v>
      </c>
      <c r="B81" s="5" t="s">
        <v>566</v>
      </c>
      <c r="C81" s="27" t="n">
        <v>31.25</v>
      </c>
      <c r="D81" s="25" t="n">
        <f aca="false" t="array" ref="D81:D81">IF(F81="n/a","—",IF(_xlfn.XLOOKUP(TRIM(SUBSTITUTE(A81,_xlfn.UNICHAR(160)," ")),TRIM(SUBSTITUTE('worker file'!$A$2:$A$406,_xlfn.UNICHAR(160)," ")),'worker file'!$L$2:$L$406,"")="US Biweekly",$I$3,$I$2))</f>
        <v>46295</v>
      </c>
      <c r="E81" s="5" t="s">
        <v>571</v>
      </c>
      <c r="F81" s="5" t="s">
        <v>554</v>
      </c>
    </row>
    <row r="82" customFormat="false" ht="15" hidden="false" customHeight="false" outlineLevel="0" collapsed="false">
      <c r="A82" s="5" t="s">
        <v>162</v>
      </c>
      <c r="B82" s="5" t="s">
        <v>568</v>
      </c>
      <c r="C82" s="24" t="s">
        <v>569</v>
      </c>
      <c r="D82" s="25" t="str">
        <f aca="false" t="array" ref="D82:D82">IF(F82="n/a","—",IF(_xlfn.XLOOKUP(TRIM(SUBSTITUTE(A82,_xlfn.UNICHAR(160)," ")),TRIM(SUBSTITUTE('worker file'!$A$2:$A$406,_xlfn.UNICHAR(160)," ")),'worker file'!$L$2:$L$406,"")="US Biweekly",$I$3,$I$2))</f>
        <v>—</v>
      </c>
      <c r="E82" s="5" t="s">
        <v>570</v>
      </c>
      <c r="F82" s="5" t="s">
        <v>550</v>
      </c>
    </row>
    <row r="83" customFormat="false" ht="15" hidden="false" customHeight="false" outlineLevel="0" collapsed="false">
      <c r="A83" s="5" t="s">
        <v>162</v>
      </c>
      <c r="B83" s="5" t="s">
        <v>582</v>
      </c>
      <c r="C83" s="27" t="n">
        <v>36.5</v>
      </c>
      <c r="D83" s="25" t="n">
        <f aca="false" t="array" ref="D83:D83">IF(F83="n/a","—",IF(_xlfn.XLOOKUP(TRIM(SUBSTITUTE(A83,_xlfn.UNICHAR(160)," ")),TRIM(SUBSTITUTE('worker file'!$A$2:$A$406,_xlfn.UNICHAR(160)," ")),'worker file'!$L$2:$L$406,"")="US Biweekly",$I$3,$I$2))</f>
        <v>46295</v>
      </c>
      <c r="E83" s="5" t="s">
        <v>583</v>
      </c>
      <c r="F83" s="5" t="s">
        <v>554</v>
      </c>
    </row>
    <row r="84" customFormat="false" ht="15" hidden="false" customHeight="false" outlineLevel="0" collapsed="false">
      <c r="A84" s="5" t="s">
        <v>164</v>
      </c>
      <c r="B84" s="5" t="s">
        <v>568</v>
      </c>
      <c r="C84" s="24" t="s">
        <v>569</v>
      </c>
      <c r="D84" s="25" t="str">
        <f aca="false" t="array" ref="D84:D84">IF(F84="n/a","—",IF(_xlfn.XLOOKUP(TRIM(SUBSTITUTE(A84,_xlfn.UNICHAR(160)," ")),TRIM(SUBSTITUTE('worker file'!$A$2:$A$406,_xlfn.UNICHAR(160)," ")),'worker file'!$L$2:$L$406,"")="US Biweekly",$I$3,$I$2))</f>
        <v>—</v>
      </c>
      <c r="E84" s="5" t="s">
        <v>570</v>
      </c>
      <c r="F84" s="5" t="s">
        <v>550</v>
      </c>
    </row>
    <row r="85" customFormat="false" ht="15" hidden="false" customHeight="false" outlineLevel="0" collapsed="false">
      <c r="A85" s="5" t="s">
        <v>166</v>
      </c>
      <c r="B85" s="5" t="s">
        <v>573</v>
      </c>
      <c r="C85" s="27" t="n">
        <v>93.5</v>
      </c>
      <c r="D85" s="25" t="n">
        <f aca="false" t="array" ref="D85:D85">IF(F85="n/a","—",IF(_xlfn.XLOOKUP(TRIM(SUBSTITUTE(A85,_xlfn.UNICHAR(160)," ")),TRIM(SUBSTITUTE('worker file'!$A$2:$A$406,_xlfn.UNICHAR(160)," ")),'worker file'!$L$2:$L$406,"")="US Biweekly",$I$3,$I$2))</f>
        <v>46298</v>
      </c>
      <c r="E85" s="5" t="s">
        <v>581</v>
      </c>
      <c r="F85" s="5" t="s">
        <v>554</v>
      </c>
    </row>
    <row r="86" customFormat="false" ht="15" hidden="false" customHeight="false" outlineLevel="0" collapsed="false">
      <c r="A86" s="5" t="s">
        <v>166</v>
      </c>
      <c r="B86" s="5" t="s">
        <v>575</v>
      </c>
      <c r="C86" s="27" t="n">
        <v>5.5</v>
      </c>
      <c r="D86" s="25" t="n">
        <f aca="false" t="array" ref="D86:D86">IF(F86="n/a","—",IF(_xlfn.XLOOKUP(TRIM(SUBSTITUTE(A86,_xlfn.UNICHAR(160)," ")),TRIM(SUBSTITUTE('worker file'!$A$2:$A$406,_xlfn.UNICHAR(160)," ")),'worker file'!$L$2:$L$406,"")="US Biweekly",$I$3,$I$2))</f>
        <v>46298</v>
      </c>
      <c r="E86" s="5" t="s">
        <v>576</v>
      </c>
      <c r="F86" s="5" t="s">
        <v>554</v>
      </c>
    </row>
    <row r="87" customFormat="false" ht="15" hidden="false" customHeight="false" outlineLevel="0" collapsed="false">
      <c r="A87" s="5" t="s">
        <v>167</v>
      </c>
      <c r="B87" s="5" t="s">
        <v>568</v>
      </c>
      <c r="C87" s="24" t="s">
        <v>569</v>
      </c>
      <c r="D87" s="25" t="str">
        <f aca="false" t="array" ref="D87:D87">IF(F87="n/a","—",IF(_xlfn.XLOOKUP(TRIM(SUBSTITUTE(A87,_xlfn.UNICHAR(160)," ")),TRIM(SUBSTITUTE('worker file'!$A$2:$A$406,_xlfn.UNICHAR(160)," ")),'worker file'!$L$2:$L$406,"")="US Biweekly",$I$3,$I$2))</f>
        <v>—</v>
      </c>
      <c r="E87" s="5" t="s">
        <v>570</v>
      </c>
      <c r="F87" s="5" t="s">
        <v>550</v>
      </c>
    </row>
    <row r="88" customFormat="false" ht="15" hidden="false" customHeight="false" outlineLevel="0" collapsed="false">
      <c r="A88" s="5" t="s">
        <v>167</v>
      </c>
      <c r="B88" s="5" t="s">
        <v>566</v>
      </c>
      <c r="C88" s="27" t="n">
        <v>31</v>
      </c>
      <c r="D88" s="25" t="n">
        <f aca="false" t="array" ref="D88:D88">IF(F88="n/a","—",IF(_xlfn.XLOOKUP(TRIM(SUBSTITUTE(A88,_xlfn.UNICHAR(160)," ")),TRIM(SUBSTITUTE('worker file'!$A$2:$A$406,_xlfn.UNICHAR(160)," ")),'worker file'!$L$2:$L$406,"")="US Biweekly",$I$3,$I$2))</f>
        <v>46295</v>
      </c>
      <c r="E88" s="5" t="s">
        <v>571</v>
      </c>
      <c r="F88" s="5" t="s">
        <v>554</v>
      </c>
    </row>
    <row r="89" customFormat="false" ht="15" hidden="false" customHeight="false" outlineLevel="0" collapsed="false">
      <c r="A89" s="5" t="s">
        <v>168</v>
      </c>
      <c r="B89" s="5" t="s">
        <v>573</v>
      </c>
      <c r="C89" s="27" t="n">
        <v>61.5</v>
      </c>
      <c r="D89" s="25" t="n">
        <f aca="false" t="array" ref="D89:D89">IF(F89="n/a","—",IF(_xlfn.XLOOKUP(TRIM(SUBSTITUTE(A89,_xlfn.UNICHAR(160)," ")),TRIM(SUBSTITUTE('worker file'!$A$2:$A$406,_xlfn.UNICHAR(160)," ")),'worker file'!$L$2:$L$406,"")="US Biweekly",$I$3,$I$2))</f>
        <v>46298</v>
      </c>
      <c r="E89" s="5" t="s">
        <v>574</v>
      </c>
      <c r="F89" s="5" t="s">
        <v>554</v>
      </c>
    </row>
    <row r="90" customFormat="false" ht="15" hidden="false" customHeight="false" outlineLevel="0" collapsed="false">
      <c r="A90" s="5" t="s">
        <v>168</v>
      </c>
      <c r="B90" s="5" t="s">
        <v>566</v>
      </c>
      <c r="C90" s="27" t="n">
        <v>23.75</v>
      </c>
      <c r="D90" s="25" t="n">
        <f aca="false" t="array" ref="D90:D90">IF(F90="n/a","—",IF(_xlfn.XLOOKUP(TRIM(SUBSTITUTE(A90,_xlfn.UNICHAR(160)," ")),TRIM(SUBSTITUTE('worker file'!$A$2:$A$406,_xlfn.UNICHAR(160)," ")),'worker file'!$L$2:$L$406,"")="US Biweekly",$I$3,$I$2))</f>
        <v>46298</v>
      </c>
      <c r="E90" s="5" t="s">
        <v>571</v>
      </c>
      <c r="F90" s="5" t="s">
        <v>554</v>
      </c>
    </row>
    <row r="91" customFormat="false" ht="15" hidden="false" customHeight="false" outlineLevel="0" collapsed="false">
      <c r="A91" s="5" t="s">
        <v>169</v>
      </c>
      <c r="B91" s="5" t="s">
        <v>584</v>
      </c>
      <c r="C91" s="28" t="n">
        <v>21.5</v>
      </c>
      <c r="D91" s="25" t="n">
        <f aca="false" t="array" ref="D91:D91">IF(F91="n/a","—",IF(_xlfn.XLOOKUP(TRIM(SUBSTITUTE(A91,_xlfn.UNICHAR(160)," ")),TRIM(SUBSTITUTE('worker file'!$A$2:$A$406,_xlfn.UNICHAR(160)," ")),'worker file'!$L$2:$L$406,"")="US Biweekly",$I$3,$I$2))</f>
        <v>46295</v>
      </c>
      <c r="E91" s="5" t="s">
        <v>585</v>
      </c>
      <c r="F91" s="5" t="s">
        <v>559</v>
      </c>
    </row>
    <row r="92" customFormat="false" ht="15" hidden="false" customHeight="false" outlineLevel="0" collapsed="false">
      <c r="A92" s="5" t="s">
        <v>169</v>
      </c>
      <c r="B92" s="5" t="s">
        <v>586</v>
      </c>
      <c r="C92" s="28" t="n">
        <v>1</v>
      </c>
      <c r="D92" s="25" t="n">
        <f aca="false" t="array" ref="D92:D92">IF(F92="n/a","—",IF(_xlfn.XLOOKUP(TRIM(SUBSTITUTE(A92,_xlfn.UNICHAR(160)," ")),TRIM(SUBSTITUTE('worker file'!$A$2:$A$406,_xlfn.UNICHAR(160)," ")),'worker file'!$L$2:$L$406,"")="US Biweekly",$I$3,$I$2))</f>
        <v>46295</v>
      </c>
      <c r="E92" s="5" t="s">
        <v>587</v>
      </c>
      <c r="F92" s="5" t="s">
        <v>559</v>
      </c>
    </row>
    <row r="93" customFormat="false" ht="15" hidden="false" customHeight="false" outlineLevel="0" collapsed="false">
      <c r="A93" s="5" t="s">
        <v>170</v>
      </c>
      <c r="B93" s="5" t="s">
        <v>568</v>
      </c>
      <c r="C93" s="24" t="s">
        <v>569</v>
      </c>
      <c r="D93" s="25" t="str">
        <f aca="false" t="array" ref="D93:D93">IF(F93="n/a","—",IF(_xlfn.XLOOKUP(TRIM(SUBSTITUTE(A93,_xlfn.UNICHAR(160)," ")),TRIM(SUBSTITUTE('worker file'!$A$2:$A$406,_xlfn.UNICHAR(160)," ")),'worker file'!$L$2:$L$406,"")="US Biweekly",$I$3,$I$2))</f>
        <v>—</v>
      </c>
      <c r="E93" s="5" t="s">
        <v>570</v>
      </c>
      <c r="F93" s="5" t="s">
        <v>550</v>
      </c>
    </row>
    <row r="94" customFormat="false" ht="15" hidden="false" customHeight="false" outlineLevel="0" collapsed="false">
      <c r="A94" s="5" t="s">
        <v>171</v>
      </c>
      <c r="B94" s="5" t="s">
        <v>584</v>
      </c>
      <c r="C94" s="28" t="n">
        <v>14</v>
      </c>
      <c r="D94" s="25" t="n">
        <f aca="false" t="array" ref="D94:D94">IF(F94="n/a","—",IF(_xlfn.XLOOKUP(TRIM(SUBSTITUTE(A94,_xlfn.UNICHAR(160)," ")),TRIM(SUBSTITUTE('worker file'!$A$2:$A$406,_xlfn.UNICHAR(160)," ")),'worker file'!$L$2:$L$406,"")="US Biweekly",$I$3,$I$2))</f>
        <v>46295</v>
      </c>
      <c r="E94" s="5" t="s">
        <v>585</v>
      </c>
      <c r="F94" s="5" t="s">
        <v>559</v>
      </c>
    </row>
    <row r="95" customFormat="false" ht="15" hidden="false" customHeight="false" outlineLevel="0" collapsed="false">
      <c r="A95" s="5" t="s">
        <v>171</v>
      </c>
      <c r="B95" s="5" t="s">
        <v>586</v>
      </c>
      <c r="C95" s="28" t="n">
        <v>7</v>
      </c>
      <c r="D95" s="25" t="n">
        <f aca="false" t="array" ref="D95:D95">IF(F95="n/a","—",IF(_xlfn.XLOOKUP(TRIM(SUBSTITUTE(A95,_xlfn.UNICHAR(160)," ")),TRIM(SUBSTITUTE('worker file'!$A$2:$A$406,_xlfn.UNICHAR(160)," ")),'worker file'!$L$2:$L$406,"")="US Biweekly",$I$3,$I$2))</f>
        <v>46295</v>
      </c>
      <c r="E95" s="5" t="s">
        <v>587</v>
      </c>
      <c r="F95" s="5" t="s">
        <v>559</v>
      </c>
    </row>
    <row r="96" customFormat="false" ht="15" hidden="false" customHeight="false" outlineLevel="0" collapsed="false">
      <c r="A96" s="5" t="s">
        <v>172</v>
      </c>
      <c r="B96" s="5" t="s">
        <v>568</v>
      </c>
      <c r="C96" s="24" t="s">
        <v>569</v>
      </c>
      <c r="D96" s="25" t="str">
        <f aca="false" t="array" ref="D96:D96">IF(F96="n/a","—",IF(_xlfn.XLOOKUP(TRIM(SUBSTITUTE(A96,_xlfn.UNICHAR(160)," ")),TRIM(SUBSTITUTE('worker file'!$A$2:$A$406,_xlfn.UNICHAR(160)," ")),'worker file'!$L$2:$L$406,"")="US Biweekly",$I$3,$I$2))</f>
        <v>—</v>
      </c>
      <c r="E96" s="5" t="s">
        <v>570</v>
      </c>
      <c r="F96" s="5" t="s">
        <v>550</v>
      </c>
    </row>
    <row r="97" customFormat="false" ht="15" hidden="false" customHeight="false" outlineLevel="0" collapsed="false">
      <c r="A97" s="5" t="s">
        <v>172</v>
      </c>
      <c r="B97" s="5" t="s">
        <v>566</v>
      </c>
      <c r="C97" s="27" t="n">
        <v>55.25</v>
      </c>
      <c r="D97" s="25" t="n">
        <f aca="false" t="array" ref="D97:D97">IF(F97="n/a","—",IF(_xlfn.XLOOKUP(TRIM(SUBSTITUTE(A97,_xlfn.UNICHAR(160)," ")),TRIM(SUBSTITUTE('worker file'!$A$2:$A$406,_xlfn.UNICHAR(160)," ")),'worker file'!$L$2:$L$406,"")="US Biweekly",$I$3,$I$2))</f>
        <v>46295</v>
      </c>
      <c r="E97" s="5" t="s">
        <v>571</v>
      </c>
      <c r="F97" s="5" t="s">
        <v>554</v>
      </c>
    </row>
    <row r="98" customFormat="false" ht="15" hidden="false" customHeight="false" outlineLevel="0" collapsed="false">
      <c r="A98" s="5" t="s">
        <v>173</v>
      </c>
      <c r="B98" s="5" t="s">
        <v>568</v>
      </c>
      <c r="C98" s="24" t="s">
        <v>569</v>
      </c>
      <c r="D98" s="25" t="str">
        <f aca="false" t="array" ref="D98:D98">IF(F98="n/a","—",IF(_xlfn.XLOOKUP(TRIM(SUBSTITUTE(A98,_xlfn.UNICHAR(160)," ")),TRIM(SUBSTITUTE('worker file'!$A$2:$A$406,_xlfn.UNICHAR(160)," ")),'worker file'!$L$2:$L$406,"")="US Biweekly",$I$3,$I$2))</f>
        <v>—</v>
      </c>
      <c r="E98" s="5" t="s">
        <v>570</v>
      </c>
      <c r="F98" s="5" t="s">
        <v>550</v>
      </c>
    </row>
    <row r="99" customFormat="false" ht="15" hidden="false" customHeight="false" outlineLevel="0" collapsed="false">
      <c r="A99" s="5" t="s">
        <v>173</v>
      </c>
      <c r="B99" s="5" t="s">
        <v>566</v>
      </c>
      <c r="C99" s="27" t="n">
        <v>64.75</v>
      </c>
      <c r="D99" s="25" t="n">
        <f aca="false" t="array" ref="D99:D99">IF(F99="n/a","—",IF(_xlfn.XLOOKUP(TRIM(SUBSTITUTE(A99,_xlfn.UNICHAR(160)," ")),TRIM(SUBSTITUTE('worker file'!$A$2:$A$406,_xlfn.UNICHAR(160)," ")),'worker file'!$L$2:$L$406,"")="US Biweekly",$I$3,$I$2))</f>
        <v>46295</v>
      </c>
      <c r="E99" s="5" t="s">
        <v>571</v>
      </c>
      <c r="F99" s="5" t="s">
        <v>554</v>
      </c>
    </row>
    <row r="100" customFormat="false" ht="15" hidden="false" customHeight="false" outlineLevel="0" collapsed="false">
      <c r="A100" s="5" t="s">
        <v>174</v>
      </c>
      <c r="B100" s="5" t="s">
        <v>568</v>
      </c>
      <c r="C100" s="24" t="s">
        <v>569</v>
      </c>
      <c r="D100" s="25" t="str">
        <f aca="false" t="array" ref="D100:D100">IF(F100="n/a","—",IF(_xlfn.XLOOKUP(TRIM(SUBSTITUTE(A100,_xlfn.UNICHAR(160)," ")),TRIM(SUBSTITUTE('worker file'!$A$2:$A$406,_xlfn.UNICHAR(160)," ")),'worker file'!$L$2:$L$406,"")="US Biweekly",$I$3,$I$2))</f>
        <v>—</v>
      </c>
      <c r="E100" s="5" t="s">
        <v>570</v>
      </c>
      <c r="F100" s="5" t="s">
        <v>550</v>
      </c>
    </row>
    <row r="101" customFormat="false" ht="15" hidden="false" customHeight="false" outlineLevel="0" collapsed="false">
      <c r="A101" s="5" t="s">
        <v>174</v>
      </c>
      <c r="B101" s="5" t="s">
        <v>566</v>
      </c>
      <c r="C101" s="27" t="n">
        <v>48</v>
      </c>
      <c r="D101" s="25" t="n">
        <f aca="false" t="array" ref="D101:D101">IF(F101="n/a","—",IF(_xlfn.XLOOKUP(TRIM(SUBSTITUTE(A101,_xlfn.UNICHAR(160)," ")),TRIM(SUBSTITUTE('worker file'!$A$2:$A$406,_xlfn.UNICHAR(160)," ")),'worker file'!$L$2:$L$406,"")="US Biweekly",$I$3,$I$2))</f>
        <v>46295</v>
      </c>
      <c r="E101" s="5" t="s">
        <v>571</v>
      </c>
      <c r="F101" s="5" t="s">
        <v>554</v>
      </c>
    </row>
    <row r="102" customFormat="false" ht="15" hidden="false" customHeight="false" outlineLevel="0" collapsed="false">
      <c r="A102" s="5" t="s">
        <v>175</v>
      </c>
      <c r="B102" s="5" t="s">
        <v>568</v>
      </c>
      <c r="C102" s="24" t="s">
        <v>569</v>
      </c>
      <c r="D102" s="25" t="str">
        <f aca="false" t="array" ref="D102:D102">IF(F102="n/a","—",IF(_xlfn.XLOOKUP(TRIM(SUBSTITUTE(A102,_xlfn.UNICHAR(160)," ")),TRIM(SUBSTITUTE('worker file'!$A$2:$A$406,_xlfn.UNICHAR(160)," ")),'worker file'!$L$2:$L$406,"")="US Biweekly",$I$3,$I$2))</f>
        <v>—</v>
      </c>
      <c r="E102" s="5" t="s">
        <v>570</v>
      </c>
      <c r="F102" s="5" t="s">
        <v>550</v>
      </c>
    </row>
    <row r="103" customFormat="false" ht="15" hidden="false" customHeight="false" outlineLevel="0" collapsed="false">
      <c r="A103" s="5" t="s">
        <v>175</v>
      </c>
      <c r="B103" s="5" t="s">
        <v>566</v>
      </c>
      <c r="C103" s="27" t="n">
        <v>73.5</v>
      </c>
      <c r="D103" s="25" t="n">
        <f aca="false" t="array" ref="D103:D103">IF(F103="n/a","—",IF(_xlfn.XLOOKUP(TRIM(SUBSTITUTE(A103,_xlfn.UNICHAR(160)," ")),TRIM(SUBSTITUTE('worker file'!$A$2:$A$406,_xlfn.UNICHAR(160)," ")),'worker file'!$L$2:$L$406,"")="US Biweekly",$I$3,$I$2))</f>
        <v>46295</v>
      </c>
      <c r="E103" s="5" t="s">
        <v>571</v>
      </c>
      <c r="F103" s="5" t="s">
        <v>554</v>
      </c>
    </row>
    <row r="104" customFormat="false" ht="15" hidden="false" customHeight="false" outlineLevel="0" collapsed="false">
      <c r="A104" s="5" t="s">
        <v>177</v>
      </c>
      <c r="B104" s="5" t="s">
        <v>573</v>
      </c>
      <c r="C104" s="27" t="n">
        <v>39.5</v>
      </c>
      <c r="D104" s="25" t="n">
        <f aca="false" t="array" ref="D104:D104">IF(F104="n/a","—",IF(_xlfn.XLOOKUP(TRIM(SUBSTITUTE(A104,_xlfn.UNICHAR(160)," ")),TRIM(SUBSTITUTE('worker file'!$A$2:$A$406,_xlfn.UNICHAR(160)," ")),'worker file'!$L$2:$L$406,"")="US Biweekly",$I$3,$I$2))</f>
        <v>46298</v>
      </c>
      <c r="E104" s="5" t="s">
        <v>581</v>
      </c>
      <c r="F104" s="5" t="s">
        <v>554</v>
      </c>
    </row>
    <row r="105" customFormat="false" ht="15" hidden="false" customHeight="false" outlineLevel="0" collapsed="false">
      <c r="A105" s="5" t="s">
        <v>177</v>
      </c>
      <c r="B105" s="5" t="s">
        <v>566</v>
      </c>
      <c r="C105" s="27" t="n">
        <v>65.5</v>
      </c>
      <c r="D105" s="25" t="n">
        <f aca="false" t="array" ref="D105:D105">IF(F105="n/a","—",IF(_xlfn.XLOOKUP(TRIM(SUBSTITUTE(A105,_xlfn.UNICHAR(160)," ")),TRIM(SUBSTITUTE('worker file'!$A$2:$A$406,_xlfn.UNICHAR(160)," ")),'worker file'!$L$2:$L$406,"")="US Biweekly",$I$3,$I$2))</f>
        <v>46298</v>
      </c>
      <c r="E105" s="5" t="s">
        <v>571</v>
      </c>
      <c r="F105" s="5" t="s">
        <v>554</v>
      </c>
    </row>
    <row r="106" customFormat="false" ht="15" hidden="false" customHeight="false" outlineLevel="0" collapsed="false">
      <c r="A106" s="5" t="s">
        <v>178</v>
      </c>
      <c r="B106" s="5" t="s">
        <v>568</v>
      </c>
      <c r="C106" s="24" t="s">
        <v>569</v>
      </c>
      <c r="D106" s="25" t="str">
        <f aca="false" t="array" ref="D106:D106">IF(F106="n/a","—",IF(_xlfn.XLOOKUP(TRIM(SUBSTITUTE(A106,_xlfn.UNICHAR(160)," ")),TRIM(SUBSTITUTE('worker file'!$A$2:$A$406,_xlfn.UNICHAR(160)," ")),'worker file'!$L$2:$L$406,"")="US Biweekly",$I$3,$I$2))</f>
        <v>—</v>
      </c>
      <c r="E106" s="5" t="s">
        <v>570</v>
      </c>
      <c r="F106" s="5" t="s">
        <v>550</v>
      </c>
    </row>
    <row r="107" customFormat="false" ht="15" hidden="false" customHeight="false" outlineLevel="0" collapsed="false">
      <c r="A107" s="5" t="s">
        <v>179</v>
      </c>
      <c r="B107" s="5" t="s">
        <v>588</v>
      </c>
      <c r="C107" s="28" t="n">
        <v>10</v>
      </c>
      <c r="D107" s="25" t="n">
        <f aca="false" t="array" ref="D107:D107">IF(F107="n/a","—",IF(_xlfn.XLOOKUP(TRIM(SUBSTITUTE(A107,_xlfn.UNICHAR(160)," ")),TRIM(SUBSTITUTE('worker file'!$A$2:$A$406,_xlfn.UNICHAR(160)," ")),'worker file'!$L$2:$L$406,"")="US Biweekly",$I$3,$I$2))</f>
        <v>46295</v>
      </c>
      <c r="E107" s="5" t="s">
        <v>589</v>
      </c>
      <c r="F107" s="5" t="s">
        <v>559</v>
      </c>
    </row>
    <row r="108" customFormat="false" ht="15" hidden="false" customHeight="false" outlineLevel="0" collapsed="false">
      <c r="A108" s="5" t="s">
        <v>181</v>
      </c>
      <c r="B108" s="5" t="s">
        <v>568</v>
      </c>
      <c r="C108" s="24" t="s">
        <v>569</v>
      </c>
      <c r="D108" s="25" t="str">
        <f aca="false" t="array" ref="D108:D108">IF(F108="n/a","—",IF(_xlfn.XLOOKUP(TRIM(SUBSTITUTE(A108,_xlfn.UNICHAR(160)," ")),TRIM(SUBSTITUTE('worker file'!$A$2:$A$406,_xlfn.UNICHAR(160)," ")),'worker file'!$L$2:$L$406,"")="US Biweekly",$I$3,$I$2))</f>
        <v>—</v>
      </c>
      <c r="E108" s="5" t="s">
        <v>570</v>
      </c>
      <c r="F108" s="5" t="s">
        <v>550</v>
      </c>
    </row>
    <row r="109" customFormat="false" ht="15" hidden="false" customHeight="false" outlineLevel="0" collapsed="false">
      <c r="A109" s="5" t="s">
        <v>181</v>
      </c>
      <c r="B109" s="5" t="s">
        <v>577</v>
      </c>
      <c r="C109" s="27" t="n">
        <v>28</v>
      </c>
      <c r="D109" s="25" t="n">
        <f aca="false" t="array" ref="D109:D109">IF(F109="n/a","—",IF(_xlfn.XLOOKUP(TRIM(SUBSTITUTE(A109,_xlfn.UNICHAR(160)," ")),TRIM(SUBSTITUTE('worker file'!$A$2:$A$406,_xlfn.UNICHAR(160)," ")),'worker file'!$L$2:$L$406,"")="US Biweekly",$I$3,$I$2))</f>
        <v>46295</v>
      </c>
      <c r="E109" s="5" t="s">
        <v>578</v>
      </c>
      <c r="F109" s="5" t="s">
        <v>554</v>
      </c>
    </row>
    <row r="110" customFormat="false" ht="15" hidden="false" customHeight="false" outlineLevel="0" collapsed="false">
      <c r="A110" s="5" t="s">
        <v>182</v>
      </c>
      <c r="B110" s="5" t="s">
        <v>568</v>
      </c>
      <c r="C110" s="24" t="s">
        <v>569</v>
      </c>
      <c r="D110" s="25" t="str">
        <f aca="false" t="array" ref="D110:D110">IF(F110="n/a","—",IF(_xlfn.XLOOKUP(TRIM(SUBSTITUTE(A110,_xlfn.UNICHAR(160)," ")),TRIM(SUBSTITUTE('worker file'!$A$2:$A$406,_xlfn.UNICHAR(160)," ")),'worker file'!$L$2:$L$406,"")="US Biweekly",$I$3,$I$2))</f>
        <v>—</v>
      </c>
      <c r="E110" s="5" t="s">
        <v>570</v>
      </c>
      <c r="F110" s="5" t="s">
        <v>550</v>
      </c>
    </row>
    <row r="111" customFormat="false" ht="15" hidden="false" customHeight="false" outlineLevel="0" collapsed="false">
      <c r="A111" s="5" t="s">
        <v>183</v>
      </c>
      <c r="B111" s="5" t="s">
        <v>568</v>
      </c>
      <c r="C111" s="24" t="s">
        <v>569</v>
      </c>
      <c r="D111" s="25" t="str">
        <f aca="false" t="array" ref="D111:D111">IF(F111="n/a","—",IF(_xlfn.XLOOKUP(TRIM(SUBSTITUTE(A111,_xlfn.UNICHAR(160)," ")),TRIM(SUBSTITUTE('worker file'!$A$2:$A$406,_xlfn.UNICHAR(160)," ")),'worker file'!$L$2:$L$406,"")="US Biweekly",$I$3,$I$2))</f>
        <v>—</v>
      </c>
      <c r="E111" s="5" t="s">
        <v>570</v>
      </c>
      <c r="F111" s="5" t="s">
        <v>550</v>
      </c>
    </row>
    <row r="112" customFormat="false" ht="15" hidden="false" customHeight="false" outlineLevel="0" collapsed="false">
      <c r="A112" s="5" t="s">
        <v>183</v>
      </c>
      <c r="B112" s="5" t="s">
        <v>566</v>
      </c>
      <c r="C112" s="27" t="n">
        <v>59.5</v>
      </c>
      <c r="D112" s="25" t="n">
        <f aca="false" t="array" ref="D112:D112">IF(F112="n/a","—",IF(_xlfn.XLOOKUP(TRIM(SUBSTITUTE(A112,_xlfn.UNICHAR(160)," ")),TRIM(SUBSTITUTE('worker file'!$A$2:$A$406,_xlfn.UNICHAR(160)," ")),'worker file'!$L$2:$L$406,"")="US Biweekly",$I$3,$I$2))</f>
        <v>46295</v>
      </c>
      <c r="E112" s="5" t="s">
        <v>571</v>
      </c>
      <c r="F112" s="5" t="s">
        <v>554</v>
      </c>
    </row>
    <row r="113" customFormat="false" ht="15" hidden="false" customHeight="false" outlineLevel="0" collapsed="false">
      <c r="A113" s="5" t="s">
        <v>184</v>
      </c>
      <c r="B113" s="5" t="s">
        <v>568</v>
      </c>
      <c r="C113" s="24" t="s">
        <v>569</v>
      </c>
      <c r="D113" s="25" t="str">
        <f aca="false" t="array" ref="D113:D113">IF(F113="n/a","—",IF(_xlfn.XLOOKUP(TRIM(SUBSTITUTE(A113,_xlfn.UNICHAR(160)," ")),TRIM(SUBSTITUTE('worker file'!$A$2:$A$406,_xlfn.UNICHAR(160)," ")),'worker file'!$L$2:$L$406,"")="US Biweekly",$I$3,$I$2))</f>
        <v>—</v>
      </c>
      <c r="E113" s="5" t="s">
        <v>570</v>
      </c>
      <c r="F113" s="5" t="s">
        <v>550</v>
      </c>
    </row>
    <row r="114" customFormat="false" ht="15" hidden="false" customHeight="false" outlineLevel="0" collapsed="false">
      <c r="A114" s="5" t="s">
        <v>186</v>
      </c>
      <c r="B114" s="5" t="s">
        <v>568</v>
      </c>
      <c r="C114" s="24" t="s">
        <v>569</v>
      </c>
      <c r="D114" s="25" t="str">
        <f aca="false" t="array" ref="D114:D114">IF(F114="n/a","—",IF(_xlfn.XLOOKUP(TRIM(SUBSTITUTE(A114,_xlfn.UNICHAR(160)," ")),TRIM(SUBSTITUTE('worker file'!$A$2:$A$406,_xlfn.UNICHAR(160)," ")),'worker file'!$L$2:$L$406,"")="US Biweekly",$I$3,$I$2))</f>
        <v>—</v>
      </c>
      <c r="E114" s="5" t="s">
        <v>570</v>
      </c>
      <c r="F114" s="5" t="s">
        <v>550</v>
      </c>
    </row>
    <row r="115" customFormat="false" ht="15" hidden="false" customHeight="false" outlineLevel="0" collapsed="false">
      <c r="A115" s="5" t="s">
        <v>186</v>
      </c>
      <c r="B115" s="5" t="s">
        <v>566</v>
      </c>
      <c r="C115" s="27" t="n">
        <v>30.25</v>
      </c>
      <c r="D115" s="25" t="n">
        <f aca="false" t="array" ref="D115:D115">IF(F115="n/a","—",IF(_xlfn.XLOOKUP(TRIM(SUBSTITUTE(A115,_xlfn.UNICHAR(160)," ")),TRIM(SUBSTITUTE('worker file'!$A$2:$A$406,_xlfn.UNICHAR(160)," ")),'worker file'!$L$2:$L$406,"")="US Biweekly",$I$3,$I$2))</f>
        <v>46295</v>
      </c>
      <c r="E115" s="5" t="s">
        <v>571</v>
      </c>
      <c r="F115" s="5" t="s">
        <v>554</v>
      </c>
    </row>
    <row r="116" customFormat="false" ht="15" hidden="false" customHeight="false" outlineLevel="0" collapsed="false">
      <c r="A116" s="5" t="s">
        <v>187</v>
      </c>
      <c r="B116" s="5" t="s">
        <v>568</v>
      </c>
      <c r="C116" s="24" t="s">
        <v>569</v>
      </c>
      <c r="D116" s="25" t="str">
        <f aca="false" t="array" ref="D116:D116">IF(F116="n/a","—",IF(_xlfn.XLOOKUP(TRIM(SUBSTITUTE(A116,_xlfn.UNICHAR(160)," ")),TRIM(SUBSTITUTE('worker file'!$A$2:$A$406,_xlfn.UNICHAR(160)," ")),'worker file'!$L$2:$L$406,"")="US Biweekly",$I$3,$I$2))</f>
        <v>—</v>
      </c>
      <c r="E116" s="5" t="s">
        <v>570</v>
      </c>
      <c r="F116" s="5" t="s">
        <v>550</v>
      </c>
    </row>
    <row r="117" customFormat="false" ht="15" hidden="false" customHeight="false" outlineLevel="0" collapsed="false">
      <c r="A117" s="5" t="s">
        <v>188</v>
      </c>
      <c r="B117" s="5" t="s">
        <v>568</v>
      </c>
      <c r="C117" s="24" t="s">
        <v>569</v>
      </c>
      <c r="D117" s="25" t="str">
        <f aca="false" t="array" ref="D117:D117">IF(F117="n/a","—",IF(_xlfn.XLOOKUP(TRIM(SUBSTITUTE(A117,_xlfn.UNICHAR(160)," ")),TRIM(SUBSTITUTE('worker file'!$A$2:$A$406,_xlfn.UNICHAR(160)," ")),'worker file'!$L$2:$L$406,"")="US Biweekly",$I$3,$I$2))</f>
        <v>—</v>
      </c>
      <c r="E117" s="5" t="s">
        <v>570</v>
      </c>
      <c r="F117" s="5" t="s">
        <v>550</v>
      </c>
    </row>
    <row r="118" customFormat="false" ht="15" hidden="false" customHeight="false" outlineLevel="0" collapsed="false">
      <c r="A118" s="5" t="s">
        <v>188</v>
      </c>
      <c r="B118" s="5" t="s">
        <v>590</v>
      </c>
      <c r="C118" s="27" t="n">
        <v>20.75</v>
      </c>
      <c r="D118" s="25" t="n">
        <f aca="false" t="array" ref="D118:D118">IF(F118="n/a","—",IF(_xlfn.XLOOKUP(TRIM(SUBSTITUTE(A118,_xlfn.UNICHAR(160)," ")),TRIM(SUBSTITUTE('worker file'!$A$2:$A$406,_xlfn.UNICHAR(160)," ")),'worker file'!$L$2:$L$406,"")="US Biweekly",$I$3,$I$2))</f>
        <v>46295</v>
      </c>
      <c r="E118" s="5" t="s">
        <v>591</v>
      </c>
      <c r="F118" s="5" t="s">
        <v>554</v>
      </c>
    </row>
    <row r="119" customFormat="false" ht="15" hidden="false" customHeight="false" outlineLevel="0" collapsed="false">
      <c r="A119" s="5" t="s">
        <v>190</v>
      </c>
      <c r="B119" s="5" t="s">
        <v>568</v>
      </c>
      <c r="C119" s="24" t="s">
        <v>569</v>
      </c>
      <c r="D119" s="25" t="str">
        <f aca="false" t="array" ref="D119:D119">IF(F119="n/a","—",IF(_xlfn.XLOOKUP(TRIM(SUBSTITUTE(A119,_xlfn.UNICHAR(160)," ")),TRIM(SUBSTITUTE('worker file'!$A$2:$A$406,_xlfn.UNICHAR(160)," ")),'worker file'!$L$2:$L$406,"")="US Biweekly",$I$3,$I$2))</f>
        <v>—</v>
      </c>
      <c r="E119" s="5" t="s">
        <v>570</v>
      </c>
      <c r="F119" s="5" t="s">
        <v>550</v>
      </c>
    </row>
    <row r="120" customFormat="false" ht="15" hidden="false" customHeight="false" outlineLevel="0" collapsed="false">
      <c r="A120" s="5" t="s">
        <v>191</v>
      </c>
      <c r="B120" s="5" t="s">
        <v>588</v>
      </c>
      <c r="C120" s="28" t="n">
        <v>10.5</v>
      </c>
      <c r="D120" s="25" t="n">
        <f aca="false" t="array" ref="D120:D120">IF(F120="n/a","—",IF(_xlfn.XLOOKUP(TRIM(SUBSTITUTE(A120,_xlfn.UNICHAR(160)," ")),TRIM(SUBSTITUTE('worker file'!$A$2:$A$406,_xlfn.UNICHAR(160)," ")),'worker file'!$L$2:$L$406,"")="US Biweekly",$I$3,$I$2))</f>
        <v>46295</v>
      </c>
      <c r="E120" s="5" t="s">
        <v>589</v>
      </c>
      <c r="F120" s="5" t="s">
        <v>559</v>
      </c>
    </row>
    <row r="121" customFormat="false" ht="15" hidden="false" customHeight="false" outlineLevel="0" collapsed="false">
      <c r="A121" s="5" t="s">
        <v>192</v>
      </c>
      <c r="B121" s="5" t="s">
        <v>568</v>
      </c>
      <c r="C121" s="24" t="s">
        <v>569</v>
      </c>
      <c r="D121" s="25" t="str">
        <f aca="false" t="array" ref="D121:D121">IF(F121="n/a","—",IF(_xlfn.XLOOKUP(TRIM(SUBSTITUTE(A121,_xlfn.UNICHAR(160)," ")),TRIM(SUBSTITUTE('worker file'!$A$2:$A$406,_xlfn.UNICHAR(160)," ")),'worker file'!$L$2:$L$406,"")="US Biweekly",$I$3,$I$2))</f>
        <v>—</v>
      </c>
      <c r="E121" s="5" t="s">
        <v>570</v>
      </c>
      <c r="F121" s="5" t="s">
        <v>550</v>
      </c>
    </row>
    <row r="122" customFormat="false" ht="15" hidden="false" customHeight="false" outlineLevel="0" collapsed="false">
      <c r="A122" s="5" t="s">
        <v>193</v>
      </c>
      <c r="B122" s="5" t="s">
        <v>588</v>
      </c>
      <c r="C122" s="28" t="n">
        <v>2</v>
      </c>
      <c r="D122" s="25" t="n">
        <f aca="false" t="array" ref="D122:D122">IF(F122="n/a","—",IF(_xlfn.XLOOKUP(TRIM(SUBSTITUTE(A122,_xlfn.UNICHAR(160)," ")),TRIM(SUBSTITUTE('worker file'!$A$2:$A$406,_xlfn.UNICHAR(160)," ")),'worker file'!$L$2:$L$406,"")="US Biweekly",$I$3,$I$2))</f>
        <v>46295</v>
      </c>
      <c r="E122" s="5" t="s">
        <v>589</v>
      </c>
      <c r="F122" s="5" t="s">
        <v>559</v>
      </c>
    </row>
    <row r="123" customFormat="false" ht="15" hidden="false" customHeight="false" outlineLevel="0" collapsed="false">
      <c r="A123" s="5" t="s">
        <v>194</v>
      </c>
      <c r="B123" s="5" t="s">
        <v>573</v>
      </c>
      <c r="C123" s="27" t="n">
        <v>80.25</v>
      </c>
      <c r="D123" s="25" t="n">
        <f aca="false" t="array" ref="D123:D123">IF(F123="n/a","—",IF(_xlfn.XLOOKUP(TRIM(SUBSTITUTE(A123,_xlfn.UNICHAR(160)," ")),TRIM(SUBSTITUTE('worker file'!$A$2:$A$406,_xlfn.UNICHAR(160)," ")),'worker file'!$L$2:$L$406,"")="US Biweekly",$I$3,$I$2))</f>
        <v>46298</v>
      </c>
      <c r="E123" s="5" t="s">
        <v>574</v>
      </c>
      <c r="F123" s="5" t="s">
        <v>554</v>
      </c>
    </row>
    <row r="124" customFormat="false" ht="15" hidden="false" customHeight="false" outlineLevel="0" collapsed="false">
      <c r="A124" s="5" t="s">
        <v>194</v>
      </c>
      <c r="B124" s="5" t="s">
        <v>566</v>
      </c>
      <c r="C124" s="27" t="n">
        <v>38.25</v>
      </c>
      <c r="D124" s="25" t="n">
        <f aca="false" t="array" ref="D124:D124">IF(F124="n/a","—",IF(_xlfn.XLOOKUP(TRIM(SUBSTITUTE(A124,_xlfn.UNICHAR(160)," ")),TRIM(SUBSTITUTE('worker file'!$A$2:$A$406,_xlfn.UNICHAR(160)," ")),'worker file'!$L$2:$L$406,"")="US Biweekly",$I$3,$I$2))</f>
        <v>46298</v>
      </c>
      <c r="E124" s="5" t="s">
        <v>571</v>
      </c>
      <c r="F124" s="5" t="s">
        <v>554</v>
      </c>
    </row>
    <row r="125" customFormat="false" ht="15" hidden="false" customHeight="false" outlineLevel="0" collapsed="false">
      <c r="A125" s="5" t="s">
        <v>195</v>
      </c>
      <c r="B125" s="5" t="s">
        <v>568</v>
      </c>
      <c r="C125" s="24" t="s">
        <v>569</v>
      </c>
      <c r="D125" s="25" t="str">
        <f aca="false" t="array" ref="D125:D125">IF(F125="n/a","—",IF(_xlfn.XLOOKUP(TRIM(SUBSTITUTE(A125,_xlfn.UNICHAR(160)," ")),TRIM(SUBSTITUTE('worker file'!$A$2:$A$406,_xlfn.UNICHAR(160)," ")),'worker file'!$L$2:$L$406,"")="US Biweekly",$I$3,$I$2))</f>
        <v>—</v>
      </c>
      <c r="E125" s="5" t="s">
        <v>570</v>
      </c>
      <c r="F125" s="5" t="s">
        <v>550</v>
      </c>
    </row>
    <row r="126" customFormat="false" ht="15" hidden="false" customHeight="false" outlineLevel="0" collapsed="false">
      <c r="A126" s="5" t="s">
        <v>195</v>
      </c>
      <c r="B126" s="5" t="s">
        <v>566</v>
      </c>
      <c r="C126" s="27" t="n">
        <v>63.75</v>
      </c>
      <c r="D126" s="25" t="n">
        <f aca="false" t="array" ref="D126:D126">IF(F126="n/a","—",IF(_xlfn.XLOOKUP(TRIM(SUBSTITUTE(A126,_xlfn.UNICHAR(160)," ")),TRIM(SUBSTITUTE('worker file'!$A$2:$A$406,_xlfn.UNICHAR(160)," ")),'worker file'!$L$2:$L$406,"")="US Biweekly",$I$3,$I$2))</f>
        <v>46295</v>
      </c>
      <c r="E126" s="5" t="s">
        <v>571</v>
      </c>
      <c r="F126" s="5" t="s">
        <v>554</v>
      </c>
    </row>
    <row r="127" customFormat="false" ht="15" hidden="false" customHeight="false" outlineLevel="0" collapsed="false">
      <c r="A127" s="5" t="s">
        <v>196</v>
      </c>
      <c r="B127" s="5" t="s">
        <v>573</v>
      </c>
      <c r="C127" s="27" t="n">
        <v>92.25</v>
      </c>
      <c r="D127" s="25" t="n">
        <f aca="false" t="array" ref="D127:D127">IF(F127="n/a","—",IF(_xlfn.XLOOKUP(TRIM(SUBSTITUTE(A127,_xlfn.UNICHAR(160)," ")),TRIM(SUBSTITUTE('worker file'!$A$2:$A$406,_xlfn.UNICHAR(160)," ")),'worker file'!$L$2:$L$406,"")="US Biweekly",$I$3,$I$2))</f>
        <v>46298</v>
      </c>
      <c r="E127" s="5" t="s">
        <v>574</v>
      </c>
      <c r="F127" s="5" t="s">
        <v>554</v>
      </c>
    </row>
    <row r="128" customFormat="false" ht="15" hidden="false" customHeight="false" outlineLevel="0" collapsed="false">
      <c r="A128" s="5" t="s">
        <v>196</v>
      </c>
      <c r="B128" s="5" t="s">
        <v>575</v>
      </c>
      <c r="C128" s="27" t="n">
        <v>13.75</v>
      </c>
      <c r="D128" s="25" t="n">
        <f aca="false" t="array" ref="D128:D128">IF(F128="n/a","—",IF(_xlfn.XLOOKUP(TRIM(SUBSTITUTE(A128,_xlfn.UNICHAR(160)," ")),TRIM(SUBSTITUTE('worker file'!$A$2:$A$406,_xlfn.UNICHAR(160)," ")),'worker file'!$L$2:$L$406,"")="US Biweekly",$I$3,$I$2))</f>
        <v>46298</v>
      </c>
      <c r="E128" s="5" t="s">
        <v>576</v>
      </c>
      <c r="F128" s="5" t="s">
        <v>554</v>
      </c>
    </row>
    <row r="129" customFormat="false" ht="15" hidden="false" customHeight="false" outlineLevel="0" collapsed="false">
      <c r="A129" s="5" t="s">
        <v>197</v>
      </c>
      <c r="B129" s="5" t="s">
        <v>573</v>
      </c>
      <c r="C129" s="27" t="n">
        <v>73</v>
      </c>
      <c r="D129" s="25" t="n">
        <f aca="false" t="array" ref="D129:D129">IF(F129="n/a","—",IF(_xlfn.XLOOKUP(TRIM(SUBSTITUTE(A129,_xlfn.UNICHAR(160)," ")),TRIM(SUBSTITUTE('worker file'!$A$2:$A$406,_xlfn.UNICHAR(160)," ")),'worker file'!$L$2:$L$406,"")="US Biweekly",$I$3,$I$2))</f>
        <v>46298</v>
      </c>
      <c r="E129" s="5" t="s">
        <v>574</v>
      </c>
      <c r="F129" s="5" t="s">
        <v>554</v>
      </c>
    </row>
    <row r="130" customFormat="false" ht="15" hidden="false" customHeight="false" outlineLevel="0" collapsed="false">
      <c r="A130" s="5" t="s">
        <v>197</v>
      </c>
      <c r="B130" s="5" t="s">
        <v>566</v>
      </c>
      <c r="C130" s="27" t="n">
        <v>39.5</v>
      </c>
      <c r="D130" s="25" t="n">
        <f aca="false" t="array" ref="D130:D130">IF(F130="n/a","—",IF(_xlfn.XLOOKUP(TRIM(SUBSTITUTE(A130,_xlfn.UNICHAR(160)," ")),TRIM(SUBSTITUTE('worker file'!$A$2:$A$406,_xlfn.UNICHAR(160)," ")),'worker file'!$L$2:$L$406,"")="US Biweekly",$I$3,$I$2))</f>
        <v>46298</v>
      </c>
      <c r="E130" s="5" t="s">
        <v>571</v>
      </c>
      <c r="F130" s="5" t="s">
        <v>554</v>
      </c>
    </row>
    <row r="131" customFormat="false" ht="15" hidden="false" customHeight="false" outlineLevel="0" collapsed="false">
      <c r="A131" s="5" t="s">
        <v>198</v>
      </c>
      <c r="B131" s="5" t="s">
        <v>568</v>
      </c>
      <c r="C131" s="24" t="s">
        <v>569</v>
      </c>
      <c r="D131" s="25" t="str">
        <f aca="false" t="array" ref="D131:D131">IF(F131="n/a","—",IF(_xlfn.XLOOKUP(TRIM(SUBSTITUTE(A131,_xlfn.UNICHAR(160)," ")),TRIM(SUBSTITUTE('worker file'!$A$2:$A$406,_xlfn.UNICHAR(160)," ")),'worker file'!$L$2:$L$406,"")="US Biweekly",$I$3,$I$2))</f>
        <v>—</v>
      </c>
      <c r="E131" s="5" t="s">
        <v>570</v>
      </c>
      <c r="F131" s="5" t="s">
        <v>550</v>
      </c>
    </row>
    <row r="132" customFormat="false" ht="15" hidden="false" customHeight="false" outlineLevel="0" collapsed="false">
      <c r="A132" s="5" t="s">
        <v>198</v>
      </c>
      <c r="B132" s="5" t="s">
        <v>566</v>
      </c>
      <c r="C132" s="27" t="n">
        <v>33.75</v>
      </c>
      <c r="D132" s="25" t="n">
        <f aca="false" t="array" ref="D132:D132">IF(F132="n/a","—",IF(_xlfn.XLOOKUP(TRIM(SUBSTITUTE(A132,_xlfn.UNICHAR(160)," ")),TRIM(SUBSTITUTE('worker file'!$A$2:$A$406,_xlfn.UNICHAR(160)," ")),'worker file'!$L$2:$L$406,"")="US Biweekly",$I$3,$I$2))</f>
        <v>46295</v>
      </c>
      <c r="E132" s="5" t="s">
        <v>571</v>
      </c>
      <c r="F132" s="5" t="s">
        <v>554</v>
      </c>
    </row>
    <row r="133" customFormat="false" ht="15" hidden="false" customHeight="false" outlineLevel="0" collapsed="false">
      <c r="A133" s="5" t="s">
        <v>199</v>
      </c>
      <c r="B133" s="5" t="s">
        <v>568</v>
      </c>
      <c r="C133" s="24" t="s">
        <v>569</v>
      </c>
      <c r="D133" s="25" t="str">
        <f aca="false" t="array" ref="D133:D133">IF(F133="n/a","—",IF(_xlfn.XLOOKUP(TRIM(SUBSTITUTE(A133,_xlfn.UNICHAR(160)," ")),TRIM(SUBSTITUTE('worker file'!$A$2:$A$406,_xlfn.UNICHAR(160)," ")),'worker file'!$L$2:$L$406,"")="US Biweekly",$I$3,$I$2))</f>
        <v>—</v>
      </c>
      <c r="E133" s="5" t="s">
        <v>570</v>
      </c>
      <c r="F133" s="5" t="s">
        <v>550</v>
      </c>
    </row>
    <row r="134" customFormat="false" ht="15" hidden="false" customHeight="false" outlineLevel="0" collapsed="false">
      <c r="A134" s="5" t="s">
        <v>200</v>
      </c>
      <c r="B134" s="5" t="s">
        <v>568</v>
      </c>
      <c r="C134" s="24" t="s">
        <v>569</v>
      </c>
      <c r="D134" s="25" t="str">
        <f aca="false" t="array" ref="D134:D134">IF(F134="n/a","—",IF(_xlfn.XLOOKUP(TRIM(SUBSTITUTE(A134,_xlfn.UNICHAR(160)," ")),TRIM(SUBSTITUTE('worker file'!$A$2:$A$406,_xlfn.UNICHAR(160)," ")),'worker file'!$L$2:$L$406,"")="US Biweekly",$I$3,$I$2))</f>
        <v>—</v>
      </c>
      <c r="E134" s="5" t="s">
        <v>570</v>
      </c>
      <c r="F134" s="5" t="s">
        <v>550</v>
      </c>
    </row>
    <row r="135" customFormat="false" ht="15" hidden="false" customHeight="false" outlineLevel="0" collapsed="false">
      <c r="A135" s="5" t="s">
        <v>200</v>
      </c>
      <c r="B135" s="5" t="s">
        <v>566</v>
      </c>
      <c r="C135" s="27" t="n">
        <v>79</v>
      </c>
      <c r="D135" s="25" t="n">
        <f aca="false" t="array" ref="D135:D135">IF(F135="n/a","—",IF(_xlfn.XLOOKUP(TRIM(SUBSTITUTE(A135,_xlfn.UNICHAR(160)," ")),TRIM(SUBSTITUTE('worker file'!$A$2:$A$406,_xlfn.UNICHAR(160)," ")),'worker file'!$L$2:$L$406,"")="US Biweekly",$I$3,$I$2))</f>
        <v>46295</v>
      </c>
      <c r="E135" s="5" t="s">
        <v>571</v>
      </c>
      <c r="F135" s="5" t="s">
        <v>554</v>
      </c>
    </row>
    <row r="136" customFormat="false" ht="15" hidden="false" customHeight="false" outlineLevel="0" collapsed="false">
      <c r="A136" s="5" t="s">
        <v>201</v>
      </c>
      <c r="B136" s="5" t="s">
        <v>573</v>
      </c>
      <c r="C136" s="27" t="n">
        <v>67.75</v>
      </c>
      <c r="D136" s="25" t="n">
        <f aca="false" t="array" ref="D136:D136">IF(F136="n/a","—",IF(_xlfn.XLOOKUP(TRIM(SUBSTITUTE(A136,_xlfn.UNICHAR(160)," ")),TRIM(SUBSTITUTE('worker file'!$A$2:$A$406,_xlfn.UNICHAR(160)," ")),'worker file'!$L$2:$L$406,"")="US Biweekly",$I$3,$I$2))</f>
        <v>46298</v>
      </c>
      <c r="E136" s="5" t="s">
        <v>574</v>
      </c>
      <c r="F136" s="5" t="s">
        <v>554</v>
      </c>
    </row>
    <row r="137" customFormat="false" ht="15" hidden="false" customHeight="false" outlineLevel="0" collapsed="false">
      <c r="A137" s="5" t="s">
        <v>201</v>
      </c>
      <c r="B137" s="5" t="s">
        <v>566</v>
      </c>
      <c r="C137" s="27" t="n">
        <v>13.5</v>
      </c>
      <c r="D137" s="25" t="n">
        <f aca="false" t="array" ref="D137:D137">IF(F137="n/a","—",IF(_xlfn.XLOOKUP(TRIM(SUBSTITUTE(A137,_xlfn.UNICHAR(160)," ")),TRIM(SUBSTITUTE('worker file'!$A$2:$A$406,_xlfn.UNICHAR(160)," ")),'worker file'!$L$2:$L$406,"")="US Biweekly",$I$3,$I$2))</f>
        <v>46298</v>
      </c>
      <c r="E137" s="5" t="s">
        <v>571</v>
      </c>
      <c r="F137" s="5" t="s">
        <v>554</v>
      </c>
    </row>
    <row r="138" customFormat="false" ht="15" hidden="false" customHeight="false" outlineLevel="0" collapsed="false">
      <c r="A138" s="5" t="s">
        <v>202</v>
      </c>
      <c r="B138" s="5" t="s">
        <v>568</v>
      </c>
      <c r="C138" s="24" t="s">
        <v>569</v>
      </c>
      <c r="D138" s="25" t="str">
        <f aca="false" t="array" ref="D138:D138">IF(F138="n/a","—",IF(_xlfn.XLOOKUP(TRIM(SUBSTITUTE(A138,_xlfn.UNICHAR(160)," ")),TRIM(SUBSTITUTE('worker file'!$A$2:$A$406,_xlfn.UNICHAR(160)," ")),'worker file'!$L$2:$L$406,"")="US Biweekly",$I$3,$I$2))</f>
        <v>—</v>
      </c>
      <c r="E138" s="5" t="s">
        <v>570</v>
      </c>
      <c r="F138" s="5" t="s">
        <v>550</v>
      </c>
    </row>
    <row r="139" customFormat="false" ht="15" hidden="false" customHeight="false" outlineLevel="0" collapsed="false">
      <c r="A139" s="5" t="s">
        <v>203</v>
      </c>
      <c r="B139" s="5" t="s">
        <v>568</v>
      </c>
      <c r="C139" s="24" t="s">
        <v>569</v>
      </c>
      <c r="D139" s="25" t="str">
        <f aca="false" t="array" ref="D139:D139">IF(F139="n/a","—",IF(_xlfn.XLOOKUP(TRIM(SUBSTITUTE(A139,_xlfn.UNICHAR(160)," ")),TRIM(SUBSTITUTE('worker file'!$A$2:$A$406,_xlfn.UNICHAR(160)," ")),'worker file'!$L$2:$L$406,"")="US Biweekly",$I$3,$I$2))</f>
        <v>—</v>
      </c>
      <c r="E139" s="5" t="s">
        <v>570</v>
      </c>
      <c r="F139" s="5" t="s">
        <v>550</v>
      </c>
    </row>
    <row r="140" customFormat="false" ht="15" hidden="false" customHeight="false" outlineLevel="0" collapsed="false">
      <c r="A140" s="5" t="s">
        <v>204</v>
      </c>
      <c r="B140" s="5" t="s">
        <v>568</v>
      </c>
      <c r="C140" s="24" t="s">
        <v>569</v>
      </c>
      <c r="D140" s="25" t="str">
        <f aca="false" t="array" ref="D140:D140">IF(F140="n/a","—",IF(_xlfn.XLOOKUP(TRIM(SUBSTITUTE(A140,_xlfn.UNICHAR(160)," ")),TRIM(SUBSTITUTE('worker file'!$A$2:$A$406,_xlfn.UNICHAR(160)," ")),'worker file'!$L$2:$L$406,"")="US Biweekly",$I$3,$I$2))</f>
        <v>—</v>
      </c>
      <c r="E140" s="5" t="s">
        <v>570</v>
      </c>
      <c r="F140" s="5" t="s">
        <v>550</v>
      </c>
    </row>
    <row r="141" customFormat="false" ht="15" hidden="false" customHeight="false" outlineLevel="0" collapsed="false">
      <c r="A141" s="5" t="s">
        <v>204</v>
      </c>
      <c r="B141" s="5" t="s">
        <v>566</v>
      </c>
      <c r="C141" s="27" t="n">
        <v>49</v>
      </c>
      <c r="D141" s="25" t="n">
        <f aca="false" t="array" ref="D141:D141">IF(F141="n/a","—",IF(_xlfn.XLOOKUP(TRIM(SUBSTITUTE(A141,_xlfn.UNICHAR(160)," ")),TRIM(SUBSTITUTE('worker file'!$A$2:$A$406,_xlfn.UNICHAR(160)," ")),'worker file'!$L$2:$L$406,"")="US Biweekly",$I$3,$I$2))</f>
        <v>46295</v>
      </c>
      <c r="E141" s="5" t="s">
        <v>571</v>
      </c>
      <c r="F141" s="5" t="s">
        <v>554</v>
      </c>
    </row>
    <row r="142" customFormat="false" ht="15" hidden="false" customHeight="false" outlineLevel="0" collapsed="false">
      <c r="A142" s="5" t="s">
        <v>205</v>
      </c>
      <c r="B142" s="5" t="s">
        <v>568</v>
      </c>
      <c r="C142" s="24" t="s">
        <v>569</v>
      </c>
      <c r="D142" s="25" t="str">
        <f aca="false" t="array" ref="D142:D142">IF(F142="n/a","—",IF(_xlfn.XLOOKUP(TRIM(SUBSTITUTE(A142,_xlfn.UNICHAR(160)," ")),TRIM(SUBSTITUTE('worker file'!$A$2:$A$406,_xlfn.UNICHAR(160)," ")),'worker file'!$L$2:$L$406,"")="US Biweekly",$I$3,$I$2))</f>
        <v>—</v>
      </c>
      <c r="E142" s="5" t="s">
        <v>570</v>
      </c>
      <c r="F142" s="5" t="s">
        <v>550</v>
      </c>
    </row>
    <row r="143" customFormat="false" ht="15" hidden="false" customHeight="false" outlineLevel="0" collapsed="false">
      <c r="A143" s="5" t="s">
        <v>205</v>
      </c>
      <c r="B143" s="5" t="s">
        <v>566</v>
      </c>
      <c r="C143" s="27" t="n">
        <v>36</v>
      </c>
      <c r="D143" s="25" t="n">
        <f aca="false" t="array" ref="D143:D143">IF(F143="n/a","—",IF(_xlfn.XLOOKUP(TRIM(SUBSTITUTE(A143,_xlfn.UNICHAR(160)," ")),TRIM(SUBSTITUTE('worker file'!$A$2:$A$406,_xlfn.UNICHAR(160)," ")),'worker file'!$L$2:$L$406,"")="US Biweekly",$I$3,$I$2))</f>
        <v>46295</v>
      </c>
      <c r="E143" s="5" t="s">
        <v>571</v>
      </c>
      <c r="F143" s="5" t="s">
        <v>554</v>
      </c>
    </row>
    <row r="144" customFormat="false" ht="15" hidden="false" customHeight="false" outlineLevel="0" collapsed="false">
      <c r="A144" s="5" t="s">
        <v>206</v>
      </c>
      <c r="B144" s="5" t="s">
        <v>568</v>
      </c>
      <c r="C144" s="24" t="s">
        <v>569</v>
      </c>
      <c r="D144" s="25" t="str">
        <f aca="false" t="array" ref="D144:D144">IF(F144="n/a","—",IF(_xlfn.XLOOKUP(TRIM(SUBSTITUTE(A144,_xlfn.UNICHAR(160)," ")),TRIM(SUBSTITUTE('worker file'!$A$2:$A$406,_xlfn.UNICHAR(160)," ")),'worker file'!$L$2:$L$406,"")="US Biweekly",$I$3,$I$2))</f>
        <v>—</v>
      </c>
      <c r="E144" s="5" t="s">
        <v>570</v>
      </c>
      <c r="F144" s="5" t="s">
        <v>550</v>
      </c>
    </row>
    <row r="145" customFormat="false" ht="15" hidden="false" customHeight="false" outlineLevel="0" collapsed="false">
      <c r="A145" s="5" t="s">
        <v>207</v>
      </c>
      <c r="B145" s="5" t="s">
        <v>588</v>
      </c>
      <c r="C145" s="28" t="n">
        <v>2.5</v>
      </c>
      <c r="D145" s="25" t="n">
        <f aca="false" t="array" ref="D145:D145">IF(F145="n/a","—",IF(_xlfn.XLOOKUP(TRIM(SUBSTITUTE(A145,_xlfn.UNICHAR(160)," ")),TRIM(SUBSTITUTE('worker file'!$A$2:$A$406,_xlfn.UNICHAR(160)," ")),'worker file'!$L$2:$L$406,"")="US Biweekly",$I$3,$I$2))</f>
        <v>46295</v>
      </c>
      <c r="E145" s="5" t="s">
        <v>589</v>
      </c>
      <c r="F145" s="5" t="s">
        <v>559</v>
      </c>
    </row>
    <row r="146" customFormat="false" ht="15" hidden="false" customHeight="false" outlineLevel="0" collapsed="false">
      <c r="A146" s="5" t="s">
        <v>208</v>
      </c>
      <c r="B146" s="5" t="s">
        <v>568</v>
      </c>
      <c r="C146" s="24" t="s">
        <v>569</v>
      </c>
      <c r="D146" s="25" t="str">
        <f aca="false" t="array" ref="D146:D146">IF(F146="n/a","—",IF(_xlfn.XLOOKUP(TRIM(SUBSTITUTE(A146,_xlfn.UNICHAR(160)," ")),TRIM(SUBSTITUTE('worker file'!$A$2:$A$406,_xlfn.UNICHAR(160)," ")),'worker file'!$L$2:$L$406,"")="US Biweekly",$I$3,$I$2))</f>
        <v>—</v>
      </c>
      <c r="E146" s="5" t="s">
        <v>570</v>
      </c>
      <c r="F146" s="5" t="s">
        <v>550</v>
      </c>
    </row>
    <row r="147" customFormat="false" ht="15" hidden="false" customHeight="false" outlineLevel="0" collapsed="false">
      <c r="A147" s="5" t="s">
        <v>208</v>
      </c>
      <c r="B147" s="5" t="s">
        <v>566</v>
      </c>
      <c r="C147" s="27" t="n">
        <v>73.75</v>
      </c>
      <c r="D147" s="25" t="n">
        <f aca="false" t="array" ref="D147:D147">IF(F147="n/a","—",IF(_xlfn.XLOOKUP(TRIM(SUBSTITUTE(A147,_xlfn.UNICHAR(160)," ")),TRIM(SUBSTITUTE('worker file'!$A$2:$A$406,_xlfn.UNICHAR(160)," ")),'worker file'!$L$2:$L$406,"")="US Biweekly",$I$3,$I$2))</f>
        <v>46295</v>
      </c>
      <c r="E147" s="5" t="s">
        <v>571</v>
      </c>
      <c r="F147" s="5" t="s">
        <v>554</v>
      </c>
    </row>
    <row r="148" customFormat="false" ht="15" hidden="false" customHeight="false" outlineLevel="0" collapsed="false">
      <c r="A148" s="5" t="s">
        <v>209</v>
      </c>
      <c r="B148" s="5" t="s">
        <v>584</v>
      </c>
      <c r="C148" s="28" t="n">
        <v>1</v>
      </c>
      <c r="D148" s="25" t="n">
        <f aca="false" t="array" ref="D148:D148">IF(F148="n/a","—",IF(_xlfn.XLOOKUP(TRIM(SUBSTITUTE(A148,_xlfn.UNICHAR(160)," ")),TRIM(SUBSTITUTE('worker file'!$A$2:$A$406,_xlfn.UNICHAR(160)," ")),'worker file'!$L$2:$L$406,"")="US Biweekly",$I$3,$I$2))</f>
        <v>46295</v>
      </c>
      <c r="E148" s="5" t="s">
        <v>585</v>
      </c>
      <c r="F148" s="5" t="s">
        <v>559</v>
      </c>
    </row>
    <row r="149" customFormat="false" ht="15" hidden="false" customHeight="false" outlineLevel="0" collapsed="false">
      <c r="A149" s="5" t="s">
        <v>209</v>
      </c>
      <c r="B149" s="5" t="s">
        <v>586</v>
      </c>
      <c r="C149" s="28" t="n">
        <v>2</v>
      </c>
      <c r="D149" s="25" t="n">
        <f aca="false" t="array" ref="D149:D149">IF(F149="n/a","—",IF(_xlfn.XLOOKUP(TRIM(SUBSTITUTE(A149,_xlfn.UNICHAR(160)," ")),TRIM(SUBSTITUTE('worker file'!$A$2:$A$406,_xlfn.UNICHAR(160)," ")),'worker file'!$L$2:$L$406,"")="US Biweekly",$I$3,$I$2))</f>
        <v>46295</v>
      </c>
      <c r="E149" s="5" t="s">
        <v>587</v>
      </c>
      <c r="F149" s="5" t="s">
        <v>559</v>
      </c>
    </row>
    <row r="150" customFormat="false" ht="15" hidden="false" customHeight="false" outlineLevel="0" collapsed="false">
      <c r="A150" s="5" t="s">
        <v>210</v>
      </c>
      <c r="B150" s="5" t="s">
        <v>568</v>
      </c>
      <c r="C150" s="24" t="s">
        <v>569</v>
      </c>
      <c r="D150" s="25" t="str">
        <f aca="false" t="array" ref="D150:D150">IF(F150="n/a","—",IF(_xlfn.XLOOKUP(TRIM(SUBSTITUTE(A150,_xlfn.UNICHAR(160)," ")),TRIM(SUBSTITUTE('worker file'!$A$2:$A$406,_xlfn.UNICHAR(160)," ")),'worker file'!$L$2:$L$406,"")="US Biweekly",$I$3,$I$2))</f>
        <v>—</v>
      </c>
      <c r="E150" s="5" t="s">
        <v>570</v>
      </c>
      <c r="F150" s="5" t="s">
        <v>550</v>
      </c>
    </row>
    <row r="151" customFormat="false" ht="15" hidden="false" customHeight="false" outlineLevel="0" collapsed="false">
      <c r="A151" s="5" t="s">
        <v>210</v>
      </c>
      <c r="B151" s="5" t="s">
        <v>566</v>
      </c>
      <c r="C151" s="27" t="n">
        <v>73.75</v>
      </c>
      <c r="D151" s="25" t="n">
        <f aca="false" t="array" ref="D151:D151">IF(F151="n/a","—",IF(_xlfn.XLOOKUP(TRIM(SUBSTITUTE(A151,_xlfn.UNICHAR(160)," ")),TRIM(SUBSTITUTE('worker file'!$A$2:$A$406,_xlfn.UNICHAR(160)," ")),'worker file'!$L$2:$L$406,"")="US Biweekly",$I$3,$I$2))</f>
        <v>46295</v>
      </c>
      <c r="E151" s="5" t="s">
        <v>571</v>
      </c>
      <c r="F151" s="5" t="s">
        <v>554</v>
      </c>
    </row>
    <row r="152" customFormat="false" ht="15" hidden="false" customHeight="false" outlineLevel="0" collapsed="false">
      <c r="A152" s="5" t="s">
        <v>211</v>
      </c>
      <c r="B152" s="5" t="s">
        <v>573</v>
      </c>
      <c r="C152" s="27" t="n">
        <v>90.75</v>
      </c>
      <c r="D152" s="25" t="n">
        <f aca="false" t="array" ref="D152:D152">IF(F152="n/a","—",IF(_xlfn.XLOOKUP(TRIM(SUBSTITUTE(A152,_xlfn.UNICHAR(160)," ")),TRIM(SUBSTITUTE('worker file'!$A$2:$A$406,_xlfn.UNICHAR(160)," ")),'worker file'!$L$2:$L$406,"")="US Biweekly",$I$3,$I$2))</f>
        <v>46298</v>
      </c>
      <c r="E152" s="5" t="s">
        <v>574</v>
      </c>
      <c r="F152" s="5" t="s">
        <v>554</v>
      </c>
    </row>
    <row r="153" customFormat="false" ht="15" hidden="false" customHeight="false" outlineLevel="0" collapsed="false">
      <c r="A153" s="5" t="s">
        <v>211</v>
      </c>
      <c r="B153" s="5" t="s">
        <v>566</v>
      </c>
      <c r="C153" s="27" t="n">
        <v>1.75</v>
      </c>
      <c r="D153" s="25" t="n">
        <f aca="false" t="array" ref="D153:D153">IF(F153="n/a","—",IF(_xlfn.XLOOKUP(TRIM(SUBSTITUTE(A153,_xlfn.UNICHAR(160)," ")),TRIM(SUBSTITUTE('worker file'!$A$2:$A$406,_xlfn.UNICHAR(160)," ")),'worker file'!$L$2:$L$406,"")="US Biweekly",$I$3,$I$2))</f>
        <v>46298</v>
      </c>
      <c r="E153" s="5" t="s">
        <v>571</v>
      </c>
      <c r="F153" s="5" t="s">
        <v>554</v>
      </c>
    </row>
    <row r="154" customFormat="false" ht="15" hidden="false" customHeight="false" outlineLevel="0" collapsed="false">
      <c r="A154" s="5" t="s">
        <v>212</v>
      </c>
      <c r="B154" s="5" t="s">
        <v>568</v>
      </c>
      <c r="C154" s="24" t="s">
        <v>569</v>
      </c>
      <c r="D154" s="25" t="str">
        <f aca="false" t="array" ref="D154:D154">IF(F154="n/a","—",IF(_xlfn.XLOOKUP(TRIM(SUBSTITUTE(A154,_xlfn.UNICHAR(160)," ")),TRIM(SUBSTITUTE('worker file'!$A$2:$A$406,_xlfn.UNICHAR(160)," ")),'worker file'!$L$2:$L$406,"")="US Biweekly",$I$3,$I$2))</f>
        <v>—</v>
      </c>
      <c r="E154" s="5" t="s">
        <v>570</v>
      </c>
      <c r="F154" s="5" t="s">
        <v>550</v>
      </c>
    </row>
    <row r="155" customFormat="false" ht="15" hidden="false" customHeight="false" outlineLevel="0" collapsed="false">
      <c r="A155" s="5" t="s">
        <v>212</v>
      </c>
      <c r="B155" s="5" t="s">
        <v>566</v>
      </c>
      <c r="C155" s="27" t="n">
        <v>56.25</v>
      </c>
      <c r="D155" s="25" t="n">
        <f aca="false" t="array" ref="D155:D155">IF(F155="n/a","—",IF(_xlfn.XLOOKUP(TRIM(SUBSTITUTE(A155,_xlfn.UNICHAR(160)," ")),TRIM(SUBSTITUTE('worker file'!$A$2:$A$406,_xlfn.UNICHAR(160)," ")),'worker file'!$L$2:$L$406,"")="US Biweekly",$I$3,$I$2))</f>
        <v>46295</v>
      </c>
      <c r="E155" s="5" t="s">
        <v>571</v>
      </c>
      <c r="F155" s="5" t="s">
        <v>554</v>
      </c>
    </row>
    <row r="156" customFormat="false" ht="15" hidden="false" customHeight="false" outlineLevel="0" collapsed="false">
      <c r="A156" s="5" t="s">
        <v>213</v>
      </c>
      <c r="B156" s="5" t="s">
        <v>568</v>
      </c>
      <c r="C156" s="24" t="s">
        <v>569</v>
      </c>
      <c r="D156" s="25" t="str">
        <f aca="false" t="array" ref="D156:D156">IF(F156="n/a","—",IF(_xlfn.XLOOKUP(TRIM(SUBSTITUTE(A156,_xlfn.UNICHAR(160)," ")),TRIM(SUBSTITUTE('worker file'!$A$2:$A$406,_xlfn.UNICHAR(160)," ")),'worker file'!$L$2:$L$406,"")="US Biweekly",$I$3,$I$2))</f>
        <v>—</v>
      </c>
      <c r="E156" s="5" t="s">
        <v>570</v>
      </c>
      <c r="F156" s="5" t="s">
        <v>550</v>
      </c>
    </row>
    <row r="157" customFormat="false" ht="15" hidden="false" customHeight="false" outlineLevel="0" collapsed="false">
      <c r="A157" s="5" t="s">
        <v>213</v>
      </c>
      <c r="B157" s="5" t="s">
        <v>566</v>
      </c>
      <c r="C157" s="27" t="n">
        <v>51.5</v>
      </c>
      <c r="D157" s="25" t="n">
        <f aca="false" t="array" ref="D157:D157">IF(F157="n/a","—",IF(_xlfn.XLOOKUP(TRIM(SUBSTITUTE(A157,_xlfn.UNICHAR(160)," ")),TRIM(SUBSTITUTE('worker file'!$A$2:$A$406,_xlfn.UNICHAR(160)," ")),'worker file'!$L$2:$L$406,"")="US Biweekly",$I$3,$I$2))</f>
        <v>46295</v>
      </c>
      <c r="E157" s="5" t="s">
        <v>571</v>
      </c>
      <c r="F157" s="5" t="s">
        <v>554</v>
      </c>
    </row>
    <row r="158" customFormat="false" ht="15" hidden="false" customHeight="false" outlineLevel="0" collapsed="false">
      <c r="A158" s="5" t="s">
        <v>214</v>
      </c>
      <c r="B158" s="5" t="s">
        <v>584</v>
      </c>
      <c r="C158" s="28" t="n">
        <v>2</v>
      </c>
      <c r="D158" s="25" t="n">
        <f aca="false" t="array" ref="D158:D158">IF(F158="n/a","—",IF(_xlfn.XLOOKUP(TRIM(SUBSTITUTE(A158,_xlfn.UNICHAR(160)," ")),TRIM(SUBSTITUTE('worker file'!$A$2:$A$406,_xlfn.UNICHAR(160)," ")),'worker file'!$L$2:$L$406,"")="US Biweekly",$I$3,$I$2))</f>
        <v>46295</v>
      </c>
      <c r="E158" s="5" t="s">
        <v>585</v>
      </c>
      <c r="F158" s="5" t="s">
        <v>559</v>
      </c>
    </row>
    <row r="159" customFormat="false" ht="15" hidden="false" customHeight="false" outlineLevel="0" collapsed="false">
      <c r="A159" s="5" t="s">
        <v>214</v>
      </c>
      <c r="B159" s="5" t="s">
        <v>586</v>
      </c>
      <c r="C159" s="28" t="n">
        <v>7.5</v>
      </c>
      <c r="D159" s="25" t="n">
        <f aca="false" t="array" ref="D159:D159">IF(F159="n/a","—",IF(_xlfn.XLOOKUP(TRIM(SUBSTITUTE(A159,_xlfn.UNICHAR(160)," ")),TRIM(SUBSTITUTE('worker file'!$A$2:$A$406,_xlfn.UNICHAR(160)," ")),'worker file'!$L$2:$L$406,"")="US Biweekly",$I$3,$I$2))</f>
        <v>46295</v>
      </c>
      <c r="E159" s="5" t="s">
        <v>587</v>
      </c>
      <c r="F159" s="5" t="s">
        <v>559</v>
      </c>
    </row>
    <row r="160" customFormat="false" ht="15" hidden="false" customHeight="false" outlineLevel="0" collapsed="false">
      <c r="A160" s="5" t="s">
        <v>215</v>
      </c>
      <c r="B160" s="5" t="s">
        <v>568</v>
      </c>
      <c r="C160" s="24" t="s">
        <v>569</v>
      </c>
      <c r="D160" s="25" t="str">
        <f aca="false" t="array" ref="D160:D160">IF(F160="n/a","—",IF(_xlfn.XLOOKUP(TRIM(SUBSTITUTE(A160,_xlfn.UNICHAR(160)," ")),TRIM(SUBSTITUTE('worker file'!$A$2:$A$406,_xlfn.UNICHAR(160)," ")),'worker file'!$L$2:$L$406,"")="US Biweekly",$I$3,$I$2))</f>
        <v>—</v>
      </c>
      <c r="E160" s="5" t="s">
        <v>570</v>
      </c>
      <c r="F160" s="5" t="s">
        <v>550</v>
      </c>
    </row>
    <row r="161" customFormat="false" ht="15" hidden="false" customHeight="false" outlineLevel="0" collapsed="false">
      <c r="A161" s="5" t="s">
        <v>215</v>
      </c>
      <c r="B161" s="5" t="s">
        <v>590</v>
      </c>
      <c r="C161" s="27" t="n">
        <v>31</v>
      </c>
      <c r="D161" s="25" t="n">
        <f aca="false" t="array" ref="D161:D161">IF(F161="n/a","—",IF(_xlfn.XLOOKUP(TRIM(SUBSTITUTE(A161,_xlfn.UNICHAR(160)," ")),TRIM(SUBSTITUTE('worker file'!$A$2:$A$406,_xlfn.UNICHAR(160)," ")),'worker file'!$L$2:$L$406,"")="US Biweekly",$I$3,$I$2))</f>
        <v>46295</v>
      </c>
      <c r="E161" s="5" t="s">
        <v>591</v>
      </c>
      <c r="F161" s="5" t="s">
        <v>554</v>
      </c>
    </row>
    <row r="162" customFormat="false" ht="15" hidden="false" customHeight="false" outlineLevel="0" collapsed="false">
      <c r="A162" s="5" t="s">
        <v>216</v>
      </c>
      <c r="B162" s="5" t="s">
        <v>568</v>
      </c>
      <c r="C162" s="24" t="s">
        <v>569</v>
      </c>
      <c r="D162" s="25" t="str">
        <f aca="false" t="array" ref="D162:D162">IF(F162="n/a","—",IF(_xlfn.XLOOKUP(TRIM(SUBSTITUTE(A162,_xlfn.UNICHAR(160)," ")),TRIM(SUBSTITUTE('worker file'!$A$2:$A$406,_xlfn.UNICHAR(160)," ")),'worker file'!$L$2:$L$406,"")="US Biweekly",$I$3,$I$2))</f>
        <v>—</v>
      </c>
      <c r="E162" s="5" t="s">
        <v>570</v>
      </c>
      <c r="F162" s="5" t="s">
        <v>550</v>
      </c>
    </row>
    <row r="163" customFormat="false" ht="15" hidden="false" customHeight="false" outlineLevel="0" collapsed="false">
      <c r="A163" s="5" t="s">
        <v>217</v>
      </c>
      <c r="B163" s="5" t="s">
        <v>584</v>
      </c>
      <c r="C163" s="28" t="n">
        <v>0.5</v>
      </c>
      <c r="D163" s="25" t="n">
        <f aca="false" t="array" ref="D163:D163">IF(F163="n/a","—",IF(_xlfn.XLOOKUP(TRIM(SUBSTITUTE(A163,_xlfn.UNICHAR(160)," ")),TRIM(SUBSTITUTE('worker file'!$A$2:$A$406,_xlfn.UNICHAR(160)," ")),'worker file'!$L$2:$L$406,"")="US Biweekly",$I$3,$I$2))</f>
        <v>46295</v>
      </c>
      <c r="E163" s="5" t="s">
        <v>585</v>
      </c>
      <c r="F163" s="5" t="s">
        <v>559</v>
      </c>
    </row>
    <row r="164" customFormat="false" ht="15" hidden="false" customHeight="false" outlineLevel="0" collapsed="false">
      <c r="A164" s="5" t="s">
        <v>217</v>
      </c>
      <c r="B164" s="5" t="s">
        <v>586</v>
      </c>
      <c r="C164" s="28" t="n">
        <v>5</v>
      </c>
      <c r="D164" s="25" t="n">
        <f aca="false" t="array" ref="D164:D164">IF(F164="n/a","—",IF(_xlfn.XLOOKUP(TRIM(SUBSTITUTE(A164,_xlfn.UNICHAR(160)," ")),TRIM(SUBSTITUTE('worker file'!$A$2:$A$406,_xlfn.UNICHAR(160)," ")),'worker file'!$L$2:$L$406,"")="US Biweekly",$I$3,$I$2))</f>
        <v>46295</v>
      </c>
      <c r="E164" s="5" t="s">
        <v>587</v>
      </c>
      <c r="F164" s="5" t="s">
        <v>559</v>
      </c>
    </row>
    <row r="165" customFormat="false" ht="15" hidden="false" customHeight="false" outlineLevel="0" collapsed="false">
      <c r="A165" s="5" t="s">
        <v>218</v>
      </c>
      <c r="B165" s="5" t="s">
        <v>588</v>
      </c>
      <c r="C165" s="28" t="n">
        <v>9.5</v>
      </c>
      <c r="D165" s="25" t="n">
        <f aca="false" t="array" ref="D165:D165">IF(F165="n/a","—",IF(_xlfn.XLOOKUP(TRIM(SUBSTITUTE(A165,_xlfn.UNICHAR(160)," ")),TRIM(SUBSTITUTE('worker file'!$A$2:$A$406,_xlfn.UNICHAR(160)," ")),'worker file'!$L$2:$L$406,"")="US Biweekly",$I$3,$I$2))</f>
        <v>46295</v>
      </c>
      <c r="E165" s="5" t="s">
        <v>589</v>
      </c>
      <c r="F165" s="5" t="s">
        <v>559</v>
      </c>
    </row>
    <row r="166" customFormat="false" ht="15" hidden="false" customHeight="false" outlineLevel="0" collapsed="false">
      <c r="A166" s="5" t="s">
        <v>219</v>
      </c>
      <c r="B166" s="5" t="s">
        <v>573</v>
      </c>
      <c r="C166" s="27" t="n">
        <v>53.75</v>
      </c>
      <c r="D166" s="25" t="n">
        <f aca="false" t="array" ref="D166:D166">IF(F166="n/a","—",IF(_xlfn.XLOOKUP(TRIM(SUBSTITUTE(A166,_xlfn.UNICHAR(160)," ")),TRIM(SUBSTITUTE('worker file'!$A$2:$A$406,_xlfn.UNICHAR(160)," ")),'worker file'!$L$2:$L$406,"")="US Biweekly",$I$3,$I$2))</f>
        <v>46298</v>
      </c>
      <c r="E166" s="5" t="s">
        <v>574</v>
      </c>
      <c r="F166" s="5" t="s">
        <v>554</v>
      </c>
    </row>
    <row r="167" customFormat="false" ht="15" hidden="false" customHeight="false" outlineLevel="0" collapsed="false">
      <c r="A167" s="5" t="s">
        <v>219</v>
      </c>
      <c r="B167" s="5" t="s">
        <v>575</v>
      </c>
      <c r="C167" s="27" t="n">
        <v>3</v>
      </c>
      <c r="D167" s="25" t="n">
        <f aca="false" t="array" ref="D167:D167">IF(F167="n/a","—",IF(_xlfn.XLOOKUP(TRIM(SUBSTITUTE(A167,_xlfn.UNICHAR(160)," ")),TRIM(SUBSTITUTE('worker file'!$A$2:$A$406,_xlfn.UNICHAR(160)," ")),'worker file'!$L$2:$L$406,"")="US Biweekly",$I$3,$I$2))</f>
        <v>46298</v>
      </c>
      <c r="E167" s="5" t="s">
        <v>576</v>
      </c>
      <c r="F167" s="5" t="s">
        <v>554</v>
      </c>
    </row>
    <row r="168" customFormat="false" ht="15" hidden="false" customHeight="false" outlineLevel="0" collapsed="false">
      <c r="A168" s="5" t="s">
        <v>220</v>
      </c>
      <c r="B168" s="5" t="s">
        <v>568</v>
      </c>
      <c r="C168" s="24" t="s">
        <v>569</v>
      </c>
      <c r="D168" s="25" t="str">
        <f aca="false" t="array" ref="D168:D168">IF(F168="n/a","—",IF(_xlfn.XLOOKUP(TRIM(SUBSTITUTE(A168,_xlfn.UNICHAR(160)," ")),TRIM(SUBSTITUTE('worker file'!$A$2:$A$406,_xlfn.UNICHAR(160)," ")),'worker file'!$L$2:$L$406,"")="US Biweekly",$I$3,$I$2))</f>
        <v>—</v>
      </c>
      <c r="E168" s="5" t="s">
        <v>570</v>
      </c>
      <c r="F168" s="5" t="s">
        <v>550</v>
      </c>
    </row>
    <row r="169" customFormat="false" ht="15" hidden="false" customHeight="false" outlineLevel="0" collapsed="false">
      <c r="A169" s="5" t="s">
        <v>220</v>
      </c>
      <c r="B169" s="5" t="s">
        <v>566</v>
      </c>
      <c r="C169" s="27" t="n">
        <v>45.25</v>
      </c>
      <c r="D169" s="25" t="n">
        <f aca="false" t="array" ref="D169:D169">IF(F169="n/a","—",IF(_xlfn.XLOOKUP(TRIM(SUBSTITUTE(A169,_xlfn.UNICHAR(160)," ")),TRIM(SUBSTITUTE('worker file'!$A$2:$A$406,_xlfn.UNICHAR(160)," ")),'worker file'!$L$2:$L$406,"")="US Biweekly",$I$3,$I$2))</f>
        <v>46295</v>
      </c>
      <c r="E169" s="5" t="s">
        <v>571</v>
      </c>
      <c r="F169" s="5" t="s">
        <v>554</v>
      </c>
    </row>
    <row r="170" customFormat="false" ht="15" hidden="false" customHeight="false" outlineLevel="0" collapsed="false">
      <c r="A170" s="5" t="s">
        <v>221</v>
      </c>
      <c r="B170" s="5" t="s">
        <v>588</v>
      </c>
      <c r="C170" s="28" t="n">
        <v>5.5</v>
      </c>
      <c r="D170" s="25" t="n">
        <f aca="false" t="array" ref="D170:D170">IF(F170="n/a","—",IF(_xlfn.XLOOKUP(TRIM(SUBSTITUTE(A170,_xlfn.UNICHAR(160)," ")),TRIM(SUBSTITUTE('worker file'!$A$2:$A$406,_xlfn.UNICHAR(160)," ")),'worker file'!$L$2:$L$406,"")="US Biweekly",$I$3,$I$2))</f>
        <v>46295</v>
      </c>
      <c r="E170" s="5" t="s">
        <v>589</v>
      </c>
      <c r="F170" s="5" t="s">
        <v>559</v>
      </c>
    </row>
    <row r="171" customFormat="false" ht="15" hidden="false" customHeight="false" outlineLevel="0" collapsed="false">
      <c r="A171" s="5" t="s">
        <v>222</v>
      </c>
      <c r="B171" s="5" t="s">
        <v>568</v>
      </c>
      <c r="C171" s="24" t="s">
        <v>569</v>
      </c>
      <c r="D171" s="25" t="str">
        <f aca="false" t="array" ref="D171:D171">IF(F171="n/a","—",IF(_xlfn.XLOOKUP(TRIM(SUBSTITUTE(A171,_xlfn.UNICHAR(160)," ")),TRIM(SUBSTITUTE('worker file'!$A$2:$A$406,_xlfn.UNICHAR(160)," ")),'worker file'!$L$2:$L$406,"")="US Biweekly",$I$3,$I$2))</f>
        <v>—</v>
      </c>
      <c r="E171" s="5" t="s">
        <v>570</v>
      </c>
      <c r="F171" s="5" t="s">
        <v>550</v>
      </c>
    </row>
    <row r="172" customFormat="false" ht="15" hidden="false" customHeight="false" outlineLevel="0" collapsed="false">
      <c r="A172" s="5" t="s">
        <v>222</v>
      </c>
      <c r="B172" s="5" t="s">
        <v>582</v>
      </c>
      <c r="C172" s="27" t="n">
        <v>23.75</v>
      </c>
      <c r="D172" s="25" t="n">
        <f aca="false" t="array" ref="D172:D172">IF(F172="n/a","—",IF(_xlfn.XLOOKUP(TRIM(SUBSTITUTE(A172,_xlfn.UNICHAR(160)," ")),TRIM(SUBSTITUTE('worker file'!$A$2:$A$406,_xlfn.UNICHAR(160)," ")),'worker file'!$L$2:$L$406,"")="US Biweekly",$I$3,$I$2))</f>
        <v>46295</v>
      </c>
      <c r="E172" s="5" t="s">
        <v>583</v>
      </c>
      <c r="F172" s="5" t="s">
        <v>554</v>
      </c>
    </row>
    <row r="173" customFormat="false" ht="15" hidden="false" customHeight="false" outlineLevel="0" collapsed="false">
      <c r="A173" s="5" t="s">
        <v>223</v>
      </c>
      <c r="B173" s="5" t="s">
        <v>584</v>
      </c>
      <c r="C173" s="28" t="n">
        <v>21.5</v>
      </c>
      <c r="D173" s="25" t="n">
        <f aca="false" t="array" ref="D173:D173">IF(F173="n/a","—",IF(_xlfn.XLOOKUP(TRIM(SUBSTITUTE(A173,_xlfn.UNICHAR(160)," ")),TRIM(SUBSTITUTE('worker file'!$A$2:$A$406,_xlfn.UNICHAR(160)," ")),'worker file'!$L$2:$L$406,"")="US Biweekly",$I$3,$I$2))</f>
        <v>46295</v>
      </c>
      <c r="E173" s="5" t="s">
        <v>585</v>
      </c>
      <c r="F173" s="5" t="s">
        <v>559</v>
      </c>
    </row>
    <row r="174" customFormat="false" ht="15" hidden="false" customHeight="false" outlineLevel="0" collapsed="false">
      <c r="A174" s="5" t="s">
        <v>223</v>
      </c>
      <c r="B174" s="5" t="s">
        <v>586</v>
      </c>
      <c r="C174" s="28" t="n">
        <v>0.5</v>
      </c>
      <c r="D174" s="25" t="n">
        <f aca="false" t="array" ref="D174:D174">IF(F174="n/a","—",IF(_xlfn.XLOOKUP(TRIM(SUBSTITUTE(A174,_xlfn.UNICHAR(160)," ")),TRIM(SUBSTITUTE('worker file'!$A$2:$A$406,_xlfn.UNICHAR(160)," ")),'worker file'!$L$2:$L$406,"")="US Biweekly",$I$3,$I$2))</f>
        <v>46295</v>
      </c>
      <c r="E174" s="5" t="s">
        <v>587</v>
      </c>
      <c r="F174" s="5" t="s">
        <v>559</v>
      </c>
    </row>
    <row r="175" customFormat="false" ht="15" hidden="false" customHeight="false" outlineLevel="0" collapsed="false">
      <c r="A175" s="5" t="s">
        <v>226</v>
      </c>
      <c r="B175" s="5" t="s">
        <v>568</v>
      </c>
      <c r="C175" s="24" t="s">
        <v>569</v>
      </c>
      <c r="D175" s="25" t="str">
        <f aca="false" t="array" ref="D175:D175">IF(F175="n/a","—",IF(_xlfn.XLOOKUP(TRIM(SUBSTITUTE(A175,_xlfn.UNICHAR(160)," ")),TRIM(SUBSTITUTE('worker file'!$A$2:$A$406,_xlfn.UNICHAR(160)," ")),'worker file'!$L$2:$L$406,"")="US Biweekly",$I$3,$I$2))</f>
        <v>—</v>
      </c>
      <c r="E175" s="5" t="s">
        <v>570</v>
      </c>
      <c r="F175" s="5" t="s">
        <v>550</v>
      </c>
    </row>
    <row r="176" customFormat="false" ht="15" hidden="false" customHeight="false" outlineLevel="0" collapsed="false">
      <c r="A176" s="5" t="s">
        <v>227</v>
      </c>
      <c r="B176" s="5" t="s">
        <v>568</v>
      </c>
      <c r="C176" s="24" t="s">
        <v>569</v>
      </c>
      <c r="D176" s="25" t="str">
        <f aca="false" t="array" ref="D176:D176">IF(F176="n/a","—",IF(_xlfn.XLOOKUP(TRIM(SUBSTITUTE(A176,_xlfn.UNICHAR(160)," ")),TRIM(SUBSTITUTE('worker file'!$A$2:$A$406,_xlfn.UNICHAR(160)," ")),'worker file'!$L$2:$L$406,"")="US Biweekly",$I$3,$I$2))</f>
        <v>—</v>
      </c>
      <c r="E176" s="5" t="s">
        <v>570</v>
      </c>
      <c r="F176" s="5" t="s">
        <v>550</v>
      </c>
    </row>
    <row r="177" customFormat="false" ht="15" hidden="false" customHeight="false" outlineLevel="0" collapsed="false">
      <c r="A177" s="5" t="s">
        <v>227</v>
      </c>
      <c r="B177" s="5" t="s">
        <v>566</v>
      </c>
      <c r="C177" s="27" t="n">
        <v>49.25</v>
      </c>
      <c r="D177" s="25" t="n">
        <f aca="false" t="array" ref="D177:D177">IF(F177="n/a","—",IF(_xlfn.XLOOKUP(TRIM(SUBSTITUTE(A177,_xlfn.UNICHAR(160)," ")),TRIM(SUBSTITUTE('worker file'!$A$2:$A$406,_xlfn.UNICHAR(160)," ")),'worker file'!$L$2:$L$406,"")="US Biweekly",$I$3,$I$2))</f>
        <v>46295</v>
      </c>
      <c r="E177" s="5" t="s">
        <v>571</v>
      </c>
      <c r="F177" s="5" t="s">
        <v>554</v>
      </c>
    </row>
    <row r="178" customFormat="false" ht="15" hidden="false" customHeight="false" outlineLevel="0" collapsed="false">
      <c r="A178" s="5" t="s">
        <v>228</v>
      </c>
      <c r="B178" s="5" t="s">
        <v>568</v>
      </c>
      <c r="C178" s="24" t="s">
        <v>569</v>
      </c>
      <c r="D178" s="25" t="str">
        <f aca="false" t="array" ref="D178:D178">IF(F178="n/a","—",IF(_xlfn.XLOOKUP(TRIM(SUBSTITUTE(A178,_xlfn.UNICHAR(160)," ")),TRIM(SUBSTITUTE('worker file'!$A$2:$A$406,_xlfn.UNICHAR(160)," ")),'worker file'!$L$2:$L$406,"")="US Biweekly",$I$3,$I$2))</f>
        <v>—</v>
      </c>
      <c r="E178" s="5" t="s">
        <v>570</v>
      </c>
      <c r="F178" s="5" t="s">
        <v>550</v>
      </c>
    </row>
    <row r="179" customFormat="false" ht="15" hidden="false" customHeight="false" outlineLevel="0" collapsed="false">
      <c r="A179" s="5" t="s">
        <v>229</v>
      </c>
      <c r="B179" s="5" t="s">
        <v>568</v>
      </c>
      <c r="C179" s="24" t="s">
        <v>569</v>
      </c>
      <c r="D179" s="25" t="str">
        <f aca="false" t="array" ref="D179:D179">IF(F179="n/a","—",IF(_xlfn.XLOOKUP(TRIM(SUBSTITUTE(A179,_xlfn.UNICHAR(160)," ")),TRIM(SUBSTITUTE('worker file'!$A$2:$A$406,_xlfn.UNICHAR(160)," ")),'worker file'!$L$2:$L$406,"")="US Biweekly",$I$3,$I$2))</f>
        <v>—</v>
      </c>
      <c r="E179" s="5" t="s">
        <v>570</v>
      </c>
      <c r="F179" s="5" t="s">
        <v>550</v>
      </c>
    </row>
    <row r="180" customFormat="false" ht="15" hidden="false" customHeight="false" outlineLevel="0" collapsed="false">
      <c r="A180" s="5" t="s">
        <v>229</v>
      </c>
      <c r="B180" s="5" t="s">
        <v>566</v>
      </c>
      <c r="C180" s="27" t="n">
        <v>72.75</v>
      </c>
      <c r="D180" s="25" t="n">
        <f aca="false" t="array" ref="D180:D180">IF(F180="n/a","—",IF(_xlfn.XLOOKUP(TRIM(SUBSTITUTE(A180,_xlfn.UNICHAR(160)," ")),TRIM(SUBSTITUTE('worker file'!$A$2:$A$406,_xlfn.UNICHAR(160)," ")),'worker file'!$L$2:$L$406,"")="US Biweekly",$I$3,$I$2))</f>
        <v>46295</v>
      </c>
      <c r="E180" s="5" t="s">
        <v>571</v>
      </c>
      <c r="F180" s="5" t="s">
        <v>554</v>
      </c>
    </row>
    <row r="181" customFormat="false" ht="15" hidden="false" customHeight="false" outlineLevel="0" collapsed="false">
      <c r="A181" s="5" t="s">
        <v>230</v>
      </c>
      <c r="B181" s="5" t="s">
        <v>568</v>
      </c>
      <c r="C181" s="24" t="s">
        <v>569</v>
      </c>
      <c r="D181" s="25" t="str">
        <f aca="false" t="array" ref="D181:D181">IF(F181="n/a","—",IF(_xlfn.XLOOKUP(TRIM(SUBSTITUTE(A181,_xlfn.UNICHAR(160)," ")),TRIM(SUBSTITUTE('worker file'!$A$2:$A$406,_xlfn.UNICHAR(160)," ")),'worker file'!$L$2:$L$406,"")="US Biweekly",$I$3,$I$2))</f>
        <v>—</v>
      </c>
      <c r="E181" s="5" t="s">
        <v>570</v>
      </c>
      <c r="F181" s="5" t="s">
        <v>550</v>
      </c>
    </row>
    <row r="182" customFormat="false" ht="15" hidden="false" customHeight="false" outlineLevel="0" collapsed="false">
      <c r="A182" s="5" t="s">
        <v>230</v>
      </c>
      <c r="B182" s="5" t="s">
        <v>566</v>
      </c>
      <c r="C182" s="27" t="n">
        <v>51</v>
      </c>
      <c r="D182" s="25" t="n">
        <f aca="false" t="array" ref="D182:D182">IF(F182="n/a","—",IF(_xlfn.XLOOKUP(TRIM(SUBSTITUTE(A182,_xlfn.UNICHAR(160)," ")),TRIM(SUBSTITUTE('worker file'!$A$2:$A$406,_xlfn.UNICHAR(160)," ")),'worker file'!$L$2:$L$406,"")="US Biweekly",$I$3,$I$2))</f>
        <v>46295</v>
      </c>
      <c r="E182" s="5" t="s">
        <v>571</v>
      </c>
      <c r="F182" s="5" t="s">
        <v>554</v>
      </c>
    </row>
    <row r="183" customFormat="false" ht="15" hidden="false" customHeight="false" outlineLevel="0" collapsed="false">
      <c r="A183" s="5" t="s">
        <v>231</v>
      </c>
      <c r="B183" s="5" t="s">
        <v>568</v>
      </c>
      <c r="C183" s="24" t="s">
        <v>569</v>
      </c>
      <c r="D183" s="25" t="str">
        <f aca="false" t="array" ref="D183:D183">IF(F183="n/a","—",IF(_xlfn.XLOOKUP(TRIM(SUBSTITUTE(A183,_xlfn.UNICHAR(160)," ")),TRIM(SUBSTITUTE('worker file'!$A$2:$A$406,_xlfn.UNICHAR(160)," ")),'worker file'!$L$2:$L$406,"")="US Biweekly",$I$3,$I$2))</f>
        <v>—</v>
      </c>
      <c r="E183" s="5" t="s">
        <v>570</v>
      </c>
      <c r="F183" s="5" t="s">
        <v>550</v>
      </c>
    </row>
    <row r="184" customFormat="false" ht="15" hidden="false" customHeight="false" outlineLevel="0" collapsed="false">
      <c r="A184" s="5" t="s">
        <v>231</v>
      </c>
      <c r="B184" s="5" t="s">
        <v>577</v>
      </c>
      <c r="C184" s="27" t="n">
        <v>46.75</v>
      </c>
      <c r="D184" s="25" t="n">
        <f aca="false" t="array" ref="D184:D184">IF(F184="n/a","—",IF(_xlfn.XLOOKUP(TRIM(SUBSTITUTE(A184,_xlfn.UNICHAR(160)," ")),TRIM(SUBSTITUTE('worker file'!$A$2:$A$406,_xlfn.UNICHAR(160)," ")),'worker file'!$L$2:$L$406,"")="US Biweekly",$I$3,$I$2))</f>
        <v>46295</v>
      </c>
      <c r="E184" s="5" t="s">
        <v>578</v>
      </c>
      <c r="F184" s="5" t="s">
        <v>554</v>
      </c>
    </row>
    <row r="185" customFormat="false" ht="15" hidden="false" customHeight="false" outlineLevel="0" collapsed="false">
      <c r="A185" s="5" t="s">
        <v>232</v>
      </c>
      <c r="B185" s="5" t="s">
        <v>568</v>
      </c>
      <c r="C185" s="24" t="s">
        <v>569</v>
      </c>
      <c r="D185" s="25" t="str">
        <f aca="false" t="array" ref="D185:D185">IF(F185="n/a","—",IF(_xlfn.XLOOKUP(TRIM(SUBSTITUTE(A185,_xlfn.UNICHAR(160)," ")),TRIM(SUBSTITUTE('worker file'!$A$2:$A$406,_xlfn.UNICHAR(160)," ")),'worker file'!$L$2:$L$406,"")="US Biweekly",$I$3,$I$2))</f>
        <v>—</v>
      </c>
      <c r="E185" s="5" t="s">
        <v>570</v>
      </c>
      <c r="F185" s="5" t="s">
        <v>550</v>
      </c>
    </row>
    <row r="186" customFormat="false" ht="15" hidden="false" customHeight="false" outlineLevel="0" collapsed="false">
      <c r="A186" s="5" t="s">
        <v>232</v>
      </c>
      <c r="B186" s="5" t="s">
        <v>566</v>
      </c>
      <c r="C186" s="27" t="n">
        <v>36.5</v>
      </c>
      <c r="D186" s="25" t="n">
        <f aca="false" t="array" ref="D186:D186">IF(F186="n/a","—",IF(_xlfn.XLOOKUP(TRIM(SUBSTITUTE(A186,_xlfn.UNICHAR(160)," ")),TRIM(SUBSTITUTE('worker file'!$A$2:$A$406,_xlfn.UNICHAR(160)," ")),'worker file'!$L$2:$L$406,"")="US Biweekly",$I$3,$I$2))</f>
        <v>46295</v>
      </c>
      <c r="E186" s="5" t="s">
        <v>571</v>
      </c>
      <c r="F186" s="5" t="s">
        <v>554</v>
      </c>
    </row>
    <row r="187" customFormat="false" ht="15" hidden="false" customHeight="false" outlineLevel="0" collapsed="false">
      <c r="A187" s="5" t="s">
        <v>233</v>
      </c>
      <c r="B187" s="5" t="s">
        <v>568</v>
      </c>
      <c r="C187" s="24" t="s">
        <v>569</v>
      </c>
      <c r="D187" s="25" t="str">
        <f aca="false" t="array" ref="D187:D187">IF(F187="n/a","—",IF(_xlfn.XLOOKUP(TRIM(SUBSTITUTE(A187,_xlfn.UNICHAR(160)," ")),TRIM(SUBSTITUTE('worker file'!$A$2:$A$406,_xlfn.UNICHAR(160)," ")),'worker file'!$L$2:$L$406,"")="US Biweekly",$I$3,$I$2))</f>
        <v>—</v>
      </c>
      <c r="E187" s="5" t="s">
        <v>570</v>
      </c>
      <c r="F187" s="5" t="s">
        <v>550</v>
      </c>
    </row>
    <row r="188" customFormat="false" ht="15" hidden="false" customHeight="false" outlineLevel="0" collapsed="false">
      <c r="A188" s="5" t="s">
        <v>233</v>
      </c>
      <c r="B188" s="5" t="s">
        <v>566</v>
      </c>
      <c r="C188" s="27" t="n">
        <v>43</v>
      </c>
      <c r="D188" s="25" t="n">
        <f aca="false" t="array" ref="D188:D188">IF(F188="n/a","—",IF(_xlfn.XLOOKUP(TRIM(SUBSTITUTE(A188,_xlfn.UNICHAR(160)," ")),TRIM(SUBSTITUTE('worker file'!$A$2:$A$406,_xlfn.UNICHAR(160)," ")),'worker file'!$L$2:$L$406,"")="US Biweekly",$I$3,$I$2))</f>
        <v>46295</v>
      </c>
      <c r="E188" s="5" t="s">
        <v>571</v>
      </c>
      <c r="F188" s="5" t="s">
        <v>554</v>
      </c>
    </row>
    <row r="189" customFormat="false" ht="15" hidden="false" customHeight="false" outlineLevel="0" collapsed="false">
      <c r="A189" s="5" t="s">
        <v>234</v>
      </c>
      <c r="B189" s="5" t="s">
        <v>568</v>
      </c>
      <c r="C189" s="24" t="s">
        <v>569</v>
      </c>
      <c r="D189" s="25" t="str">
        <f aca="false" t="array" ref="D189:D189">IF(F189="n/a","—",IF(_xlfn.XLOOKUP(TRIM(SUBSTITUTE(A189,_xlfn.UNICHAR(160)," ")),TRIM(SUBSTITUTE('worker file'!$A$2:$A$406,_xlfn.UNICHAR(160)," ")),'worker file'!$L$2:$L$406,"")="US Biweekly",$I$3,$I$2))</f>
        <v>—</v>
      </c>
      <c r="E189" s="5" t="s">
        <v>570</v>
      </c>
      <c r="F189" s="5" t="s">
        <v>550</v>
      </c>
    </row>
    <row r="190" customFormat="false" ht="15" hidden="false" customHeight="false" outlineLevel="0" collapsed="false">
      <c r="A190" s="5" t="s">
        <v>234</v>
      </c>
      <c r="B190" s="5" t="s">
        <v>582</v>
      </c>
      <c r="C190" s="27" t="n">
        <v>32</v>
      </c>
      <c r="D190" s="25" t="n">
        <f aca="false" t="array" ref="D190:D190">IF(F190="n/a","—",IF(_xlfn.XLOOKUP(TRIM(SUBSTITUTE(A190,_xlfn.UNICHAR(160)," ")),TRIM(SUBSTITUTE('worker file'!$A$2:$A$406,_xlfn.UNICHAR(160)," ")),'worker file'!$L$2:$L$406,"")="US Biweekly",$I$3,$I$2))</f>
        <v>46295</v>
      </c>
      <c r="E190" s="5" t="s">
        <v>583</v>
      </c>
      <c r="F190" s="5" t="s">
        <v>554</v>
      </c>
    </row>
    <row r="191" customFormat="false" ht="15" hidden="false" customHeight="false" outlineLevel="0" collapsed="false">
      <c r="A191" s="5" t="s">
        <v>235</v>
      </c>
      <c r="B191" s="5" t="s">
        <v>568</v>
      </c>
      <c r="C191" s="24" t="s">
        <v>569</v>
      </c>
      <c r="D191" s="25" t="str">
        <f aca="false" t="array" ref="D191:D191">IF(F191="n/a","—",IF(_xlfn.XLOOKUP(TRIM(SUBSTITUTE(A191,_xlfn.UNICHAR(160)," ")),TRIM(SUBSTITUTE('worker file'!$A$2:$A$406,_xlfn.UNICHAR(160)," ")),'worker file'!$L$2:$L$406,"")="US Biweekly",$I$3,$I$2))</f>
        <v>—</v>
      </c>
      <c r="E191" s="5" t="s">
        <v>570</v>
      </c>
      <c r="F191" s="5" t="s">
        <v>550</v>
      </c>
    </row>
    <row r="192" customFormat="false" ht="15" hidden="false" customHeight="false" outlineLevel="0" collapsed="false">
      <c r="A192" s="5" t="s">
        <v>237</v>
      </c>
      <c r="B192" s="5" t="s">
        <v>568</v>
      </c>
      <c r="C192" s="24" t="s">
        <v>569</v>
      </c>
      <c r="D192" s="25" t="str">
        <f aca="false" t="array" ref="D192:D192">IF(F192="n/a","—",IF(_xlfn.XLOOKUP(TRIM(SUBSTITUTE(A192,_xlfn.UNICHAR(160)," ")),TRIM(SUBSTITUTE('worker file'!$A$2:$A$406,_xlfn.UNICHAR(160)," ")),'worker file'!$L$2:$L$406,"")="US Biweekly",$I$3,$I$2))</f>
        <v>—</v>
      </c>
      <c r="E192" s="5" t="s">
        <v>570</v>
      </c>
      <c r="F192" s="5" t="s">
        <v>550</v>
      </c>
    </row>
    <row r="193" customFormat="false" ht="15" hidden="false" customHeight="false" outlineLevel="0" collapsed="false">
      <c r="A193" s="5" t="s">
        <v>237</v>
      </c>
      <c r="B193" s="5" t="s">
        <v>566</v>
      </c>
      <c r="C193" s="27" t="n">
        <v>39.5</v>
      </c>
      <c r="D193" s="25" t="n">
        <f aca="false" t="array" ref="D193:D193">IF(F193="n/a","—",IF(_xlfn.XLOOKUP(TRIM(SUBSTITUTE(A193,_xlfn.UNICHAR(160)," ")),TRIM(SUBSTITUTE('worker file'!$A$2:$A$406,_xlfn.UNICHAR(160)," ")),'worker file'!$L$2:$L$406,"")="US Biweekly",$I$3,$I$2))</f>
        <v>46295</v>
      </c>
      <c r="E193" s="5" t="s">
        <v>571</v>
      </c>
      <c r="F193" s="5" t="s">
        <v>554</v>
      </c>
    </row>
    <row r="194" customFormat="false" ht="15" hidden="false" customHeight="false" outlineLevel="0" collapsed="false">
      <c r="A194" s="5" t="s">
        <v>238</v>
      </c>
      <c r="B194" s="5" t="s">
        <v>573</v>
      </c>
      <c r="C194" s="27" t="n">
        <v>67.25</v>
      </c>
      <c r="D194" s="25" t="n">
        <f aca="false" t="array" ref="D194:D194">IF(F194="n/a","—",IF(_xlfn.XLOOKUP(TRIM(SUBSTITUTE(A194,_xlfn.UNICHAR(160)," ")),TRIM(SUBSTITUTE('worker file'!$A$2:$A$406,_xlfn.UNICHAR(160)," ")),'worker file'!$L$2:$L$406,"")="US Biweekly",$I$3,$I$2))</f>
        <v>46298</v>
      </c>
      <c r="E194" s="5" t="s">
        <v>574</v>
      </c>
      <c r="F194" s="5" t="s">
        <v>554</v>
      </c>
    </row>
    <row r="195" customFormat="false" ht="15" hidden="false" customHeight="false" outlineLevel="0" collapsed="false">
      <c r="A195" s="5" t="s">
        <v>238</v>
      </c>
      <c r="B195" s="5" t="s">
        <v>566</v>
      </c>
      <c r="C195" s="27" t="n">
        <v>52.5</v>
      </c>
      <c r="D195" s="25" t="n">
        <f aca="false" t="array" ref="D195:D195">IF(F195="n/a","—",IF(_xlfn.XLOOKUP(TRIM(SUBSTITUTE(A195,_xlfn.UNICHAR(160)," ")),TRIM(SUBSTITUTE('worker file'!$A$2:$A$406,_xlfn.UNICHAR(160)," ")),'worker file'!$L$2:$L$406,"")="US Biweekly",$I$3,$I$2))</f>
        <v>46298</v>
      </c>
      <c r="E195" s="5" t="s">
        <v>571</v>
      </c>
      <c r="F195" s="5" t="s">
        <v>554</v>
      </c>
    </row>
    <row r="196" customFormat="false" ht="15" hidden="false" customHeight="false" outlineLevel="0" collapsed="false">
      <c r="A196" s="5" t="s">
        <v>240</v>
      </c>
      <c r="B196" s="5" t="s">
        <v>573</v>
      </c>
      <c r="C196" s="27" t="n">
        <v>39.5</v>
      </c>
      <c r="D196" s="25" t="n">
        <f aca="false" t="array" ref="D196:D196">IF(F196="n/a","—",IF(_xlfn.XLOOKUP(TRIM(SUBSTITUTE(A196,_xlfn.UNICHAR(160)," ")),TRIM(SUBSTITUTE('worker file'!$A$2:$A$406,_xlfn.UNICHAR(160)," ")),'worker file'!$L$2:$L$406,"")="US Biweekly",$I$3,$I$2))</f>
        <v>46298</v>
      </c>
      <c r="E196" s="5" t="s">
        <v>574</v>
      </c>
      <c r="F196" s="5" t="s">
        <v>554</v>
      </c>
    </row>
    <row r="197" customFormat="false" ht="15" hidden="false" customHeight="false" outlineLevel="0" collapsed="false">
      <c r="A197" s="5" t="s">
        <v>240</v>
      </c>
      <c r="B197" s="5" t="s">
        <v>575</v>
      </c>
      <c r="C197" s="27" t="n">
        <v>1.25</v>
      </c>
      <c r="D197" s="25" t="n">
        <f aca="false" t="array" ref="D197:D197">IF(F197="n/a","—",IF(_xlfn.XLOOKUP(TRIM(SUBSTITUTE(A197,_xlfn.UNICHAR(160)," ")),TRIM(SUBSTITUTE('worker file'!$A$2:$A$406,_xlfn.UNICHAR(160)," ")),'worker file'!$L$2:$L$406,"")="US Biweekly",$I$3,$I$2))</f>
        <v>46298</v>
      </c>
      <c r="E197" s="5" t="s">
        <v>576</v>
      </c>
      <c r="F197" s="5" t="s">
        <v>554</v>
      </c>
    </row>
    <row r="198" customFormat="false" ht="15" hidden="false" customHeight="false" outlineLevel="0" collapsed="false">
      <c r="A198" s="5" t="s">
        <v>241</v>
      </c>
      <c r="B198" s="5" t="s">
        <v>568</v>
      </c>
      <c r="C198" s="24" t="s">
        <v>569</v>
      </c>
      <c r="D198" s="25" t="str">
        <f aca="false" t="array" ref="D198:D198">IF(F198="n/a","—",IF(_xlfn.XLOOKUP(TRIM(SUBSTITUTE(A198,_xlfn.UNICHAR(160)," ")),TRIM(SUBSTITUTE('worker file'!$A$2:$A$406,_xlfn.UNICHAR(160)," ")),'worker file'!$L$2:$L$406,"")="US Biweekly",$I$3,$I$2))</f>
        <v>—</v>
      </c>
      <c r="E198" s="5" t="s">
        <v>570</v>
      </c>
      <c r="F198" s="5" t="s">
        <v>550</v>
      </c>
    </row>
    <row r="199" customFormat="false" ht="15" hidden="false" customHeight="false" outlineLevel="0" collapsed="false">
      <c r="A199" s="5" t="s">
        <v>242</v>
      </c>
      <c r="B199" s="5" t="s">
        <v>584</v>
      </c>
      <c r="C199" s="28" t="n">
        <v>20.5</v>
      </c>
      <c r="D199" s="25" t="n">
        <f aca="false" t="array" ref="D199:D199">IF(F199="n/a","—",IF(_xlfn.XLOOKUP(TRIM(SUBSTITUTE(A199,_xlfn.UNICHAR(160)," ")),TRIM(SUBSTITUTE('worker file'!$A$2:$A$406,_xlfn.UNICHAR(160)," ")),'worker file'!$L$2:$L$406,"")="US Biweekly",$I$3,$I$2))</f>
        <v>46295</v>
      </c>
      <c r="E199" s="5" t="s">
        <v>585</v>
      </c>
      <c r="F199" s="5" t="s">
        <v>559</v>
      </c>
    </row>
    <row r="200" customFormat="false" ht="15" hidden="false" customHeight="false" outlineLevel="0" collapsed="false">
      <c r="A200" s="5" t="s">
        <v>242</v>
      </c>
      <c r="B200" s="5" t="s">
        <v>586</v>
      </c>
      <c r="C200" s="28" t="n">
        <v>1</v>
      </c>
      <c r="D200" s="25" t="n">
        <f aca="false" t="array" ref="D200:D200">IF(F200="n/a","—",IF(_xlfn.XLOOKUP(TRIM(SUBSTITUTE(A200,_xlfn.UNICHAR(160)," ")),TRIM(SUBSTITUTE('worker file'!$A$2:$A$406,_xlfn.UNICHAR(160)," ")),'worker file'!$L$2:$L$406,"")="US Biweekly",$I$3,$I$2))</f>
        <v>46295</v>
      </c>
      <c r="E200" s="5" t="s">
        <v>587</v>
      </c>
      <c r="F200" s="5" t="s">
        <v>559</v>
      </c>
    </row>
    <row r="201" customFormat="false" ht="15" hidden="false" customHeight="false" outlineLevel="0" collapsed="false">
      <c r="A201" s="5" t="s">
        <v>243</v>
      </c>
      <c r="B201" s="5" t="s">
        <v>584</v>
      </c>
      <c r="C201" s="28" t="n">
        <v>27</v>
      </c>
      <c r="D201" s="25" t="n">
        <f aca="false" t="array" ref="D201:D201">IF(F201="n/a","—",IF(_xlfn.XLOOKUP(TRIM(SUBSTITUTE(A201,_xlfn.UNICHAR(160)," ")),TRIM(SUBSTITUTE('worker file'!$A$2:$A$406,_xlfn.UNICHAR(160)," ")),'worker file'!$L$2:$L$406,"")="US Biweekly",$I$3,$I$2))</f>
        <v>46295</v>
      </c>
      <c r="E201" s="5" t="s">
        <v>585</v>
      </c>
      <c r="F201" s="5" t="s">
        <v>559</v>
      </c>
    </row>
    <row r="202" customFormat="false" ht="15" hidden="false" customHeight="false" outlineLevel="0" collapsed="false">
      <c r="A202" s="5" t="s">
        <v>243</v>
      </c>
      <c r="B202" s="5" t="s">
        <v>586</v>
      </c>
      <c r="C202" s="28" t="n">
        <v>6</v>
      </c>
      <c r="D202" s="25" t="n">
        <f aca="false" t="array" ref="D202:D202">IF(F202="n/a","—",IF(_xlfn.XLOOKUP(TRIM(SUBSTITUTE(A202,_xlfn.UNICHAR(160)," ")),TRIM(SUBSTITUTE('worker file'!$A$2:$A$406,_xlfn.UNICHAR(160)," ")),'worker file'!$L$2:$L$406,"")="US Biweekly",$I$3,$I$2))</f>
        <v>46295</v>
      </c>
      <c r="E202" s="5" t="s">
        <v>587</v>
      </c>
      <c r="F202" s="5" t="s">
        <v>559</v>
      </c>
    </row>
    <row r="203" customFormat="false" ht="15" hidden="false" customHeight="false" outlineLevel="0" collapsed="false">
      <c r="A203" s="5" t="s">
        <v>244</v>
      </c>
      <c r="B203" s="5" t="s">
        <v>568</v>
      </c>
      <c r="C203" s="24" t="s">
        <v>569</v>
      </c>
      <c r="D203" s="25" t="str">
        <f aca="false" t="array" ref="D203:D203">IF(F203="n/a","—",IF(_xlfn.XLOOKUP(TRIM(SUBSTITUTE(A203,_xlfn.UNICHAR(160)," ")),TRIM(SUBSTITUTE('worker file'!$A$2:$A$406,_xlfn.UNICHAR(160)," ")),'worker file'!$L$2:$L$406,"")="US Biweekly",$I$3,$I$2))</f>
        <v>—</v>
      </c>
      <c r="E203" s="5" t="s">
        <v>570</v>
      </c>
      <c r="F203" s="5" t="s">
        <v>550</v>
      </c>
    </row>
    <row r="204" customFormat="false" ht="15" hidden="false" customHeight="false" outlineLevel="0" collapsed="false">
      <c r="A204" s="5" t="s">
        <v>244</v>
      </c>
      <c r="B204" s="5" t="s">
        <v>582</v>
      </c>
      <c r="C204" s="27" t="n">
        <v>29.5</v>
      </c>
      <c r="D204" s="25" t="n">
        <f aca="false" t="array" ref="D204:D204">IF(F204="n/a","—",IF(_xlfn.XLOOKUP(TRIM(SUBSTITUTE(A204,_xlfn.UNICHAR(160)," ")),TRIM(SUBSTITUTE('worker file'!$A$2:$A$406,_xlfn.UNICHAR(160)," ")),'worker file'!$L$2:$L$406,"")="US Biweekly",$I$3,$I$2))</f>
        <v>46295</v>
      </c>
      <c r="E204" s="5" t="s">
        <v>583</v>
      </c>
      <c r="F204" s="5" t="s">
        <v>554</v>
      </c>
    </row>
    <row r="205" customFormat="false" ht="15" hidden="false" customHeight="false" outlineLevel="0" collapsed="false">
      <c r="A205" s="5" t="s">
        <v>245</v>
      </c>
      <c r="B205" s="5" t="s">
        <v>568</v>
      </c>
      <c r="C205" s="24" t="s">
        <v>569</v>
      </c>
      <c r="D205" s="25" t="str">
        <f aca="false" t="array" ref="D205:D205">IF(F205="n/a","—",IF(_xlfn.XLOOKUP(TRIM(SUBSTITUTE(A205,_xlfn.UNICHAR(160)," ")),TRIM(SUBSTITUTE('worker file'!$A$2:$A$406,_xlfn.UNICHAR(160)," ")),'worker file'!$L$2:$L$406,"")="US Biweekly",$I$3,$I$2))</f>
        <v>—</v>
      </c>
      <c r="E205" s="5" t="s">
        <v>570</v>
      </c>
      <c r="F205" s="5" t="s">
        <v>550</v>
      </c>
    </row>
    <row r="206" customFormat="false" ht="15" hidden="false" customHeight="false" outlineLevel="0" collapsed="false">
      <c r="A206" s="5" t="s">
        <v>245</v>
      </c>
      <c r="B206" s="5" t="s">
        <v>566</v>
      </c>
      <c r="C206" s="27" t="n">
        <v>66.25</v>
      </c>
      <c r="D206" s="25" t="n">
        <f aca="false" t="array" ref="D206:D206">IF(F206="n/a","—",IF(_xlfn.XLOOKUP(TRIM(SUBSTITUTE(A206,_xlfn.UNICHAR(160)," ")),TRIM(SUBSTITUTE('worker file'!$A$2:$A$406,_xlfn.UNICHAR(160)," ")),'worker file'!$L$2:$L$406,"")="US Biweekly",$I$3,$I$2))</f>
        <v>46295</v>
      </c>
      <c r="E206" s="5" t="s">
        <v>571</v>
      </c>
      <c r="F206" s="5" t="s">
        <v>554</v>
      </c>
    </row>
    <row r="207" customFormat="false" ht="15" hidden="false" customHeight="false" outlineLevel="0" collapsed="false">
      <c r="A207" s="5" t="s">
        <v>246</v>
      </c>
      <c r="B207" s="5" t="s">
        <v>568</v>
      </c>
      <c r="C207" s="24" t="s">
        <v>569</v>
      </c>
      <c r="D207" s="25" t="str">
        <f aca="false" t="array" ref="D207:D207">IF(F207="n/a","—",IF(_xlfn.XLOOKUP(TRIM(SUBSTITUTE(A207,_xlfn.UNICHAR(160)," ")),TRIM(SUBSTITUTE('worker file'!$A$2:$A$406,_xlfn.UNICHAR(160)," ")),'worker file'!$L$2:$L$406,"")="US Biweekly",$I$3,$I$2))</f>
        <v>—</v>
      </c>
      <c r="E207" s="5" t="s">
        <v>570</v>
      </c>
      <c r="F207" s="5" t="s">
        <v>550</v>
      </c>
    </row>
    <row r="208" customFormat="false" ht="15" hidden="false" customHeight="false" outlineLevel="0" collapsed="false">
      <c r="A208" s="5" t="s">
        <v>247</v>
      </c>
      <c r="B208" s="5" t="s">
        <v>584</v>
      </c>
      <c r="C208" s="28" t="n">
        <v>8.5</v>
      </c>
      <c r="D208" s="25" t="n">
        <f aca="false" t="array" ref="D208:D208">IF(F208="n/a","—",IF(_xlfn.XLOOKUP(TRIM(SUBSTITUTE(A208,_xlfn.UNICHAR(160)," ")),TRIM(SUBSTITUTE('worker file'!$A$2:$A$406,_xlfn.UNICHAR(160)," ")),'worker file'!$L$2:$L$406,"")="US Biweekly",$I$3,$I$2))</f>
        <v>46295</v>
      </c>
      <c r="E208" s="5" t="s">
        <v>585</v>
      </c>
      <c r="F208" s="5" t="s">
        <v>559</v>
      </c>
    </row>
    <row r="209" customFormat="false" ht="15" hidden="false" customHeight="false" outlineLevel="0" collapsed="false">
      <c r="A209" s="5" t="s">
        <v>247</v>
      </c>
      <c r="B209" s="5" t="s">
        <v>586</v>
      </c>
      <c r="C209" s="28" t="n">
        <v>7</v>
      </c>
      <c r="D209" s="25" t="n">
        <f aca="false" t="array" ref="D209:D209">IF(F209="n/a","—",IF(_xlfn.XLOOKUP(TRIM(SUBSTITUTE(A209,_xlfn.UNICHAR(160)," ")),TRIM(SUBSTITUTE('worker file'!$A$2:$A$406,_xlfn.UNICHAR(160)," ")),'worker file'!$L$2:$L$406,"")="US Biweekly",$I$3,$I$2))</f>
        <v>46295</v>
      </c>
      <c r="E209" s="5" t="s">
        <v>587</v>
      </c>
      <c r="F209" s="5" t="s">
        <v>559</v>
      </c>
    </row>
    <row r="210" customFormat="false" ht="15" hidden="false" customHeight="false" outlineLevel="0" collapsed="false">
      <c r="A210" s="5" t="s">
        <v>248</v>
      </c>
      <c r="B210" s="5" t="s">
        <v>588</v>
      </c>
      <c r="C210" s="28" t="n">
        <v>14</v>
      </c>
      <c r="D210" s="25" t="n">
        <f aca="false" t="array" ref="D210:D210">IF(F210="n/a","—",IF(_xlfn.XLOOKUP(TRIM(SUBSTITUTE(A210,_xlfn.UNICHAR(160)," ")),TRIM(SUBSTITUTE('worker file'!$A$2:$A$406,_xlfn.UNICHAR(160)," ")),'worker file'!$L$2:$L$406,"")="US Biweekly",$I$3,$I$2))</f>
        <v>46295</v>
      </c>
      <c r="E210" s="5" t="s">
        <v>589</v>
      </c>
      <c r="F210" s="5" t="s">
        <v>559</v>
      </c>
    </row>
    <row r="211" customFormat="false" ht="15" hidden="false" customHeight="false" outlineLevel="0" collapsed="false">
      <c r="A211" s="5" t="s">
        <v>249</v>
      </c>
      <c r="B211" s="5" t="s">
        <v>584</v>
      </c>
      <c r="C211" s="28" t="n">
        <v>15</v>
      </c>
      <c r="D211" s="25" t="n">
        <f aca="false" t="array" ref="D211:D211">IF(F211="n/a","—",IF(_xlfn.XLOOKUP(TRIM(SUBSTITUTE(A211,_xlfn.UNICHAR(160)," ")),TRIM(SUBSTITUTE('worker file'!$A$2:$A$406,_xlfn.UNICHAR(160)," ")),'worker file'!$L$2:$L$406,"")="US Biweekly",$I$3,$I$2))</f>
        <v>46295</v>
      </c>
      <c r="E211" s="5" t="s">
        <v>585</v>
      </c>
      <c r="F211" s="5" t="s">
        <v>559</v>
      </c>
    </row>
    <row r="212" customFormat="false" ht="15" hidden="false" customHeight="false" outlineLevel="0" collapsed="false">
      <c r="A212" s="5" t="s">
        <v>249</v>
      </c>
      <c r="B212" s="5" t="s">
        <v>586</v>
      </c>
      <c r="C212" s="28" t="n">
        <v>3.5</v>
      </c>
      <c r="D212" s="25" t="n">
        <f aca="false" t="array" ref="D212:D212">IF(F212="n/a","—",IF(_xlfn.XLOOKUP(TRIM(SUBSTITUTE(A212,_xlfn.UNICHAR(160)," ")),TRIM(SUBSTITUTE('worker file'!$A$2:$A$406,_xlfn.UNICHAR(160)," ")),'worker file'!$L$2:$L$406,"")="US Biweekly",$I$3,$I$2))</f>
        <v>46295</v>
      </c>
      <c r="E212" s="5" t="s">
        <v>587</v>
      </c>
      <c r="F212" s="5" t="s">
        <v>559</v>
      </c>
    </row>
    <row r="213" customFormat="false" ht="15" hidden="false" customHeight="false" outlineLevel="0" collapsed="false">
      <c r="A213" s="5" t="s">
        <v>250</v>
      </c>
      <c r="B213" s="5" t="s">
        <v>568</v>
      </c>
      <c r="C213" s="24" t="s">
        <v>569</v>
      </c>
      <c r="D213" s="25" t="str">
        <f aca="false" t="array" ref="D213:D213">IF(F213="n/a","—",IF(_xlfn.XLOOKUP(TRIM(SUBSTITUTE(A213,_xlfn.UNICHAR(160)," ")),TRIM(SUBSTITUTE('worker file'!$A$2:$A$406,_xlfn.UNICHAR(160)," ")),'worker file'!$L$2:$L$406,"")="US Biweekly",$I$3,$I$2))</f>
        <v>—</v>
      </c>
      <c r="E213" s="5" t="s">
        <v>570</v>
      </c>
      <c r="F213" s="5" t="s">
        <v>550</v>
      </c>
    </row>
    <row r="214" customFormat="false" ht="15" hidden="false" customHeight="false" outlineLevel="0" collapsed="false">
      <c r="A214" s="5" t="s">
        <v>251</v>
      </c>
      <c r="B214" s="5" t="s">
        <v>568</v>
      </c>
      <c r="C214" s="24" t="s">
        <v>569</v>
      </c>
      <c r="D214" s="25" t="str">
        <f aca="false" t="array" ref="D214:D214">IF(F214="n/a","—",IF(_xlfn.XLOOKUP(TRIM(SUBSTITUTE(A214,_xlfn.UNICHAR(160)," ")),TRIM(SUBSTITUTE('worker file'!$A$2:$A$406,_xlfn.UNICHAR(160)," ")),'worker file'!$L$2:$L$406,"")="US Biweekly",$I$3,$I$2))</f>
        <v>—</v>
      </c>
      <c r="E214" s="5" t="s">
        <v>570</v>
      </c>
      <c r="F214" s="5" t="s">
        <v>550</v>
      </c>
    </row>
    <row r="215" customFormat="false" ht="15" hidden="false" customHeight="false" outlineLevel="0" collapsed="false">
      <c r="A215" s="5" t="s">
        <v>251</v>
      </c>
      <c r="B215" s="5" t="s">
        <v>566</v>
      </c>
      <c r="C215" s="27" t="n">
        <v>43.25</v>
      </c>
      <c r="D215" s="25" t="n">
        <f aca="false" t="array" ref="D215:D215">IF(F215="n/a","—",IF(_xlfn.XLOOKUP(TRIM(SUBSTITUTE(A215,_xlfn.UNICHAR(160)," ")),TRIM(SUBSTITUTE('worker file'!$A$2:$A$406,_xlfn.UNICHAR(160)," ")),'worker file'!$L$2:$L$406,"")="US Biweekly",$I$3,$I$2))</f>
        <v>46295</v>
      </c>
      <c r="E215" s="5" t="s">
        <v>571</v>
      </c>
      <c r="F215" s="5" t="s">
        <v>554</v>
      </c>
    </row>
    <row r="216" customFormat="false" ht="15" hidden="false" customHeight="false" outlineLevel="0" collapsed="false">
      <c r="A216" s="5" t="s">
        <v>252</v>
      </c>
      <c r="B216" s="5" t="s">
        <v>588</v>
      </c>
      <c r="C216" s="28" t="n">
        <v>10</v>
      </c>
      <c r="D216" s="25" t="n">
        <f aca="false" t="array" ref="D216:D216">IF(F216="n/a","—",IF(_xlfn.XLOOKUP(TRIM(SUBSTITUTE(A216,_xlfn.UNICHAR(160)," ")),TRIM(SUBSTITUTE('worker file'!$A$2:$A$406,_xlfn.UNICHAR(160)," ")),'worker file'!$L$2:$L$406,"")="US Biweekly",$I$3,$I$2))</f>
        <v>46295</v>
      </c>
      <c r="E216" s="5" t="s">
        <v>589</v>
      </c>
      <c r="F216" s="5" t="s">
        <v>559</v>
      </c>
    </row>
    <row r="217" customFormat="false" ht="15" hidden="false" customHeight="false" outlineLevel="0" collapsed="false">
      <c r="A217" s="5" t="s">
        <v>253</v>
      </c>
      <c r="B217" s="5" t="s">
        <v>568</v>
      </c>
      <c r="C217" s="24" t="s">
        <v>569</v>
      </c>
      <c r="D217" s="25" t="str">
        <f aca="false" t="array" ref="D217:D217">IF(F217="n/a","—",IF(_xlfn.XLOOKUP(TRIM(SUBSTITUTE(A217,_xlfn.UNICHAR(160)," ")),TRIM(SUBSTITUTE('worker file'!$A$2:$A$406,_xlfn.UNICHAR(160)," ")),'worker file'!$L$2:$L$406,"")="US Biweekly",$I$3,$I$2))</f>
        <v>—</v>
      </c>
      <c r="E217" s="5" t="s">
        <v>570</v>
      </c>
      <c r="F217" s="5" t="s">
        <v>550</v>
      </c>
    </row>
    <row r="218" customFormat="false" ht="15" hidden="false" customHeight="false" outlineLevel="0" collapsed="false">
      <c r="A218" s="5" t="s">
        <v>253</v>
      </c>
      <c r="B218" s="5" t="s">
        <v>566</v>
      </c>
      <c r="C218" s="27" t="n">
        <v>62.75</v>
      </c>
      <c r="D218" s="25" t="n">
        <f aca="false" t="array" ref="D218:D218">IF(F218="n/a","—",IF(_xlfn.XLOOKUP(TRIM(SUBSTITUTE(A218,_xlfn.UNICHAR(160)," ")),TRIM(SUBSTITUTE('worker file'!$A$2:$A$406,_xlfn.UNICHAR(160)," ")),'worker file'!$L$2:$L$406,"")="US Biweekly",$I$3,$I$2))</f>
        <v>46295</v>
      </c>
      <c r="E218" s="5" t="s">
        <v>571</v>
      </c>
      <c r="F218" s="5" t="s">
        <v>554</v>
      </c>
    </row>
    <row r="219" customFormat="false" ht="15" hidden="false" customHeight="false" outlineLevel="0" collapsed="false">
      <c r="A219" s="5" t="s">
        <v>254</v>
      </c>
      <c r="B219" s="5" t="s">
        <v>584</v>
      </c>
      <c r="C219" s="28" t="n">
        <v>3.5</v>
      </c>
      <c r="D219" s="25" t="n">
        <f aca="false" t="array" ref="D219:D219">IF(F219="n/a","—",IF(_xlfn.XLOOKUP(TRIM(SUBSTITUTE(A219,_xlfn.UNICHAR(160)," ")),TRIM(SUBSTITUTE('worker file'!$A$2:$A$406,_xlfn.UNICHAR(160)," ")),'worker file'!$L$2:$L$406,"")="US Biweekly",$I$3,$I$2))</f>
        <v>46295</v>
      </c>
      <c r="E219" s="5" t="s">
        <v>585</v>
      </c>
      <c r="F219" s="5" t="s">
        <v>559</v>
      </c>
    </row>
    <row r="220" customFormat="false" ht="15" hidden="false" customHeight="false" outlineLevel="0" collapsed="false">
      <c r="A220" s="5" t="s">
        <v>254</v>
      </c>
      <c r="B220" s="5" t="s">
        <v>586</v>
      </c>
      <c r="C220" s="28" t="n">
        <v>3.5</v>
      </c>
      <c r="D220" s="25" t="n">
        <f aca="false" t="array" ref="D220:D220">IF(F220="n/a","—",IF(_xlfn.XLOOKUP(TRIM(SUBSTITUTE(A220,_xlfn.UNICHAR(160)," ")),TRIM(SUBSTITUTE('worker file'!$A$2:$A$406,_xlfn.UNICHAR(160)," ")),'worker file'!$L$2:$L$406,"")="US Biweekly",$I$3,$I$2))</f>
        <v>46295</v>
      </c>
      <c r="E220" s="5" t="s">
        <v>587</v>
      </c>
      <c r="F220" s="5" t="s">
        <v>559</v>
      </c>
    </row>
    <row r="221" customFormat="false" ht="15" hidden="false" customHeight="false" outlineLevel="0" collapsed="false">
      <c r="A221" s="5" t="s">
        <v>255</v>
      </c>
      <c r="B221" s="5" t="s">
        <v>568</v>
      </c>
      <c r="C221" s="24" t="s">
        <v>569</v>
      </c>
      <c r="D221" s="25" t="str">
        <f aca="false" t="array" ref="D221:D221">IF(F221="n/a","—",IF(_xlfn.XLOOKUP(TRIM(SUBSTITUTE(A221,_xlfn.UNICHAR(160)," ")),TRIM(SUBSTITUTE('worker file'!$A$2:$A$406,_xlfn.UNICHAR(160)," ")),'worker file'!$L$2:$L$406,"")="US Biweekly",$I$3,$I$2))</f>
        <v>—</v>
      </c>
      <c r="E221" s="5" t="s">
        <v>570</v>
      </c>
      <c r="F221" s="5" t="s">
        <v>550</v>
      </c>
    </row>
    <row r="222" customFormat="false" ht="15" hidden="false" customHeight="false" outlineLevel="0" collapsed="false">
      <c r="A222" s="5" t="s">
        <v>255</v>
      </c>
      <c r="B222" s="5" t="s">
        <v>566</v>
      </c>
      <c r="C222" s="27" t="n">
        <v>45.5</v>
      </c>
      <c r="D222" s="25" t="n">
        <f aca="false" t="array" ref="D222:D222">IF(F222="n/a","—",IF(_xlfn.XLOOKUP(TRIM(SUBSTITUTE(A222,_xlfn.UNICHAR(160)," ")),TRIM(SUBSTITUTE('worker file'!$A$2:$A$406,_xlfn.UNICHAR(160)," ")),'worker file'!$L$2:$L$406,"")="US Biweekly",$I$3,$I$2))</f>
        <v>46295</v>
      </c>
      <c r="E222" s="5" t="s">
        <v>571</v>
      </c>
      <c r="F222" s="5" t="s">
        <v>554</v>
      </c>
    </row>
    <row r="223" customFormat="false" ht="15" hidden="false" customHeight="false" outlineLevel="0" collapsed="false">
      <c r="A223" s="5" t="s">
        <v>256</v>
      </c>
      <c r="B223" s="5" t="s">
        <v>573</v>
      </c>
      <c r="C223" s="27" t="n">
        <v>65.25</v>
      </c>
      <c r="D223" s="25" t="n">
        <f aca="false" t="array" ref="D223:D223">IF(F223="n/a","—",IF(_xlfn.XLOOKUP(TRIM(SUBSTITUTE(A223,_xlfn.UNICHAR(160)," ")),TRIM(SUBSTITUTE('worker file'!$A$2:$A$406,_xlfn.UNICHAR(160)," ")),'worker file'!$L$2:$L$406,"")="US Biweekly",$I$3,$I$2))</f>
        <v>46298</v>
      </c>
      <c r="E223" s="5" t="s">
        <v>574</v>
      </c>
      <c r="F223" s="5" t="s">
        <v>554</v>
      </c>
    </row>
    <row r="224" customFormat="false" ht="15" hidden="false" customHeight="false" outlineLevel="0" collapsed="false">
      <c r="A224" s="5" t="s">
        <v>256</v>
      </c>
      <c r="B224" s="5" t="s">
        <v>575</v>
      </c>
      <c r="C224" s="27" t="n">
        <v>20.25</v>
      </c>
      <c r="D224" s="25" t="n">
        <f aca="false" t="array" ref="D224:D224">IF(F224="n/a","—",IF(_xlfn.XLOOKUP(TRIM(SUBSTITUTE(A224,_xlfn.UNICHAR(160)," ")),TRIM(SUBSTITUTE('worker file'!$A$2:$A$406,_xlfn.UNICHAR(160)," ")),'worker file'!$L$2:$L$406,"")="US Biweekly",$I$3,$I$2))</f>
        <v>46298</v>
      </c>
      <c r="E224" s="5" t="s">
        <v>576</v>
      </c>
      <c r="F224" s="5" t="s">
        <v>554</v>
      </c>
    </row>
    <row r="225" customFormat="false" ht="15" hidden="false" customHeight="false" outlineLevel="0" collapsed="false">
      <c r="A225" s="5" t="s">
        <v>257</v>
      </c>
      <c r="B225" s="5" t="s">
        <v>568</v>
      </c>
      <c r="C225" s="24" t="s">
        <v>569</v>
      </c>
      <c r="D225" s="25" t="str">
        <f aca="false" t="array" ref="D225:D225">IF(F225="n/a","—",IF(_xlfn.XLOOKUP(TRIM(SUBSTITUTE(A225,_xlfn.UNICHAR(160)," ")),TRIM(SUBSTITUTE('worker file'!$A$2:$A$406,_xlfn.UNICHAR(160)," ")),'worker file'!$L$2:$L$406,"")="US Biweekly",$I$3,$I$2))</f>
        <v>—</v>
      </c>
      <c r="E225" s="5" t="s">
        <v>570</v>
      </c>
      <c r="F225" s="5" t="s">
        <v>550</v>
      </c>
    </row>
    <row r="226" customFormat="false" ht="15" hidden="false" customHeight="false" outlineLevel="0" collapsed="false">
      <c r="A226" s="5" t="s">
        <v>257</v>
      </c>
      <c r="B226" s="5" t="s">
        <v>577</v>
      </c>
      <c r="C226" s="27" t="n">
        <v>21.5</v>
      </c>
      <c r="D226" s="25" t="n">
        <f aca="false" t="array" ref="D226:D226">IF(F226="n/a","—",IF(_xlfn.XLOOKUP(TRIM(SUBSTITUTE(A226,_xlfn.UNICHAR(160)," ")),TRIM(SUBSTITUTE('worker file'!$A$2:$A$406,_xlfn.UNICHAR(160)," ")),'worker file'!$L$2:$L$406,"")="US Biweekly",$I$3,$I$2))</f>
        <v>46295</v>
      </c>
      <c r="E226" s="5" t="s">
        <v>578</v>
      </c>
      <c r="F226" s="5" t="s">
        <v>554</v>
      </c>
    </row>
    <row r="227" customFormat="false" ht="15" hidden="false" customHeight="false" outlineLevel="0" collapsed="false">
      <c r="A227" s="5" t="s">
        <v>258</v>
      </c>
      <c r="B227" s="5" t="s">
        <v>584</v>
      </c>
      <c r="C227" s="28" t="n">
        <v>1</v>
      </c>
      <c r="D227" s="25" t="n">
        <f aca="false" t="array" ref="D227:D227">IF(F227="n/a","—",IF(_xlfn.XLOOKUP(TRIM(SUBSTITUTE(A227,_xlfn.UNICHAR(160)," ")),TRIM(SUBSTITUTE('worker file'!$A$2:$A$406,_xlfn.UNICHAR(160)," ")),'worker file'!$L$2:$L$406,"")="US Biweekly",$I$3,$I$2))</f>
        <v>46295</v>
      </c>
      <c r="E227" s="5" t="s">
        <v>585</v>
      </c>
      <c r="F227" s="5" t="s">
        <v>559</v>
      </c>
    </row>
    <row r="228" customFormat="false" ht="15" hidden="false" customHeight="false" outlineLevel="0" collapsed="false">
      <c r="A228" s="5" t="s">
        <v>258</v>
      </c>
      <c r="B228" s="5" t="s">
        <v>586</v>
      </c>
      <c r="C228" s="28" t="n">
        <v>1</v>
      </c>
      <c r="D228" s="25" t="n">
        <f aca="false" t="array" ref="D228:D228">IF(F228="n/a","—",IF(_xlfn.XLOOKUP(TRIM(SUBSTITUTE(A228,_xlfn.UNICHAR(160)," ")),TRIM(SUBSTITUTE('worker file'!$A$2:$A$406,_xlfn.UNICHAR(160)," ")),'worker file'!$L$2:$L$406,"")="US Biweekly",$I$3,$I$2))</f>
        <v>46295</v>
      </c>
      <c r="E228" s="5" t="s">
        <v>587</v>
      </c>
      <c r="F228" s="5" t="s">
        <v>559</v>
      </c>
    </row>
    <row r="229" customFormat="false" ht="15" hidden="false" customHeight="false" outlineLevel="0" collapsed="false">
      <c r="A229" s="5" t="s">
        <v>259</v>
      </c>
      <c r="B229" s="5" t="s">
        <v>568</v>
      </c>
      <c r="C229" s="24" t="s">
        <v>569</v>
      </c>
      <c r="D229" s="25" t="str">
        <f aca="false" t="array" ref="D229:D229">IF(F229="n/a","—",IF(_xlfn.XLOOKUP(TRIM(SUBSTITUTE(A229,_xlfn.UNICHAR(160)," ")),TRIM(SUBSTITUTE('worker file'!$A$2:$A$406,_xlfn.UNICHAR(160)," ")),'worker file'!$L$2:$L$406,"")="US Biweekly",$I$3,$I$2))</f>
        <v>—</v>
      </c>
      <c r="E229" s="5" t="s">
        <v>570</v>
      </c>
      <c r="F229" s="5" t="s">
        <v>550</v>
      </c>
    </row>
    <row r="230" customFormat="false" ht="15" hidden="false" customHeight="false" outlineLevel="0" collapsed="false">
      <c r="A230" s="5" t="s">
        <v>260</v>
      </c>
      <c r="B230" s="5" t="s">
        <v>568</v>
      </c>
      <c r="C230" s="24" t="s">
        <v>569</v>
      </c>
      <c r="D230" s="25" t="str">
        <f aca="false" t="array" ref="D230:D230">IF(F230="n/a","—",IF(_xlfn.XLOOKUP(TRIM(SUBSTITUTE(A230,_xlfn.UNICHAR(160)," ")),TRIM(SUBSTITUTE('worker file'!$A$2:$A$406,_xlfn.UNICHAR(160)," ")),'worker file'!$L$2:$L$406,"")="US Biweekly",$I$3,$I$2))</f>
        <v>—</v>
      </c>
      <c r="E230" s="5" t="s">
        <v>570</v>
      </c>
      <c r="F230" s="5" t="s">
        <v>550</v>
      </c>
    </row>
    <row r="231" customFormat="false" ht="15" hidden="false" customHeight="false" outlineLevel="0" collapsed="false">
      <c r="A231" s="5" t="s">
        <v>260</v>
      </c>
      <c r="B231" s="5" t="s">
        <v>582</v>
      </c>
      <c r="C231" s="27" t="n">
        <v>13.25</v>
      </c>
      <c r="D231" s="25" t="n">
        <f aca="false" t="array" ref="D231:D231">IF(F231="n/a","—",IF(_xlfn.XLOOKUP(TRIM(SUBSTITUTE(A231,_xlfn.UNICHAR(160)," ")),TRIM(SUBSTITUTE('worker file'!$A$2:$A$406,_xlfn.UNICHAR(160)," ")),'worker file'!$L$2:$L$406,"")="US Biweekly",$I$3,$I$2))</f>
        <v>46295</v>
      </c>
      <c r="E231" s="5" t="s">
        <v>583</v>
      </c>
      <c r="F231" s="5" t="s">
        <v>554</v>
      </c>
    </row>
    <row r="232" customFormat="false" ht="15" hidden="false" customHeight="false" outlineLevel="0" collapsed="false">
      <c r="A232" s="5" t="s">
        <v>261</v>
      </c>
      <c r="B232" s="5" t="s">
        <v>573</v>
      </c>
      <c r="C232" s="27" t="n">
        <v>93</v>
      </c>
      <c r="D232" s="25" t="n">
        <f aca="false" t="array" ref="D232:D232">IF(F232="n/a","—",IF(_xlfn.XLOOKUP(TRIM(SUBSTITUTE(A232,_xlfn.UNICHAR(160)," ")),TRIM(SUBSTITUTE('worker file'!$A$2:$A$406,_xlfn.UNICHAR(160)," ")),'worker file'!$L$2:$L$406,"")="US Biweekly",$I$3,$I$2))</f>
        <v>46298</v>
      </c>
      <c r="E232" s="5" t="s">
        <v>574</v>
      </c>
      <c r="F232" s="5" t="s">
        <v>554</v>
      </c>
    </row>
    <row r="233" customFormat="false" ht="15" hidden="false" customHeight="false" outlineLevel="0" collapsed="false">
      <c r="A233" s="5" t="s">
        <v>261</v>
      </c>
      <c r="B233" s="5" t="s">
        <v>566</v>
      </c>
      <c r="C233" s="27" t="n">
        <v>74.25</v>
      </c>
      <c r="D233" s="25" t="n">
        <f aca="false" t="array" ref="D233:D233">IF(F233="n/a","—",IF(_xlfn.XLOOKUP(TRIM(SUBSTITUTE(A233,_xlfn.UNICHAR(160)," ")),TRIM(SUBSTITUTE('worker file'!$A$2:$A$406,_xlfn.UNICHAR(160)," ")),'worker file'!$L$2:$L$406,"")="US Biweekly",$I$3,$I$2))</f>
        <v>46298</v>
      </c>
      <c r="E233" s="5" t="s">
        <v>571</v>
      </c>
      <c r="F233" s="5" t="s">
        <v>554</v>
      </c>
    </row>
    <row r="234" customFormat="false" ht="15" hidden="false" customHeight="false" outlineLevel="0" collapsed="false">
      <c r="A234" s="5" t="s">
        <v>262</v>
      </c>
      <c r="B234" s="5" t="s">
        <v>568</v>
      </c>
      <c r="C234" s="24" t="s">
        <v>569</v>
      </c>
      <c r="D234" s="25" t="str">
        <f aca="false" t="array" ref="D234:D234">IF(F234="n/a","—",IF(_xlfn.XLOOKUP(TRIM(SUBSTITUTE(A234,_xlfn.UNICHAR(160)," ")),TRIM(SUBSTITUTE('worker file'!$A$2:$A$406,_xlfn.UNICHAR(160)," ")),'worker file'!$L$2:$L$406,"")="US Biweekly",$I$3,$I$2))</f>
        <v>—</v>
      </c>
      <c r="E234" s="5" t="s">
        <v>570</v>
      </c>
      <c r="F234" s="5" t="s">
        <v>550</v>
      </c>
    </row>
    <row r="235" customFormat="false" ht="15" hidden="false" customHeight="false" outlineLevel="0" collapsed="false">
      <c r="A235" s="5" t="s">
        <v>262</v>
      </c>
      <c r="B235" s="5" t="s">
        <v>590</v>
      </c>
      <c r="C235" s="27" t="n">
        <v>35</v>
      </c>
      <c r="D235" s="25" t="n">
        <f aca="false" t="array" ref="D235:D235">IF(F235="n/a","—",IF(_xlfn.XLOOKUP(TRIM(SUBSTITUTE(A235,_xlfn.UNICHAR(160)," ")),TRIM(SUBSTITUTE('worker file'!$A$2:$A$406,_xlfn.UNICHAR(160)," ")),'worker file'!$L$2:$L$406,"")="US Biweekly",$I$3,$I$2))</f>
        <v>46295</v>
      </c>
      <c r="E235" s="5" t="s">
        <v>591</v>
      </c>
      <c r="F235" s="5" t="s">
        <v>554</v>
      </c>
    </row>
    <row r="236" customFormat="false" ht="15" hidden="false" customHeight="false" outlineLevel="0" collapsed="false">
      <c r="A236" s="5" t="s">
        <v>263</v>
      </c>
      <c r="B236" s="5" t="s">
        <v>573</v>
      </c>
      <c r="C236" s="27" t="n">
        <v>80.5</v>
      </c>
      <c r="D236" s="25" t="n">
        <f aca="false" t="array" ref="D236:D236">IF(F236="n/a","—",IF(_xlfn.XLOOKUP(TRIM(SUBSTITUTE(A236,_xlfn.UNICHAR(160)," ")),TRIM(SUBSTITUTE('worker file'!$A$2:$A$406,_xlfn.UNICHAR(160)," ")),'worker file'!$L$2:$L$406,"")="US Biweekly",$I$3,$I$2))</f>
        <v>46298</v>
      </c>
      <c r="E236" s="5" t="s">
        <v>574</v>
      </c>
      <c r="F236" s="5" t="s">
        <v>554</v>
      </c>
    </row>
    <row r="237" customFormat="false" ht="15" hidden="false" customHeight="false" outlineLevel="0" collapsed="false">
      <c r="A237" s="5" t="s">
        <v>263</v>
      </c>
      <c r="B237" s="5" t="s">
        <v>566</v>
      </c>
      <c r="C237" s="27" t="n">
        <v>25.25</v>
      </c>
      <c r="D237" s="25" t="n">
        <f aca="false" t="array" ref="D237:D237">IF(F237="n/a","—",IF(_xlfn.XLOOKUP(TRIM(SUBSTITUTE(A237,_xlfn.UNICHAR(160)," ")),TRIM(SUBSTITUTE('worker file'!$A$2:$A$406,_xlfn.UNICHAR(160)," ")),'worker file'!$L$2:$L$406,"")="US Biweekly",$I$3,$I$2))</f>
        <v>46298</v>
      </c>
      <c r="E237" s="5" t="s">
        <v>571</v>
      </c>
      <c r="F237" s="5" t="s">
        <v>554</v>
      </c>
    </row>
    <row r="238" customFormat="false" ht="15" hidden="false" customHeight="false" outlineLevel="0" collapsed="false">
      <c r="A238" s="5" t="s">
        <v>264</v>
      </c>
      <c r="B238" s="5" t="s">
        <v>584</v>
      </c>
      <c r="C238" s="28" t="n">
        <v>9.5</v>
      </c>
      <c r="D238" s="25" t="n">
        <f aca="false" t="array" ref="D238:D238">IF(F238="n/a","—",IF(_xlfn.XLOOKUP(TRIM(SUBSTITUTE(A238,_xlfn.UNICHAR(160)," ")),TRIM(SUBSTITUTE('worker file'!$A$2:$A$406,_xlfn.UNICHAR(160)," ")),'worker file'!$L$2:$L$406,"")="US Biweekly",$I$3,$I$2))</f>
        <v>46295</v>
      </c>
      <c r="E238" s="5" t="s">
        <v>585</v>
      </c>
      <c r="F238" s="5" t="s">
        <v>559</v>
      </c>
    </row>
    <row r="239" customFormat="false" ht="15" hidden="false" customHeight="false" outlineLevel="0" collapsed="false">
      <c r="A239" s="5" t="s">
        <v>264</v>
      </c>
      <c r="B239" s="5" t="s">
        <v>586</v>
      </c>
      <c r="C239" s="28" t="n">
        <v>6.5</v>
      </c>
      <c r="D239" s="25" t="n">
        <f aca="false" t="array" ref="D239:D239">IF(F239="n/a","—",IF(_xlfn.XLOOKUP(TRIM(SUBSTITUTE(A239,_xlfn.UNICHAR(160)," ")),TRIM(SUBSTITUTE('worker file'!$A$2:$A$406,_xlfn.UNICHAR(160)," ")),'worker file'!$L$2:$L$406,"")="US Biweekly",$I$3,$I$2))</f>
        <v>46295</v>
      </c>
      <c r="E239" s="5" t="s">
        <v>587</v>
      </c>
      <c r="F239" s="5" t="s">
        <v>559</v>
      </c>
    </row>
    <row r="240" customFormat="false" ht="15" hidden="false" customHeight="false" outlineLevel="0" collapsed="false">
      <c r="A240" s="5" t="s">
        <v>265</v>
      </c>
      <c r="B240" s="5" t="s">
        <v>568</v>
      </c>
      <c r="C240" s="24" t="s">
        <v>569</v>
      </c>
      <c r="D240" s="25" t="str">
        <f aca="false" t="array" ref="D240:D240">IF(F240="n/a","—",IF(_xlfn.XLOOKUP(TRIM(SUBSTITUTE(A240,_xlfn.UNICHAR(160)," ")),TRIM(SUBSTITUTE('worker file'!$A$2:$A$406,_xlfn.UNICHAR(160)," ")),'worker file'!$L$2:$L$406,"")="US Biweekly",$I$3,$I$2))</f>
        <v>—</v>
      </c>
      <c r="E240" s="5" t="s">
        <v>570</v>
      </c>
      <c r="F240" s="5" t="s">
        <v>550</v>
      </c>
    </row>
    <row r="241" customFormat="false" ht="15" hidden="false" customHeight="false" outlineLevel="0" collapsed="false">
      <c r="A241" s="5" t="s">
        <v>265</v>
      </c>
      <c r="B241" s="5" t="s">
        <v>592</v>
      </c>
      <c r="C241" s="27" t="n">
        <v>33.5</v>
      </c>
      <c r="D241" s="25" t="n">
        <f aca="false" t="array" ref="D241:D241">IF(F241="n/a","—",IF(_xlfn.XLOOKUP(TRIM(SUBSTITUTE(A241,_xlfn.UNICHAR(160)," ")),TRIM(SUBSTITUTE('worker file'!$A$2:$A$406,_xlfn.UNICHAR(160)," ")),'worker file'!$L$2:$L$406,"")="US Biweekly",$I$3,$I$2))</f>
        <v>46295</v>
      </c>
      <c r="E241" s="5" t="s">
        <v>593</v>
      </c>
      <c r="F241" s="5" t="s">
        <v>554</v>
      </c>
    </row>
    <row r="242" customFormat="false" ht="15" hidden="false" customHeight="false" outlineLevel="0" collapsed="false">
      <c r="A242" s="5" t="s">
        <v>267</v>
      </c>
      <c r="B242" s="5" t="s">
        <v>568</v>
      </c>
      <c r="C242" s="24" t="s">
        <v>569</v>
      </c>
      <c r="D242" s="25" t="str">
        <f aca="false" t="array" ref="D242:D242">IF(F242="n/a","—",IF(_xlfn.XLOOKUP(TRIM(SUBSTITUTE(A242,_xlfn.UNICHAR(160)," ")),TRIM(SUBSTITUTE('worker file'!$A$2:$A$406,_xlfn.UNICHAR(160)," ")),'worker file'!$L$2:$L$406,"")="US Biweekly",$I$3,$I$2))</f>
        <v>—</v>
      </c>
      <c r="E242" s="5" t="s">
        <v>570</v>
      </c>
      <c r="F242" s="5" t="s">
        <v>550</v>
      </c>
    </row>
    <row r="243" customFormat="false" ht="15" hidden="false" customHeight="false" outlineLevel="0" collapsed="false">
      <c r="A243" s="5" t="s">
        <v>268</v>
      </c>
      <c r="B243" s="5" t="s">
        <v>568</v>
      </c>
      <c r="C243" s="24" t="s">
        <v>569</v>
      </c>
      <c r="D243" s="25" t="str">
        <f aca="false" t="array" ref="D243:D243">IF(F243="n/a","—",IF(_xlfn.XLOOKUP(TRIM(SUBSTITUTE(A243,_xlfn.UNICHAR(160)," ")),TRIM(SUBSTITUTE('worker file'!$A$2:$A$406,_xlfn.UNICHAR(160)," ")),'worker file'!$L$2:$L$406,"")="US Biweekly",$I$3,$I$2))</f>
        <v>—</v>
      </c>
      <c r="E243" s="5" t="s">
        <v>570</v>
      </c>
      <c r="F243" s="5" t="s">
        <v>550</v>
      </c>
    </row>
    <row r="244" customFormat="false" ht="15" hidden="false" customHeight="false" outlineLevel="0" collapsed="false">
      <c r="A244" s="5" t="s">
        <v>268</v>
      </c>
      <c r="B244" s="5" t="s">
        <v>566</v>
      </c>
      <c r="C244" s="27" t="n">
        <v>55.5</v>
      </c>
      <c r="D244" s="25" t="n">
        <f aca="false" t="array" ref="D244:D244">IF(F244="n/a","—",IF(_xlfn.XLOOKUP(TRIM(SUBSTITUTE(A244,_xlfn.UNICHAR(160)," ")),TRIM(SUBSTITUTE('worker file'!$A$2:$A$406,_xlfn.UNICHAR(160)," ")),'worker file'!$L$2:$L$406,"")="US Biweekly",$I$3,$I$2))</f>
        <v>46295</v>
      </c>
      <c r="E244" s="5" t="s">
        <v>571</v>
      </c>
      <c r="F244" s="5" t="s">
        <v>554</v>
      </c>
    </row>
    <row r="245" customFormat="false" ht="15" hidden="false" customHeight="false" outlineLevel="0" collapsed="false">
      <c r="A245" s="5" t="s">
        <v>269</v>
      </c>
      <c r="B245" s="5" t="s">
        <v>568</v>
      </c>
      <c r="C245" s="24" t="s">
        <v>569</v>
      </c>
      <c r="D245" s="25" t="str">
        <f aca="false" t="array" ref="D245:D245">IF(F245="n/a","—",IF(_xlfn.XLOOKUP(TRIM(SUBSTITUTE(A245,_xlfn.UNICHAR(160)," ")),TRIM(SUBSTITUTE('worker file'!$A$2:$A$406,_xlfn.UNICHAR(160)," ")),'worker file'!$L$2:$L$406,"")="US Biweekly",$I$3,$I$2))</f>
        <v>—</v>
      </c>
      <c r="E245" s="5" t="s">
        <v>570</v>
      </c>
      <c r="F245" s="5" t="s">
        <v>550</v>
      </c>
    </row>
    <row r="246" customFormat="false" ht="15" hidden="false" customHeight="false" outlineLevel="0" collapsed="false">
      <c r="A246" s="5" t="s">
        <v>270</v>
      </c>
      <c r="B246" s="5" t="s">
        <v>573</v>
      </c>
      <c r="C246" s="27" t="n">
        <v>61.75</v>
      </c>
      <c r="D246" s="25" t="n">
        <f aca="false" t="array" ref="D246:D246">IF(F246="n/a","—",IF(_xlfn.XLOOKUP(TRIM(SUBSTITUTE(A246,_xlfn.UNICHAR(160)," ")),TRIM(SUBSTITUTE('worker file'!$A$2:$A$406,_xlfn.UNICHAR(160)," ")),'worker file'!$L$2:$L$406,"")="US Biweekly",$I$3,$I$2))</f>
        <v>46298</v>
      </c>
      <c r="E246" s="5" t="s">
        <v>574</v>
      </c>
      <c r="F246" s="5" t="s">
        <v>554</v>
      </c>
    </row>
    <row r="247" customFormat="false" ht="15" hidden="false" customHeight="false" outlineLevel="0" collapsed="false">
      <c r="A247" s="5" t="s">
        <v>270</v>
      </c>
      <c r="B247" s="5" t="s">
        <v>575</v>
      </c>
      <c r="C247" s="27" t="n">
        <v>5.5</v>
      </c>
      <c r="D247" s="25" t="n">
        <f aca="false" t="array" ref="D247:D247">IF(F247="n/a","—",IF(_xlfn.XLOOKUP(TRIM(SUBSTITUTE(A247,_xlfn.UNICHAR(160)," ")),TRIM(SUBSTITUTE('worker file'!$A$2:$A$406,_xlfn.UNICHAR(160)," ")),'worker file'!$L$2:$L$406,"")="US Biweekly",$I$3,$I$2))</f>
        <v>46298</v>
      </c>
      <c r="E247" s="5" t="s">
        <v>576</v>
      </c>
      <c r="F247" s="5" t="s">
        <v>554</v>
      </c>
    </row>
    <row r="248" customFormat="false" ht="15" hidden="false" customHeight="false" outlineLevel="0" collapsed="false">
      <c r="A248" s="5" t="s">
        <v>271</v>
      </c>
      <c r="B248" s="5" t="s">
        <v>568</v>
      </c>
      <c r="C248" s="24" t="s">
        <v>569</v>
      </c>
      <c r="D248" s="25" t="str">
        <f aca="false" t="array" ref="D248:D248">IF(F248="n/a","—",IF(_xlfn.XLOOKUP(TRIM(SUBSTITUTE(A248,_xlfn.UNICHAR(160)," ")),TRIM(SUBSTITUTE('worker file'!$A$2:$A$406,_xlfn.UNICHAR(160)," ")),'worker file'!$L$2:$L$406,"")="US Biweekly",$I$3,$I$2))</f>
        <v>—</v>
      </c>
      <c r="E248" s="5" t="s">
        <v>570</v>
      </c>
      <c r="F248" s="5" t="s">
        <v>550</v>
      </c>
    </row>
    <row r="249" customFormat="false" ht="15" hidden="false" customHeight="false" outlineLevel="0" collapsed="false">
      <c r="A249" s="5" t="s">
        <v>271</v>
      </c>
      <c r="B249" s="5" t="s">
        <v>566</v>
      </c>
      <c r="C249" s="27" t="n">
        <v>29.5</v>
      </c>
      <c r="D249" s="25" t="n">
        <f aca="false" t="array" ref="D249:D249">IF(F249="n/a","—",IF(_xlfn.XLOOKUP(TRIM(SUBSTITUTE(A249,_xlfn.UNICHAR(160)," ")),TRIM(SUBSTITUTE('worker file'!$A$2:$A$406,_xlfn.UNICHAR(160)," ")),'worker file'!$L$2:$L$406,"")="US Biweekly",$I$3,$I$2))</f>
        <v>46295</v>
      </c>
      <c r="E249" s="5" t="s">
        <v>571</v>
      </c>
      <c r="F249" s="5" t="s">
        <v>554</v>
      </c>
    </row>
    <row r="250" customFormat="false" ht="15" hidden="false" customHeight="false" outlineLevel="0" collapsed="false">
      <c r="A250" s="5" t="s">
        <v>272</v>
      </c>
      <c r="B250" s="5" t="s">
        <v>568</v>
      </c>
      <c r="C250" s="24" t="s">
        <v>569</v>
      </c>
      <c r="D250" s="25" t="str">
        <f aca="false" t="array" ref="D250:D250">IF(F250="n/a","—",IF(_xlfn.XLOOKUP(TRIM(SUBSTITUTE(A250,_xlfn.UNICHAR(160)," ")),TRIM(SUBSTITUTE('worker file'!$A$2:$A$406,_xlfn.UNICHAR(160)," ")),'worker file'!$L$2:$L$406,"")="US Biweekly",$I$3,$I$2))</f>
        <v>—</v>
      </c>
      <c r="E250" s="5" t="s">
        <v>570</v>
      </c>
      <c r="F250" s="5" t="s">
        <v>550</v>
      </c>
    </row>
    <row r="251" customFormat="false" ht="15" hidden="false" customHeight="false" outlineLevel="0" collapsed="false">
      <c r="A251" s="5" t="s">
        <v>272</v>
      </c>
      <c r="B251" s="5" t="s">
        <v>566</v>
      </c>
      <c r="C251" s="27" t="n">
        <v>60</v>
      </c>
      <c r="D251" s="25" t="n">
        <f aca="false" t="array" ref="D251:D251">IF(F251="n/a","—",IF(_xlfn.XLOOKUP(TRIM(SUBSTITUTE(A251,_xlfn.UNICHAR(160)," ")),TRIM(SUBSTITUTE('worker file'!$A$2:$A$406,_xlfn.UNICHAR(160)," ")),'worker file'!$L$2:$L$406,"")="US Biweekly",$I$3,$I$2))</f>
        <v>46295</v>
      </c>
      <c r="E251" s="5" t="s">
        <v>571</v>
      </c>
      <c r="F251" s="5" t="s">
        <v>554</v>
      </c>
    </row>
    <row r="252" customFormat="false" ht="15" hidden="false" customHeight="false" outlineLevel="0" collapsed="false">
      <c r="A252" s="5" t="s">
        <v>273</v>
      </c>
      <c r="B252" s="5" t="s">
        <v>568</v>
      </c>
      <c r="C252" s="24" t="s">
        <v>569</v>
      </c>
      <c r="D252" s="25" t="str">
        <f aca="false" t="array" ref="D252:D252">IF(F252="n/a","—",IF(_xlfn.XLOOKUP(TRIM(SUBSTITUTE(A252,_xlfn.UNICHAR(160)," ")),TRIM(SUBSTITUTE('worker file'!$A$2:$A$406,_xlfn.UNICHAR(160)," ")),'worker file'!$L$2:$L$406,"")="US Biweekly",$I$3,$I$2))</f>
        <v>—</v>
      </c>
      <c r="E252" s="5" t="s">
        <v>570</v>
      </c>
      <c r="F252" s="5" t="s">
        <v>550</v>
      </c>
    </row>
    <row r="253" customFormat="false" ht="15" hidden="false" customHeight="false" outlineLevel="0" collapsed="false">
      <c r="A253" s="5" t="s">
        <v>273</v>
      </c>
      <c r="B253" s="5" t="s">
        <v>566</v>
      </c>
      <c r="C253" s="27" t="n">
        <v>60</v>
      </c>
      <c r="D253" s="25" t="n">
        <f aca="false" t="array" ref="D253:D253">IF(F253="n/a","—",IF(_xlfn.XLOOKUP(TRIM(SUBSTITUTE(A253,_xlfn.UNICHAR(160)," ")),TRIM(SUBSTITUTE('worker file'!$A$2:$A$406,_xlfn.UNICHAR(160)," ")),'worker file'!$L$2:$L$406,"")="US Biweekly",$I$3,$I$2))</f>
        <v>46295</v>
      </c>
      <c r="E253" s="5" t="s">
        <v>571</v>
      </c>
      <c r="F253" s="5" t="s">
        <v>554</v>
      </c>
    </row>
    <row r="254" customFormat="false" ht="15" hidden="false" customHeight="false" outlineLevel="0" collapsed="false">
      <c r="A254" s="5" t="s">
        <v>274</v>
      </c>
      <c r="B254" s="5" t="s">
        <v>568</v>
      </c>
      <c r="C254" s="24" t="s">
        <v>569</v>
      </c>
      <c r="D254" s="25" t="str">
        <f aca="false" t="array" ref="D254:D254">IF(F254="n/a","—",IF(_xlfn.XLOOKUP(TRIM(SUBSTITUTE(A254,_xlfn.UNICHAR(160)," ")),TRIM(SUBSTITUTE('worker file'!$A$2:$A$406,_xlfn.UNICHAR(160)," ")),'worker file'!$L$2:$L$406,"")="US Biweekly",$I$3,$I$2))</f>
        <v>—</v>
      </c>
      <c r="E254" s="5" t="s">
        <v>570</v>
      </c>
      <c r="F254" s="5" t="s">
        <v>550</v>
      </c>
    </row>
    <row r="255" customFormat="false" ht="15" hidden="false" customHeight="false" outlineLevel="0" collapsed="false">
      <c r="A255" s="5" t="s">
        <v>274</v>
      </c>
      <c r="B255" s="5" t="s">
        <v>566</v>
      </c>
      <c r="C255" s="27" t="n">
        <v>54.75</v>
      </c>
      <c r="D255" s="25" t="n">
        <f aca="false" t="array" ref="D255:D255">IF(F255="n/a","—",IF(_xlfn.XLOOKUP(TRIM(SUBSTITUTE(A255,_xlfn.UNICHAR(160)," ")),TRIM(SUBSTITUTE('worker file'!$A$2:$A$406,_xlfn.UNICHAR(160)," ")),'worker file'!$L$2:$L$406,"")="US Biweekly",$I$3,$I$2))</f>
        <v>46295</v>
      </c>
      <c r="E255" s="5" t="s">
        <v>571</v>
      </c>
      <c r="F255" s="5" t="s">
        <v>554</v>
      </c>
    </row>
    <row r="256" customFormat="false" ht="15" hidden="false" customHeight="false" outlineLevel="0" collapsed="false">
      <c r="A256" s="5" t="s">
        <v>275</v>
      </c>
      <c r="B256" s="5" t="s">
        <v>568</v>
      </c>
      <c r="C256" s="24" t="s">
        <v>569</v>
      </c>
      <c r="D256" s="25" t="str">
        <f aca="false" t="array" ref="D256:D256">IF(F256="n/a","—",IF(_xlfn.XLOOKUP(TRIM(SUBSTITUTE(A256,_xlfn.UNICHAR(160)," ")),TRIM(SUBSTITUTE('worker file'!$A$2:$A$406,_xlfn.UNICHAR(160)," ")),'worker file'!$L$2:$L$406,"")="US Biweekly",$I$3,$I$2))</f>
        <v>—</v>
      </c>
      <c r="E256" s="5" t="s">
        <v>570</v>
      </c>
      <c r="F256" s="5" t="s">
        <v>550</v>
      </c>
    </row>
    <row r="257" customFormat="false" ht="15" hidden="false" customHeight="false" outlineLevel="0" collapsed="false">
      <c r="A257" s="5" t="s">
        <v>275</v>
      </c>
      <c r="B257" s="5" t="s">
        <v>566</v>
      </c>
      <c r="C257" s="27" t="n">
        <v>76.75</v>
      </c>
      <c r="D257" s="25" t="n">
        <f aca="false" t="array" ref="D257:D257">IF(F257="n/a","—",IF(_xlfn.XLOOKUP(TRIM(SUBSTITUTE(A257,_xlfn.UNICHAR(160)," ")),TRIM(SUBSTITUTE('worker file'!$A$2:$A$406,_xlfn.UNICHAR(160)," ")),'worker file'!$L$2:$L$406,"")="US Biweekly",$I$3,$I$2))</f>
        <v>46295</v>
      </c>
      <c r="E257" s="5" t="s">
        <v>571</v>
      </c>
      <c r="F257" s="5" t="s">
        <v>554</v>
      </c>
    </row>
    <row r="258" customFormat="false" ht="15" hidden="false" customHeight="false" outlineLevel="0" collapsed="false">
      <c r="A258" s="5" t="s">
        <v>594</v>
      </c>
      <c r="B258" s="5" t="s">
        <v>568</v>
      </c>
      <c r="C258" s="24" t="s">
        <v>569</v>
      </c>
      <c r="D258" s="25" t="str">
        <f aca="false" t="array" ref="D258:D258">IF(F258="n/a","—",IF(_xlfn.XLOOKUP(TRIM(SUBSTITUTE(A258,_xlfn.UNICHAR(160)," ")),TRIM(SUBSTITUTE('worker file'!$A$2:$A$406,_xlfn.UNICHAR(160)," ")),'worker file'!$L$2:$L$406,"")="US Biweekly",$I$3,$I$2))</f>
        <v>—</v>
      </c>
      <c r="E258" s="5" t="s">
        <v>570</v>
      </c>
      <c r="F258" s="5" t="s">
        <v>550</v>
      </c>
    </row>
    <row r="259" customFormat="false" ht="15" hidden="false" customHeight="false" outlineLevel="0" collapsed="false">
      <c r="A259" s="5" t="s">
        <v>594</v>
      </c>
      <c r="B259" s="5" t="s">
        <v>577</v>
      </c>
      <c r="C259" s="27" t="n">
        <v>21</v>
      </c>
      <c r="D259" s="25" t="n">
        <f aca="false" t="array" ref="D259:D259">IF(F259="n/a","—",IF(_xlfn.XLOOKUP(TRIM(SUBSTITUTE(A259,_xlfn.UNICHAR(160)," ")),TRIM(SUBSTITUTE('worker file'!$A$2:$A$406,_xlfn.UNICHAR(160)," ")),'worker file'!$L$2:$L$406,"")="US Biweekly",$I$3,$I$2))</f>
        <v>46295</v>
      </c>
      <c r="E259" s="5" t="s">
        <v>595</v>
      </c>
      <c r="F259" s="5" t="s">
        <v>554</v>
      </c>
    </row>
    <row r="260" customFormat="false" ht="15" hidden="false" customHeight="false" outlineLevel="0" collapsed="false">
      <c r="A260" s="5" t="s">
        <v>276</v>
      </c>
      <c r="B260" s="5" t="s">
        <v>584</v>
      </c>
      <c r="C260" s="28" t="n">
        <v>4</v>
      </c>
      <c r="D260" s="25" t="n">
        <f aca="false" t="array" ref="D260:D260">IF(F260="n/a","—",IF(_xlfn.XLOOKUP(TRIM(SUBSTITUTE(A260,_xlfn.UNICHAR(160)," ")),TRIM(SUBSTITUTE('worker file'!$A$2:$A$406,_xlfn.UNICHAR(160)," ")),'worker file'!$L$2:$L$406,"")="US Biweekly",$I$3,$I$2))</f>
        <v>46295</v>
      </c>
      <c r="E260" s="5" t="s">
        <v>585</v>
      </c>
      <c r="F260" s="5" t="s">
        <v>559</v>
      </c>
    </row>
    <row r="261" customFormat="false" ht="15" hidden="false" customHeight="false" outlineLevel="0" collapsed="false">
      <c r="A261" s="5" t="s">
        <v>276</v>
      </c>
      <c r="B261" s="5" t="s">
        <v>586</v>
      </c>
      <c r="C261" s="28" t="n">
        <v>0.5</v>
      </c>
      <c r="D261" s="25" t="n">
        <f aca="false" t="array" ref="D261:D261">IF(F261="n/a","—",IF(_xlfn.XLOOKUP(TRIM(SUBSTITUTE(A261,_xlfn.UNICHAR(160)," ")),TRIM(SUBSTITUTE('worker file'!$A$2:$A$406,_xlfn.UNICHAR(160)," ")),'worker file'!$L$2:$L$406,"")="US Biweekly",$I$3,$I$2))</f>
        <v>46295</v>
      </c>
      <c r="E261" s="5" t="s">
        <v>587</v>
      </c>
      <c r="F261" s="5" t="s">
        <v>559</v>
      </c>
    </row>
    <row r="262" customFormat="false" ht="15" hidden="false" customHeight="false" outlineLevel="0" collapsed="false">
      <c r="A262" s="5" t="s">
        <v>277</v>
      </c>
      <c r="B262" s="5" t="s">
        <v>584</v>
      </c>
      <c r="C262" s="28" t="n">
        <v>15.5</v>
      </c>
      <c r="D262" s="25" t="n">
        <f aca="false" t="array" ref="D262:D262">IF(F262="n/a","—",IF(_xlfn.XLOOKUP(TRIM(SUBSTITUTE(A262,_xlfn.UNICHAR(160)," ")),TRIM(SUBSTITUTE('worker file'!$A$2:$A$406,_xlfn.UNICHAR(160)," ")),'worker file'!$L$2:$L$406,"")="US Biweekly",$I$3,$I$2))</f>
        <v>46295</v>
      </c>
      <c r="E262" s="5" t="s">
        <v>585</v>
      </c>
      <c r="F262" s="5" t="s">
        <v>559</v>
      </c>
    </row>
    <row r="263" customFormat="false" ht="15" hidden="false" customHeight="false" outlineLevel="0" collapsed="false">
      <c r="A263" s="5" t="s">
        <v>277</v>
      </c>
      <c r="B263" s="5" t="s">
        <v>586</v>
      </c>
      <c r="C263" s="28" t="n">
        <v>3.5</v>
      </c>
      <c r="D263" s="25" t="n">
        <f aca="false" t="array" ref="D263:D263">IF(F263="n/a","—",IF(_xlfn.XLOOKUP(TRIM(SUBSTITUTE(A263,_xlfn.UNICHAR(160)," ")),TRIM(SUBSTITUTE('worker file'!$A$2:$A$406,_xlfn.UNICHAR(160)," ")),'worker file'!$L$2:$L$406,"")="US Biweekly",$I$3,$I$2))</f>
        <v>46295</v>
      </c>
      <c r="E263" s="5" t="s">
        <v>587</v>
      </c>
      <c r="F263" s="5" t="s">
        <v>559</v>
      </c>
    </row>
    <row r="264" customFormat="false" ht="15" hidden="false" customHeight="false" outlineLevel="0" collapsed="false">
      <c r="A264" s="5" t="s">
        <v>278</v>
      </c>
      <c r="B264" s="5" t="s">
        <v>568</v>
      </c>
      <c r="C264" s="24" t="s">
        <v>569</v>
      </c>
      <c r="D264" s="25" t="str">
        <f aca="false" t="array" ref="D264:D264">IF(F264="n/a","—",IF(_xlfn.XLOOKUP(TRIM(SUBSTITUTE(A264,_xlfn.UNICHAR(160)," ")),TRIM(SUBSTITUTE('worker file'!$A$2:$A$406,_xlfn.UNICHAR(160)," ")),'worker file'!$L$2:$L$406,"")="US Biweekly",$I$3,$I$2))</f>
        <v>—</v>
      </c>
      <c r="E264" s="5" t="s">
        <v>570</v>
      </c>
      <c r="F264" s="5" t="s">
        <v>550</v>
      </c>
    </row>
    <row r="265" customFormat="false" ht="15" hidden="false" customHeight="false" outlineLevel="0" collapsed="false">
      <c r="A265" s="5" t="s">
        <v>278</v>
      </c>
      <c r="B265" s="5" t="s">
        <v>566</v>
      </c>
      <c r="C265" s="27" t="n">
        <v>66.75</v>
      </c>
      <c r="D265" s="25" t="n">
        <f aca="false" t="array" ref="D265:D265">IF(F265="n/a","—",IF(_xlfn.XLOOKUP(TRIM(SUBSTITUTE(A265,_xlfn.UNICHAR(160)," ")),TRIM(SUBSTITUTE('worker file'!$A$2:$A$406,_xlfn.UNICHAR(160)," ")),'worker file'!$L$2:$L$406,"")="US Biweekly",$I$3,$I$2))</f>
        <v>46295</v>
      </c>
      <c r="E265" s="5" t="s">
        <v>571</v>
      </c>
      <c r="F265" s="5" t="s">
        <v>554</v>
      </c>
    </row>
    <row r="266" customFormat="false" ht="15" hidden="false" customHeight="false" outlineLevel="0" collapsed="false">
      <c r="A266" s="5" t="s">
        <v>279</v>
      </c>
      <c r="B266" s="5" t="s">
        <v>573</v>
      </c>
      <c r="C266" s="27" t="n">
        <v>79.5</v>
      </c>
      <c r="D266" s="25" t="n">
        <f aca="false" t="array" ref="D266:D266">IF(F266="n/a","—",IF(_xlfn.XLOOKUP(TRIM(SUBSTITUTE(A266,_xlfn.UNICHAR(160)," ")),TRIM(SUBSTITUTE('worker file'!$A$2:$A$406,_xlfn.UNICHAR(160)," ")),'worker file'!$L$2:$L$406,"")="US Biweekly",$I$3,$I$2))</f>
        <v>46298</v>
      </c>
      <c r="E266" s="5" t="s">
        <v>574</v>
      </c>
      <c r="F266" s="5" t="s">
        <v>554</v>
      </c>
    </row>
    <row r="267" customFormat="false" ht="15" hidden="false" customHeight="false" outlineLevel="0" collapsed="false">
      <c r="A267" s="5" t="s">
        <v>279</v>
      </c>
      <c r="B267" s="5" t="s">
        <v>575</v>
      </c>
      <c r="C267" s="27" t="n">
        <v>24</v>
      </c>
      <c r="D267" s="25" t="n">
        <f aca="false" t="array" ref="D267:D267">IF(F267="n/a","—",IF(_xlfn.XLOOKUP(TRIM(SUBSTITUTE(A267,_xlfn.UNICHAR(160)," ")),TRIM(SUBSTITUTE('worker file'!$A$2:$A$406,_xlfn.UNICHAR(160)," ")),'worker file'!$L$2:$L$406,"")="US Biweekly",$I$3,$I$2))</f>
        <v>46298</v>
      </c>
      <c r="E267" s="5" t="s">
        <v>576</v>
      </c>
      <c r="F267" s="5" t="s">
        <v>554</v>
      </c>
    </row>
    <row r="268" customFormat="false" ht="15" hidden="false" customHeight="false" outlineLevel="0" collapsed="false">
      <c r="A268" s="5" t="s">
        <v>280</v>
      </c>
      <c r="B268" s="5" t="s">
        <v>568</v>
      </c>
      <c r="C268" s="24" t="s">
        <v>569</v>
      </c>
      <c r="D268" s="25" t="str">
        <f aca="false" t="array" ref="D268:D268">IF(F268="n/a","—",IF(_xlfn.XLOOKUP(TRIM(SUBSTITUTE(A268,_xlfn.UNICHAR(160)," ")),TRIM(SUBSTITUTE('worker file'!$A$2:$A$406,_xlfn.UNICHAR(160)," ")),'worker file'!$L$2:$L$406,"")="US Biweekly",$I$3,$I$2))</f>
        <v>—</v>
      </c>
      <c r="E268" s="5" t="s">
        <v>570</v>
      </c>
      <c r="F268" s="5" t="s">
        <v>550</v>
      </c>
    </row>
    <row r="269" customFormat="false" ht="15" hidden="false" customHeight="false" outlineLevel="0" collapsed="false">
      <c r="A269" s="5" t="s">
        <v>281</v>
      </c>
      <c r="B269" s="5" t="s">
        <v>588</v>
      </c>
      <c r="C269" s="28" t="n">
        <v>12</v>
      </c>
      <c r="D269" s="25" t="n">
        <f aca="false" t="array" ref="D269:D269">IF(F269="n/a","—",IF(_xlfn.XLOOKUP(TRIM(SUBSTITUTE(A269,_xlfn.UNICHAR(160)," ")),TRIM(SUBSTITUTE('worker file'!$A$2:$A$406,_xlfn.UNICHAR(160)," ")),'worker file'!$L$2:$L$406,"")="US Biweekly",$I$3,$I$2))</f>
        <v>46295</v>
      </c>
      <c r="E269" s="5" t="s">
        <v>589</v>
      </c>
      <c r="F269" s="5" t="s">
        <v>559</v>
      </c>
    </row>
    <row r="270" customFormat="false" ht="15" hidden="false" customHeight="false" outlineLevel="0" collapsed="false">
      <c r="A270" s="5" t="s">
        <v>282</v>
      </c>
      <c r="B270" s="5" t="s">
        <v>584</v>
      </c>
      <c r="C270" s="28" t="n">
        <v>21.5</v>
      </c>
      <c r="D270" s="25" t="n">
        <f aca="false" t="array" ref="D270:D270">IF(F270="n/a","—",IF(_xlfn.XLOOKUP(TRIM(SUBSTITUTE(A270,_xlfn.UNICHAR(160)," ")),TRIM(SUBSTITUTE('worker file'!$A$2:$A$406,_xlfn.UNICHAR(160)," ")),'worker file'!$L$2:$L$406,"")="US Biweekly",$I$3,$I$2))</f>
        <v>46295</v>
      </c>
      <c r="E270" s="5" t="s">
        <v>585</v>
      </c>
      <c r="F270" s="5" t="s">
        <v>559</v>
      </c>
    </row>
    <row r="271" customFormat="false" ht="15" hidden="false" customHeight="false" outlineLevel="0" collapsed="false">
      <c r="A271" s="5" t="s">
        <v>282</v>
      </c>
      <c r="B271" s="5" t="s">
        <v>586</v>
      </c>
      <c r="C271" s="28" t="n">
        <v>4</v>
      </c>
      <c r="D271" s="25" t="n">
        <f aca="false" t="array" ref="D271:D271">IF(F271="n/a","—",IF(_xlfn.XLOOKUP(TRIM(SUBSTITUTE(A271,_xlfn.UNICHAR(160)," ")),TRIM(SUBSTITUTE('worker file'!$A$2:$A$406,_xlfn.UNICHAR(160)," ")),'worker file'!$L$2:$L$406,"")="US Biweekly",$I$3,$I$2))</f>
        <v>46295</v>
      </c>
      <c r="E271" s="5" t="s">
        <v>587</v>
      </c>
      <c r="F271" s="5" t="s">
        <v>559</v>
      </c>
    </row>
    <row r="272" customFormat="false" ht="15" hidden="false" customHeight="false" outlineLevel="0" collapsed="false">
      <c r="A272" s="5" t="s">
        <v>283</v>
      </c>
      <c r="B272" s="5" t="s">
        <v>568</v>
      </c>
      <c r="C272" s="24" t="s">
        <v>569</v>
      </c>
      <c r="D272" s="25" t="str">
        <f aca="false" t="array" ref="D272:D272">IF(F272="n/a","—",IF(_xlfn.XLOOKUP(TRIM(SUBSTITUTE(A272,_xlfn.UNICHAR(160)," ")),TRIM(SUBSTITUTE('worker file'!$A$2:$A$406,_xlfn.UNICHAR(160)," ")),'worker file'!$L$2:$L$406,"")="US Biweekly",$I$3,$I$2))</f>
        <v>—</v>
      </c>
      <c r="E272" s="5" t="s">
        <v>570</v>
      </c>
      <c r="F272" s="5" t="s">
        <v>550</v>
      </c>
    </row>
    <row r="273" customFormat="false" ht="15" hidden="false" customHeight="false" outlineLevel="0" collapsed="false">
      <c r="A273" s="5" t="s">
        <v>284</v>
      </c>
      <c r="B273" s="5" t="s">
        <v>584</v>
      </c>
      <c r="C273" s="28" t="n">
        <v>3</v>
      </c>
      <c r="D273" s="25" t="n">
        <f aca="false" t="array" ref="D273:D273">IF(F273="n/a","—",IF(_xlfn.XLOOKUP(TRIM(SUBSTITUTE(A273,_xlfn.UNICHAR(160)," ")),TRIM(SUBSTITUTE('worker file'!$A$2:$A$406,_xlfn.UNICHAR(160)," ")),'worker file'!$L$2:$L$406,"")="US Biweekly",$I$3,$I$2))</f>
        <v>46295</v>
      </c>
      <c r="E273" s="5" t="s">
        <v>585</v>
      </c>
      <c r="F273" s="5" t="s">
        <v>559</v>
      </c>
    </row>
    <row r="274" customFormat="false" ht="15" hidden="false" customHeight="false" outlineLevel="0" collapsed="false">
      <c r="A274" s="5" t="s">
        <v>284</v>
      </c>
      <c r="B274" s="5" t="s">
        <v>586</v>
      </c>
      <c r="C274" s="28" t="n">
        <v>2</v>
      </c>
      <c r="D274" s="25" t="n">
        <f aca="false" t="array" ref="D274:D274">IF(F274="n/a","—",IF(_xlfn.XLOOKUP(TRIM(SUBSTITUTE(A274,_xlfn.UNICHAR(160)," ")),TRIM(SUBSTITUTE('worker file'!$A$2:$A$406,_xlfn.UNICHAR(160)," ")),'worker file'!$L$2:$L$406,"")="US Biweekly",$I$3,$I$2))</f>
        <v>46295</v>
      </c>
      <c r="E274" s="5" t="s">
        <v>587</v>
      </c>
      <c r="F274" s="5" t="s">
        <v>559</v>
      </c>
    </row>
    <row r="275" customFormat="false" ht="15" hidden="false" customHeight="false" outlineLevel="0" collapsed="false">
      <c r="A275" s="5" t="s">
        <v>285</v>
      </c>
      <c r="B275" s="5" t="s">
        <v>568</v>
      </c>
      <c r="C275" s="24" t="s">
        <v>569</v>
      </c>
      <c r="D275" s="25" t="str">
        <f aca="false" t="array" ref="D275:D275">IF(F275="n/a","—",IF(_xlfn.XLOOKUP(TRIM(SUBSTITUTE(A275,_xlfn.UNICHAR(160)," ")),TRIM(SUBSTITUTE('worker file'!$A$2:$A$406,_xlfn.UNICHAR(160)," ")),'worker file'!$L$2:$L$406,"")="US Biweekly",$I$3,$I$2))</f>
        <v>—</v>
      </c>
      <c r="E275" s="5" t="s">
        <v>570</v>
      </c>
      <c r="F275" s="5" t="s">
        <v>550</v>
      </c>
    </row>
    <row r="276" customFormat="false" ht="15" hidden="false" customHeight="false" outlineLevel="0" collapsed="false">
      <c r="A276" s="5" t="s">
        <v>285</v>
      </c>
      <c r="B276" s="5" t="s">
        <v>577</v>
      </c>
      <c r="C276" s="27" t="n">
        <v>37</v>
      </c>
      <c r="D276" s="25" t="n">
        <f aca="false" t="array" ref="D276:D276">IF(F276="n/a","—",IF(_xlfn.XLOOKUP(TRIM(SUBSTITUTE(A276,_xlfn.UNICHAR(160)," ")),TRIM(SUBSTITUTE('worker file'!$A$2:$A$406,_xlfn.UNICHAR(160)," ")),'worker file'!$L$2:$L$406,"")="US Biweekly",$I$3,$I$2))</f>
        <v>46295</v>
      </c>
      <c r="E276" s="5" t="s">
        <v>578</v>
      </c>
      <c r="F276" s="5" t="s">
        <v>554</v>
      </c>
    </row>
    <row r="277" customFormat="false" ht="15" hidden="false" customHeight="false" outlineLevel="0" collapsed="false">
      <c r="A277" s="5" t="s">
        <v>286</v>
      </c>
      <c r="B277" s="5" t="s">
        <v>568</v>
      </c>
      <c r="C277" s="24" t="s">
        <v>569</v>
      </c>
      <c r="D277" s="25" t="str">
        <f aca="false" t="array" ref="D277:D277">IF(F277="n/a","—",IF(_xlfn.XLOOKUP(TRIM(SUBSTITUTE(A277,_xlfn.UNICHAR(160)," ")),TRIM(SUBSTITUTE('worker file'!$A$2:$A$406,_xlfn.UNICHAR(160)," ")),'worker file'!$L$2:$L$406,"")="US Biweekly",$I$3,$I$2))</f>
        <v>—</v>
      </c>
      <c r="E277" s="5" t="s">
        <v>570</v>
      </c>
      <c r="F277" s="5" t="s">
        <v>550</v>
      </c>
    </row>
    <row r="278" customFormat="false" ht="15" hidden="false" customHeight="false" outlineLevel="0" collapsed="false">
      <c r="A278" s="5" t="s">
        <v>286</v>
      </c>
      <c r="B278" s="5" t="s">
        <v>566</v>
      </c>
      <c r="C278" s="27" t="n">
        <v>24.25</v>
      </c>
      <c r="D278" s="25" t="n">
        <f aca="false" t="array" ref="D278:D278">IF(F278="n/a","—",IF(_xlfn.XLOOKUP(TRIM(SUBSTITUTE(A278,_xlfn.UNICHAR(160)," ")),TRIM(SUBSTITUTE('worker file'!$A$2:$A$406,_xlfn.UNICHAR(160)," ")),'worker file'!$L$2:$L$406,"")="US Biweekly",$I$3,$I$2))</f>
        <v>46295</v>
      </c>
      <c r="E278" s="5" t="s">
        <v>571</v>
      </c>
      <c r="F278" s="5" t="s">
        <v>554</v>
      </c>
    </row>
    <row r="279" customFormat="false" ht="15" hidden="false" customHeight="false" outlineLevel="0" collapsed="false">
      <c r="A279" s="5" t="s">
        <v>288</v>
      </c>
      <c r="B279" s="5" t="s">
        <v>568</v>
      </c>
      <c r="C279" s="24" t="s">
        <v>569</v>
      </c>
      <c r="D279" s="25" t="str">
        <f aca="false" t="array" ref="D279:D279">IF(F279="n/a","—",IF(_xlfn.XLOOKUP(TRIM(SUBSTITUTE(A279,_xlfn.UNICHAR(160)," ")),TRIM(SUBSTITUTE('worker file'!$A$2:$A$406,_xlfn.UNICHAR(160)," ")),'worker file'!$L$2:$L$406,"")="US Biweekly",$I$3,$I$2))</f>
        <v>—</v>
      </c>
      <c r="E279" s="5" t="s">
        <v>570</v>
      </c>
      <c r="F279" s="5" t="s">
        <v>550</v>
      </c>
    </row>
    <row r="280" customFormat="false" ht="15" hidden="false" customHeight="false" outlineLevel="0" collapsed="false">
      <c r="A280" s="5" t="s">
        <v>289</v>
      </c>
      <c r="B280" s="5" t="s">
        <v>568</v>
      </c>
      <c r="C280" s="24" t="s">
        <v>569</v>
      </c>
      <c r="D280" s="25" t="str">
        <f aca="false" t="array" ref="D280:D280">IF(F280="n/a","—",IF(_xlfn.XLOOKUP(TRIM(SUBSTITUTE(A280,_xlfn.UNICHAR(160)," ")),TRIM(SUBSTITUTE('worker file'!$A$2:$A$406,_xlfn.UNICHAR(160)," ")),'worker file'!$L$2:$L$406,"")="US Biweekly",$I$3,$I$2))</f>
        <v>—</v>
      </c>
      <c r="E280" s="5" t="s">
        <v>570</v>
      </c>
      <c r="F280" s="5" t="s">
        <v>550</v>
      </c>
    </row>
    <row r="281" customFormat="false" ht="15" hidden="false" customHeight="false" outlineLevel="0" collapsed="false">
      <c r="A281" s="5" t="s">
        <v>289</v>
      </c>
      <c r="B281" s="5" t="s">
        <v>566</v>
      </c>
      <c r="C281" s="27" t="n">
        <v>46.75</v>
      </c>
      <c r="D281" s="25" t="n">
        <f aca="false" t="array" ref="D281:D281">IF(F281="n/a","—",IF(_xlfn.XLOOKUP(TRIM(SUBSTITUTE(A281,_xlfn.UNICHAR(160)," ")),TRIM(SUBSTITUTE('worker file'!$A$2:$A$406,_xlfn.UNICHAR(160)," ")),'worker file'!$L$2:$L$406,"")="US Biweekly",$I$3,$I$2))</f>
        <v>46295</v>
      </c>
      <c r="E281" s="5" t="s">
        <v>571</v>
      </c>
      <c r="F281" s="5" t="s">
        <v>554</v>
      </c>
    </row>
    <row r="282" customFormat="false" ht="15" hidden="false" customHeight="false" outlineLevel="0" collapsed="false">
      <c r="A282" s="5" t="s">
        <v>290</v>
      </c>
      <c r="B282" s="5" t="s">
        <v>568</v>
      </c>
      <c r="C282" s="24" t="s">
        <v>569</v>
      </c>
      <c r="D282" s="25" t="str">
        <f aca="false" t="array" ref="D282:D282">IF(F282="n/a","—",IF(_xlfn.XLOOKUP(TRIM(SUBSTITUTE(A282,_xlfn.UNICHAR(160)," ")),TRIM(SUBSTITUTE('worker file'!$A$2:$A$406,_xlfn.UNICHAR(160)," ")),'worker file'!$L$2:$L$406,"")="US Biweekly",$I$3,$I$2))</f>
        <v>—</v>
      </c>
      <c r="E282" s="5" t="s">
        <v>570</v>
      </c>
      <c r="F282" s="5" t="s">
        <v>550</v>
      </c>
    </row>
    <row r="283" customFormat="false" ht="15" hidden="false" customHeight="false" outlineLevel="0" collapsed="false">
      <c r="A283" s="5" t="s">
        <v>290</v>
      </c>
      <c r="B283" s="5" t="s">
        <v>566</v>
      </c>
      <c r="C283" s="27" t="n">
        <v>52.75</v>
      </c>
      <c r="D283" s="25" t="n">
        <f aca="false" t="array" ref="D283:D283">IF(F283="n/a","—",IF(_xlfn.XLOOKUP(TRIM(SUBSTITUTE(A283,_xlfn.UNICHAR(160)," ")),TRIM(SUBSTITUTE('worker file'!$A$2:$A$406,_xlfn.UNICHAR(160)," ")),'worker file'!$L$2:$L$406,"")="US Biweekly",$I$3,$I$2))</f>
        <v>46295</v>
      </c>
      <c r="E283" s="5" t="s">
        <v>571</v>
      </c>
      <c r="F283" s="5" t="s">
        <v>554</v>
      </c>
    </row>
    <row r="284" customFormat="false" ht="15" hidden="false" customHeight="false" outlineLevel="0" collapsed="false">
      <c r="A284" s="5" t="s">
        <v>291</v>
      </c>
      <c r="B284" s="5" t="s">
        <v>568</v>
      </c>
      <c r="C284" s="24" t="s">
        <v>569</v>
      </c>
      <c r="D284" s="25" t="str">
        <f aca="false" t="array" ref="D284:D284">IF(F284="n/a","—",IF(_xlfn.XLOOKUP(TRIM(SUBSTITUTE(A284,_xlfn.UNICHAR(160)," ")),TRIM(SUBSTITUTE('worker file'!$A$2:$A$406,_xlfn.UNICHAR(160)," ")),'worker file'!$L$2:$L$406,"")="US Biweekly",$I$3,$I$2))</f>
        <v>—</v>
      </c>
      <c r="E284" s="5" t="s">
        <v>570</v>
      </c>
      <c r="F284" s="5" t="s">
        <v>550</v>
      </c>
    </row>
    <row r="285" customFormat="false" ht="15" hidden="false" customHeight="false" outlineLevel="0" collapsed="false">
      <c r="A285" s="5" t="s">
        <v>291</v>
      </c>
      <c r="B285" s="5" t="s">
        <v>566</v>
      </c>
      <c r="C285" s="27" t="n">
        <v>65.25</v>
      </c>
      <c r="D285" s="25" t="n">
        <f aca="false" t="array" ref="D285:D285">IF(F285="n/a","—",IF(_xlfn.XLOOKUP(TRIM(SUBSTITUTE(A285,_xlfn.UNICHAR(160)," ")),TRIM(SUBSTITUTE('worker file'!$A$2:$A$406,_xlfn.UNICHAR(160)," ")),'worker file'!$L$2:$L$406,"")="US Biweekly",$I$3,$I$2))</f>
        <v>46295</v>
      </c>
      <c r="E285" s="5" t="s">
        <v>571</v>
      </c>
      <c r="F285" s="5" t="s">
        <v>554</v>
      </c>
    </row>
    <row r="286" customFormat="false" ht="15" hidden="false" customHeight="false" outlineLevel="0" collapsed="false">
      <c r="A286" s="5" t="s">
        <v>292</v>
      </c>
      <c r="B286" s="5" t="s">
        <v>568</v>
      </c>
      <c r="C286" s="24" t="s">
        <v>569</v>
      </c>
      <c r="D286" s="25" t="str">
        <f aca="false" t="array" ref="D286:D286">IF(F286="n/a","—",IF(_xlfn.XLOOKUP(TRIM(SUBSTITUTE(A286,_xlfn.UNICHAR(160)," ")),TRIM(SUBSTITUTE('worker file'!$A$2:$A$406,_xlfn.UNICHAR(160)," ")),'worker file'!$L$2:$L$406,"")="US Biweekly",$I$3,$I$2))</f>
        <v>—</v>
      </c>
      <c r="E286" s="5" t="s">
        <v>570</v>
      </c>
      <c r="F286" s="5" t="s">
        <v>550</v>
      </c>
    </row>
    <row r="287" customFormat="false" ht="15" hidden="false" customHeight="false" outlineLevel="0" collapsed="false">
      <c r="A287" s="5" t="s">
        <v>293</v>
      </c>
      <c r="B287" s="5" t="s">
        <v>584</v>
      </c>
      <c r="C287" s="28" t="n">
        <v>0.5</v>
      </c>
      <c r="D287" s="25" t="n">
        <f aca="false" t="array" ref="D287:D287">IF(F287="n/a","—",IF(_xlfn.XLOOKUP(TRIM(SUBSTITUTE(A287,_xlfn.UNICHAR(160)," ")),TRIM(SUBSTITUTE('worker file'!$A$2:$A$406,_xlfn.UNICHAR(160)," ")),'worker file'!$L$2:$L$406,"")="US Biweekly",$I$3,$I$2))</f>
        <v>46295</v>
      </c>
      <c r="E287" s="5" t="s">
        <v>585</v>
      </c>
      <c r="F287" s="5" t="s">
        <v>559</v>
      </c>
    </row>
    <row r="288" customFormat="false" ht="15" hidden="false" customHeight="false" outlineLevel="0" collapsed="false">
      <c r="A288" s="5" t="s">
        <v>293</v>
      </c>
      <c r="B288" s="5" t="s">
        <v>586</v>
      </c>
      <c r="C288" s="28" t="n">
        <v>0</v>
      </c>
      <c r="D288" s="25" t="n">
        <f aca="false" t="array" ref="D288:D288">IF(F288="n/a","—",IF(_xlfn.XLOOKUP(TRIM(SUBSTITUTE(A288,_xlfn.UNICHAR(160)," ")),TRIM(SUBSTITUTE('worker file'!$A$2:$A$406,_xlfn.UNICHAR(160)," ")),'worker file'!$L$2:$L$406,"")="US Biweekly",$I$3,$I$2))</f>
        <v>46295</v>
      </c>
      <c r="E288" s="5" t="s">
        <v>587</v>
      </c>
      <c r="F288" s="5" t="s">
        <v>559</v>
      </c>
    </row>
    <row r="289" customFormat="false" ht="15" hidden="false" customHeight="false" outlineLevel="0" collapsed="false">
      <c r="A289" s="5" t="s">
        <v>294</v>
      </c>
      <c r="B289" s="5" t="s">
        <v>568</v>
      </c>
      <c r="C289" s="24" t="s">
        <v>569</v>
      </c>
      <c r="D289" s="25" t="str">
        <f aca="false" t="array" ref="D289:D289">IF(F289="n/a","—",IF(_xlfn.XLOOKUP(TRIM(SUBSTITUTE(A289,_xlfn.UNICHAR(160)," ")),TRIM(SUBSTITUTE('worker file'!$A$2:$A$406,_xlfn.UNICHAR(160)," ")),'worker file'!$L$2:$L$406,"")="US Biweekly",$I$3,$I$2))</f>
        <v>—</v>
      </c>
      <c r="E289" s="5" t="s">
        <v>570</v>
      </c>
      <c r="F289" s="5" t="s">
        <v>550</v>
      </c>
    </row>
    <row r="290" customFormat="false" ht="15" hidden="false" customHeight="false" outlineLevel="0" collapsed="false">
      <c r="A290" s="5" t="s">
        <v>294</v>
      </c>
      <c r="B290" s="5" t="s">
        <v>566</v>
      </c>
      <c r="C290" s="27" t="n">
        <v>69.75</v>
      </c>
      <c r="D290" s="25" t="n">
        <f aca="false" t="array" ref="D290:D290">IF(F290="n/a","—",IF(_xlfn.XLOOKUP(TRIM(SUBSTITUTE(A290,_xlfn.UNICHAR(160)," ")),TRIM(SUBSTITUTE('worker file'!$A$2:$A$406,_xlfn.UNICHAR(160)," ")),'worker file'!$L$2:$L$406,"")="US Biweekly",$I$3,$I$2))</f>
        <v>46295</v>
      </c>
      <c r="E290" s="5" t="s">
        <v>571</v>
      </c>
      <c r="F290" s="5" t="s">
        <v>554</v>
      </c>
    </row>
    <row r="291" customFormat="false" ht="15" hidden="false" customHeight="false" outlineLevel="0" collapsed="false">
      <c r="A291" s="5" t="s">
        <v>295</v>
      </c>
      <c r="B291" s="5" t="s">
        <v>568</v>
      </c>
      <c r="C291" s="24" t="s">
        <v>569</v>
      </c>
      <c r="D291" s="25" t="str">
        <f aca="false" t="array" ref="D291:D291">IF(F291="n/a","—",IF(_xlfn.XLOOKUP(TRIM(SUBSTITUTE(A291,_xlfn.UNICHAR(160)," ")),TRIM(SUBSTITUTE('worker file'!$A$2:$A$406,_xlfn.UNICHAR(160)," ")),'worker file'!$L$2:$L$406,"")="US Biweekly",$I$3,$I$2))</f>
        <v>—</v>
      </c>
      <c r="E291" s="5" t="s">
        <v>570</v>
      </c>
      <c r="F291" s="5" t="s">
        <v>550</v>
      </c>
    </row>
    <row r="292" customFormat="false" ht="15" hidden="false" customHeight="false" outlineLevel="0" collapsed="false">
      <c r="A292" s="5" t="s">
        <v>296</v>
      </c>
      <c r="B292" s="5" t="s">
        <v>568</v>
      </c>
      <c r="C292" s="24" t="s">
        <v>569</v>
      </c>
      <c r="D292" s="25" t="str">
        <f aca="false" t="array" ref="D292:D292">IF(F292="n/a","—",IF(_xlfn.XLOOKUP(TRIM(SUBSTITUTE(A292,_xlfn.UNICHAR(160)," ")),TRIM(SUBSTITUTE('worker file'!$A$2:$A$406,_xlfn.UNICHAR(160)," ")),'worker file'!$L$2:$L$406,"")="US Biweekly",$I$3,$I$2))</f>
        <v>—</v>
      </c>
      <c r="E292" s="5" t="s">
        <v>570</v>
      </c>
      <c r="F292" s="5" t="s">
        <v>550</v>
      </c>
    </row>
    <row r="293" customFormat="false" ht="15" hidden="false" customHeight="false" outlineLevel="0" collapsed="false">
      <c r="A293" s="5" t="s">
        <v>296</v>
      </c>
      <c r="B293" s="5" t="s">
        <v>566</v>
      </c>
      <c r="C293" s="27" t="n">
        <v>57</v>
      </c>
      <c r="D293" s="25" t="n">
        <f aca="false" t="array" ref="D293:D293">IF(F293="n/a","—",IF(_xlfn.XLOOKUP(TRIM(SUBSTITUTE(A293,_xlfn.UNICHAR(160)," ")),TRIM(SUBSTITUTE('worker file'!$A$2:$A$406,_xlfn.UNICHAR(160)," ")),'worker file'!$L$2:$L$406,"")="US Biweekly",$I$3,$I$2))</f>
        <v>46295</v>
      </c>
      <c r="E293" s="5" t="s">
        <v>571</v>
      </c>
      <c r="F293" s="5" t="s">
        <v>554</v>
      </c>
    </row>
    <row r="294" customFormat="false" ht="15" hidden="false" customHeight="false" outlineLevel="0" collapsed="false">
      <c r="A294" s="5" t="s">
        <v>297</v>
      </c>
      <c r="B294" s="5" t="s">
        <v>573</v>
      </c>
      <c r="C294" s="27" t="n">
        <v>74.25</v>
      </c>
      <c r="D294" s="25" t="n">
        <f aca="false" t="array" ref="D294:D294">IF(F294="n/a","—",IF(_xlfn.XLOOKUP(TRIM(SUBSTITUTE(A294,_xlfn.UNICHAR(160)," ")),TRIM(SUBSTITUTE('worker file'!$A$2:$A$406,_xlfn.UNICHAR(160)," ")),'worker file'!$L$2:$L$406,"")="US Biweekly",$I$3,$I$2))</f>
        <v>46298</v>
      </c>
      <c r="E294" s="5" t="s">
        <v>574</v>
      </c>
      <c r="F294" s="5" t="s">
        <v>554</v>
      </c>
    </row>
    <row r="295" customFormat="false" ht="15" hidden="false" customHeight="false" outlineLevel="0" collapsed="false">
      <c r="A295" s="5" t="s">
        <v>297</v>
      </c>
      <c r="B295" s="5" t="s">
        <v>566</v>
      </c>
      <c r="C295" s="27" t="n">
        <v>30.5</v>
      </c>
      <c r="D295" s="25" t="n">
        <f aca="false" t="array" ref="D295:D295">IF(F295="n/a","—",IF(_xlfn.XLOOKUP(TRIM(SUBSTITUTE(A295,_xlfn.UNICHAR(160)," ")),TRIM(SUBSTITUTE('worker file'!$A$2:$A$406,_xlfn.UNICHAR(160)," ")),'worker file'!$L$2:$L$406,"")="US Biweekly",$I$3,$I$2))</f>
        <v>46298</v>
      </c>
      <c r="E295" s="5" t="s">
        <v>571</v>
      </c>
      <c r="F295" s="5" t="s">
        <v>554</v>
      </c>
    </row>
    <row r="296" customFormat="false" ht="15" hidden="false" customHeight="false" outlineLevel="0" collapsed="false">
      <c r="A296" s="5" t="s">
        <v>298</v>
      </c>
      <c r="B296" s="5" t="s">
        <v>588</v>
      </c>
      <c r="C296" s="28" t="n">
        <v>3.5</v>
      </c>
      <c r="D296" s="25" t="n">
        <f aca="false" t="array" ref="D296:D296">IF(F296="n/a","—",IF(_xlfn.XLOOKUP(TRIM(SUBSTITUTE(A296,_xlfn.UNICHAR(160)," ")),TRIM(SUBSTITUTE('worker file'!$A$2:$A$406,_xlfn.UNICHAR(160)," ")),'worker file'!$L$2:$L$406,"")="US Biweekly",$I$3,$I$2))</f>
        <v>46295</v>
      </c>
      <c r="E296" s="5" t="s">
        <v>589</v>
      </c>
      <c r="F296" s="5" t="s">
        <v>559</v>
      </c>
    </row>
    <row r="297" customFormat="false" ht="15" hidden="false" customHeight="false" outlineLevel="0" collapsed="false">
      <c r="A297" s="5" t="s">
        <v>299</v>
      </c>
      <c r="B297" s="5" t="s">
        <v>584</v>
      </c>
      <c r="C297" s="28" t="n">
        <v>9.5</v>
      </c>
      <c r="D297" s="25" t="n">
        <f aca="false" t="array" ref="D297:D297">IF(F297="n/a","—",IF(_xlfn.XLOOKUP(TRIM(SUBSTITUTE(A297,_xlfn.UNICHAR(160)," ")),TRIM(SUBSTITUTE('worker file'!$A$2:$A$406,_xlfn.UNICHAR(160)," ")),'worker file'!$L$2:$L$406,"")="US Biweekly",$I$3,$I$2))</f>
        <v>46295</v>
      </c>
      <c r="E297" s="5" t="s">
        <v>585</v>
      </c>
      <c r="F297" s="5" t="s">
        <v>559</v>
      </c>
    </row>
    <row r="298" customFormat="false" ht="15" hidden="false" customHeight="false" outlineLevel="0" collapsed="false">
      <c r="A298" s="5" t="s">
        <v>299</v>
      </c>
      <c r="B298" s="5" t="s">
        <v>586</v>
      </c>
      <c r="C298" s="28" t="n">
        <v>3.5</v>
      </c>
      <c r="D298" s="25" t="n">
        <f aca="false" t="array" ref="D298:D298">IF(F298="n/a","—",IF(_xlfn.XLOOKUP(TRIM(SUBSTITUTE(A298,_xlfn.UNICHAR(160)," ")),TRIM(SUBSTITUTE('worker file'!$A$2:$A$406,_xlfn.UNICHAR(160)," ")),'worker file'!$L$2:$L$406,"")="US Biweekly",$I$3,$I$2))</f>
        <v>46295</v>
      </c>
      <c r="E298" s="5" t="s">
        <v>587</v>
      </c>
      <c r="F298" s="5" t="s">
        <v>559</v>
      </c>
    </row>
    <row r="299" customFormat="false" ht="15" hidden="false" customHeight="false" outlineLevel="0" collapsed="false">
      <c r="A299" s="5" t="s">
        <v>300</v>
      </c>
      <c r="B299" s="5" t="s">
        <v>584</v>
      </c>
      <c r="C299" s="28" t="n">
        <v>28.5</v>
      </c>
      <c r="D299" s="25" t="n">
        <f aca="false" t="array" ref="D299:D299">IF(F299="n/a","—",IF(_xlfn.XLOOKUP(TRIM(SUBSTITUTE(A299,_xlfn.UNICHAR(160)," ")),TRIM(SUBSTITUTE('worker file'!$A$2:$A$406,_xlfn.UNICHAR(160)," ")),'worker file'!$L$2:$L$406,"")="US Biweekly",$I$3,$I$2))</f>
        <v>46295</v>
      </c>
      <c r="E299" s="5" t="s">
        <v>585</v>
      </c>
      <c r="F299" s="5" t="s">
        <v>559</v>
      </c>
    </row>
    <row r="300" customFormat="false" ht="15" hidden="false" customHeight="false" outlineLevel="0" collapsed="false">
      <c r="A300" s="5" t="s">
        <v>300</v>
      </c>
      <c r="B300" s="5" t="s">
        <v>586</v>
      </c>
      <c r="C300" s="28" t="n">
        <v>7.5</v>
      </c>
      <c r="D300" s="25" t="n">
        <f aca="false" t="array" ref="D300:D300">IF(F300="n/a","—",IF(_xlfn.XLOOKUP(TRIM(SUBSTITUTE(A300,_xlfn.UNICHAR(160)," ")),TRIM(SUBSTITUTE('worker file'!$A$2:$A$406,_xlfn.UNICHAR(160)," ")),'worker file'!$L$2:$L$406,"")="US Biweekly",$I$3,$I$2))</f>
        <v>46295</v>
      </c>
      <c r="E300" s="5" t="s">
        <v>587</v>
      </c>
      <c r="F300" s="5" t="s">
        <v>559</v>
      </c>
    </row>
    <row r="301" customFormat="false" ht="15" hidden="false" customHeight="false" outlineLevel="0" collapsed="false">
      <c r="A301" s="5" t="s">
        <v>301</v>
      </c>
      <c r="B301" s="5" t="s">
        <v>568</v>
      </c>
      <c r="C301" s="24" t="s">
        <v>569</v>
      </c>
      <c r="D301" s="25" t="str">
        <f aca="false" t="array" ref="D301:D301">IF(F301="n/a","—",IF(_xlfn.XLOOKUP(TRIM(SUBSTITUTE(A301,_xlfn.UNICHAR(160)," ")),TRIM(SUBSTITUTE('worker file'!$A$2:$A$406,_xlfn.UNICHAR(160)," ")),'worker file'!$L$2:$L$406,"")="US Biweekly",$I$3,$I$2))</f>
        <v>—</v>
      </c>
      <c r="E301" s="5" t="s">
        <v>570</v>
      </c>
      <c r="F301" s="5" t="s">
        <v>550</v>
      </c>
    </row>
    <row r="302" customFormat="false" ht="15" hidden="false" customHeight="false" outlineLevel="0" collapsed="false">
      <c r="A302" s="5" t="s">
        <v>301</v>
      </c>
      <c r="B302" s="5" t="s">
        <v>582</v>
      </c>
      <c r="C302" s="27" t="n">
        <v>19.25</v>
      </c>
      <c r="D302" s="25" t="n">
        <f aca="false" t="array" ref="D302:D302">IF(F302="n/a","—",IF(_xlfn.XLOOKUP(TRIM(SUBSTITUTE(A302,_xlfn.UNICHAR(160)," ")),TRIM(SUBSTITUTE('worker file'!$A$2:$A$406,_xlfn.UNICHAR(160)," ")),'worker file'!$L$2:$L$406,"")="US Biweekly",$I$3,$I$2))</f>
        <v>46295</v>
      </c>
      <c r="E302" s="5" t="s">
        <v>583</v>
      </c>
      <c r="F302" s="5" t="s">
        <v>554</v>
      </c>
    </row>
    <row r="303" customFormat="false" ht="15" hidden="false" customHeight="false" outlineLevel="0" collapsed="false">
      <c r="A303" s="5" t="s">
        <v>302</v>
      </c>
      <c r="B303" s="5" t="s">
        <v>588</v>
      </c>
      <c r="C303" s="28" t="n">
        <v>3</v>
      </c>
      <c r="D303" s="25" t="n">
        <f aca="false" t="array" ref="D303:D303">IF(F303="n/a","—",IF(_xlfn.XLOOKUP(TRIM(SUBSTITUTE(A303,_xlfn.UNICHAR(160)," ")),TRIM(SUBSTITUTE('worker file'!$A$2:$A$406,_xlfn.UNICHAR(160)," ")),'worker file'!$L$2:$L$406,"")="US Biweekly",$I$3,$I$2))</f>
        <v>46295</v>
      </c>
      <c r="E303" s="5" t="s">
        <v>589</v>
      </c>
      <c r="F303" s="5" t="s">
        <v>559</v>
      </c>
    </row>
    <row r="304" customFormat="false" ht="15" hidden="false" customHeight="false" outlineLevel="0" collapsed="false">
      <c r="A304" s="5" t="s">
        <v>303</v>
      </c>
      <c r="B304" s="5" t="s">
        <v>568</v>
      </c>
      <c r="C304" s="24" t="s">
        <v>569</v>
      </c>
      <c r="D304" s="25" t="str">
        <f aca="false" t="array" ref="D304:D304">IF(F304="n/a","—",IF(_xlfn.XLOOKUP(TRIM(SUBSTITUTE(A304,_xlfn.UNICHAR(160)," ")),TRIM(SUBSTITUTE('worker file'!$A$2:$A$406,_xlfn.UNICHAR(160)," ")),'worker file'!$L$2:$L$406,"")="US Biweekly",$I$3,$I$2))</f>
        <v>—</v>
      </c>
      <c r="E304" s="5" t="s">
        <v>570</v>
      </c>
      <c r="F304" s="5" t="s">
        <v>550</v>
      </c>
    </row>
    <row r="305" customFormat="false" ht="15" hidden="false" customHeight="false" outlineLevel="0" collapsed="false">
      <c r="A305" s="5" t="s">
        <v>303</v>
      </c>
      <c r="B305" s="5" t="s">
        <v>566</v>
      </c>
      <c r="C305" s="27" t="n">
        <v>34.5</v>
      </c>
      <c r="D305" s="25" t="n">
        <f aca="false" t="array" ref="D305:D305">IF(F305="n/a","—",IF(_xlfn.XLOOKUP(TRIM(SUBSTITUTE(A305,_xlfn.UNICHAR(160)," ")),TRIM(SUBSTITUTE('worker file'!$A$2:$A$406,_xlfn.UNICHAR(160)," ")),'worker file'!$L$2:$L$406,"")="US Biweekly",$I$3,$I$2))</f>
        <v>46295</v>
      </c>
      <c r="E305" s="5" t="s">
        <v>571</v>
      </c>
      <c r="F305" s="5" t="s">
        <v>554</v>
      </c>
    </row>
    <row r="306" customFormat="false" ht="15" hidden="false" customHeight="false" outlineLevel="0" collapsed="false">
      <c r="A306" s="5" t="s">
        <v>304</v>
      </c>
      <c r="B306" s="5" t="s">
        <v>568</v>
      </c>
      <c r="C306" s="24" t="s">
        <v>569</v>
      </c>
      <c r="D306" s="25" t="str">
        <f aca="false" t="array" ref="D306:D306">IF(F306="n/a","—",IF(_xlfn.XLOOKUP(TRIM(SUBSTITUTE(A306,_xlfn.UNICHAR(160)," ")),TRIM(SUBSTITUTE('worker file'!$A$2:$A$406,_xlfn.UNICHAR(160)," ")),'worker file'!$L$2:$L$406,"")="US Biweekly",$I$3,$I$2))</f>
        <v>—</v>
      </c>
      <c r="E306" s="5" t="s">
        <v>570</v>
      </c>
      <c r="F306" s="5" t="s">
        <v>550</v>
      </c>
    </row>
    <row r="307" customFormat="false" ht="15" hidden="false" customHeight="false" outlineLevel="0" collapsed="false">
      <c r="A307" s="5" t="s">
        <v>304</v>
      </c>
      <c r="B307" s="5" t="s">
        <v>566</v>
      </c>
      <c r="C307" s="27" t="n">
        <v>34</v>
      </c>
      <c r="D307" s="25" t="n">
        <f aca="false" t="array" ref="D307:D307">IF(F307="n/a","—",IF(_xlfn.XLOOKUP(TRIM(SUBSTITUTE(A307,_xlfn.UNICHAR(160)," ")),TRIM(SUBSTITUTE('worker file'!$A$2:$A$406,_xlfn.UNICHAR(160)," ")),'worker file'!$L$2:$L$406,"")="US Biweekly",$I$3,$I$2))</f>
        <v>46295</v>
      </c>
      <c r="E307" s="5" t="s">
        <v>571</v>
      </c>
      <c r="F307" s="5" t="s">
        <v>554</v>
      </c>
    </row>
    <row r="308" customFormat="false" ht="15" hidden="false" customHeight="false" outlineLevel="0" collapsed="false">
      <c r="A308" s="5" t="s">
        <v>305</v>
      </c>
      <c r="B308" s="5" t="s">
        <v>568</v>
      </c>
      <c r="C308" s="24" t="s">
        <v>569</v>
      </c>
      <c r="D308" s="25" t="str">
        <f aca="false" t="array" ref="D308:D308">IF(F308="n/a","—",IF(_xlfn.XLOOKUP(TRIM(SUBSTITUTE(A308,_xlfn.UNICHAR(160)," ")),TRIM(SUBSTITUTE('worker file'!$A$2:$A$406,_xlfn.UNICHAR(160)," ")),'worker file'!$L$2:$L$406,"")="US Biweekly",$I$3,$I$2))</f>
        <v>—</v>
      </c>
      <c r="E308" s="5" t="s">
        <v>570</v>
      </c>
      <c r="F308" s="5" t="s">
        <v>550</v>
      </c>
    </row>
    <row r="309" customFormat="false" ht="15" hidden="false" customHeight="false" outlineLevel="0" collapsed="false">
      <c r="A309" s="5" t="s">
        <v>305</v>
      </c>
      <c r="B309" s="5" t="s">
        <v>577</v>
      </c>
      <c r="C309" s="27" t="n">
        <v>19.5</v>
      </c>
      <c r="D309" s="25" t="n">
        <f aca="false" t="array" ref="D309:D309">IF(F309="n/a","—",IF(_xlfn.XLOOKUP(TRIM(SUBSTITUTE(A309,_xlfn.UNICHAR(160)," ")),TRIM(SUBSTITUTE('worker file'!$A$2:$A$406,_xlfn.UNICHAR(160)," ")),'worker file'!$L$2:$L$406,"")="US Biweekly",$I$3,$I$2))</f>
        <v>46295</v>
      </c>
      <c r="E309" s="5" t="s">
        <v>578</v>
      </c>
      <c r="F309" s="5" t="s">
        <v>554</v>
      </c>
    </row>
    <row r="310" customFormat="false" ht="15" hidden="false" customHeight="false" outlineLevel="0" collapsed="false">
      <c r="A310" s="5" t="s">
        <v>306</v>
      </c>
      <c r="B310" s="5" t="s">
        <v>568</v>
      </c>
      <c r="C310" s="24" t="s">
        <v>569</v>
      </c>
      <c r="D310" s="25" t="str">
        <f aca="false" t="array" ref="D310:D310">IF(F310="n/a","—",IF(_xlfn.XLOOKUP(TRIM(SUBSTITUTE(A310,_xlfn.UNICHAR(160)," ")),TRIM(SUBSTITUTE('worker file'!$A$2:$A$406,_xlfn.UNICHAR(160)," ")),'worker file'!$L$2:$L$406,"")="US Biweekly",$I$3,$I$2))</f>
        <v>—</v>
      </c>
      <c r="E310" s="5" t="s">
        <v>570</v>
      </c>
      <c r="F310" s="5" t="s">
        <v>550</v>
      </c>
    </row>
    <row r="311" customFormat="false" ht="15" hidden="false" customHeight="false" outlineLevel="0" collapsed="false">
      <c r="A311" s="5" t="s">
        <v>306</v>
      </c>
      <c r="B311" s="5" t="s">
        <v>566</v>
      </c>
      <c r="C311" s="27" t="n">
        <v>59.25</v>
      </c>
      <c r="D311" s="25" t="n">
        <f aca="false" t="array" ref="D311:D311">IF(F311="n/a","—",IF(_xlfn.XLOOKUP(TRIM(SUBSTITUTE(A311,_xlfn.UNICHAR(160)," ")),TRIM(SUBSTITUTE('worker file'!$A$2:$A$406,_xlfn.UNICHAR(160)," ")),'worker file'!$L$2:$L$406,"")="US Biweekly",$I$3,$I$2))</f>
        <v>46295</v>
      </c>
      <c r="E311" s="5" t="s">
        <v>571</v>
      </c>
      <c r="F311" s="5" t="s">
        <v>554</v>
      </c>
    </row>
    <row r="312" customFormat="false" ht="15" hidden="false" customHeight="false" outlineLevel="0" collapsed="false">
      <c r="A312" s="5" t="s">
        <v>307</v>
      </c>
      <c r="B312" s="5" t="s">
        <v>573</v>
      </c>
      <c r="C312" s="27" t="n">
        <v>19</v>
      </c>
      <c r="D312" s="25" t="n">
        <f aca="false" t="array" ref="D312:D312">IF(F312="n/a","—",IF(_xlfn.XLOOKUP(TRIM(SUBSTITUTE(A312,_xlfn.UNICHAR(160)," ")),TRIM(SUBSTITUTE('worker file'!$A$2:$A$406,_xlfn.UNICHAR(160)," ")),'worker file'!$L$2:$L$406,"")="US Biweekly",$I$3,$I$2))</f>
        <v>46298</v>
      </c>
      <c r="E312" s="5" t="s">
        <v>574</v>
      </c>
      <c r="F312" s="5" t="s">
        <v>554</v>
      </c>
    </row>
    <row r="313" customFormat="false" ht="15" hidden="false" customHeight="false" outlineLevel="0" collapsed="false">
      <c r="A313" s="5" t="s">
        <v>307</v>
      </c>
      <c r="B313" s="5" t="s">
        <v>575</v>
      </c>
      <c r="C313" s="27" t="n">
        <v>31</v>
      </c>
      <c r="D313" s="25" t="n">
        <f aca="false" t="array" ref="D313:D313">IF(F313="n/a","—",IF(_xlfn.XLOOKUP(TRIM(SUBSTITUTE(A313,_xlfn.UNICHAR(160)," ")),TRIM(SUBSTITUTE('worker file'!$A$2:$A$406,_xlfn.UNICHAR(160)," ")),'worker file'!$L$2:$L$406,"")="US Biweekly",$I$3,$I$2))</f>
        <v>46298</v>
      </c>
      <c r="E313" s="5" t="s">
        <v>576</v>
      </c>
      <c r="F313" s="5" t="s">
        <v>554</v>
      </c>
    </row>
    <row r="314" customFormat="false" ht="15" hidden="false" customHeight="false" outlineLevel="0" collapsed="false">
      <c r="A314" s="5" t="s">
        <v>308</v>
      </c>
      <c r="B314" s="5" t="s">
        <v>568</v>
      </c>
      <c r="C314" s="24" t="s">
        <v>569</v>
      </c>
      <c r="D314" s="25" t="str">
        <f aca="false" t="array" ref="D314:D314">IF(F314="n/a","—",IF(_xlfn.XLOOKUP(TRIM(SUBSTITUTE(A314,_xlfn.UNICHAR(160)," ")),TRIM(SUBSTITUTE('worker file'!$A$2:$A$406,_xlfn.UNICHAR(160)," ")),'worker file'!$L$2:$L$406,"")="US Biweekly",$I$3,$I$2))</f>
        <v>—</v>
      </c>
      <c r="E314" s="5" t="s">
        <v>570</v>
      </c>
      <c r="F314" s="5" t="s">
        <v>550</v>
      </c>
    </row>
    <row r="315" customFormat="false" ht="15" hidden="false" customHeight="false" outlineLevel="0" collapsed="false">
      <c r="A315" s="5" t="s">
        <v>308</v>
      </c>
      <c r="B315" s="5" t="s">
        <v>566</v>
      </c>
      <c r="C315" s="27" t="n">
        <v>34.75</v>
      </c>
      <c r="D315" s="25" t="n">
        <f aca="false" t="array" ref="D315:D315">IF(F315="n/a","—",IF(_xlfn.XLOOKUP(TRIM(SUBSTITUTE(A315,_xlfn.UNICHAR(160)," ")),TRIM(SUBSTITUTE('worker file'!$A$2:$A$406,_xlfn.UNICHAR(160)," ")),'worker file'!$L$2:$L$406,"")="US Biweekly",$I$3,$I$2))</f>
        <v>46295</v>
      </c>
      <c r="E315" s="5" t="s">
        <v>571</v>
      </c>
      <c r="F315" s="5" t="s">
        <v>554</v>
      </c>
    </row>
    <row r="316" customFormat="false" ht="15" hidden="false" customHeight="false" outlineLevel="0" collapsed="false">
      <c r="A316" s="5" t="s">
        <v>309</v>
      </c>
      <c r="B316" s="5" t="s">
        <v>568</v>
      </c>
      <c r="C316" s="24" t="s">
        <v>569</v>
      </c>
      <c r="D316" s="25" t="str">
        <f aca="false" t="array" ref="D316:D316">IF(F316="n/a","—",IF(_xlfn.XLOOKUP(TRIM(SUBSTITUTE(A316,_xlfn.UNICHAR(160)," ")),TRIM(SUBSTITUTE('worker file'!$A$2:$A$406,_xlfn.UNICHAR(160)," ")),'worker file'!$L$2:$L$406,"")="US Biweekly",$I$3,$I$2))</f>
        <v>—</v>
      </c>
      <c r="E316" s="5" t="s">
        <v>570</v>
      </c>
      <c r="F316" s="5" t="s">
        <v>550</v>
      </c>
    </row>
    <row r="317" customFormat="false" ht="15" hidden="false" customHeight="false" outlineLevel="0" collapsed="false">
      <c r="A317" s="5" t="s">
        <v>309</v>
      </c>
      <c r="B317" s="5" t="s">
        <v>566</v>
      </c>
      <c r="C317" s="27" t="n">
        <v>37</v>
      </c>
      <c r="D317" s="25" t="n">
        <f aca="false" t="array" ref="D317:D317">IF(F317="n/a","—",IF(_xlfn.XLOOKUP(TRIM(SUBSTITUTE(A317,_xlfn.UNICHAR(160)," ")),TRIM(SUBSTITUTE('worker file'!$A$2:$A$406,_xlfn.UNICHAR(160)," ")),'worker file'!$L$2:$L$406,"")="US Biweekly",$I$3,$I$2))</f>
        <v>46295</v>
      </c>
      <c r="E317" s="5" t="s">
        <v>571</v>
      </c>
      <c r="F317" s="5" t="s">
        <v>554</v>
      </c>
    </row>
    <row r="318" customFormat="false" ht="15" hidden="false" customHeight="false" outlineLevel="0" collapsed="false">
      <c r="A318" s="5" t="s">
        <v>310</v>
      </c>
      <c r="B318" s="5" t="s">
        <v>568</v>
      </c>
      <c r="C318" s="24" t="s">
        <v>569</v>
      </c>
      <c r="D318" s="25" t="str">
        <f aca="false" t="array" ref="D318:D318">IF(F318="n/a","—",IF(_xlfn.XLOOKUP(TRIM(SUBSTITUTE(A318,_xlfn.UNICHAR(160)," ")),TRIM(SUBSTITUTE('worker file'!$A$2:$A$406,_xlfn.UNICHAR(160)," ")),'worker file'!$L$2:$L$406,"")="US Biweekly",$I$3,$I$2))</f>
        <v>—</v>
      </c>
      <c r="E318" s="5" t="s">
        <v>570</v>
      </c>
      <c r="F318" s="5" t="s">
        <v>550</v>
      </c>
    </row>
    <row r="319" customFormat="false" ht="15" hidden="false" customHeight="false" outlineLevel="0" collapsed="false">
      <c r="A319" s="5" t="s">
        <v>311</v>
      </c>
      <c r="B319" s="5" t="s">
        <v>568</v>
      </c>
      <c r="C319" s="24" t="s">
        <v>569</v>
      </c>
      <c r="D319" s="25" t="str">
        <f aca="false" t="array" ref="D319:D319">IF(F319="n/a","—",IF(_xlfn.XLOOKUP(TRIM(SUBSTITUTE(A319,_xlfn.UNICHAR(160)," ")),TRIM(SUBSTITUTE('worker file'!$A$2:$A$406,_xlfn.UNICHAR(160)," ")),'worker file'!$L$2:$L$406,"")="US Biweekly",$I$3,$I$2))</f>
        <v>—</v>
      </c>
      <c r="E319" s="5" t="s">
        <v>570</v>
      </c>
      <c r="F319" s="5" t="s">
        <v>550</v>
      </c>
    </row>
    <row r="320" customFormat="false" ht="15" hidden="false" customHeight="false" outlineLevel="0" collapsed="false">
      <c r="A320" s="5" t="s">
        <v>311</v>
      </c>
      <c r="B320" s="5" t="s">
        <v>566</v>
      </c>
      <c r="C320" s="27" t="n">
        <v>79.5</v>
      </c>
      <c r="D320" s="25" t="n">
        <f aca="false" t="array" ref="D320:D320">IF(F320="n/a","—",IF(_xlfn.XLOOKUP(TRIM(SUBSTITUTE(A320,_xlfn.UNICHAR(160)," ")),TRIM(SUBSTITUTE('worker file'!$A$2:$A$406,_xlfn.UNICHAR(160)," ")),'worker file'!$L$2:$L$406,"")="US Biweekly",$I$3,$I$2))</f>
        <v>46295</v>
      </c>
      <c r="E320" s="5" t="s">
        <v>571</v>
      </c>
      <c r="F320" s="5" t="s">
        <v>554</v>
      </c>
    </row>
    <row r="321" customFormat="false" ht="15" hidden="false" customHeight="false" outlineLevel="0" collapsed="false">
      <c r="A321" s="5" t="s">
        <v>312</v>
      </c>
      <c r="B321" s="5" t="s">
        <v>568</v>
      </c>
      <c r="C321" s="24" t="s">
        <v>569</v>
      </c>
      <c r="D321" s="25" t="str">
        <f aca="false" t="array" ref="D321:D321">IF(F321="n/a","—",IF(_xlfn.XLOOKUP(TRIM(SUBSTITUTE(A321,_xlfn.UNICHAR(160)," ")),TRIM(SUBSTITUTE('worker file'!$A$2:$A$406,_xlfn.UNICHAR(160)," ")),'worker file'!$L$2:$L$406,"")="US Biweekly",$I$3,$I$2))</f>
        <v>—</v>
      </c>
      <c r="E321" s="5" t="s">
        <v>570</v>
      </c>
      <c r="F321" s="5" t="s">
        <v>550</v>
      </c>
    </row>
    <row r="322" customFormat="false" ht="15" hidden="false" customHeight="false" outlineLevel="0" collapsed="false">
      <c r="A322" s="5" t="s">
        <v>312</v>
      </c>
      <c r="B322" s="5" t="s">
        <v>566</v>
      </c>
      <c r="C322" s="27" t="n">
        <v>75.5</v>
      </c>
      <c r="D322" s="25" t="n">
        <f aca="false" t="array" ref="D322:D322">IF(F322="n/a","—",IF(_xlfn.XLOOKUP(TRIM(SUBSTITUTE(A322,_xlfn.UNICHAR(160)," ")),TRIM(SUBSTITUTE('worker file'!$A$2:$A$406,_xlfn.UNICHAR(160)," ")),'worker file'!$L$2:$L$406,"")="US Biweekly",$I$3,$I$2))</f>
        <v>46295</v>
      </c>
      <c r="E322" s="5" t="s">
        <v>571</v>
      </c>
      <c r="F322" s="5" t="s">
        <v>554</v>
      </c>
    </row>
    <row r="323" customFormat="false" ht="15" hidden="false" customHeight="false" outlineLevel="0" collapsed="false">
      <c r="A323" s="5" t="s">
        <v>313</v>
      </c>
      <c r="B323" s="5" t="s">
        <v>568</v>
      </c>
      <c r="C323" s="24" t="s">
        <v>569</v>
      </c>
      <c r="D323" s="25" t="str">
        <f aca="false" t="array" ref="D323:D323">IF(F323="n/a","—",IF(_xlfn.XLOOKUP(TRIM(SUBSTITUTE(A323,_xlfn.UNICHAR(160)," ")),TRIM(SUBSTITUTE('worker file'!$A$2:$A$406,_xlfn.UNICHAR(160)," ")),'worker file'!$L$2:$L$406,"")="US Biweekly",$I$3,$I$2))</f>
        <v>—</v>
      </c>
      <c r="E323" s="5" t="s">
        <v>570</v>
      </c>
      <c r="F323" s="5" t="s">
        <v>550</v>
      </c>
    </row>
    <row r="324" customFormat="false" ht="15" hidden="false" customHeight="false" outlineLevel="0" collapsed="false">
      <c r="A324" s="5" t="s">
        <v>313</v>
      </c>
      <c r="B324" s="5" t="s">
        <v>566</v>
      </c>
      <c r="C324" s="27" t="n">
        <v>25.75</v>
      </c>
      <c r="D324" s="25" t="n">
        <f aca="false" t="array" ref="D324:D324">IF(F324="n/a","—",IF(_xlfn.XLOOKUP(TRIM(SUBSTITUTE(A324,_xlfn.UNICHAR(160)," ")),TRIM(SUBSTITUTE('worker file'!$A$2:$A$406,_xlfn.UNICHAR(160)," ")),'worker file'!$L$2:$L$406,"")="US Biweekly",$I$3,$I$2))</f>
        <v>46295</v>
      </c>
      <c r="E324" s="5" t="s">
        <v>571</v>
      </c>
      <c r="F324" s="5" t="s">
        <v>554</v>
      </c>
    </row>
    <row r="325" customFormat="false" ht="15" hidden="false" customHeight="false" outlineLevel="0" collapsed="false">
      <c r="A325" s="5" t="s">
        <v>314</v>
      </c>
      <c r="B325" s="5" t="s">
        <v>568</v>
      </c>
      <c r="C325" s="24" t="s">
        <v>569</v>
      </c>
      <c r="D325" s="25" t="str">
        <f aca="false" t="array" ref="D325:D325">IF(F325="n/a","—",IF(_xlfn.XLOOKUP(TRIM(SUBSTITUTE(A325,_xlfn.UNICHAR(160)," ")),TRIM(SUBSTITUTE('worker file'!$A$2:$A$406,_xlfn.UNICHAR(160)," ")),'worker file'!$L$2:$L$406,"")="US Biweekly",$I$3,$I$2))</f>
        <v>—</v>
      </c>
      <c r="E325" s="5" t="s">
        <v>570</v>
      </c>
      <c r="F325" s="5" t="s">
        <v>550</v>
      </c>
    </row>
    <row r="326" customFormat="false" ht="15" hidden="false" customHeight="false" outlineLevel="0" collapsed="false">
      <c r="A326" s="5" t="s">
        <v>314</v>
      </c>
      <c r="B326" s="5" t="s">
        <v>592</v>
      </c>
      <c r="C326" s="27" t="n">
        <v>31.75</v>
      </c>
      <c r="D326" s="25" t="n">
        <f aca="false" t="array" ref="D326:D326">IF(F326="n/a","—",IF(_xlfn.XLOOKUP(TRIM(SUBSTITUTE(A326,_xlfn.UNICHAR(160)," ")),TRIM(SUBSTITUTE('worker file'!$A$2:$A$406,_xlfn.UNICHAR(160)," ")),'worker file'!$L$2:$L$406,"")="US Biweekly",$I$3,$I$2))</f>
        <v>46295</v>
      </c>
      <c r="E326" s="5" t="s">
        <v>593</v>
      </c>
      <c r="F326" s="5" t="s">
        <v>554</v>
      </c>
    </row>
    <row r="327" customFormat="false" ht="15" hidden="false" customHeight="false" outlineLevel="0" collapsed="false">
      <c r="A327" s="5" t="s">
        <v>315</v>
      </c>
      <c r="B327" s="5" t="s">
        <v>568</v>
      </c>
      <c r="C327" s="24" t="s">
        <v>569</v>
      </c>
      <c r="D327" s="25" t="str">
        <f aca="false" t="array" ref="D327:D327">IF(F327="n/a","—",IF(_xlfn.XLOOKUP(TRIM(SUBSTITUTE(A327,_xlfn.UNICHAR(160)," ")),TRIM(SUBSTITUTE('worker file'!$A$2:$A$406,_xlfn.UNICHAR(160)," ")),'worker file'!$L$2:$L$406,"")="US Biweekly",$I$3,$I$2))</f>
        <v>—</v>
      </c>
      <c r="E327" s="5" t="s">
        <v>570</v>
      </c>
      <c r="F327" s="5" t="s">
        <v>550</v>
      </c>
    </row>
    <row r="328" customFormat="false" ht="15" hidden="false" customHeight="false" outlineLevel="0" collapsed="false">
      <c r="A328" s="5" t="s">
        <v>315</v>
      </c>
      <c r="B328" s="5" t="s">
        <v>590</v>
      </c>
      <c r="C328" s="27" t="n">
        <v>28.25</v>
      </c>
      <c r="D328" s="25" t="n">
        <f aca="false" t="array" ref="D328:D328">IF(F328="n/a","—",IF(_xlfn.XLOOKUP(TRIM(SUBSTITUTE(A328,_xlfn.UNICHAR(160)," ")),TRIM(SUBSTITUTE('worker file'!$A$2:$A$406,_xlfn.UNICHAR(160)," ")),'worker file'!$L$2:$L$406,"")="US Biweekly",$I$3,$I$2))</f>
        <v>46295</v>
      </c>
      <c r="E328" s="5" t="s">
        <v>591</v>
      </c>
      <c r="F328" s="5" t="s">
        <v>554</v>
      </c>
    </row>
    <row r="329" customFormat="false" ht="15" hidden="false" customHeight="false" outlineLevel="0" collapsed="false">
      <c r="A329" s="5" t="s">
        <v>316</v>
      </c>
      <c r="B329" s="5" t="s">
        <v>568</v>
      </c>
      <c r="C329" s="24" t="s">
        <v>569</v>
      </c>
      <c r="D329" s="25" t="str">
        <f aca="false" t="array" ref="D329:D329">IF(F329="n/a","—",IF(_xlfn.XLOOKUP(TRIM(SUBSTITUTE(A329,_xlfn.UNICHAR(160)," ")),TRIM(SUBSTITUTE('worker file'!$A$2:$A$406,_xlfn.UNICHAR(160)," ")),'worker file'!$L$2:$L$406,"")="US Biweekly",$I$3,$I$2))</f>
        <v>—</v>
      </c>
      <c r="E329" s="5" t="s">
        <v>570</v>
      </c>
      <c r="F329" s="5" t="s">
        <v>550</v>
      </c>
    </row>
    <row r="330" customFormat="false" ht="15" hidden="false" customHeight="false" outlineLevel="0" collapsed="false">
      <c r="A330" s="5" t="s">
        <v>317</v>
      </c>
      <c r="B330" s="5" t="s">
        <v>568</v>
      </c>
      <c r="C330" s="24" t="s">
        <v>569</v>
      </c>
      <c r="D330" s="25" t="str">
        <f aca="false" t="array" ref="D330:D330">IF(F330="n/a","—",IF(_xlfn.XLOOKUP(TRIM(SUBSTITUTE(A330,_xlfn.UNICHAR(160)," ")),TRIM(SUBSTITUTE('worker file'!$A$2:$A$406,_xlfn.UNICHAR(160)," ")),'worker file'!$L$2:$L$406,"")="US Biweekly",$I$3,$I$2))</f>
        <v>—</v>
      </c>
      <c r="E330" s="5" t="s">
        <v>570</v>
      </c>
      <c r="F330" s="5" t="s">
        <v>550</v>
      </c>
    </row>
    <row r="331" customFormat="false" ht="15" hidden="false" customHeight="false" outlineLevel="0" collapsed="false">
      <c r="A331" s="5" t="s">
        <v>317</v>
      </c>
      <c r="B331" s="5" t="s">
        <v>566</v>
      </c>
      <c r="C331" s="27" t="n">
        <v>64</v>
      </c>
      <c r="D331" s="25" t="n">
        <f aca="false" t="array" ref="D331:D331">IF(F331="n/a","—",IF(_xlfn.XLOOKUP(TRIM(SUBSTITUTE(A331,_xlfn.UNICHAR(160)," ")),TRIM(SUBSTITUTE('worker file'!$A$2:$A$406,_xlfn.UNICHAR(160)," ")),'worker file'!$L$2:$L$406,"")="US Biweekly",$I$3,$I$2))</f>
        <v>46295</v>
      </c>
      <c r="E331" s="5" t="s">
        <v>571</v>
      </c>
      <c r="F331" s="5" t="s">
        <v>554</v>
      </c>
    </row>
    <row r="332" customFormat="false" ht="15" hidden="false" customHeight="false" outlineLevel="0" collapsed="false">
      <c r="A332" s="5" t="s">
        <v>318</v>
      </c>
      <c r="B332" s="5" t="s">
        <v>573</v>
      </c>
      <c r="C332" s="27" t="n">
        <v>48</v>
      </c>
      <c r="D332" s="25" t="n">
        <f aca="false" t="array" ref="D332:D332">IF(F332="n/a","—",IF(_xlfn.XLOOKUP(TRIM(SUBSTITUTE(A332,_xlfn.UNICHAR(160)," ")),TRIM(SUBSTITUTE('worker file'!$A$2:$A$406,_xlfn.UNICHAR(160)," ")),'worker file'!$L$2:$L$406,"")="US Biweekly",$I$3,$I$2))</f>
        <v>46298</v>
      </c>
      <c r="E332" s="5" t="s">
        <v>574</v>
      </c>
      <c r="F332" s="5" t="s">
        <v>554</v>
      </c>
    </row>
    <row r="333" customFormat="false" ht="15" hidden="false" customHeight="false" outlineLevel="0" collapsed="false">
      <c r="A333" s="5" t="s">
        <v>318</v>
      </c>
      <c r="B333" s="5" t="s">
        <v>566</v>
      </c>
      <c r="C333" s="27" t="n">
        <v>70.5</v>
      </c>
      <c r="D333" s="25" t="n">
        <f aca="false" t="array" ref="D333:D333">IF(F333="n/a","—",IF(_xlfn.XLOOKUP(TRIM(SUBSTITUTE(A333,_xlfn.UNICHAR(160)," ")),TRIM(SUBSTITUTE('worker file'!$A$2:$A$406,_xlfn.UNICHAR(160)," ")),'worker file'!$L$2:$L$406,"")="US Biweekly",$I$3,$I$2))</f>
        <v>46298</v>
      </c>
      <c r="E333" s="5" t="s">
        <v>571</v>
      </c>
      <c r="F333" s="5" t="s">
        <v>554</v>
      </c>
    </row>
    <row r="334" customFormat="false" ht="15" hidden="false" customHeight="false" outlineLevel="0" collapsed="false">
      <c r="A334" s="5" t="s">
        <v>319</v>
      </c>
      <c r="B334" s="5" t="s">
        <v>588</v>
      </c>
      <c r="C334" s="28" t="n">
        <v>12.5</v>
      </c>
      <c r="D334" s="25" t="n">
        <f aca="false" t="array" ref="D334:D334">IF(F334="n/a","—",IF(_xlfn.XLOOKUP(TRIM(SUBSTITUTE(A334,_xlfn.UNICHAR(160)," ")),TRIM(SUBSTITUTE('worker file'!$A$2:$A$406,_xlfn.UNICHAR(160)," ")),'worker file'!$L$2:$L$406,"")="US Biweekly",$I$3,$I$2))</f>
        <v>46295</v>
      </c>
      <c r="E334" s="5" t="s">
        <v>589</v>
      </c>
      <c r="F334" s="5" t="s">
        <v>559</v>
      </c>
    </row>
    <row r="335" customFormat="false" ht="15" hidden="false" customHeight="false" outlineLevel="0" collapsed="false">
      <c r="A335" s="5" t="s">
        <v>320</v>
      </c>
      <c r="B335" s="5" t="s">
        <v>568</v>
      </c>
      <c r="C335" s="24" t="s">
        <v>569</v>
      </c>
      <c r="D335" s="25" t="str">
        <f aca="false" t="array" ref="D335:D335">IF(F335="n/a","—",IF(_xlfn.XLOOKUP(TRIM(SUBSTITUTE(A335,_xlfn.UNICHAR(160)," ")),TRIM(SUBSTITUTE('worker file'!$A$2:$A$406,_xlfn.UNICHAR(160)," ")),'worker file'!$L$2:$L$406,"")="US Biweekly",$I$3,$I$2))</f>
        <v>—</v>
      </c>
      <c r="E335" s="5" t="s">
        <v>570</v>
      </c>
      <c r="F335" s="5" t="s">
        <v>550</v>
      </c>
    </row>
    <row r="336" customFormat="false" ht="15" hidden="false" customHeight="false" outlineLevel="0" collapsed="false">
      <c r="A336" s="5" t="s">
        <v>321</v>
      </c>
      <c r="B336" s="5" t="s">
        <v>568</v>
      </c>
      <c r="C336" s="24" t="s">
        <v>569</v>
      </c>
      <c r="D336" s="25" t="str">
        <f aca="false" t="array" ref="D336:D336">IF(F336="n/a","—",IF(_xlfn.XLOOKUP(TRIM(SUBSTITUTE(A336,_xlfn.UNICHAR(160)," ")),TRIM(SUBSTITUTE('worker file'!$A$2:$A$406,_xlfn.UNICHAR(160)," ")),'worker file'!$L$2:$L$406,"")="US Biweekly",$I$3,$I$2))</f>
        <v>—</v>
      </c>
      <c r="E336" s="5" t="s">
        <v>570</v>
      </c>
      <c r="F336" s="5" t="s">
        <v>550</v>
      </c>
    </row>
    <row r="337" customFormat="false" ht="15" hidden="false" customHeight="false" outlineLevel="0" collapsed="false">
      <c r="A337" s="5" t="s">
        <v>321</v>
      </c>
      <c r="B337" s="5" t="s">
        <v>566</v>
      </c>
      <c r="C337" s="27" t="n">
        <v>31</v>
      </c>
      <c r="D337" s="25" t="n">
        <f aca="false" t="array" ref="D337:D337">IF(F337="n/a","—",IF(_xlfn.XLOOKUP(TRIM(SUBSTITUTE(A337,_xlfn.UNICHAR(160)," ")),TRIM(SUBSTITUTE('worker file'!$A$2:$A$406,_xlfn.UNICHAR(160)," ")),'worker file'!$L$2:$L$406,"")="US Biweekly",$I$3,$I$2))</f>
        <v>46295</v>
      </c>
      <c r="E337" s="5" t="s">
        <v>571</v>
      </c>
      <c r="F337" s="5" t="s">
        <v>554</v>
      </c>
    </row>
    <row r="338" customFormat="false" ht="15" hidden="false" customHeight="false" outlineLevel="0" collapsed="false">
      <c r="A338" s="5" t="s">
        <v>322</v>
      </c>
      <c r="B338" s="5" t="s">
        <v>568</v>
      </c>
      <c r="C338" s="24" t="s">
        <v>569</v>
      </c>
      <c r="D338" s="25" t="str">
        <f aca="false" t="array" ref="D338:D338">IF(F338="n/a","—",IF(_xlfn.XLOOKUP(TRIM(SUBSTITUTE(A338,_xlfn.UNICHAR(160)," ")),TRIM(SUBSTITUTE('worker file'!$A$2:$A$406,_xlfn.UNICHAR(160)," ")),'worker file'!$L$2:$L$406,"")="US Biweekly",$I$3,$I$2))</f>
        <v>—</v>
      </c>
      <c r="E338" s="5" t="s">
        <v>570</v>
      </c>
      <c r="F338" s="5" t="s">
        <v>550</v>
      </c>
    </row>
    <row r="339" customFormat="false" ht="15" hidden="false" customHeight="false" outlineLevel="0" collapsed="false">
      <c r="A339" s="5" t="s">
        <v>322</v>
      </c>
      <c r="B339" s="5" t="s">
        <v>566</v>
      </c>
      <c r="C339" s="27" t="n">
        <v>69.5</v>
      </c>
      <c r="D339" s="25" t="n">
        <f aca="false" t="array" ref="D339:D339">IF(F339="n/a","—",IF(_xlfn.XLOOKUP(TRIM(SUBSTITUTE(A339,_xlfn.UNICHAR(160)," ")),TRIM(SUBSTITUTE('worker file'!$A$2:$A$406,_xlfn.UNICHAR(160)," ")),'worker file'!$L$2:$L$406,"")="US Biweekly",$I$3,$I$2))</f>
        <v>46295</v>
      </c>
      <c r="E339" s="5" t="s">
        <v>571</v>
      </c>
      <c r="F339" s="5" t="s">
        <v>554</v>
      </c>
    </row>
    <row r="340" customFormat="false" ht="15" hidden="false" customHeight="false" outlineLevel="0" collapsed="false">
      <c r="A340" s="5" t="s">
        <v>323</v>
      </c>
      <c r="B340" s="5" t="s">
        <v>568</v>
      </c>
      <c r="C340" s="24" t="s">
        <v>569</v>
      </c>
      <c r="D340" s="25" t="str">
        <f aca="false" t="array" ref="D340:D340">IF(F340="n/a","—",IF(_xlfn.XLOOKUP(TRIM(SUBSTITUTE(A340,_xlfn.UNICHAR(160)," ")),TRIM(SUBSTITUTE('worker file'!$A$2:$A$406,_xlfn.UNICHAR(160)," ")),'worker file'!$L$2:$L$406,"")="US Biweekly",$I$3,$I$2))</f>
        <v>—</v>
      </c>
      <c r="E340" s="5" t="s">
        <v>570</v>
      </c>
      <c r="F340" s="5" t="s">
        <v>550</v>
      </c>
    </row>
    <row r="341" customFormat="false" ht="15" hidden="false" customHeight="false" outlineLevel="0" collapsed="false">
      <c r="A341" s="5" t="s">
        <v>323</v>
      </c>
      <c r="B341" s="5" t="s">
        <v>566</v>
      </c>
      <c r="C341" s="27" t="n">
        <v>25.5</v>
      </c>
      <c r="D341" s="25" t="n">
        <f aca="false" t="array" ref="D341:D341">IF(F341="n/a","—",IF(_xlfn.XLOOKUP(TRIM(SUBSTITUTE(A341,_xlfn.UNICHAR(160)," ")),TRIM(SUBSTITUTE('worker file'!$A$2:$A$406,_xlfn.UNICHAR(160)," ")),'worker file'!$L$2:$L$406,"")="US Biweekly",$I$3,$I$2))</f>
        <v>46295</v>
      </c>
      <c r="E341" s="5" t="s">
        <v>571</v>
      </c>
      <c r="F341" s="5" t="s">
        <v>554</v>
      </c>
    </row>
    <row r="342" customFormat="false" ht="15" hidden="false" customHeight="false" outlineLevel="0" collapsed="false">
      <c r="A342" s="5" t="s">
        <v>324</v>
      </c>
      <c r="B342" s="5" t="s">
        <v>573</v>
      </c>
      <c r="C342" s="27" t="n">
        <v>22.25</v>
      </c>
      <c r="D342" s="25" t="n">
        <f aca="false" t="array" ref="D342:D342">IF(F342="n/a","—",IF(_xlfn.XLOOKUP(TRIM(SUBSTITUTE(A342,_xlfn.UNICHAR(160)," ")),TRIM(SUBSTITUTE('worker file'!$A$2:$A$406,_xlfn.UNICHAR(160)," ")),'worker file'!$L$2:$L$406,"")="US Biweekly",$I$3,$I$2))</f>
        <v>46298</v>
      </c>
      <c r="E342" s="5" t="s">
        <v>574</v>
      </c>
      <c r="F342" s="5" t="s">
        <v>554</v>
      </c>
    </row>
    <row r="343" customFormat="false" ht="15" hidden="false" customHeight="false" outlineLevel="0" collapsed="false">
      <c r="A343" s="5" t="s">
        <v>324</v>
      </c>
      <c r="B343" s="5" t="s">
        <v>566</v>
      </c>
      <c r="C343" s="27" t="n">
        <v>16.75</v>
      </c>
      <c r="D343" s="25" t="n">
        <f aca="false" t="array" ref="D343:D343">IF(F343="n/a","—",IF(_xlfn.XLOOKUP(TRIM(SUBSTITUTE(A343,_xlfn.UNICHAR(160)," ")),TRIM(SUBSTITUTE('worker file'!$A$2:$A$406,_xlfn.UNICHAR(160)," ")),'worker file'!$L$2:$L$406,"")="US Biweekly",$I$3,$I$2))</f>
        <v>46298</v>
      </c>
      <c r="E343" s="5" t="s">
        <v>571</v>
      </c>
      <c r="F343" s="5" t="s">
        <v>554</v>
      </c>
    </row>
    <row r="344" customFormat="false" ht="15" hidden="false" customHeight="false" outlineLevel="0" collapsed="false">
      <c r="A344" s="5" t="s">
        <v>325</v>
      </c>
      <c r="B344" s="5" t="s">
        <v>588</v>
      </c>
      <c r="C344" s="28" t="n">
        <v>6</v>
      </c>
      <c r="D344" s="25" t="n">
        <f aca="false" t="array" ref="D344:D344">IF(F344="n/a","—",IF(_xlfn.XLOOKUP(TRIM(SUBSTITUTE(A344,_xlfn.UNICHAR(160)," ")),TRIM(SUBSTITUTE('worker file'!$A$2:$A$406,_xlfn.UNICHAR(160)," ")),'worker file'!$L$2:$L$406,"")="US Biweekly",$I$3,$I$2))</f>
        <v>46295</v>
      </c>
      <c r="E344" s="5" t="s">
        <v>589</v>
      </c>
      <c r="F344" s="5" t="s">
        <v>559</v>
      </c>
    </row>
    <row r="345" customFormat="false" ht="15" hidden="false" customHeight="false" outlineLevel="0" collapsed="false">
      <c r="A345" s="5" t="s">
        <v>326</v>
      </c>
      <c r="B345" s="5" t="s">
        <v>568</v>
      </c>
      <c r="C345" s="24" t="s">
        <v>569</v>
      </c>
      <c r="D345" s="25" t="str">
        <f aca="false" t="array" ref="D345:D345">IF(F345="n/a","—",IF(_xlfn.XLOOKUP(TRIM(SUBSTITUTE(A345,_xlfn.UNICHAR(160)," ")),TRIM(SUBSTITUTE('worker file'!$A$2:$A$406,_xlfn.UNICHAR(160)," ")),'worker file'!$L$2:$L$406,"")="US Biweekly",$I$3,$I$2))</f>
        <v>—</v>
      </c>
      <c r="E345" s="5" t="s">
        <v>570</v>
      </c>
      <c r="F345" s="5" t="s">
        <v>550</v>
      </c>
    </row>
    <row r="346" customFormat="false" ht="15" hidden="false" customHeight="false" outlineLevel="0" collapsed="false">
      <c r="A346" s="5" t="s">
        <v>326</v>
      </c>
      <c r="B346" s="5" t="s">
        <v>566</v>
      </c>
      <c r="C346" s="27" t="n">
        <v>26.5</v>
      </c>
      <c r="D346" s="25" t="n">
        <f aca="false" t="array" ref="D346:D346">IF(F346="n/a","—",IF(_xlfn.XLOOKUP(TRIM(SUBSTITUTE(A346,_xlfn.UNICHAR(160)," ")),TRIM(SUBSTITUTE('worker file'!$A$2:$A$406,_xlfn.UNICHAR(160)," ")),'worker file'!$L$2:$L$406,"")="US Biweekly",$I$3,$I$2))</f>
        <v>46295</v>
      </c>
      <c r="E346" s="5" t="s">
        <v>571</v>
      </c>
      <c r="F346" s="5" t="s">
        <v>554</v>
      </c>
    </row>
    <row r="347" customFormat="false" ht="15" hidden="false" customHeight="false" outlineLevel="0" collapsed="false">
      <c r="A347" s="5" t="s">
        <v>327</v>
      </c>
      <c r="B347" s="5" t="s">
        <v>568</v>
      </c>
      <c r="C347" s="24" t="s">
        <v>569</v>
      </c>
      <c r="D347" s="25" t="str">
        <f aca="false" t="array" ref="D347:D347">IF(F347="n/a","—",IF(_xlfn.XLOOKUP(TRIM(SUBSTITUTE(A347,_xlfn.UNICHAR(160)," ")),TRIM(SUBSTITUTE('worker file'!$A$2:$A$406,_xlfn.UNICHAR(160)," ")),'worker file'!$L$2:$L$406,"")="US Biweekly",$I$3,$I$2))</f>
        <v>—</v>
      </c>
      <c r="E347" s="5" t="s">
        <v>570</v>
      </c>
      <c r="F347" s="5" t="s">
        <v>550</v>
      </c>
    </row>
    <row r="348" customFormat="false" ht="15" hidden="false" customHeight="false" outlineLevel="0" collapsed="false">
      <c r="A348" s="5" t="s">
        <v>328</v>
      </c>
      <c r="B348" s="5" t="s">
        <v>588</v>
      </c>
      <c r="C348" s="28" t="n">
        <v>12.5</v>
      </c>
      <c r="D348" s="25" t="n">
        <f aca="false" t="array" ref="D348:D348">IF(F348="n/a","—",IF(_xlfn.XLOOKUP(TRIM(SUBSTITUTE(A348,_xlfn.UNICHAR(160)," ")),TRIM(SUBSTITUTE('worker file'!$A$2:$A$406,_xlfn.UNICHAR(160)," ")),'worker file'!$L$2:$L$406,"")="US Biweekly",$I$3,$I$2))</f>
        <v>46295</v>
      </c>
      <c r="E348" s="5" t="s">
        <v>589</v>
      </c>
      <c r="F348" s="5" t="s">
        <v>559</v>
      </c>
    </row>
    <row r="349" customFormat="false" ht="15" hidden="false" customHeight="false" outlineLevel="0" collapsed="false">
      <c r="A349" s="5" t="s">
        <v>329</v>
      </c>
      <c r="B349" s="5" t="s">
        <v>568</v>
      </c>
      <c r="C349" s="24" t="s">
        <v>569</v>
      </c>
      <c r="D349" s="25" t="str">
        <f aca="false" t="array" ref="D349:D349">IF(F349="n/a","—",IF(_xlfn.XLOOKUP(TRIM(SUBSTITUTE(A349,_xlfn.UNICHAR(160)," ")),TRIM(SUBSTITUTE('worker file'!$A$2:$A$406,_xlfn.UNICHAR(160)," ")),'worker file'!$L$2:$L$406,"")="US Biweekly",$I$3,$I$2))</f>
        <v>—</v>
      </c>
      <c r="E349" s="5" t="s">
        <v>570</v>
      </c>
      <c r="F349" s="5" t="s">
        <v>550</v>
      </c>
    </row>
    <row r="350" customFormat="false" ht="15" hidden="false" customHeight="false" outlineLevel="0" collapsed="false">
      <c r="A350" s="5" t="s">
        <v>329</v>
      </c>
      <c r="B350" s="5" t="s">
        <v>566</v>
      </c>
      <c r="C350" s="27" t="n">
        <v>58.75</v>
      </c>
      <c r="D350" s="25" t="n">
        <f aca="false" t="array" ref="D350:D350">IF(F350="n/a","—",IF(_xlfn.XLOOKUP(TRIM(SUBSTITUTE(A350,_xlfn.UNICHAR(160)," ")),TRIM(SUBSTITUTE('worker file'!$A$2:$A$406,_xlfn.UNICHAR(160)," ")),'worker file'!$L$2:$L$406,"")="US Biweekly",$I$3,$I$2))</f>
        <v>46295</v>
      </c>
      <c r="E350" s="5" t="s">
        <v>571</v>
      </c>
      <c r="F350" s="5" t="s">
        <v>554</v>
      </c>
    </row>
    <row r="351" customFormat="false" ht="15" hidden="false" customHeight="false" outlineLevel="0" collapsed="false">
      <c r="A351" s="5" t="s">
        <v>596</v>
      </c>
      <c r="B351" s="5" t="s">
        <v>568</v>
      </c>
      <c r="C351" s="24" t="s">
        <v>569</v>
      </c>
      <c r="D351" s="25" t="str">
        <f aca="false" t="array" ref="D351:D351">IF(F351="n/a","—",IF(_xlfn.XLOOKUP(TRIM(SUBSTITUTE(A351,_xlfn.UNICHAR(160)," ")),TRIM(SUBSTITUTE('worker file'!$A$2:$A$406,_xlfn.UNICHAR(160)," ")),'worker file'!$L$2:$L$406,"")="US Biweekly",$I$3,$I$2))</f>
        <v>—</v>
      </c>
      <c r="E351" s="5" t="s">
        <v>597</v>
      </c>
      <c r="F351" s="5" t="s">
        <v>550</v>
      </c>
    </row>
    <row r="352" customFormat="false" ht="15" hidden="false" customHeight="false" outlineLevel="0" collapsed="false">
      <c r="A352" s="5" t="s">
        <v>596</v>
      </c>
      <c r="B352" s="5" t="s">
        <v>566</v>
      </c>
      <c r="C352" s="27" t="n">
        <v>0</v>
      </c>
      <c r="D352" s="25" t="n">
        <f aca="false" t="array" ref="D352:D352">IF(F352="n/a","—",IF(_xlfn.XLOOKUP(TRIM(SUBSTITUTE(A352,_xlfn.UNICHAR(160)," ")),TRIM(SUBSTITUTE('worker file'!$A$2:$A$406,_xlfn.UNICHAR(160)," ")),'worker file'!$L$2:$L$406,"")="US Biweekly",$I$3,$I$2))</f>
        <v>46295</v>
      </c>
      <c r="E352" s="5" t="s">
        <v>598</v>
      </c>
      <c r="F352" s="5" t="s">
        <v>554</v>
      </c>
    </row>
    <row r="353" customFormat="false" ht="15" hidden="false" customHeight="false" outlineLevel="0" collapsed="false">
      <c r="A353" s="5" t="s">
        <v>330</v>
      </c>
      <c r="B353" s="5" t="s">
        <v>588</v>
      </c>
      <c r="C353" s="28" t="n">
        <v>5.5</v>
      </c>
      <c r="D353" s="25" t="n">
        <f aca="false" t="array" ref="D353:D353">IF(F353="n/a","—",IF(_xlfn.XLOOKUP(TRIM(SUBSTITUTE(A353,_xlfn.UNICHAR(160)," ")),TRIM(SUBSTITUTE('worker file'!$A$2:$A$406,_xlfn.UNICHAR(160)," ")),'worker file'!$L$2:$L$406,"")="US Biweekly",$I$3,$I$2))</f>
        <v>46295</v>
      </c>
      <c r="E353" s="5" t="s">
        <v>589</v>
      </c>
      <c r="F353" s="5" t="s">
        <v>559</v>
      </c>
    </row>
    <row r="354" customFormat="false" ht="15" hidden="false" customHeight="false" outlineLevel="0" collapsed="false">
      <c r="A354" s="5" t="s">
        <v>331</v>
      </c>
      <c r="B354" s="5" t="s">
        <v>568</v>
      </c>
      <c r="C354" s="24" t="s">
        <v>569</v>
      </c>
      <c r="D354" s="25" t="str">
        <f aca="false" t="array" ref="D354:D354">IF(F354="n/a","—",IF(_xlfn.XLOOKUP(TRIM(SUBSTITUTE(A354,_xlfn.UNICHAR(160)," ")),TRIM(SUBSTITUTE('worker file'!$A$2:$A$406,_xlfn.UNICHAR(160)," ")),'worker file'!$L$2:$L$406,"")="US Biweekly",$I$3,$I$2))</f>
        <v>—</v>
      </c>
      <c r="E354" s="5" t="s">
        <v>570</v>
      </c>
      <c r="F354" s="5" t="s">
        <v>550</v>
      </c>
    </row>
    <row r="355" customFormat="false" ht="15" hidden="false" customHeight="false" outlineLevel="0" collapsed="false">
      <c r="A355" s="5" t="s">
        <v>332</v>
      </c>
      <c r="B355" s="5" t="s">
        <v>568</v>
      </c>
      <c r="C355" s="24" t="s">
        <v>569</v>
      </c>
      <c r="D355" s="25" t="str">
        <f aca="false" t="array" ref="D355:D355">IF(F355="n/a","—",IF(_xlfn.XLOOKUP(TRIM(SUBSTITUTE(A355,_xlfn.UNICHAR(160)," ")),TRIM(SUBSTITUTE('worker file'!$A$2:$A$406,_xlfn.UNICHAR(160)," ")),'worker file'!$L$2:$L$406,"")="US Biweekly",$I$3,$I$2))</f>
        <v>—</v>
      </c>
      <c r="E355" s="5" t="s">
        <v>570</v>
      </c>
      <c r="F355" s="5" t="s">
        <v>550</v>
      </c>
    </row>
    <row r="356" customFormat="false" ht="15" hidden="false" customHeight="false" outlineLevel="0" collapsed="false">
      <c r="A356" s="5" t="s">
        <v>332</v>
      </c>
      <c r="B356" s="5" t="s">
        <v>566</v>
      </c>
      <c r="C356" s="27" t="n">
        <v>75</v>
      </c>
      <c r="D356" s="25" t="n">
        <f aca="false" t="array" ref="D356:D356">IF(F356="n/a","—",IF(_xlfn.XLOOKUP(TRIM(SUBSTITUTE(A356,_xlfn.UNICHAR(160)," ")),TRIM(SUBSTITUTE('worker file'!$A$2:$A$406,_xlfn.UNICHAR(160)," ")),'worker file'!$L$2:$L$406,"")="US Biweekly",$I$3,$I$2))</f>
        <v>46295</v>
      </c>
      <c r="E356" s="5" t="s">
        <v>571</v>
      </c>
      <c r="F356" s="5" t="s">
        <v>554</v>
      </c>
    </row>
    <row r="357" customFormat="false" ht="15" hidden="false" customHeight="false" outlineLevel="0" collapsed="false">
      <c r="A357" s="5" t="s">
        <v>333</v>
      </c>
      <c r="B357" s="5" t="s">
        <v>568</v>
      </c>
      <c r="C357" s="24" t="s">
        <v>569</v>
      </c>
      <c r="D357" s="25" t="str">
        <f aca="false" t="array" ref="D357:D357">IF(F357="n/a","—",IF(_xlfn.XLOOKUP(TRIM(SUBSTITUTE(A357,_xlfn.UNICHAR(160)," ")),TRIM(SUBSTITUTE('worker file'!$A$2:$A$406,_xlfn.UNICHAR(160)," ")),'worker file'!$L$2:$L$406,"")="US Biweekly",$I$3,$I$2))</f>
        <v>—</v>
      </c>
      <c r="E357" s="5" t="s">
        <v>570</v>
      </c>
      <c r="F357" s="5" t="s">
        <v>550</v>
      </c>
    </row>
    <row r="358" customFormat="false" ht="15" hidden="false" customHeight="false" outlineLevel="0" collapsed="false">
      <c r="A358" s="5" t="s">
        <v>334</v>
      </c>
      <c r="B358" s="5" t="s">
        <v>584</v>
      </c>
      <c r="C358" s="28" t="n">
        <v>9.5</v>
      </c>
      <c r="D358" s="25" t="n">
        <f aca="false" t="array" ref="D358:D358">IF(F358="n/a","—",IF(_xlfn.XLOOKUP(TRIM(SUBSTITUTE(A358,_xlfn.UNICHAR(160)," ")),TRIM(SUBSTITUTE('worker file'!$A$2:$A$406,_xlfn.UNICHAR(160)," ")),'worker file'!$L$2:$L$406,"")="US Biweekly",$I$3,$I$2))</f>
        <v>46295</v>
      </c>
      <c r="E358" s="5" t="s">
        <v>585</v>
      </c>
      <c r="F358" s="5" t="s">
        <v>559</v>
      </c>
    </row>
    <row r="359" customFormat="false" ht="15" hidden="false" customHeight="false" outlineLevel="0" collapsed="false">
      <c r="A359" s="5" t="s">
        <v>334</v>
      </c>
      <c r="B359" s="5" t="s">
        <v>586</v>
      </c>
      <c r="C359" s="28" t="n">
        <v>7.5</v>
      </c>
      <c r="D359" s="25" t="n">
        <f aca="false" t="array" ref="D359:D359">IF(F359="n/a","—",IF(_xlfn.XLOOKUP(TRIM(SUBSTITUTE(A359,_xlfn.UNICHAR(160)," ")),TRIM(SUBSTITUTE('worker file'!$A$2:$A$406,_xlfn.UNICHAR(160)," ")),'worker file'!$L$2:$L$406,"")="US Biweekly",$I$3,$I$2))</f>
        <v>46295</v>
      </c>
      <c r="E359" s="5" t="s">
        <v>587</v>
      </c>
      <c r="F359" s="5" t="s">
        <v>559</v>
      </c>
    </row>
    <row r="360" customFormat="false" ht="15" hidden="false" customHeight="false" outlineLevel="0" collapsed="false">
      <c r="A360" s="5" t="s">
        <v>335</v>
      </c>
      <c r="B360" s="5" t="s">
        <v>568</v>
      </c>
      <c r="C360" s="24" t="s">
        <v>569</v>
      </c>
      <c r="D360" s="25" t="str">
        <f aca="false" t="array" ref="D360:D360">IF(F360="n/a","—",IF(_xlfn.XLOOKUP(TRIM(SUBSTITUTE(A360,_xlfn.UNICHAR(160)," ")),TRIM(SUBSTITUTE('worker file'!$A$2:$A$406,_xlfn.UNICHAR(160)," ")),'worker file'!$L$2:$L$406,"")="US Biweekly",$I$3,$I$2))</f>
        <v>—</v>
      </c>
      <c r="E360" s="5" t="s">
        <v>570</v>
      </c>
      <c r="F360" s="5" t="s">
        <v>550</v>
      </c>
    </row>
    <row r="361" customFormat="false" ht="15" hidden="false" customHeight="false" outlineLevel="0" collapsed="false">
      <c r="A361" s="5" t="s">
        <v>335</v>
      </c>
      <c r="B361" s="5" t="s">
        <v>566</v>
      </c>
      <c r="C361" s="27" t="n">
        <v>35.75</v>
      </c>
      <c r="D361" s="25" t="n">
        <f aca="false" t="array" ref="D361:D361">IF(F361="n/a","—",IF(_xlfn.XLOOKUP(TRIM(SUBSTITUTE(A361,_xlfn.UNICHAR(160)," ")),TRIM(SUBSTITUTE('worker file'!$A$2:$A$406,_xlfn.UNICHAR(160)," ")),'worker file'!$L$2:$L$406,"")="US Biweekly",$I$3,$I$2))</f>
        <v>46295</v>
      </c>
      <c r="E361" s="5" t="s">
        <v>571</v>
      </c>
      <c r="F361" s="5" t="s">
        <v>554</v>
      </c>
    </row>
    <row r="362" customFormat="false" ht="15" hidden="false" customHeight="false" outlineLevel="0" collapsed="false">
      <c r="A362" s="5" t="s">
        <v>336</v>
      </c>
      <c r="B362" s="5" t="s">
        <v>584</v>
      </c>
      <c r="C362" s="28" t="n">
        <v>2</v>
      </c>
      <c r="D362" s="25" t="n">
        <f aca="false" t="array" ref="D362:D362">IF(F362="n/a","—",IF(_xlfn.XLOOKUP(TRIM(SUBSTITUTE(A362,_xlfn.UNICHAR(160)," ")),TRIM(SUBSTITUTE('worker file'!$A$2:$A$406,_xlfn.UNICHAR(160)," ")),'worker file'!$L$2:$L$406,"")="US Biweekly",$I$3,$I$2))</f>
        <v>46295</v>
      </c>
      <c r="E362" s="5" t="s">
        <v>585</v>
      </c>
      <c r="F362" s="5" t="s">
        <v>559</v>
      </c>
    </row>
    <row r="363" customFormat="false" ht="15" hidden="false" customHeight="false" outlineLevel="0" collapsed="false">
      <c r="A363" s="5" t="s">
        <v>336</v>
      </c>
      <c r="B363" s="5" t="s">
        <v>586</v>
      </c>
      <c r="C363" s="28" t="n">
        <v>5</v>
      </c>
      <c r="D363" s="25" t="n">
        <f aca="false" t="array" ref="D363:D363">IF(F363="n/a","—",IF(_xlfn.XLOOKUP(TRIM(SUBSTITUTE(A363,_xlfn.UNICHAR(160)," ")),TRIM(SUBSTITUTE('worker file'!$A$2:$A$406,_xlfn.UNICHAR(160)," ")),'worker file'!$L$2:$L$406,"")="US Biweekly",$I$3,$I$2))</f>
        <v>46295</v>
      </c>
      <c r="E363" s="5" t="s">
        <v>587</v>
      </c>
      <c r="F363" s="5" t="s">
        <v>559</v>
      </c>
    </row>
    <row r="364" customFormat="false" ht="15" hidden="false" customHeight="false" outlineLevel="0" collapsed="false">
      <c r="A364" s="5" t="s">
        <v>337</v>
      </c>
      <c r="B364" s="5" t="s">
        <v>573</v>
      </c>
      <c r="C364" s="27" t="n">
        <v>44.25</v>
      </c>
      <c r="D364" s="25" t="n">
        <f aca="false" t="array" ref="D364:D364">IF(F364="n/a","—",IF(_xlfn.XLOOKUP(TRIM(SUBSTITUTE(A364,_xlfn.UNICHAR(160)," ")),TRIM(SUBSTITUTE('worker file'!$A$2:$A$406,_xlfn.UNICHAR(160)," ")),'worker file'!$L$2:$L$406,"")="US Biweekly",$I$3,$I$2))</f>
        <v>46298</v>
      </c>
      <c r="E364" s="5" t="s">
        <v>574</v>
      </c>
      <c r="F364" s="5" t="s">
        <v>554</v>
      </c>
    </row>
    <row r="365" customFormat="false" ht="15" hidden="false" customHeight="false" outlineLevel="0" collapsed="false">
      <c r="A365" s="5" t="s">
        <v>337</v>
      </c>
      <c r="B365" s="5" t="s">
        <v>566</v>
      </c>
      <c r="C365" s="27" t="n">
        <v>34</v>
      </c>
      <c r="D365" s="25" t="n">
        <f aca="false" t="array" ref="D365:D365">IF(F365="n/a","—",IF(_xlfn.XLOOKUP(TRIM(SUBSTITUTE(A365,_xlfn.UNICHAR(160)," ")),TRIM(SUBSTITUTE('worker file'!$A$2:$A$406,_xlfn.UNICHAR(160)," ")),'worker file'!$L$2:$L$406,"")="US Biweekly",$I$3,$I$2))</f>
        <v>46298</v>
      </c>
      <c r="E365" s="5" t="s">
        <v>571</v>
      </c>
      <c r="F365" s="5" t="s">
        <v>554</v>
      </c>
    </row>
    <row r="366" customFormat="false" ht="15" hidden="false" customHeight="false" outlineLevel="0" collapsed="false">
      <c r="A366" s="5" t="s">
        <v>338</v>
      </c>
      <c r="B366" s="5" t="s">
        <v>573</v>
      </c>
      <c r="C366" s="27" t="n">
        <v>42</v>
      </c>
      <c r="D366" s="25" t="n">
        <f aca="false" t="array" ref="D366:D366">IF(F366="n/a","—",IF(_xlfn.XLOOKUP(TRIM(SUBSTITUTE(A366,_xlfn.UNICHAR(160)," ")),TRIM(SUBSTITUTE('worker file'!$A$2:$A$406,_xlfn.UNICHAR(160)," ")),'worker file'!$L$2:$L$406,"")="US Biweekly",$I$3,$I$2))</f>
        <v>46298</v>
      </c>
      <c r="E366" s="5" t="s">
        <v>574</v>
      </c>
      <c r="F366" s="5" t="s">
        <v>554</v>
      </c>
    </row>
    <row r="367" customFormat="false" ht="15" hidden="false" customHeight="false" outlineLevel="0" collapsed="false">
      <c r="A367" s="5" t="s">
        <v>338</v>
      </c>
      <c r="B367" s="5" t="s">
        <v>575</v>
      </c>
      <c r="C367" s="27" t="n">
        <v>27.5</v>
      </c>
      <c r="D367" s="25" t="n">
        <f aca="false" t="array" ref="D367:D367">IF(F367="n/a","—",IF(_xlfn.XLOOKUP(TRIM(SUBSTITUTE(A367,_xlfn.UNICHAR(160)," ")),TRIM(SUBSTITUTE('worker file'!$A$2:$A$406,_xlfn.UNICHAR(160)," ")),'worker file'!$L$2:$L$406,"")="US Biweekly",$I$3,$I$2))</f>
        <v>46298</v>
      </c>
      <c r="E367" s="5" t="s">
        <v>576</v>
      </c>
      <c r="F367" s="5" t="s">
        <v>554</v>
      </c>
    </row>
    <row r="368" customFormat="false" ht="15" hidden="false" customHeight="false" outlineLevel="0" collapsed="false">
      <c r="A368" s="5" t="s">
        <v>339</v>
      </c>
      <c r="B368" s="5" t="s">
        <v>568</v>
      </c>
      <c r="C368" s="24" t="s">
        <v>569</v>
      </c>
      <c r="D368" s="25" t="str">
        <f aca="false" t="array" ref="D368:D368">IF(F368="n/a","—",IF(_xlfn.XLOOKUP(TRIM(SUBSTITUTE(A368,_xlfn.UNICHAR(160)," ")),TRIM(SUBSTITUTE('worker file'!$A$2:$A$406,_xlfn.UNICHAR(160)," ")),'worker file'!$L$2:$L$406,"")="US Biweekly",$I$3,$I$2))</f>
        <v>—</v>
      </c>
      <c r="E368" s="5" t="s">
        <v>570</v>
      </c>
      <c r="F368" s="5" t="s">
        <v>550</v>
      </c>
    </row>
    <row r="369" customFormat="false" ht="15" hidden="false" customHeight="false" outlineLevel="0" collapsed="false">
      <c r="A369" s="5" t="s">
        <v>340</v>
      </c>
      <c r="B369" s="5" t="s">
        <v>568</v>
      </c>
      <c r="C369" s="24" t="s">
        <v>569</v>
      </c>
      <c r="D369" s="25" t="str">
        <f aca="false" t="array" ref="D369:D369">IF(F369="n/a","—",IF(_xlfn.XLOOKUP(TRIM(SUBSTITUTE(A369,_xlfn.UNICHAR(160)," ")),TRIM(SUBSTITUTE('worker file'!$A$2:$A$406,_xlfn.UNICHAR(160)," ")),'worker file'!$L$2:$L$406,"")="US Biweekly",$I$3,$I$2))</f>
        <v>—</v>
      </c>
      <c r="E369" s="5" t="s">
        <v>570</v>
      </c>
      <c r="F369" s="5" t="s">
        <v>550</v>
      </c>
    </row>
    <row r="370" customFormat="false" ht="15" hidden="false" customHeight="false" outlineLevel="0" collapsed="false">
      <c r="A370" s="5" t="s">
        <v>340</v>
      </c>
      <c r="B370" s="5" t="s">
        <v>566</v>
      </c>
      <c r="C370" s="27" t="n">
        <v>50</v>
      </c>
      <c r="D370" s="25" t="n">
        <f aca="false" t="array" ref="D370:D370">IF(F370="n/a","—",IF(_xlfn.XLOOKUP(TRIM(SUBSTITUTE(A370,_xlfn.UNICHAR(160)," ")),TRIM(SUBSTITUTE('worker file'!$A$2:$A$406,_xlfn.UNICHAR(160)," ")),'worker file'!$L$2:$L$406,"")="US Biweekly",$I$3,$I$2))</f>
        <v>46295</v>
      </c>
      <c r="E370" s="5" t="s">
        <v>571</v>
      </c>
      <c r="F370" s="5" t="s">
        <v>554</v>
      </c>
    </row>
    <row r="371" customFormat="false" ht="15" hidden="false" customHeight="false" outlineLevel="0" collapsed="false">
      <c r="A371" s="5" t="s">
        <v>341</v>
      </c>
      <c r="B371" s="5" t="s">
        <v>568</v>
      </c>
      <c r="C371" s="24" t="s">
        <v>569</v>
      </c>
      <c r="D371" s="25" t="str">
        <f aca="false" t="array" ref="D371:D371">IF(F371="n/a","—",IF(_xlfn.XLOOKUP(TRIM(SUBSTITUTE(A371,_xlfn.UNICHAR(160)," ")),TRIM(SUBSTITUTE('worker file'!$A$2:$A$406,_xlfn.UNICHAR(160)," ")),'worker file'!$L$2:$L$406,"")="US Biweekly",$I$3,$I$2))</f>
        <v>—</v>
      </c>
      <c r="E371" s="5" t="s">
        <v>570</v>
      </c>
      <c r="F371" s="5" t="s">
        <v>550</v>
      </c>
    </row>
    <row r="372" customFormat="false" ht="15" hidden="false" customHeight="false" outlineLevel="0" collapsed="false">
      <c r="A372" s="5" t="s">
        <v>341</v>
      </c>
      <c r="B372" s="5" t="s">
        <v>590</v>
      </c>
      <c r="C372" s="27" t="n">
        <v>21</v>
      </c>
      <c r="D372" s="25" t="n">
        <f aca="false" t="array" ref="D372:D372">IF(F372="n/a","—",IF(_xlfn.XLOOKUP(TRIM(SUBSTITUTE(A372,_xlfn.UNICHAR(160)," ")),TRIM(SUBSTITUTE('worker file'!$A$2:$A$406,_xlfn.UNICHAR(160)," ")),'worker file'!$L$2:$L$406,"")="US Biweekly",$I$3,$I$2))</f>
        <v>46295</v>
      </c>
      <c r="E372" s="5" t="s">
        <v>591</v>
      </c>
      <c r="F372" s="5" t="s">
        <v>554</v>
      </c>
    </row>
    <row r="373" customFormat="false" ht="15" hidden="false" customHeight="false" outlineLevel="0" collapsed="false">
      <c r="A373" s="5" t="s">
        <v>342</v>
      </c>
      <c r="B373" s="5" t="s">
        <v>588</v>
      </c>
      <c r="C373" s="28" t="n">
        <v>4.5</v>
      </c>
      <c r="D373" s="25" t="n">
        <f aca="false" t="array" ref="D373:D373">IF(F373="n/a","—",IF(_xlfn.XLOOKUP(TRIM(SUBSTITUTE(A373,_xlfn.UNICHAR(160)," ")),TRIM(SUBSTITUTE('worker file'!$A$2:$A$406,_xlfn.UNICHAR(160)," ")),'worker file'!$L$2:$L$406,"")="US Biweekly",$I$3,$I$2))</f>
        <v>46295</v>
      </c>
      <c r="E373" s="5" t="s">
        <v>589</v>
      </c>
      <c r="F373" s="5" t="s">
        <v>559</v>
      </c>
    </row>
    <row r="374" customFormat="false" ht="15" hidden="false" customHeight="false" outlineLevel="0" collapsed="false">
      <c r="A374" s="5" t="s">
        <v>343</v>
      </c>
      <c r="B374" s="5" t="s">
        <v>568</v>
      </c>
      <c r="C374" s="24" t="s">
        <v>569</v>
      </c>
      <c r="D374" s="25" t="str">
        <f aca="false" t="array" ref="D374:D374">IF(F374="n/a","—",IF(_xlfn.XLOOKUP(TRIM(SUBSTITUTE(A374,_xlfn.UNICHAR(160)," ")),TRIM(SUBSTITUTE('worker file'!$A$2:$A$406,_xlfn.UNICHAR(160)," ")),'worker file'!$L$2:$L$406,"")="US Biweekly",$I$3,$I$2))</f>
        <v>—</v>
      </c>
      <c r="E374" s="5" t="s">
        <v>570</v>
      </c>
      <c r="F374" s="5" t="s">
        <v>550</v>
      </c>
    </row>
    <row r="375" customFormat="false" ht="15" hidden="false" customHeight="false" outlineLevel="0" collapsed="false">
      <c r="A375" s="5" t="s">
        <v>343</v>
      </c>
      <c r="B375" s="5" t="s">
        <v>566</v>
      </c>
      <c r="C375" s="27" t="n">
        <v>65</v>
      </c>
      <c r="D375" s="25" t="n">
        <f aca="false" t="array" ref="D375:D375">IF(F375="n/a","—",IF(_xlfn.XLOOKUP(TRIM(SUBSTITUTE(A375,_xlfn.UNICHAR(160)," ")),TRIM(SUBSTITUTE('worker file'!$A$2:$A$406,_xlfn.UNICHAR(160)," ")),'worker file'!$L$2:$L$406,"")="US Biweekly",$I$3,$I$2))</f>
        <v>46295</v>
      </c>
      <c r="E375" s="5" t="s">
        <v>571</v>
      </c>
      <c r="F375" s="5" t="s">
        <v>554</v>
      </c>
    </row>
    <row r="376" customFormat="false" ht="15" hidden="false" customHeight="false" outlineLevel="0" collapsed="false">
      <c r="A376" s="5" t="s">
        <v>344</v>
      </c>
      <c r="B376" s="5" t="s">
        <v>568</v>
      </c>
      <c r="C376" s="24" t="s">
        <v>569</v>
      </c>
      <c r="D376" s="25" t="str">
        <f aca="false" t="array" ref="D376:D376">IF(F376="n/a","—",IF(_xlfn.XLOOKUP(TRIM(SUBSTITUTE(A376,_xlfn.UNICHAR(160)," ")),TRIM(SUBSTITUTE('worker file'!$A$2:$A$406,_xlfn.UNICHAR(160)," ")),'worker file'!$L$2:$L$406,"")="US Biweekly",$I$3,$I$2))</f>
        <v>—</v>
      </c>
      <c r="E376" s="5" t="s">
        <v>570</v>
      </c>
      <c r="F376" s="5" t="s">
        <v>550</v>
      </c>
    </row>
    <row r="377" customFormat="false" ht="15" hidden="false" customHeight="false" outlineLevel="0" collapsed="false">
      <c r="A377" s="5" t="s">
        <v>344</v>
      </c>
      <c r="B377" s="5" t="s">
        <v>577</v>
      </c>
      <c r="C377" s="27" t="n">
        <v>48.25</v>
      </c>
      <c r="D377" s="25" t="n">
        <f aca="false" t="array" ref="D377:D377">IF(F377="n/a","—",IF(_xlfn.XLOOKUP(TRIM(SUBSTITUTE(A377,_xlfn.UNICHAR(160)," ")),TRIM(SUBSTITUTE('worker file'!$A$2:$A$406,_xlfn.UNICHAR(160)," ")),'worker file'!$L$2:$L$406,"")="US Biweekly",$I$3,$I$2))</f>
        <v>46295</v>
      </c>
      <c r="E377" s="5" t="s">
        <v>578</v>
      </c>
      <c r="F377" s="5" t="s">
        <v>554</v>
      </c>
    </row>
    <row r="378" customFormat="false" ht="15" hidden="false" customHeight="false" outlineLevel="0" collapsed="false">
      <c r="A378" s="5" t="s">
        <v>345</v>
      </c>
      <c r="B378" s="5" t="s">
        <v>568</v>
      </c>
      <c r="C378" s="24" t="s">
        <v>569</v>
      </c>
      <c r="D378" s="25" t="str">
        <f aca="false" t="array" ref="D378:D378">IF(F378="n/a","—",IF(_xlfn.XLOOKUP(TRIM(SUBSTITUTE(A378,_xlfn.UNICHAR(160)," ")),TRIM(SUBSTITUTE('worker file'!$A$2:$A$406,_xlfn.UNICHAR(160)," ")),'worker file'!$L$2:$L$406,"")="US Biweekly",$I$3,$I$2))</f>
        <v>—</v>
      </c>
      <c r="E378" s="5" t="s">
        <v>570</v>
      </c>
      <c r="F378" s="5" t="s">
        <v>550</v>
      </c>
    </row>
    <row r="379" customFormat="false" ht="15" hidden="false" customHeight="false" outlineLevel="0" collapsed="false">
      <c r="A379" s="5" t="s">
        <v>346</v>
      </c>
      <c r="B379" s="5" t="s">
        <v>568</v>
      </c>
      <c r="C379" s="24" t="s">
        <v>569</v>
      </c>
      <c r="D379" s="25" t="str">
        <f aca="false" t="array" ref="D379:D379">IF(F379="n/a","—",IF(_xlfn.XLOOKUP(TRIM(SUBSTITUTE(A379,_xlfn.UNICHAR(160)," ")),TRIM(SUBSTITUTE('worker file'!$A$2:$A$406,_xlfn.UNICHAR(160)," ")),'worker file'!$L$2:$L$406,"")="US Biweekly",$I$3,$I$2))</f>
        <v>—</v>
      </c>
      <c r="E379" s="5" t="s">
        <v>570</v>
      </c>
      <c r="F379" s="5" t="s">
        <v>550</v>
      </c>
    </row>
    <row r="380" customFormat="false" ht="15" hidden="false" customHeight="false" outlineLevel="0" collapsed="false">
      <c r="A380" s="5" t="s">
        <v>347</v>
      </c>
      <c r="B380" s="5" t="s">
        <v>568</v>
      </c>
      <c r="C380" s="24" t="s">
        <v>569</v>
      </c>
      <c r="D380" s="25" t="str">
        <f aca="false" t="array" ref="D380:D380">IF(F380="n/a","—",IF(_xlfn.XLOOKUP(TRIM(SUBSTITUTE(A380,_xlfn.UNICHAR(160)," ")),TRIM(SUBSTITUTE('worker file'!$A$2:$A$406,_xlfn.UNICHAR(160)," ")),'worker file'!$L$2:$L$406,"")="US Biweekly",$I$3,$I$2))</f>
        <v>—</v>
      </c>
      <c r="E380" s="5" t="s">
        <v>570</v>
      </c>
      <c r="F380" s="5" t="s">
        <v>550</v>
      </c>
    </row>
    <row r="381" customFormat="false" ht="15" hidden="false" customHeight="false" outlineLevel="0" collapsed="false">
      <c r="A381" s="5" t="s">
        <v>347</v>
      </c>
      <c r="B381" s="5" t="s">
        <v>590</v>
      </c>
      <c r="C381" s="27" t="n">
        <v>20.25</v>
      </c>
      <c r="D381" s="25" t="n">
        <f aca="false" t="array" ref="D381:D381">IF(F381="n/a","—",IF(_xlfn.XLOOKUP(TRIM(SUBSTITUTE(A381,_xlfn.UNICHAR(160)," ")),TRIM(SUBSTITUTE('worker file'!$A$2:$A$406,_xlfn.UNICHAR(160)," ")),'worker file'!$L$2:$L$406,"")="US Biweekly",$I$3,$I$2))</f>
        <v>46295</v>
      </c>
      <c r="E381" s="5" t="s">
        <v>591</v>
      </c>
      <c r="F381" s="5" t="s">
        <v>554</v>
      </c>
    </row>
    <row r="382" customFormat="false" ht="15" hidden="false" customHeight="false" outlineLevel="0" collapsed="false">
      <c r="A382" s="5" t="s">
        <v>348</v>
      </c>
      <c r="B382" s="5" t="s">
        <v>568</v>
      </c>
      <c r="C382" s="24" t="s">
        <v>569</v>
      </c>
      <c r="D382" s="25" t="str">
        <f aca="false" t="array" ref="D382:D382">IF(F382="n/a","—",IF(_xlfn.XLOOKUP(TRIM(SUBSTITUTE(A382,_xlfn.UNICHAR(160)," ")),TRIM(SUBSTITUTE('worker file'!$A$2:$A$406,_xlfn.UNICHAR(160)," ")),'worker file'!$L$2:$L$406,"")="US Biweekly",$I$3,$I$2))</f>
        <v>—</v>
      </c>
      <c r="E382" s="5" t="s">
        <v>570</v>
      </c>
      <c r="F382" s="5" t="s">
        <v>550</v>
      </c>
    </row>
    <row r="383" customFormat="false" ht="15" hidden="false" customHeight="false" outlineLevel="0" collapsed="false">
      <c r="A383" s="5" t="s">
        <v>348</v>
      </c>
      <c r="B383" s="5" t="s">
        <v>566</v>
      </c>
      <c r="C383" s="27" t="n">
        <v>72.5</v>
      </c>
      <c r="D383" s="25" t="n">
        <f aca="false" t="array" ref="D383:D383">IF(F383="n/a","—",IF(_xlfn.XLOOKUP(TRIM(SUBSTITUTE(A383,_xlfn.UNICHAR(160)," ")),TRIM(SUBSTITUTE('worker file'!$A$2:$A$406,_xlfn.UNICHAR(160)," ")),'worker file'!$L$2:$L$406,"")="US Biweekly",$I$3,$I$2))</f>
        <v>46295</v>
      </c>
      <c r="E383" s="5" t="s">
        <v>571</v>
      </c>
      <c r="F383" s="5" t="s">
        <v>554</v>
      </c>
    </row>
    <row r="384" customFormat="false" ht="15" hidden="false" customHeight="false" outlineLevel="0" collapsed="false">
      <c r="A384" s="5" t="s">
        <v>349</v>
      </c>
      <c r="B384" s="5" t="s">
        <v>573</v>
      </c>
      <c r="C384" s="27" t="n">
        <v>23.5</v>
      </c>
      <c r="D384" s="25" t="n">
        <f aca="false" t="array" ref="D384:D384">IF(F384="n/a","—",IF(_xlfn.XLOOKUP(TRIM(SUBSTITUTE(A384,_xlfn.UNICHAR(160)," ")),TRIM(SUBSTITUTE('worker file'!$A$2:$A$406,_xlfn.UNICHAR(160)," ")),'worker file'!$L$2:$L$406,"")="US Biweekly",$I$3,$I$2))</f>
        <v>46298</v>
      </c>
      <c r="E384" s="5" t="s">
        <v>574</v>
      </c>
      <c r="F384" s="5" t="s">
        <v>554</v>
      </c>
    </row>
    <row r="385" customFormat="false" ht="15" hidden="false" customHeight="false" outlineLevel="0" collapsed="false">
      <c r="A385" s="5" t="s">
        <v>349</v>
      </c>
      <c r="B385" s="5" t="s">
        <v>566</v>
      </c>
      <c r="C385" s="27" t="n">
        <v>6.75</v>
      </c>
      <c r="D385" s="25" t="n">
        <f aca="false" t="array" ref="D385:D385">IF(F385="n/a","—",IF(_xlfn.XLOOKUP(TRIM(SUBSTITUTE(A385,_xlfn.UNICHAR(160)," ")),TRIM(SUBSTITUTE('worker file'!$A$2:$A$406,_xlfn.UNICHAR(160)," ")),'worker file'!$L$2:$L$406,"")="US Biweekly",$I$3,$I$2))</f>
        <v>46298</v>
      </c>
      <c r="E385" s="5" t="s">
        <v>571</v>
      </c>
      <c r="F385" s="5" t="s">
        <v>554</v>
      </c>
    </row>
    <row r="386" customFormat="false" ht="15" hidden="false" customHeight="false" outlineLevel="0" collapsed="false">
      <c r="A386" s="5" t="s">
        <v>350</v>
      </c>
      <c r="B386" s="5" t="s">
        <v>588</v>
      </c>
      <c r="C386" s="28" t="n">
        <v>10.5</v>
      </c>
      <c r="D386" s="25" t="n">
        <f aca="false" t="array" ref="D386:D386">IF(F386="n/a","—",IF(_xlfn.XLOOKUP(TRIM(SUBSTITUTE(A386,_xlfn.UNICHAR(160)," ")),TRIM(SUBSTITUTE('worker file'!$A$2:$A$406,_xlfn.UNICHAR(160)," ")),'worker file'!$L$2:$L$406,"")="US Biweekly",$I$3,$I$2))</f>
        <v>46295</v>
      </c>
      <c r="E386" s="5" t="s">
        <v>589</v>
      </c>
      <c r="F386" s="5" t="s">
        <v>559</v>
      </c>
    </row>
    <row r="387" customFormat="false" ht="15" hidden="false" customHeight="false" outlineLevel="0" collapsed="false">
      <c r="A387" s="5" t="s">
        <v>351</v>
      </c>
      <c r="B387" s="5" t="s">
        <v>573</v>
      </c>
      <c r="C387" s="27" t="n">
        <v>34.5</v>
      </c>
      <c r="D387" s="25" t="n">
        <f aca="false" t="array" ref="D387:D387">IF(F387="n/a","—",IF(_xlfn.XLOOKUP(TRIM(SUBSTITUTE(A387,_xlfn.UNICHAR(160)," ")),TRIM(SUBSTITUTE('worker file'!$A$2:$A$406,_xlfn.UNICHAR(160)," ")),'worker file'!$L$2:$L$406,"")="US Biweekly",$I$3,$I$2))</f>
        <v>46298</v>
      </c>
      <c r="E387" s="5" t="s">
        <v>574</v>
      </c>
      <c r="F387" s="5" t="s">
        <v>554</v>
      </c>
    </row>
    <row r="388" customFormat="false" ht="15" hidden="false" customHeight="false" outlineLevel="0" collapsed="false">
      <c r="A388" s="5" t="s">
        <v>351</v>
      </c>
      <c r="B388" s="5" t="s">
        <v>566</v>
      </c>
      <c r="C388" s="27" t="n">
        <v>25</v>
      </c>
      <c r="D388" s="25" t="n">
        <f aca="false" t="array" ref="D388:D388">IF(F388="n/a","—",IF(_xlfn.XLOOKUP(TRIM(SUBSTITUTE(A388,_xlfn.UNICHAR(160)," ")),TRIM(SUBSTITUTE('worker file'!$A$2:$A$406,_xlfn.UNICHAR(160)," ")),'worker file'!$L$2:$L$406,"")="US Biweekly",$I$3,$I$2))</f>
        <v>46298</v>
      </c>
      <c r="E388" s="5" t="s">
        <v>571</v>
      </c>
      <c r="F388" s="5" t="s">
        <v>554</v>
      </c>
    </row>
    <row r="389" customFormat="false" ht="15" hidden="false" customHeight="false" outlineLevel="0" collapsed="false">
      <c r="A389" s="5" t="s">
        <v>352</v>
      </c>
      <c r="B389" s="5" t="s">
        <v>568</v>
      </c>
      <c r="C389" s="24" t="s">
        <v>569</v>
      </c>
      <c r="D389" s="25" t="str">
        <f aca="false" t="array" ref="D389:D389">IF(F389="n/a","—",IF(_xlfn.XLOOKUP(TRIM(SUBSTITUTE(A389,_xlfn.UNICHAR(160)," ")),TRIM(SUBSTITUTE('worker file'!$A$2:$A$406,_xlfn.UNICHAR(160)," ")),'worker file'!$L$2:$L$406,"")="US Biweekly",$I$3,$I$2))</f>
        <v>—</v>
      </c>
      <c r="E389" s="5" t="s">
        <v>570</v>
      </c>
      <c r="F389" s="5" t="s">
        <v>550</v>
      </c>
    </row>
    <row r="390" customFormat="false" ht="15" hidden="false" customHeight="false" outlineLevel="0" collapsed="false">
      <c r="A390" s="5" t="s">
        <v>352</v>
      </c>
      <c r="B390" s="5" t="s">
        <v>566</v>
      </c>
      <c r="C390" s="27" t="n">
        <v>53.25</v>
      </c>
      <c r="D390" s="25" t="n">
        <f aca="false" t="array" ref="D390:D390">IF(F390="n/a","—",IF(_xlfn.XLOOKUP(TRIM(SUBSTITUTE(A390,_xlfn.UNICHAR(160)," ")),TRIM(SUBSTITUTE('worker file'!$A$2:$A$406,_xlfn.UNICHAR(160)," ")),'worker file'!$L$2:$L$406,"")="US Biweekly",$I$3,$I$2))</f>
        <v>46295</v>
      </c>
      <c r="E390" s="5" t="s">
        <v>571</v>
      </c>
      <c r="F390" s="5" t="s">
        <v>554</v>
      </c>
    </row>
    <row r="391" customFormat="false" ht="15" hidden="false" customHeight="false" outlineLevel="0" collapsed="false">
      <c r="A391" s="5" t="s">
        <v>353</v>
      </c>
      <c r="B391" s="5" t="s">
        <v>568</v>
      </c>
      <c r="C391" s="24" t="s">
        <v>569</v>
      </c>
      <c r="D391" s="25" t="str">
        <f aca="false" t="array" ref="D391:D391">IF(F391="n/a","—",IF(_xlfn.XLOOKUP(TRIM(SUBSTITUTE(A391,_xlfn.UNICHAR(160)," ")),TRIM(SUBSTITUTE('worker file'!$A$2:$A$406,_xlfn.UNICHAR(160)," ")),'worker file'!$L$2:$L$406,"")="US Biweekly",$I$3,$I$2))</f>
        <v>—</v>
      </c>
      <c r="E391" s="5" t="s">
        <v>570</v>
      </c>
      <c r="F391" s="5" t="s">
        <v>550</v>
      </c>
    </row>
    <row r="392" customFormat="false" ht="15" hidden="false" customHeight="false" outlineLevel="0" collapsed="false">
      <c r="A392" s="5" t="s">
        <v>354</v>
      </c>
      <c r="B392" s="5" t="s">
        <v>573</v>
      </c>
      <c r="C392" s="27" t="n">
        <v>42</v>
      </c>
      <c r="D392" s="25" t="n">
        <f aca="false" t="array" ref="D392:D392">IF(F392="n/a","—",IF(_xlfn.XLOOKUP(TRIM(SUBSTITUTE(A392,_xlfn.UNICHAR(160)," ")),TRIM(SUBSTITUTE('worker file'!$A$2:$A$406,_xlfn.UNICHAR(160)," ")),'worker file'!$L$2:$L$406,"")="US Biweekly",$I$3,$I$2))</f>
        <v>46298</v>
      </c>
      <c r="E392" s="5" t="s">
        <v>574</v>
      </c>
      <c r="F392" s="5" t="s">
        <v>554</v>
      </c>
    </row>
    <row r="393" customFormat="false" ht="15" hidden="false" customHeight="false" outlineLevel="0" collapsed="false">
      <c r="A393" s="5" t="s">
        <v>354</v>
      </c>
      <c r="B393" s="5" t="s">
        <v>566</v>
      </c>
      <c r="C393" s="27" t="n">
        <v>42.5</v>
      </c>
      <c r="D393" s="25" t="n">
        <f aca="false" t="array" ref="D393:D393">IF(F393="n/a","—",IF(_xlfn.XLOOKUP(TRIM(SUBSTITUTE(A393,_xlfn.UNICHAR(160)," ")),TRIM(SUBSTITUTE('worker file'!$A$2:$A$406,_xlfn.UNICHAR(160)," ")),'worker file'!$L$2:$L$406,"")="US Biweekly",$I$3,$I$2))</f>
        <v>46298</v>
      </c>
      <c r="E393" s="5" t="s">
        <v>571</v>
      </c>
      <c r="F393" s="5" t="s">
        <v>554</v>
      </c>
    </row>
    <row r="394" customFormat="false" ht="15" hidden="false" customHeight="false" outlineLevel="0" collapsed="false">
      <c r="A394" s="5" t="s">
        <v>355</v>
      </c>
      <c r="B394" s="5" t="s">
        <v>568</v>
      </c>
      <c r="C394" s="24" t="s">
        <v>569</v>
      </c>
      <c r="D394" s="25" t="str">
        <f aca="false" t="array" ref="D394:D394">IF(F394="n/a","—",IF(_xlfn.XLOOKUP(TRIM(SUBSTITUTE(A394,_xlfn.UNICHAR(160)," ")),TRIM(SUBSTITUTE('worker file'!$A$2:$A$406,_xlfn.UNICHAR(160)," ")),'worker file'!$L$2:$L$406,"")="US Biweekly",$I$3,$I$2))</f>
        <v>—</v>
      </c>
      <c r="E394" s="5" t="s">
        <v>570</v>
      </c>
      <c r="F394" s="5" t="s">
        <v>550</v>
      </c>
    </row>
    <row r="395" customFormat="false" ht="15" hidden="false" customHeight="false" outlineLevel="0" collapsed="false">
      <c r="A395" s="5" t="s">
        <v>356</v>
      </c>
      <c r="B395" s="5" t="s">
        <v>568</v>
      </c>
      <c r="C395" s="24" t="s">
        <v>569</v>
      </c>
      <c r="D395" s="25" t="str">
        <f aca="false" t="array" ref="D395:D395">IF(F395="n/a","—",IF(_xlfn.XLOOKUP(TRIM(SUBSTITUTE(A395,_xlfn.UNICHAR(160)," ")),TRIM(SUBSTITUTE('worker file'!$A$2:$A$406,_xlfn.UNICHAR(160)," ")),'worker file'!$L$2:$L$406,"")="US Biweekly",$I$3,$I$2))</f>
        <v>—</v>
      </c>
      <c r="E395" s="5" t="s">
        <v>570</v>
      </c>
      <c r="F395" s="5" t="s">
        <v>550</v>
      </c>
    </row>
    <row r="396" customFormat="false" ht="15" hidden="false" customHeight="false" outlineLevel="0" collapsed="false">
      <c r="A396" s="5" t="s">
        <v>357</v>
      </c>
      <c r="B396" s="5" t="s">
        <v>568</v>
      </c>
      <c r="C396" s="24" t="s">
        <v>569</v>
      </c>
      <c r="D396" s="25" t="str">
        <f aca="false" t="array" ref="D396:D396">IF(F396="n/a","—",IF(_xlfn.XLOOKUP(TRIM(SUBSTITUTE(A396,_xlfn.UNICHAR(160)," ")),TRIM(SUBSTITUTE('worker file'!$A$2:$A$406,_xlfn.UNICHAR(160)," ")),'worker file'!$L$2:$L$406,"")="US Biweekly",$I$3,$I$2))</f>
        <v>—</v>
      </c>
      <c r="E396" s="5" t="s">
        <v>570</v>
      </c>
      <c r="F396" s="5" t="s">
        <v>550</v>
      </c>
    </row>
    <row r="397" customFormat="false" ht="15" hidden="false" customHeight="false" outlineLevel="0" collapsed="false">
      <c r="A397" s="5" t="s">
        <v>357</v>
      </c>
      <c r="B397" s="5" t="s">
        <v>566</v>
      </c>
      <c r="C397" s="27" t="n">
        <v>75.5</v>
      </c>
      <c r="D397" s="25" t="n">
        <f aca="false" t="array" ref="D397:D397">IF(F397="n/a","—",IF(_xlfn.XLOOKUP(TRIM(SUBSTITUTE(A397,_xlfn.UNICHAR(160)," ")),TRIM(SUBSTITUTE('worker file'!$A$2:$A$406,_xlfn.UNICHAR(160)," ")),'worker file'!$L$2:$L$406,"")="US Biweekly",$I$3,$I$2))</f>
        <v>46295</v>
      </c>
      <c r="E397" s="5" t="s">
        <v>571</v>
      </c>
      <c r="F397" s="5" t="s">
        <v>554</v>
      </c>
    </row>
    <row r="398" customFormat="false" ht="15" hidden="false" customHeight="false" outlineLevel="0" collapsed="false">
      <c r="A398" s="5" t="s">
        <v>358</v>
      </c>
      <c r="B398" s="5" t="s">
        <v>573</v>
      </c>
      <c r="C398" s="27" t="n">
        <v>35.25</v>
      </c>
      <c r="D398" s="25" t="n">
        <f aca="false" t="array" ref="D398:D398">IF(F398="n/a","—",IF(_xlfn.XLOOKUP(TRIM(SUBSTITUTE(A398,_xlfn.UNICHAR(160)," ")),TRIM(SUBSTITUTE('worker file'!$A$2:$A$406,_xlfn.UNICHAR(160)," ")),'worker file'!$L$2:$L$406,"")="US Biweekly",$I$3,$I$2))</f>
        <v>46298</v>
      </c>
      <c r="E398" s="5" t="s">
        <v>574</v>
      </c>
      <c r="F398" s="5" t="s">
        <v>554</v>
      </c>
    </row>
    <row r="399" customFormat="false" ht="15" hidden="false" customHeight="false" outlineLevel="0" collapsed="false">
      <c r="A399" s="5" t="s">
        <v>358</v>
      </c>
      <c r="B399" s="5" t="s">
        <v>575</v>
      </c>
      <c r="C399" s="27" t="n">
        <v>19.5</v>
      </c>
      <c r="D399" s="25" t="n">
        <f aca="false" t="array" ref="D399:D399">IF(F399="n/a","—",IF(_xlfn.XLOOKUP(TRIM(SUBSTITUTE(A399,_xlfn.UNICHAR(160)," ")),TRIM(SUBSTITUTE('worker file'!$A$2:$A$406,_xlfn.UNICHAR(160)," ")),'worker file'!$L$2:$L$406,"")="US Biweekly",$I$3,$I$2))</f>
        <v>46298</v>
      </c>
      <c r="E399" s="5" t="s">
        <v>576</v>
      </c>
      <c r="F399" s="5" t="s">
        <v>554</v>
      </c>
    </row>
    <row r="400" customFormat="false" ht="15" hidden="false" customHeight="false" outlineLevel="0" collapsed="false">
      <c r="A400" s="5" t="s">
        <v>359</v>
      </c>
      <c r="B400" s="5" t="s">
        <v>568</v>
      </c>
      <c r="C400" s="24" t="s">
        <v>569</v>
      </c>
      <c r="D400" s="25" t="str">
        <f aca="false" t="array" ref="D400:D400">IF(F400="n/a","—",IF(_xlfn.XLOOKUP(TRIM(SUBSTITUTE(A400,_xlfn.UNICHAR(160)," ")),TRIM(SUBSTITUTE('worker file'!$A$2:$A$406,_xlfn.UNICHAR(160)," ")),'worker file'!$L$2:$L$406,"")="US Biweekly",$I$3,$I$2))</f>
        <v>—</v>
      </c>
      <c r="E400" s="5" t="s">
        <v>570</v>
      </c>
      <c r="F400" s="5" t="s">
        <v>550</v>
      </c>
    </row>
    <row r="401" customFormat="false" ht="15" hidden="false" customHeight="false" outlineLevel="0" collapsed="false">
      <c r="A401" s="5" t="s">
        <v>359</v>
      </c>
      <c r="B401" s="5" t="s">
        <v>566</v>
      </c>
      <c r="C401" s="27" t="n">
        <v>59</v>
      </c>
      <c r="D401" s="25" t="n">
        <f aca="false" t="array" ref="D401:D401">IF(F401="n/a","—",IF(_xlfn.XLOOKUP(TRIM(SUBSTITUTE(A401,_xlfn.UNICHAR(160)," ")),TRIM(SUBSTITUTE('worker file'!$A$2:$A$406,_xlfn.UNICHAR(160)," ")),'worker file'!$L$2:$L$406,"")="US Biweekly",$I$3,$I$2))</f>
        <v>46295</v>
      </c>
      <c r="E401" s="5" t="s">
        <v>571</v>
      </c>
      <c r="F401" s="5" t="s">
        <v>554</v>
      </c>
    </row>
    <row r="402" customFormat="false" ht="15" hidden="false" customHeight="false" outlineLevel="0" collapsed="false">
      <c r="A402" s="5" t="s">
        <v>360</v>
      </c>
      <c r="B402" s="5" t="s">
        <v>588</v>
      </c>
      <c r="C402" s="28" t="n">
        <v>13</v>
      </c>
      <c r="D402" s="25" t="n">
        <f aca="false" t="array" ref="D402:D402">IF(F402="n/a","—",IF(_xlfn.XLOOKUP(TRIM(SUBSTITUTE(A402,_xlfn.UNICHAR(160)," ")),TRIM(SUBSTITUTE('worker file'!$A$2:$A$406,_xlfn.UNICHAR(160)," ")),'worker file'!$L$2:$L$406,"")="US Biweekly",$I$3,$I$2))</f>
        <v>46295</v>
      </c>
      <c r="E402" s="5" t="s">
        <v>589</v>
      </c>
      <c r="F402" s="5" t="s">
        <v>559</v>
      </c>
    </row>
    <row r="403" customFormat="false" ht="15" hidden="false" customHeight="false" outlineLevel="0" collapsed="false">
      <c r="A403" s="5" t="s">
        <v>361</v>
      </c>
      <c r="B403" s="5" t="s">
        <v>568</v>
      </c>
      <c r="C403" s="24" t="s">
        <v>569</v>
      </c>
      <c r="D403" s="25" t="str">
        <f aca="false" t="array" ref="D403:D403">IF(F403="n/a","—",IF(_xlfn.XLOOKUP(TRIM(SUBSTITUTE(A403,_xlfn.UNICHAR(160)," ")),TRIM(SUBSTITUTE('worker file'!$A$2:$A$406,_xlfn.UNICHAR(160)," ")),'worker file'!$L$2:$L$406,"")="US Biweekly",$I$3,$I$2))</f>
        <v>—</v>
      </c>
      <c r="E403" s="5" t="s">
        <v>570</v>
      </c>
      <c r="F403" s="5" t="s">
        <v>550</v>
      </c>
    </row>
    <row r="404" customFormat="false" ht="15" hidden="false" customHeight="false" outlineLevel="0" collapsed="false">
      <c r="A404" s="5" t="s">
        <v>361</v>
      </c>
      <c r="B404" s="5" t="s">
        <v>566</v>
      </c>
      <c r="C404" s="27" t="n">
        <v>24</v>
      </c>
      <c r="D404" s="25" t="n">
        <f aca="false" t="array" ref="D404:D404">IF(F404="n/a","—",IF(_xlfn.XLOOKUP(TRIM(SUBSTITUTE(A404,_xlfn.UNICHAR(160)," ")),TRIM(SUBSTITUTE('worker file'!$A$2:$A$406,_xlfn.UNICHAR(160)," ")),'worker file'!$L$2:$L$406,"")="US Biweekly",$I$3,$I$2))</f>
        <v>46295</v>
      </c>
      <c r="E404" s="5" t="s">
        <v>599</v>
      </c>
      <c r="F404" s="5" t="s">
        <v>554</v>
      </c>
    </row>
    <row r="405" customFormat="false" ht="15" hidden="false" customHeight="false" outlineLevel="0" collapsed="false">
      <c r="A405" s="5" t="s">
        <v>362</v>
      </c>
      <c r="B405" s="5" t="s">
        <v>568</v>
      </c>
      <c r="C405" s="24" t="s">
        <v>569</v>
      </c>
      <c r="D405" s="25" t="str">
        <f aca="false" t="array" ref="D405:D405">IF(F405="n/a","—",IF(_xlfn.XLOOKUP(TRIM(SUBSTITUTE(A405,_xlfn.UNICHAR(160)," ")),TRIM(SUBSTITUTE('worker file'!$A$2:$A$406,_xlfn.UNICHAR(160)," ")),'worker file'!$L$2:$L$406,"")="US Biweekly",$I$3,$I$2))</f>
        <v>—</v>
      </c>
      <c r="E405" s="5" t="s">
        <v>570</v>
      </c>
      <c r="F405" s="5" t="s">
        <v>550</v>
      </c>
    </row>
    <row r="406" customFormat="false" ht="15" hidden="false" customHeight="false" outlineLevel="0" collapsed="false">
      <c r="A406" s="5" t="s">
        <v>362</v>
      </c>
      <c r="B406" s="5" t="s">
        <v>566</v>
      </c>
      <c r="C406" s="27" t="n">
        <v>50</v>
      </c>
      <c r="D406" s="25" t="n">
        <f aca="false" t="array" ref="D406:D406">IF(F406="n/a","—",IF(_xlfn.XLOOKUP(TRIM(SUBSTITUTE(A406,_xlfn.UNICHAR(160)," ")),TRIM(SUBSTITUTE('worker file'!$A$2:$A$406,_xlfn.UNICHAR(160)," ")),'worker file'!$L$2:$L$406,"")="US Biweekly",$I$3,$I$2))</f>
        <v>46295</v>
      </c>
      <c r="E406" s="5" t="s">
        <v>571</v>
      </c>
      <c r="F406" s="5" t="s">
        <v>554</v>
      </c>
    </row>
    <row r="407" customFormat="false" ht="15" hidden="false" customHeight="false" outlineLevel="0" collapsed="false">
      <c r="A407" s="5" t="s">
        <v>363</v>
      </c>
      <c r="B407" s="5" t="s">
        <v>573</v>
      </c>
      <c r="C407" s="27" t="n">
        <v>28.25</v>
      </c>
      <c r="D407" s="25" t="n">
        <f aca="false" t="array" ref="D407:D407">IF(F407="n/a","—",IF(_xlfn.XLOOKUP(TRIM(SUBSTITUTE(A407,_xlfn.UNICHAR(160)," ")),TRIM(SUBSTITUTE('worker file'!$A$2:$A$406,_xlfn.UNICHAR(160)," ")),'worker file'!$L$2:$L$406,"")="US Biweekly",$I$3,$I$2))</f>
        <v>46298</v>
      </c>
      <c r="E407" s="5" t="s">
        <v>574</v>
      </c>
      <c r="F407" s="5" t="s">
        <v>554</v>
      </c>
    </row>
    <row r="408" customFormat="false" ht="15" hidden="false" customHeight="false" outlineLevel="0" collapsed="false">
      <c r="A408" s="5" t="s">
        <v>363</v>
      </c>
      <c r="B408" s="5" t="s">
        <v>575</v>
      </c>
      <c r="C408" s="27" t="n">
        <v>39.25</v>
      </c>
      <c r="D408" s="25" t="n">
        <f aca="false" t="array" ref="D408:D408">IF(F408="n/a","—",IF(_xlfn.XLOOKUP(TRIM(SUBSTITUTE(A408,_xlfn.UNICHAR(160)," ")),TRIM(SUBSTITUTE('worker file'!$A$2:$A$406,_xlfn.UNICHAR(160)," ")),'worker file'!$L$2:$L$406,"")="US Biweekly",$I$3,$I$2))</f>
        <v>46298</v>
      </c>
      <c r="E408" s="5" t="s">
        <v>576</v>
      </c>
      <c r="F408" s="5" t="s">
        <v>554</v>
      </c>
    </row>
    <row r="409" customFormat="false" ht="15" hidden="false" customHeight="false" outlineLevel="0" collapsed="false">
      <c r="A409" s="5" t="s">
        <v>364</v>
      </c>
      <c r="B409" s="5" t="s">
        <v>568</v>
      </c>
      <c r="C409" s="24" t="s">
        <v>569</v>
      </c>
      <c r="D409" s="25" t="str">
        <f aca="false" t="array" ref="D409:D409">IF(F409="n/a","—",IF(_xlfn.XLOOKUP(TRIM(SUBSTITUTE(A409,_xlfn.UNICHAR(160)," ")),TRIM(SUBSTITUTE('worker file'!$A$2:$A$406,_xlfn.UNICHAR(160)," ")),'worker file'!$L$2:$L$406,"")="US Biweekly",$I$3,$I$2))</f>
        <v>—</v>
      </c>
      <c r="E409" s="5" t="s">
        <v>570</v>
      </c>
      <c r="F409" s="5" t="s">
        <v>550</v>
      </c>
    </row>
    <row r="410" customFormat="false" ht="15" hidden="false" customHeight="false" outlineLevel="0" collapsed="false">
      <c r="A410" s="5" t="s">
        <v>364</v>
      </c>
      <c r="B410" s="5" t="s">
        <v>590</v>
      </c>
      <c r="C410" s="27" t="n">
        <v>35</v>
      </c>
      <c r="D410" s="25" t="n">
        <f aca="false" t="array" ref="D410:D410">IF(F410="n/a","—",IF(_xlfn.XLOOKUP(TRIM(SUBSTITUTE(A410,_xlfn.UNICHAR(160)," ")),TRIM(SUBSTITUTE('worker file'!$A$2:$A$406,_xlfn.UNICHAR(160)," ")),'worker file'!$L$2:$L$406,"")="US Biweekly",$I$3,$I$2))</f>
        <v>46295</v>
      </c>
      <c r="E410" s="5" t="s">
        <v>591</v>
      </c>
      <c r="F410" s="5" t="s">
        <v>554</v>
      </c>
    </row>
    <row r="411" customFormat="false" ht="15" hidden="false" customHeight="false" outlineLevel="0" collapsed="false">
      <c r="A411" s="5" t="s">
        <v>365</v>
      </c>
      <c r="B411" s="5" t="s">
        <v>584</v>
      </c>
      <c r="C411" s="28" t="n">
        <v>10</v>
      </c>
      <c r="D411" s="25" t="n">
        <f aca="false" t="array" ref="D411:D411">IF(F411="n/a","—",IF(_xlfn.XLOOKUP(TRIM(SUBSTITUTE(A411,_xlfn.UNICHAR(160)," ")),TRIM(SUBSTITUTE('worker file'!$A$2:$A$406,_xlfn.UNICHAR(160)," ")),'worker file'!$L$2:$L$406,"")="US Biweekly",$I$3,$I$2))</f>
        <v>46295</v>
      </c>
      <c r="E411" s="5" t="s">
        <v>585</v>
      </c>
      <c r="F411" s="5" t="s">
        <v>559</v>
      </c>
    </row>
    <row r="412" customFormat="false" ht="15" hidden="false" customHeight="false" outlineLevel="0" collapsed="false">
      <c r="A412" s="5" t="s">
        <v>365</v>
      </c>
      <c r="B412" s="5" t="s">
        <v>586</v>
      </c>
      <c r="C412" s="28" t="n">
        <v>8</v>
      </c>
      <c r="D412" s="25" t="n">
        <f aca="false" t="array" ref="D412:D412">IF(F412="n/a","—",IF(_xlfn.XLOOKUP(TRIM(SUBSTITUTE(A412,_xlfn.UNICHAR(160)," ")),TRIM(SUBSTITUTE('worker file'!$A$2:$A$406,_xlfn.UNICHAR(160)," ")),'worker file'!$L$2:$L$406,"")="US Biweekly",$I$3,$I$2))</f>
        <v>46295</v>
      </c>
      <c r="E412" s="5" t="s">
        <v>587</v>
      </c>
      <c r="F412" s="5" t="s">
        <v>559</v>
      </c>
    </row>
    <row r="413" customFormat="false" ht="15" hidden="false" customHeight="false" outlineLevel="0" collapsed="false">
      <c r="A413" s="5" t="s">
        <v>366</v>
      </c>
      <c r="B413" s="5" t="s">
        <v>584</v>
      </c>
      <c r="C413" s="28" t="n">
        <v>3</v>
      </c>
      <c r="D413" s="25" t="n">
        <f aca="false" t="array" ref="D413:D413">IF(F413="n/a","—",IF(_xlfn.XLOOKUP(TRIM(SUBSTITUTE(A413,_xlfn.UNICHAR(160)," ")),TRIM(SUBSTITUTE('worker file'!$A$2:$A$406,_xlfn.UNICHAR(160)," ")),'worker file'!$L$2:$L$406,"")="US Biweekly",$I$3,$I$2))</f>
        <v>46295</v>
      </c>
      <c r="E413" s="5" t="s">
        <v>585</v>
      </c>
      <c r="F413" s="5" t="s">
        <v>559</v>
      </c>
    </row>
    <row r="414" customFormat="false" ht="15" hidden="false" customHeight="false" outlineLevel="0" collapsed="false">
      <c r="A414" s="5" t="s">
        <v>366</v>
      </c>
      <c r="B414" s="5" t="s">
        <v>586</v>
      </c>
      <c r="C414" s="28" t="n">
        <v>5.5</v>
      </c>
      <c r="D414" s="25" t="n">
        <f aca="false" t="array" ref="D414:D414">IF(F414="n/a","—",IF(_xlfn.XLOOKUP(TRIM(SUBSTITUTE(A414,_xlfn.UNICHAR(160)," ")),TRIM(SUBSTITUTE('worker file'!$A$2:$A$406,_xlfn.UNICHAR(160)," ")),'worker file'!$L$2:$L$406,"")="US Biweekly",$I$3,$I$2))</f>
        <v>46295</v>
      </c>
      <c r="E414" s="5" t="s">
        <v>587</v>
      </c>
      <c r="F414" s="5" t="s">
        <v>559</v>
      </c>
    </row>
    <row r="415" customFormat="false" ht="15" hidden="false" customHeight="false" outlineLevel="0" collapsed="false">
      <c r="A415" s="5" t="s">
        <v>367</v>
      </c>
      <c r="B415" s="5" t="s">
        <v>568</v>
      </c>
      <c r="C415" s="24" t="s">
        <v>569</v>
      </c>
      <c r="D415" s="25" t="str">
        <f aca="false" t="array" ref="D415:D415">IF(F415="n/a","—",IF(_xlfn.XLOOKUP(TRIM(SUBSTITUTE(A415,_xlfn.UNICHAR(160)," ")),TRIM(SUBSTITUTE('worker file'!$A$2:$A$406,_xlfn.UNICHAR(160)," ")),'worker file'!$L$2:$L$406,"")="US Biweekly",$I$3,$I$2))</f>
        <v>—</v>
      </c>
      <c r="E415" s="5" t="s">
        <v>570</v>
      </c>
      <c r="F415" s="5" t="s">
        <v>550</v>
      </c>
    </row>
    <row r="416" customFormat="false" ht="15" hidden="false" customHeight="false" outlineLevel="0" collapsed="false">
      <c r="A416" s="5" t="s">
        <v>367</v>
      </c>
      <c r="B416" s="5" t="s">
        <v>566</v>
      </c>
      <c r="C416" s="27" t="n">
        <v>44.5</v>
      </c>
      <c r="D416" s="25" t="n">
        <f aca="false" t="array" ref="D416:D416">IF(F416="n/a","—",IF(_xlfn.XLOOKUP(TRIM(SUBSTITUTE(A416,_xlfn.UNICHAR(160)," ")),TRIM(SUBSTITUTE('worker file'!$A$2:$A$406,_xlfn.UNICHAR(160)," ")),'worker file'!$L$2:$L$406,"")="US Biweekly",$I$3,$I$2))</f>
        <v>46295</v>
      </c>
      <c r="E416" s="5" t="s">
        <v>571</v>
      </c>
      <c r="F416" s="5" t="s">
        <v>554</v>
      </c>
    </row>
    <row r="417" customFormat="false" ht="15" hidden="false" customHeight="false" outlineLevel="0" collapsed="false">
      <c r="A417" s="5" t="s">
        <v>368</v>
      </c>
      <c r="B417" s="5" t="s">
        <v>568</v>
      </c>
      <c r="C417" s="24" t="s">
        <v>569</v>
      </c>
      <c r="D417" s="25" t="str">
        <f aca="false" t="array" ref="D417:D417">IF(F417="n/a","—",IF(_xlfn.XLOOKUP(TRIM(SUBSTITUTE(A417,_xlfn.UNICHAR(160)," ")),TRIM(SUBSTITUTE('worker file'!$A$2:$A$406,_xlfn.UNICHAR(160)," ")),'worker file'!$L$2:$L$406,"")="US Biweekly",$I$3,$I$2))</f>
        <v>—</v>
      </c>
      <c r="E417" s="5" t="s">
        <v>570</v>
      </c>
      <c r="F417" s="5" t="s">
        <v>550</v>
      </c>
    </row>
    <row r="418" customFormat="false" ht="15" hidden="false" customHeight="false" outlineLevel="0" collapsed="false">
      <c r="A418" s="5" t="s">
        <v>368</v>
      </c>
      <c r="B418" s="5" t="s">
        <v>566</v>
      </c>
      <c r="C418" s="27" t="n">
        <v>29.5</v>
      </c>
      <c r="D418" s="25" t="n">
        <f aca="false" t="array" ref="D418:D418">IF(F418="n/a","—",IF(_xlfn.XLOOKUP(TRIM(SUBSTITUTE(A418,_xlfn.UNICHAR(160)," ")),TRIM(SUBSTITUTE('worker file'!$A$2:$A$406,_xlfn.UNICHAR(160)," ")),'worker file'!$L$2:$L$406,"")="US Biweekly",$I$3,$I$2))</f>
        <v>46295</v>
      </c>
      <c r="E418" s="5" t="s">
        <v>571</v>
      </c>
      <c r="F418" s="5" t="s">
        <v>554</v>
      </c>
    </row>
    <row r="419" customFormat="false" ht="15" hidden="false" customHeight="false" outlineLevel="0" collapsed="false">
      <c r="A419" s="5" t="s">
        <v>369</v>
      </c>
      <c r="B419" s="5" t="s">
        <v>588</v>
      </c>
      <c r="C419" s="28" t="n">
        <v>12</v>
      </c>
      <c r="D419" s="25" t="n">
        <f aca="false" t="array" ref="D419:D419">IF(F419="n/a","—",IF(_xlfn.XLOOKUP(TRIM(SUBSTITUTE(A419,_xlfn.UNICHAR(160)," ")),TRIM(SUBSTITUTE('worker file'!$A$2:$A$406,_xlfn.UNICHAR(160)," ")),'worker file'!$L$2:$L$406,"")="US Biweekly",$I$3,$I$2))</f>
        <v>46295</v>
      </c>
      <c r="E419" s="5" t="s">
        <v>589</v>
      </c>
      <c r="F419" s="5" t="s">
        <v>559</v>
      </c>
    </row>
    <row r="420" customFormat="false" ht="15" hidden="false" customHeight="false" outlineLevel="0" collapsed="false">
      <c r="A420" s="5" t="s">
        <v>370</v>
      </c>
      <c r="B420" s="5" t="s">
        <v>568</v>
      </c>
      <c r="C420" s="24" t="s">
        <v>569</v>
      </c>
      <c r="D420" s="25" t="str">
        <f aca="false" t="array" ref="D420:D420">IF(F420="n/a","—",IF(_xlfn.XLOOKUP(TRIM(SUBSTITUTE(A420,_xlfn.UNICHAR(160)," ")),TRIM(SUBSTITUTE('worker file'!$A$2:$A$406,_xlfn.UNICHAR(160)," ")),'worker file'!$L$2:$L$406,"")="US Biweekly",$I$3,$I$2))</f>
        <v>—</v>
      </c>
      <c r="E420" s="5" t="s">
        <v>570</v>
      </c>
      <c r="F420" s="5" t="s">
        <v>550</v>
      </c>
    </row>
    <row r="421" customFormat="false" ht="15" hidden="false" customHeight="false" outlineLevel="0" collapsed="false">
      <c r="A421" s="5" t="s">
        <v>371</v>
      </c>
      <c r="B421" s="5" t="s">
        <v>568</v>
      </c>
      <c r="C421" s="24" t="s">
        <v>569</v>
      </c>
      <c r="D421" s="25" t="str">
        <f aca="false" t="array" ref="D421:D421">IF(F421="n/a","—",IF(_xlfn.XLOOKUP(TRIM(SUBSTITUTE(A421,_xlfn.UNICHAR(160)," ")),TRIM(SUBSTITUTE('worker file'!$A$2:$A$406,_xlfn.UNICHAR(160)," ")),'worker file'!$L$2:$L$406,"")="US Biweekly",$I$3,$I$2))</f>
        <v>—</v>
      </c>
      <c r="E421" s="5" t="s">
        <v>570</v>
      </c>
      <c r="F421" s="5" t="s">
        <v>550</v>
      </c>
    </row>
    <row r="422" customFormat="false" ht="15" hidden="false" customHeight="false" outlineLevel="0" collapsed="false">
      <c r="A422" s="5" t="s">
        <v>372</v>
      </c>
      <c r="B422" s="5" t="s">
        <v>568</v>
      </c>
      <c r="C422" s="24" t="s">
        <v>569</v>
      </c>
      <c r="D422" s="25" t="str">
        <f aca="false" t="array" ref="D422:D422">IF(F422="n/a","—",IF(_xlfn.XLOOKUP(TRIM(SUBSTITUTE(A422,_xlfn.UNICHAR(160)," ")),TRIM(SUBSTITUTE('worker file'!$A$2:$A$406,_xlfn.UNICHAR(160)," ")),'worker file'!$L$2:$L$406,"")="US Biweekly",$I$3,$I$2))</f>
        <v>—</v>
      </c>
      <c r="E422" s="5" t="s">
        <v>570</v>
      </c>
      <c r="F422" s="5" t="s">
        <v>550</v>
      </c>
    </row>
    <row r="423" customFormat="false" ht="15" hidden="false" customHeight="false" outlineLevel="0" collapsed="false">
      <c r="A423" s="5" t="s">
        <v>373</v>
      </c>
      <c r="B423" s="5" t="s">
        <v>568</v>
      </c>
      <c r="C423" s="24" t="s">
        <v>569</v>
      </c>
      <c r="D423" s="25" t="str">
        <f aca="false" t="array" ref="D423:D423">IF(F423="n/a","—",IF(_xlfn.XLOOKUP(TRIM(SUBSTITUTE(A423,_xlfn.UNICHAR(160)," ")),TRIM(SUBSTITUTE('worker file'!$A$2:$A$406,_xlfn.UNICHAR(160)," ")),'worker file'!$L$2:$L$406,"")="US Biweekly",$I$3,$I$2))</f>
        <v>—</v>
      </c>
      <c r="E423" s="5" t="s">
        <v>570</v>
      </c>
      <c r="F423" s="5" t="s">
        <v>550</v>
      </c>
    </row>
    <row r="424" customFormat="false" ht="15" hidden="false" customHeight="false" outlineLevel="0" collapsed="false">
      <c r="A424" s="5" t="s">
        <v>373</v>
      </c>
      <c r="B424" s="5" t="s">
        <v>566</v>
      </c>
      <c r="C424" s="27" t="n">
        <v>67.5</v>
      </c>
      <c r="D424" s="25" t="n">
        <f aca="false" t="array" ref="D424:D424">IF(F424="n/a","—",IF(_xlfn.XLOOKUP(TRIM(SUBSTITUTE(A424,_xlfn.UNICHAR(160)," ")),TRIM(SUBSTITUTE('worker file'!$A$2:$A$406,_xlfn.UNICHAR(160)," ")),'worker file'!$L$2:$L$406,"")="US Biweekly",$I$3,$I$2))</f>
        <v>46295</v>
      </c>
      <c r="E424" s="5" t="s">
        <v>571</v>
      </c>
      <c r="F424" s="5" t="s">
        <v>554</v>
      </c>
    </row>
    <row r="425" customFormat="false" ht="15" hidden="false" customHeight="false" outlineLevel="0" collapsed="false">
      <c r="A425" s="5" t="s">
        <v>374</v>
      </c>
      <c r="B425" s="5" t="s">
        <v>568</v>
      </c>
      <c r="C425" s="24" t="s">
        <v>569</v>
      </c>
      <c r="D425" s="25" t="str">
        <f aca="false" t="array" ref="D425:D425">IF(F425="n/a","—",IF(_xlfn.XLOOKUP(TRIM(SUBSTITUTE(A425,_xlfn.UNICHAR(160)," ")),TRIM(SUBSTITUTE('worker file'!$A$2:$A$406,_xlfn.UNICHAR(160)," ")),'worker file'!$L$2:$L$406,"")="US Biweekly",$I$3,$I$2))</f>
        <v>—</v>
      </c>
      <c r="E425" s="5" t="s">
        <v>570</v>
      </c>
      <c r="F425" s="5" t="s">
        <v>550</v>
      </c>
    </row>
    <row r="426" customFormat="false" ht="15" hidden="false" customHeight="false" outlineLevel="0" collapsed="false">
      <c r="A426" s="5" t="s">
        <v>375</v>
      </c>
      <c r="B426" s="5" t="s">
        <v>568</v>
      </c>
      <c r="C426" s="24" t="s">
        <v>569</v>
      </c>
      <c r="D426" s="25" t="str">
        <f aca="false" t="array" ref="D426:D426">IF(F426="n/a","—",IF(_xlfn.XLOOKUP(TRIM(SUBSTITUTE(A426,_xlfn.UNICHAR(160)," ")),TRIM(SUBSTITUTE('worker file'!$A$2:$A$406,_xlfn.UNICHAR(160)," ")),'worker file'!$L$2:$L$406,"")="US Biweekly",$I$3,$I$2))</f>
        <v>—</v>
      </c>
      <c r="E426" s="5" t="s">
        <v>570</v>
      </c>
      <c r="F426" s="5" t="s">
        <v>550</v>
      </c>
    </row>
    <row r="427" customFormat="false" ht="15" hidden="false" customHeight="false" outlineLevel="0" collapsed="false">
      <c r="A427" s="5" t="s">
        <v>375</v>
      </c>
      <c r="B427" s="5" t="s">
        <v>566</v>
      </c>
      <c r="C427" s="27" t="n">
        <v>29.5</v>
      </c>
      <c r="D427" s="25" t="n">
        <f aca="false" t="array" ref="D427:D427">IF(F427="n/a","—",IF(_xlfn.XLOOKUP(TRIM(SUBSTITUTE(A427,_xlfn.UNICHAR(160)," ")),TRIM(SUBSTITUTE('worker file'!$A$2:$A$406,_xlfn.UNICHAR(160)," ")),'worker file'!$L$2:$L$406,"")="US Biweekly",$I$3,$I$2))</f>
        <v>46295</v>
      </c>
      <c r="E427" s="5" t="s">
        <v>571</v>
      </c>
      <c r="F427" s="5" t="s">
        <v>554</v>
      </c>
    </row>
    <row r="428" customFormat="false" ht="15" hidden="false" customHeight="false" outlineLevel="0" collapsed="false">
      <c r="A428" s="5" t="s">
        <v>376</v>
      </c>
      <c r="B428" s="5" t="s">
        <v>573</v>
      </c>
      <c r="C428" s="27" t="n">
        <v>17.25</v>
      </c>
      <c r="D428" s="25" t="n">
        <f aca="false" t="array" ref="D428:D428">IF(F428="n/a","—",IF(_xlfn.XLOOKUP(TRIM(SUBSTITUTE(A428,_xlfn.UNICHAR(160)," ")),TRIM(SUBSTITUTE('worker file'!$A$2:$A$406,_xlfn.UNICHAR(160)," ")),'worker file'!$L$2:$L$406,"")="US Biweekly",$I$3,$I$2))</f>
        <v>46298</v>
      </c>
      <c r="E428" s="5" t="s">
        <v>574</v>
      </c>
      <c r="F428" s="5" t="s">
        <v>554</v>
      </c>
    </row>
    <row r="429" customFormat="false" ht="15" hidden="false" customHeight="false" outlineLevel="0" collapsed="false">
      <c r="A429" s="5" t="s">
        <v>376</v>
      </c>
      <c r="B429" s="5" t="s">
        <v>575</v>
      </c>
      <c r="C429" s="27" t="n">
        <v>27.25</v>
      </c>
      <c r="D429" s="25" t="n">
        <f aca="false" t="array" ref="D429:D429">IF(F429="n/a","—",IF(_xlfn.XLOOKUP(TRIM(SUBSTITUTE(A429,_xlfn.UNICHAR(160)," ")),TRIM(SUBSTITUTE('worker file'!$A$2:$A$406,_xlfn.UNICHAR(160)," ")),'worker file'!$L$2:$L$406,"")="US Biweekly",$I$3,$I$2))</f>
        <v>46298</v>
      </c>
      <c r="E429" s="5" t="s">
        <v>576</v>
      </c>
      <c r="F429" s="5" t="s">
        <v>554</v>
      </c>
    </row>
    <row r="430" customFormat="false" ht="15" hidden="false" customHeight="false" outlineLevel="0" collapsed="false">
      <c r="A430" s="5" t="s">
        <v>377</v>
      </c>
      <c r="B430" s="5" t="s">
        <v>573</v>
      </c>
      <c r="C430" s="27" t="n">
        <v>35.25</v>
      </c>
      <c r="D430" s="25" t="n">
        <f aca="false" t="array" ref="D430:D430">IF(F430="n/a","—",IF(_xlfn.XLOOKUP(TRIM(SUBSTITUTE(A430,_xlfn.UNICHAR(160)," ")),TRIM(SUBSTITUTE('worker file'!$A$2:$A$406,_xlfn.UNICHAR(160)," ")),'worker file'!$L$2:$L$406,"")="US Biweekly",$I$3,$I$2))</f>
        <v>46298</v>
      </c>
      <c r="E430" s="5" t="s">
        <v>574</v>
      </c>
      <c r="F430" s="5" t="s">
        <v>554</v>
      </c>
    </row>
    <row r="431" customFormat="false" ht="15" hidden="false" customHeight="false" outlineLevel="0" collapsed="false">
      <c r="A431" s="5" t="s">
        <v>377</v>
      </c>
      <c r="B431" s="5" t="s">
        <v>575</v>
      </c>
      <c r="C431" s="27" t="n">
        <v>21</v>
      </c>
      <c r="D431" s="25" t="n">
        <f aca="false" t="array" ref="D431:D431">IF(F431="n/a","—",IF(_xlfn.XLOOKUP(TRIM(SUBSTITUTE(A431,_xlfn.UNICHAR(160)," ")),TRIM(SUBSTITUTE('worker file'!$A$2:$A$406,_xlfn.UNICHAR(160)," ")),'worker file'!$L$2:$L$406,"")="US Biweekly",$I$3,$I$2))</f>
        <v>46298</v>
      </c>
      <c r="E431" s="5" t="s">
        <v>576</v>
      </c>
      <c r="F431" s="5" t="s">
        <v>554</v>
      </c>
    </row>
    <row r="432" customFormat="false" ht="15" hidden="false" customHeight="false" outlineLevel="0" collapsed="false">
      <c r="A432" s="5" t="s">
        <v>378</v>
      </c>
      <c r="B432" s="5" t="s">
        <v>568</v>
      </c>
      <c r="C432" s="24" t="s">
        <v>569</v>
      </c>
      <c r="D432" s="25" t="str">
        <f aca="false" t="array" ref="D432:D432">IF(F432="n/a","—",IF(_xlfn.XLOOKUP(TRIM(SUBSTITUTE(A432,_xlfn.UNICHAR(160)," ")),TRIM(SUBSTITUTE('worker file'!$A$2:$A$406,_xlfn.UNICHAR(160)," ")),'worker file'!$L$2:$L$406,"")="US Biweekly",$I$3,$I$2))</f>
        <v>—</v>
      </c>
      <c r="E432" s="5" t="s">
        <v>570</v>
      </c>
      <c r="F432" s="5" t="s">
        <v>550</v>
      </c>
    </row>
    <row r="433" customFormat="false" ht="15" hidden="false" customHeight="false" outlineLevel="0" collapsed="false">
      <c r="A433" s="5" t="s">
        <v>378</v>
      </c>
      <c r="B433" s="5" t="s">
        <v>566</v>
      </c>
      <c r="C433" s="27" t="n">
        <v>66</v>
      </c>
      <c r="D433" s="25" t="n">
        <f aca="false" t="array" ref="D433:D433">IF(F433="n/a","—",IF(_xlfn.XLOOKUP(TRIM(SUBSTITUTE(A433,_xlfn.UNICHAR(160)," ")),TRIM(SUBSTITUTE('worker file'!$A$2:$A$406,_xlfn.UNICHAR(160)," ")),'worker file'!$L$2:$L$406,"")="US Biweekly",$I$3,$I$2))</f>
        <v>46295</v>
      </c>
      <c r="E433" s="5" t="s">
        <v>571</v>
      </c>
      <c r="F433" s="5" t="s">
        <v>554</v>
      </c>
    </row>
    <row r="434" customFormat="false" ht="15" hidden="false" customHeight="false" outlineLevel="0" collapsed="false">
      <c r="A434" s="5" t="s">
        <v>379</v>
      </c>
      <c r="B434" s="5" t="s">
        <v>573</v>
      </c>
      <c r="C434" s="27" t="n">
        <v>32.25</v>
      </c>
      <c r="D434" s="25" t="n">
        <f aca="false" t="array" ref="D434:D434">IF(F434="n/a","—",IF(_xlfn.XLOOKUP(TRIM(SUBSTITUTE(A434,_xlfn.UNICHAR(160)," ")),TRIM(SUBSTITUTE('worker file'!$A$2:$A$406,_xlfn.UNICHAR(160)," ")),'worker file'!$L$2:$L$406,"")="US Biweekly",$I$3,$I$2))</f>
        <v>46298</v>
      </c>
      <c r="E434" s="5" t="s">
        <v>574</v>
      </c>
      <c r="F434" s="5" t="s">
        <v>554</v>
      </c>
    </row>
    <row r="435" customFormat="false" ht="15" hidden="false" customHeight="false" outlineLevel="0" collapsed="false">
      <c r="A435" s="5" t="s">
        <v>379</v>
      </c>
      <c r="B435" s="5" t="s">
        <v>575</v>
      </c>
      <c r="C435" s="27" t="n">
        <v>5.5</v>
      </c>
      <c r="D435" s="25" t="n">
        <f aca="false" t="array" ref="D435:D435">IF(F435="n/a","—",IF(_xlfn.XLOOKUP(TRIM(SUBSTITUTE(A435,_xlfn.UNICHAR(160)," ")),TRIM(SUBSTITUTE('worker file'!$A$2:$A$406,_xlfn.UNICHAR(160)," ")),'worker file'!$L$2:$L$406,"")="US Biweekly",$I$3,$I$2))</f>
        <v>46298</v>
      </c>
      <c r="E435" s="5" t="s">
        <v>576</v>
      </c>
      <c r="F435" s="5" t="s">
        <v>554</v>
      </c>
    </row>
    <row r="436" customFormat="false" ht="15" hidden="false" customHeight="false" outlineLevel="0" collapsed="false">
      <c r="A436" s="5" t="s">
        <v>380</v>
      </c>
      <c r="B436" s="5" t="s">
        <v>584</v>
      </c>
      <c r="C436" s="28" t="n">
        <v>18.5</v>
      </c>
      <c r="D436" s="25" t="n">
        <f aca="false" t="array" ref="D436:D436">IF(F436="n/a","—",IF(_xlfn.XLOOKUP(TRIM(SUBSTITUTE(A436,_xlfn.UNICHAR(160)," ")),TRIM(SUBSTITUTE('worker file'!$A$2:$A$406,_xlfn.UNICHAR(160)," ")),'worker file'!$L$2:$L$406,"")="US Biweekly",$I$3,$I$2))</f>
        <v>46295</v>
      </c>
      <c r="E436" s="5" t="s">
        <v>585</v>
      </c>
      <c r="F436" s="5" t="s">
        <v>559</v>
      </c>
    </row>
    <row r="437" customFormat="false" ht="15" hidden="false" customHeight="false" outlineLevel="0" collapsed="false">
      <c r="A437" s="5" t="s">
        <v>380</v>
      </c>
      <c r="B437" s="5" t="s">
        <v>586</v>
      </c>
      <c r="C437" s="28" t="n">
        <v>5.5</v>
      </c>
      <c r="D437" s="25" t="n">
        <f aca="false" t="array" ref="D437:D437">IF(F437="n/a","—",IF(_xlfn.XLOOKUP(TRIM(SUBSTITUTE(A437,_xlfn.UNICHAR(160)," ")),TRIM(SUBSTITUTE('worker file'!$A$2:$A$406,_xlfn.UNICHAR(160)," ")),'worker file'!$L$2:$L$406,"")="US Biweekly",$I$3,$I$2))</f>
        <v>46295</v>
      </c>
      <c r="E437" s="5" t="s">
        <v>587</v>
      </c>
      <c r="F437" s="5" t="s">
        <v>559</v>
      </c>
    </row>
    <row r="438" customFormat="false" ht="15" hidden="false" customHeight="false" outlineLevel="0" collapsed="false">
      <c r="A438" s="5" t="s">
        <v>381</v>
      </c>
      <c r="B438" s="5" t="s">
        <v>588</v>
      </c>
      <c r="C438" s="28" t="n">
        <v>1.5</v>
      </c>
      <c r="D438" s="25" t="n">
        <f aca="false" t="array" ref="D438:D438">IF(F438="n/a","—",IF(_xlfn.XLOOKUP(TRIM(SUBSTITUTE(A438,_xlfn.UNICHAR(160)," ")),TRIM(SUBSTITUTE('worker file'!$A$2:$A$406,_xlfn.UNICHAR(160)," ")),'worker file'!$L$2:$L$406,"")="US Biweekly",$I$3,$I$2))</f>
        <v>46295</v>
      </c>
      <c r="E438" s="5" t="s">
        <v>589</v>
      </c>
      <c r="F438" s="5" t="s">
        <v>559</v>
      </c>
    </row>
    <row r="439" customFormat="false" ht="15" hidden="false" customHeight="false" outlineLevel="0" collapsed="false">
      <c r="A439" s="5" t="s">
        <v>382</v>
      </c>
      <c r="B439" s="5" t="s">
        <v>568</v>
      </c>
      <c r="C439" s="24" t="s">
        <v>569</v>
      </c>
      <c r="D439" s="25" t="str">
        <f aca="false" t="array" ref="D439:D439">IF(F439="n/a","—",IF(_xlfn.XLOOKUP(TRIM(SUBSTITUTE(A439,_xlfn.UNICHAR(160)," ")),TRIM(SUBSTITUTE('worker file'!$A$2:$A$406,_xlfn.UNICHAR(160)," ")),'worker file'!$L$2:$L$406,"")="US Biweekly",$I$3,$I$2))</f>
        <v>—</v>
      </c>
      <c r="E439" s="5" t="s">
        <v>570</v>
      </c>
      <c r="F439" s="5" t="s">
        <v>550</v>
      </c>
    </row>
    <row r="440" customFormat="false" ht="15" hidden="false" customHeight="false" outlineLevel="0" collapsed="false">
      <c r="A440" s="5" t="s">
        <v>382</v>
      </c>
      <c r="B440" s="5" t="s">
        <v>582</v>
      </c>
      <c r="C440" s="27" t="n">
        <v>15.25</v>
      </c>
      <c r="D440" s="25" t="n">
        <f aca="false" t="array" ref="D440:D440">IF(F440="n/a","—",IF(_xlfn.XLOOKUP(TRIM(SUBSTITUTE(A440,_xlfn.UNICHAR(160)," ")),TRIM(SUBSTITUTE('worker file'!$A$2:$A$406,_xlfn.UNICHAR(160)," ")),'worker file'!$L$2:$L$406,"")="US Biweekly",$I$3,$I$2))</f>
        <v>46295</v>
      </c>
      <c r="E440" s="5" t="s">
        <v>583</v>
      </c>
      <c r="F440" s="5" t="s">
        <v>554</v>
      </c>
    </row>
    <row r="441" customFormat="false" ht="15" hidden="false" customHeight="false" outlineLevel="0" collapsed="false">
      <c r="A441" s="5" t="s">
        <v>383</v>
      </c>
      <c r="B441" s="5" t="s">
        <v>568</v>
      </c>
      <c r="C441" s="24" t="s">
        <v>569</v>
      </c>
      <c r="D441" s="25" t="str">
        <f aca="false" t="array" ref="D441:D441">IF(F441="n/a","—",IF(_xlfn.XLOOKUP(TRIM(SUBSTITUTE(A441,_xlfn.UNICHAR(160)," ")),TRIM(SUBSTITUTE('worker file'!$A$2:$A$406,_xlfn.UNICHAR(160)," ")),'worker file'!$L$2:$L$406,"")="US Biweekly",$I$3,$I$2))</f>
        <v>—</v>
      </c>
      <c r="E441" s="5" t="s">
        <v>570</v>
      </c>
      <c r="F441" s="5" t="s">
        <v>550</v>
      </c>
    </row>
    <row r="442" customFormat="false" ht="15" hidden="false" customHeight="false" outlineLevel="0" collapsed="false">
      <c r="A442" s="5" t="s">
        <v>383</v>
      </c>
      <c r="B442" s="5" t="s">
        <v>566</v>
      </c>
      <c r="C442" s="27" t="n">
        <v>52.75</v>
      </c>
      <c r="D442" s="25" t="n">
        <f aca="false" t="array" ref="D442:D442">IF(F442="n/a","—",IF(_xlfn.XLOOKUP(TRIM(SUBSTITUTE(A442,_xlfn.UNICHAR(160)," ")),TRIM(SUBSTITUTE('worker file'!$A$2:$A$406,_xlfn.UNICHAR(160)," ")),'worker file'!$L$2:$L$406,"")="US Biweekly",$I$3,$I$2))</f>
        <v>46295</v>
      </c>
      <c r="E442" s="5" t="s">
        <v>571</v>
      </c>
      <c r="F442" s="5" t="s">
        <v>554</v>
      </c>
    </row>
    <row r="443" customFormat="false" ht="15" hidden="false" customHeight="false" outlineLevel="0" collapsed="false">
      <c r="A443" s="5" t="s">
        <v>384</v>
      </c>
      <c r="B443" s="5" t="s">
        <v>568</v>
      </c>
      <c r="C443" s="24" t="s">
        <v>569</v>
      </c>
      <c r="D443" s="25" t="str">
        <f aca="false" t="array" ref="D443:D443">IF(F443="n/a","—",IF(_xlfn.XLOOKUP(TRIM(SUBSTITUTE(A443,_xlfn.UNICHAR(160)," ")),TRIM(SUBSTITUTE('worker file'!$A$2:$A$406,_xlfn.UNICHAR(160)," ")),'worker file'!$L$2:$L$406,"")="US Biweekly",$I$3,$I$2))</f>
        <v>—</v>
      </c>
      <c r="E443" s="5" t="s">
        <v>570</v>
      </c>
      <c r="F443" s="5" t="s">
        <v>550</v>
      </c>
    </row>
    <row r="444" customFormat="false" ht="15" hidden="false" customHeight="false" outlineLevel="0" collapsed="false">
      <c r="A444" s="5" t="s">
        <v>384</v>
      </c>
      <c r="B444" s="5" t="s">
        <v>577</v>
      </c>
      <c r="C444" s="27" t="n">
        <v>17.25</v>
      </c>
      <c r="D444" s="25" t="n">
        <f aca="false" t="array" ref="D444:D444">IF(F444="n/a","—",IF(_xlfn.XLOOKUP(TRIM(SUBSTITUTE(A444,_xlfn.UNICHAR(160)," ")),TRIM(SUBSTITUTE('worker file'!$A$2:$A$406,_xlfn.UNICHAR(160)," ")),'worker file'!$L$2:$L$406,"")="US Biweekly",$I$3,$I$2))</f>
        <v>46295</v>
      </c>
      <c r="E444" s="5" t="s">
        <v>578</v>
      </c>
      <c r="F444" s="5" t="s">
        <v>554</v>
      </c>
    </row>
    <row r="445" customFormat="false" ht="15" hidden="false" customHeight="false" outlineLevel="0" collapsed="false">
      <c r="A445" s="5" t="s">
        <v>385</v>
      </c>
      <c r="B445" s="5" t="s">
        <v>568</v>
      </c>
      <c r="C445" s="24" t="s">
        <v>569</v>
      </c>
      <c r="D445" s="25" t="str">
        <f aca="false" t="array" ref="D445:D445">IF(F445="n/a","—",IF(_xlfn.XLOOKUP(TRIM(SUBSTITUTE(A445,_xlfn.UNICHAR(160)," ")),TRIM(SUBSTITUTE('worker file'!$A$2:$A$406,_xlfn.UNICHAR(160)," ")),'worker file'!$L$2:$L$406,"")="US Biweekly",$I$3,$I$2))</f>
        <v>—</v>
      </c>
      <c r="E445" s="5" t="s">
        <v>570</v>
      </c>
      <c r="F445" s="5" t="s">
        <v>550</v>
      </c>
    </row>
    <row r="446" customFormat="false" ht="15" hidden="false" customHeight="false" outlineLevel="0" collapsed="false">
      <c r="A446" s="5" t="s">
        <v>386</v>
      </c>
      <c r="B446" s="5" t="s">
        <v>568</v>
      </c>
      <c r="C446" s="24" t="s">
        <v>569</v>
      </c>
      <c r="D446" s="25" t="str">
        <f aca="false" t="array" ref="D446:D446">IF(F446="n/a","—",IF(_xlfn.XLOOKUP(TRIM(SUBSTITUTE(A446,_xlfn.UNICHAR(160)," ")),TRIM(SUBSTITUTE('worker file'!$A$2:$A$406,_xlfn.UNICHAR(160)," ")),'worker file'!$L$2:$L$406,"")="US Biweekly",$I$3,$I$2))</f>
        <v>—</v>
      </c>
      <c r="E446" s="5" t="s">
        <v>570</v>
      </c>
      <c r="F446" s="5" t="s">
        <v>550</v>
      </c>
    </row>
    <row r="447" customFormat="false" ht="15" hidden="false" customHeight="false" outlineLevel="0" collapsed="false">
      <c r="A447" s="5" t="s">
        <v>386</v>
      </c>
      <c r="B447" s="5" t="s">
        <v>566</v>
      </c>
      <c r="C447" s="27" t="n">
        <v>56</v>
      </c>
      <c r="D447" s="25" t="n">
        <f aca="false" t="array" ref="D447:D447">IF(F447="n/a","—",IF(_xlfn.XLOOKUP(TRIM(SUBSTITUTE(A447,_xlfn.UNICHAR(160)," ")),TRIM(SUBSTITUTE('worker file'!$A$2:$A$406,_xlfn.UNICHAR(160)," ")),'worker file'!$L$2:$L$406,"")="US Biweekly",$I$3,$I$2))</f>
        <v>46295</v>
      </c>
      <c r="E447" s="5" t="s">
        <v>571</v>
      </c>
      <c r="F447" s="5" t="s">
        <v>554</v>
      </c>
    </row>
    <row r="448" customFormat="false" ht="15" hidden="false" customHeight="false" outlineLevel="0" collapsed="false">
      <c r="A448" s="5" t="s">
        <v>387</v>
      </c>
      <c r="B448" s="5" t="s">
        <v>568</v>
      </c>
      <c r="C448" s="24" t="s">
        <v>569</v>
      </c>
      <c r="D448" s="25" t="str">
        <f aca="false" t="array" ref="D448:D448">IF(F448="n/a","—",IF(_xlfn.XLOOKUP(TRIM(SUBSTITUTE(A448,_xlfn.UNICHAR(160)," ")),TRIM(SUBSTITUTE('worker file'!$A$2:$A$406,_xlfn.UNICHAR(160)," ")),'worker file'!$L$2:$L$406,"")="US Biweekly",$I$3,$I$2))</f>
        <v>—</v>
      </c>
      <c r="E448" s="5" t="s">
        <v>570</v>
      </c>
      <c r="F448" s="5" t="s">
        <v>550</v>
      </c>
    </row>
    <row r="449" customFormat="false" ht="15" hidden="false" customHeight="false" outlineLevel="0" collapsed="false">
      <c r="A449" s="5" t="s">
        <v>388</v>
      </c>
      <c r="B449" s="5" t="s">
        <v>568</v>
      </c>
      <c r="C449" s="24" t="s">
        <v>569</v>
      </c>
      <c r="D449" s="25" t="str">
        <f aca="false" t="array" ref="D449:D449">IF(F449="n/a","—",IF(_xlfn.XLOOKUP(TRIM(SUBSTITUTE(A449,_xlfn.UNICHAR(160)," ")),TRIM(SUBSTITUTE('worker file'!$A$2:$A$406,_xlfn.UNICHAR(160)," ")),'worker file'!$L$2:$L$406,"")="US Biweekly",$I$3,$I$2))</f>
        <v>—</v>
      </c>
      <c r="E449" s="5" t="s">
        <v>570</v>
      </c>
      <c r="F449" s="5" t="s">
        <v>550</v>
      </c>
    </row>
    <row r="450" customFormat="false" ht="15" hidden="false" customHeight="false" outlineLevel="0" collapsed="false">
      <c r="A450" s="5" t="s">
        <v>388</v>
      </c>
      <c r="B450" s="5" t="s">
        <v>566</v>
      </c>
      <c r="C450" s="27" t="n">
        <v>46</v>
      </c>
      <c r="D450" s="25" t="n">
        <f aca="false" t="array" ref="D450:D450">IF(F450="n/a","—",IF(_xlfn.XLOOKUP(TRIM(SUBSTITUTE(A450,_xlfn.UNICHAR(160)," ")),TRIM(SUBSTITUTE('worker file'!$A$2:$A$406,_xlfn.UNICHAR(160)," ")),'worker file'!$L$2:$L$406,"")="US Biweekly",$I$3,$I$2))</f>
        <v>46295</v>
      </c>
      <c r="E450" s="5" t="s">
        <v>571</v>
      </c>
      <c r="F450" s="5" t="s">
        <v>554</v>
      </c>
    </row>
    <row r="451" customFormat="false" ht="15" hidden="false" customHeight="false" outlineLevel="0" collapsed="false">
      <c r="A451" s="5" t="s">
        <v>389</v>
      </c>
      <c r="B451" s="5" t="s">
        <v>568</v>
      </c>
      <c r="C451" s="24" t="s">
        <v>569</v>
      </c>
      <c r="D451" s="25" t="str">
        <f aca="false" t="array" ref="D451:D451">IF(F451="n/a","—",IF(_xlfn.XLOOKUP(TRIM(SUBSTITUTE(A451,_xlfn.UNICHAR(160)," ")),TRIM(SUBSTITUTE('worker file'!$A$2:$A$406,_xlfn.UNICHAR(160)," ")),'worker file'!$L$2:$L$406,"")="US Biweekly",$I$3,$I$2))</f>
        <v>—</v>
      </c>
      <c r="E451" s="5" t="s">
        <v>570</v>
      </c>
      <c r="F451" s="5" t="s">
        <v>550</v>
      </c>
    </row>
    <row r="452" customFormat="false" ht="15" hidden="false" customHeight="false" outlineLevel="0" collapsed="false">
      <c r="A452" s="5" t="s">
        <v>389</v>
      </c>
      <c r="B452" s="5" t="s">
        <v>566</v>
      </c>
      <c r="C452" s="27" t="n">
        <v>60.5</v>
      </c>
      <c r="D452" s="25" t="n">
        <f aca="false" t="array" ref="D452:D452">IF(F452="n/a","—",IF(_xlfn.XLOOKUP(TRIM(SUBSTITUTE(A452,_xlfn.UNICHAR(160)," ")),TRIM(SUBSTITUTE('worker file'!$A$2:$A$406,_xlfn.UNICHAR(160)," ")),'worker file'!$L$2:$L$406,"")="US Biweekly",$I$3,$I$2))</f>
        <v>46295</v>
      </c>
      <c r="E452" s="5" t="s">
        <v>571</v>
      </c>
      <c r="F452" s="5" t="s">
        <v>554</v>
      </c>
    </row>
    <row r="453" customFormat="false" ht="15" hidden="false" customHeight="false" outlineLevel="0" collapsed="false">
      <c r="A453" s="5" t="s">
        <v>390</v>
      </c>
      <c r="B453" s="5" t="s">
        <v>568</v>
      </c>
      <c r="C453" s="24" t="s">
        <v>569</v>
      </c>
      <c r="D453" s="25" t="str">
        <f aca="false" t="array" ref="D453:D453">IF(F453="n/a","—",IF(_xlfn.XLOOKUP(TRIM(SUBSTITUTE(A453,_xlfn.UNICHAR(160)," ")),TRIM(SUBSTITUTE('worker file'!$A$2:$A$406,_xlfn.UNICHAR(160)," ")),'worker file'!$L$2:$L$406,"")="US Biweekly",$I$3,$I$2))</f>
        <v>—</v>
      </c>
      <c r="E453" s="5" t="s">
        <v>570</v>
      </c>
      <c r="F453" s="5" t="s">
        <v>550</v>
      </c>
    </row>
    <row r="454" customFormat="false" ht="15" hidden="false" customHeight="false" outlineLevel="0" collapsed="false">
      <c r="A454" s="5" t="s">
        <v>390</v>
      </c>
      <c r="B454" s="5" t="s">
        <v>566</v>
      </c>
      <c r="C454" s="27" t="n">
        <v>24.5</v>
      </c>
      <c r="D454" s="25" t="n">
        <f aca="false" t="array" ref="D454:D454">IF(F454="n/a","—",IF(_xlfn.XLOOKUP(TRIM(SUBSTITUTE(A454,_xlfn.UNICHAR(160)," ")),TRIM(SUBSTITUTE('worker file'!$A$2:$A$406,_xlfn.UNICHAR(160)," ")),'worker file'!$L$2:$L$406,"")="US Biweekly",$I$3,$I$2))</f>
        <v>46295</v>
      </c>
      <c r="E454" s="5" t="s">
        <v>571</v>
      </c>
      <c r="F454" s="5" t="s">
        <v>554</v>
      </c>
    </row>
    <row r="455" customFormat="false" ht="15" hidden="false" customHeight="false" outlineLevel="0" collapsed="false">
      <c r="A455" s="5" t="s">
        <v>391</v>
      </c>
      <c r="B455" s="5" t="s">
        <v>588</v>
      </c>
      <c r="C455" s="28" t="n">
        <v>4</v>
      </c>
      <c r="D455" s="25" t="n">
        <f aca="false" t="array" ref="D455:D455">IF(F455="n/a","—",IF(_xlfn.XLOOKUP(TRIM(SUBSTITUTE(A455,_xlfn.UNICHAR(160)," ")),TRIM(SUBSTITUTE('worker file'!$A$2:$A$406,_xlfn.UNICHAR(160)," ")),'worker file'!$L$2:$L$406,"")="US Biweekly",$I$3,$I$2))</f>
        <v>46295</v>
      </c>
      <c r="E455" s="5" t="s">
        <v>589</v>
      </c>
      <c r="F455" s="5" t="s">
        <v>559</v>
      </c>
    </row>
    <row r="456" customFormat="false" ht="15" hidden="false" customHeight="false" outlineLevel="0" collapsed="false">
      <c r="A456" s="5" t="s">
        <v>392</v>
      </c>
      <c r="B456" s="5" t="s">
        <v>568</v>
      </c>
      <c r="C456" s="24" t="s">
        <v>569</v>
      </c>
      <c r="D456" s="25" t="str">
        <f aca="false" t="array" ref="D456:D456">IF(F456="n/a","—",IF(_xlfn.XLOOKUP(TRIM(SUBSTITUTE(A456,_xlfn.UNICHAR(160)," ")),TRIM(SUBSTITUTE('worker file'!$A$2:$A$406,_xlfn.UNICHAR(160)," ")),'worker file'!$L$2:$L$406,"")="US Biweekly",$I$3,$I$2))</f>
        <v>—</v>
      </c>
      <c r="E456" s="5" t="s">
        <v>570</v>
      </c>
      <c r="F456" s="5" t="s">
        <v>550</v>
      </c>
    </row>
    <row r="457" customFormat="false" ht="15" hidden="false" customHeight="false" outlineLevel="0" collapsed="false">
      <c r="A457" s="5" t="s">
        <v>393</v>
      </c>
      <c r="B457" s="5" t="s">
        <v>568</v>
      </c>
      <c r="C457" s="24" t="s">
        <v>569</v>
      </c>
      <c r="D457" s="25" t="str">
        <f aca="false" t="array" ref="D457:D457">IF(F457="n/a","—",IF(_xlfn.XLOOKUP(TRIM(SUBSTITUTE(A457,_xlfn.UNICHAR(160)," ")),TRIM(SUBSTITUTE('worker file'!$A$2:$A$406,_xlfn.UNICHAR(160)," ")),'worker file'!$L$2:$L$406,"")="US Biweekly",$I$3,$I$2))</f>
        <v>—</v>
      </c>
      <c r="E457" s="5" t="s">
        <v>570</v>
      </c>
      <c r="F457" s="5" t="s">
        <v>550</v>
      </c>
    </row>
    <row r="458" customFormat="false" ht="15" hidden="false" customHeight="false" outlineLevel="0" collapsed="false">
      <c r="A458" s="5" t="s">
        <v>393</v>
      </c>
      <c r="B458" s="5" t="s">
        <v>566</v>
      </c>
      <c r="C458" s="27" t="n">
        <v>30.75</v>
      </c>
      <c r="D458" s="25" t="n">
        <f aca="false" t="array" ref="D458:D458">IF(F458="n/a","—",IF(_xlfn.XLOOKUP(TRIM(SUBSTITUTE(A458,_xlfn.UNICHAR(160)," ")),TRIM(SUBSTITUTE('worker file'!$A$2:$A$406,_xlfn.UNICHAR(160)," ")),'worker file'!$L$2:$L$406,"")="US Biweekly",$I$3,$I$2))</f>
        <v>46295</v>
      </c>
      <c r="E458" s="5" t="s">
        <v>571</v>
      </c>
      <c r="F458" s="5" t="s">
        <v>554</v>
      </c>
    </row>
    <row r="459" customFormat="false" ht="15" hidden="false" customHeight="false" outlineLevel="0" collapsed="false">
      <c r="A459" s="5" t="s">
        <v>394</v>
      </c>
      <c r="B459" s="5" t="s">
        <v>568</v>
      </c>
      <c r="C459" s="24" t="s">
        <v>569</v>
      </c>
      <c r="D459" s="25" t="str">
        <f aca="false" t="array" ref="D459:D459">IF(F459="n/a","—",IF(_xlfn.XLOOKUP(TRIM(SUBSTITUTE(A459,_xlfn.UNICHAR(160)," ")),TRIM(SUBSTITUTE('worker file'!$A$2:$A$406,_xlfn.UNICHAR(160)," ")),'worker file'!$L$2:$L$406,"")="US Biweekly",$I$3,$I$2))</f>
        <v>—</v>
      </c>
      <c r="E459" s="5" t="s">
        <v>570</v>
      </c>
      <c r="F459" s="5" t="s">
        <v>550</v>
      </c>
    </row>
    <row r="460" customFormat="false" ht="15" hidden="false" customHeight="false" outlineLevel="0" collapsed="false">
      <c r="A460" s="5" t="s">
        <v>394</v>
      </c>
      <c r="B460" s="5" t="s">
        <v>566</v>
      </c>
      <c r="C460" s="27" t="n">
        <v>30.75</v>
      </c>
      <c r="D460" s="25" t="n">
        <f aca="false" t="array" ref="D460:D460">IF(F460="n/a","—",IF(_xlfn.XLOOKUP(TRIM(SUBSTITUTE(A460,_xlfn.UNICHAR(160)," ")),TRIM(SUBSTITUTE('worker file'!$A$2:$A$406,_xlfn.UNICHAR(160)," ")),'worker file'!$L$2:$L$406,"")="US Biweekly",$I$3,$I$2))</f>
        <v>46295</v>
      </c>
      <c r="E460" s="5" t="s">
        <v>571</v>
      </c>
      <c r="F460" s="5" t="s">
        <v>554</v>
      </c>
    </row>
    <row r="461" customFormat="false" ht="15" hidden="false" customHeight="false" outlineLevel="0" collapsed="false">
      <c r="A461" s="5" t="s">
        <v>396</v>
      </c>
      <c r="B461" s="5" t="s">
        <v>568</v>
      </c>
      <c r="C461" s="24" t="s">
        <v>569</v>
      </c>
      <c r="D461" s="25" t="str">
        <f aca="false" t="array" ref="D461:D461">IF(F461="n/a","—",IF(_xlfn.XLOOKUP(TRIM(SUBSTITUTE(A461,_xlfn.UNICHAR(160)," ")),TRIM(SUBSTITUTE('worker file'!$A$2:$A$406,_xlfn.UNICHAR(160)," ")),'worker file'!$L$2:$L$406,"")="US Biweekly",$I$3,$I$2))</f>
        <v>—</v>
      </c>
      <c r="E461" s="5" t="s">
        <v>570</v>
      </c>
      <c r="F461" s="5" t="s">
        <v>550</v>
      </c>
    </row>
    <row r="462" customFormat="false" ht="15" hidden="false" customHeight="false" outlineLevel="0" collapsed="false">
      <c r="A462" s="5" t="s">
        <v>397</v>
      </c>
      <c r="B462" s="5" t="s">
        <v>568</v>
      </c>
      <c r="C462" s="24" t="s">
        <v>569</v>
      </c>
      <c r="D462" s="25" t="str">
        <f aca="false" t="array" ref="D462:D462">IF(F462="n/a","—",IF(_xlfn.XLOOKUP(TRIM(SUBSTITUTE(A462,_xlfn.UNICHAR(160)," ")),TRIM(SUBSTITUTE('worker file'!$A$2:$A$406,_xlfn.UNICHAR(160)," ")),'worker file'!$L$2:$L$406,"")="US Biweekly",$I$3,$I$2))</f>
        <v>—</v>
      </c>
      <c r="E462" s="5" t="s">
        <v>570</v>
      </c>
      <c r="F462" s="5" t="s">
        <v>550</v>
      </c>
    </row>
    <row r="463" customFormat="false" ht="15" hidden="false" customHeight="false" outlineLevel="0" collapsed="false">
      <c r="A463" s="5" t="s">
        <v>397</v>
      </c>
      <c r="B463" s="5" t="s">
        <v>566</v>
      </c>
      <c r="C463" s="27" t="n">
        <v>29</v>
      </c>
      <c r="D463" s="25" t="n">
        <f aca="false" t="array" ref="D463:D463">IF(F463="n/a","—",IF(_xlfn.XLOOKUP(TRIM(SUBSTITUTE(A463,_xlfn.UNICHAR(160)," ")),TRIM(SUBSTITUTE('worker file'!$A$2:$A$406,_xlfn.UNICHAR(160)," ")),'worker file'!$L$2:$L$406,"")="US Biweekly",$I$3,$I$2))</f>
        <v>46295</v>
      </c>
      <c r="E463" s="5" t="s">
        <v>571</v>
      </c>
      <c r="F463" s="5" t="s">
        <v>554</v>
      </c>
    </row>
    <row r="464" customFormat="false" ht="15" hidden="false" customHeight="false" outlineLevel="0" collapsed="false">
      <c r="A464" s="5" t="s">
        <v>399</v>
      </c>
      <c r="B464" s="5" t="s">
        <v>588</v>
      </c>
      <c r="C464" s="28" t="n">
        <v>8</v>
      </c>
      <c r="D464" s="25" t="n">
        <f aca="false" t="array" ref="D464:D464">IF(F464="n/a","—",IF(_xlfn.XLOOKUP(TRIM(SUBSTITUTE(A464,_xlfn.UNICHAR(160)," ")),TRIM(SUBSTITUTE('worker file'!$A$2:$A$406,_xlfn.UNICHAR(160)," ")),'worker file'!$L$2:$L$406,"")="US Biweekly",$I$3,$I$2))</f>
        <v>46295</v>
      </c>
      <c r="E464" s="5" t="s">
        <v>589</v>
      </c>
      <c r="F464" s="5" t="s">
        <v>559</v>
      </c>
    </row>
    <row r="465" customFormat="false" ht="15" hidden="false" customHeight="false" outlineLevel="0" collapsed="false">
      <c r="A465" s="5" t="s">
        <v>400</v>
      </c>
      <c r="B465" s="5" t="s">
        <v>568</v>
      </c>
      <c r="C465" s="24" t="s">
        <v>569</v>
      </c>
      <c r="D465" s="25" t="str">
        <f aca="false" t="array" ref="D465:D465">IF(F465="n/a","—",IF(_xlfn.XLOOKUP(TRIM(SUBSTITUTE(A465,_xlfn.UNICHAR(160)," ")),TRIM(SUBSTITUTE('worker file'!$A$2:$A$406,_xlfn.UNICHAR(160)," ")),'worker file'!$L$2:$L$406,"")="US Biweekly",$I$3,$I$2))</f>
        <v>—</v>
      </c>
      <c r="E465" s="5" t="s">
        <v>570</v>
      </c>
      <c r="F465" s="5" t="s">
        <v>550</v>
      </c>
    </row>
    <row r="466" customFormat="false" ht="15" hidden="false" customHeight="false" outlineLevel="0" collapsed="false">
      <c r="A466" s="5" t="s">
        <v>401</v>
      </c>
      <c r="B466" s="5" t="s">
        <v>568</v>
      </c>
      <c r="C466" s="24" t="s">
        <v>569</v>
      </c>
      <c r="D466" s="25" t="str">
        <f aca="false" t="array" ref="D466:D466">IF(F466="n/a","—",IF(_xlfn.XLOOKUP(TRIM(SUBSTITUTE(A466,_xlfn.UNICHAR(160)," ")),TRIM(SUBSTITUTE('worker file'!$A$2:$A$406,_xlfn.UNICHAR(160)," ")),'worker file'!$L$2:$L$406,"")="US Biweekly",$I$3,$I$2))</f>
        <v>—</v>
      </c>
      <c r="E466" s="5" t="s">
        <v>570</v>
      </c>
      <c r="F466" s="5" t="s">
        <v>550</v>
      </c>
    </row>
    <row r="467" customFormat="false" ht="15" hidden="false" customHeight="false" outlineLevel="0" collapsed="false">
      <c r="A467" s="5" t="s">
        <v>401</v>
      </c>
      <c r="B467" s="5" t="s">
        <v>566</v>
      </c>
      <c r="C467" s="27" t="n">
        <v>39.25</v>
      </c>
      <c r="D467" s="25" t="n">
        <f aca="false" t="array" ref="D467:D467">IF(F467="n/a","—",IF(_xlfn.XLOOKUP(TRIM(SUBSTITUTE(A467,_xlfn.UNICHAR(160)," ")),TRIM(SUBSTITUTE('worker file'!$A$2:$A$406,_xlfn.UNICHAR(160)," ")),'worker file'!$L$2:$L$406,"")="US Biweekly",$I$3,$I$2))</f>
        <v>46295</v>
      </c>
      <c r="E467" s="5" t="s">
        <v>571</v>
      </c>
      <c r="F467" s="5" t="s">
        <v>554</v>
      </c>
    </row>
    <row r="468" customFormat="false" ht="15" hidden="false" customHeight="false" outlineLevel="0" collapsed="false">
      <c r="A468" s="5" t="s">
        <v>403</v>
      </c>
      <c r="B468" s="5" t="s">
        <v>573</v>
      </c>
      <c r="C468" s="27" t="n">
        <v>27.5</v>
      </c>
      <c r="D468" s="25" t="n">
        <f aca="false" t="array" ref="D468:D468">IF(F468="n/a","—",IF(_xlfn.XLOOKUP(TRIM(SUBSTITUTE(A468,_xlfn.UNICHAR(160)," ")),TRIM(SUBSTITUTE('worker file'!$A$2:$A$406,_xlfn.UNICHAR(160)," ")),'worker file'!$L$2:$L$406,"")="US Biweekly",$I$3,$I$2))</f>
        <v>46298</v>
      </c>
      <c r="E468" s="5" t="s">
        <v>574</v>
      </c>
      <c r="F468" s="5" t="s">
        <v>554</v>
      </c>
    </row>
    <row r="469" customFormat="false" ht="15" hidden="false" customHeight="false" outlineLevel="0" collapsed="false">
      <c r="A469" s="5" t="s">
        <v>403</v>
      </c>
      <c r="B469" s="5" t="s">
        <v>566</v>
      </c>
      <c r="C469" s="27" t="n">
        <v>35.5</v>
      </c>
      <c r="D469" s="25" t="n">
        <f aca="false" t="array" ref="D469:D469">IF(F469="n/a","—",IF(_xlfn.XLOOKUP(TRIM(SUBSTITUTE(A469,_xlfn.UNICHAR(160)," ")),TRIM(SUBSTITUTE('worker file'!$A$2:$A$406,_xlfn.UNICHAR(160)," ")),'worker file'!$L$2:$L$406,"")="US Biweekly",$I$3,$I$2))</f>
        <v>46298</v>
      </c>
      <c r="E469" s="5" t="s">
        <v>571</v>
      </c>
      <c r="F469" s="5" t="s">
        <v>554</v>
      </c>
    </row>
    <row r="470" customFormat="false" ht="15" hidden="false" customHeight="false" outlineLevel="0" collapsed="false">
      <c r="A470" s="5" t="s">
        <v>404</v>
      </c>
      <c r="B470" s="5" t="s">
        <v>588</v>
      </c>
      <c r="C470" s="28" t="n">
        <v>8.5</v>
      </c>
      <c r="D470" s="25" t="n">
        <f aca="false" t="array" ref="D470:D470">IF(F470="n/a","—",IF(_xlfn.XLOOKUP(TRIM(SUBSTITUTE(A470,_xlfn.UNICHAR(160)," ")),TRIM(SUBSTITUTE('worker file'!$A$2:$A$406,_xlfn.UNICHAR(160)," ")),'worker file'!$L$2:$L$406,"")="US Biweekly",$I$3,$I$2))</f>
        <v>46295</v>
      </c>
      <c r="E470" s="5" t="s">
        <v>589</v>
      </c>
      <c r="F470" s="5" t="s">
        <v>559</v>
      </c>
    </row>
    <row r="471" customFormat="false" ht="15" hidden="false" customHeight="false" outlineLevel="0" collapsed="false">
      <c r="A471" s="5" t="s">
        <v>405</v>
      </c>
      <c r="B471" s="5" t="s">
        <v>573</v>
      </c>
      <c r="C471" s="27" t="n">
        <v>21.5</v>
      </c>
      <c r="D471" s="25" t="n">
        <f aca="false" t="array" ref="D471:D471">IF(F471="n/a","—",IF(_xlfn.XLOOKUP(TRIM(SUBSTITUTE(A471,_xlfn.UNICHAR(160)," ")),TRIM(SUBSTITUTE('worker file'!$A$2:$A$406,_xlfn.UNICHAR(160)," ")),'worker file'!$L$2:$L$406,"")="US Biweekly",$I$3,$I$2))</f>
        <v>46298</v>
      </c>
      <c r="E471" s="5" t="s">
        <v>574</v>
      </c>
      <c r="F471" s="5" t="s">
        <v>554</v>
      </c>
    </row>
    <row r="472" customFormat="false" ht="15" hidden="false" customHeight="false" outlineLevel="0" collapsed="false">
      <c r="A472" s="5" t="s">
        <v>405</v>
      </c>
      <c r="B472" s="5" t="s">
        <v>575</v>
      </c>
      <c r="C472" s="27" t="n">
        <v>4</v>
      </c>
      <c r="D472" s="25" t="n">
        <f aca="false" t="array" ref="D472:D472">IF(F472="n/a","—",IF(_xlfn.XLOOKUP(TRIM(SUBSTITUTE(A472,_xlfn.UNICHAR(160)," ")),TRIM(SUBSTITUTE('worker file'!$A$2:$A$406,_xlfn.UNICHAR(160)," ")),'worker file'!$L$2:$L$406,"")="US Biweekly",$I$3,$I$2))</f>
        <v>46298</v>
      </c>
      <c r="E472" s="5" t="s">
        <v>576</v>
      </c>
      <c r="F472" s="5" t="s">
        <v>554</v>
      </c>
    </row>
    <row r="473" customFormat="false" ht="15" hidden="false" customHeight="false" outlineLevel="0" collapsed="false">
      <c r="A473" s="5" t="s">
        <v>406</v>
      </c>
      <c r="B473" s="5" t="s">
        <v>588</v>
      </c>
      <c r="C473" s="28" t="n">
        <v>0</v>
      </c>
      <c r="D473" s="25" t="n">
        <f aca="false" t="array" ref="D473:D473">IF(F473="n/a","—",IF(_xlfn.XLOOKUP(TRIM(SUBSTITUTE(A473,_xlfn.UNICHAR(160)," ")),TRIM(SUBSTITUTE('worker file'!$A$2:$A$406,_xlfn.UNICHAR(160)," ")),'worker file'!$L$2:$L$406,"")="US Biweekly",$I$3,$I$2))</f>
        <v>46295</v>
      </c>
      <c r="E473" s="5" t="s">
        <v>589</v>
      </c>
      <c r="F473" s="5" t="s">
        <v>559</v>
      </c>
    </row>
    <row r="474" customFormat="false" ht="15" hidden="false" customHeight="false" outlineLevel="0" collapsed="false">
      <c r="A474" s="5" t="s">
        <v>407</v>
      </c>
      <c r="B474" s="5" t="s">
        <v>568</v>
      </c>
      <c r="C474" s="24" t="s">
        <v>569</v>
      </c>
      <c r="D474" s="25" t="str">
        <f aca="false" t="array" ref="D474:D474">IF(F474="n/a","—",IF(_xlfn.XLOOKUP(TRIM(SUBSTITUTE(A474,_xlfn.UNICHAR(160)," ")),TRIM(SUBSTITUTE('worker file'!$A$2:$A$406,_xlfn.UNICHAR(160)," ")),'worker file'!$L$2:$L$406,"")="US Biweekly",$I$3,$I$2))</f>
        <v>—</v>
      </c>
      <c r="E474" s="5" t="s">
        <v>570</v>
      </c>
      <c r="F474" s="5" t="s">
        <v>550</v>
      </c>
    </row>
    <row r="475" customFormat="false" ht="15" hidden="false" customHeight="false" outlineLevel="0" collapsed="false">
      <c r="A475" s="5" t="s">
        <v>407</v>
      </c>
      <c r="B475" s="5" t="s">
        <v>582</v>
      </c>
      <c r="C475" s="27" t="n">
        <v>17.75</v>
      </c>
      <c r="D475" s="25" t="n">
        <f aca="false" t="array" ref="D475:D475">IF(F475="n/a","—",IF(_xlfn.XLOOKUP(TRIM(SUBSTITUTE(A475,_xlfn.UNICHAR(160)," ")),TRIM(SUBSTITUTE('worker file'!$A$2:$A$406,_xlfn.UNICHAR(160)," ")),'worker file'!$L$2:$L$406,"")="US Biweekly",$I$3,$I$2))</f>
        <v>46295</v>
      </c>
      <c r="E475" s="5" t="s">
        <v>583</v>
      </c>
      <c r="F475" s="5" t="s">
        <v>554</v>
      </c>
    </row>
    <row r="476" customFormat="false" ht="15" hidden="false" customHeight="false" outlineLevel="0" collapsed="false">
      <c r="A476" s="5" t="s">
        <v>408</v>
      </c>
      <c r="B476" s="5" t="s">
        <v>568</v>
      </c>
      <c r="C476" s="24" t="s">
        <v>569</v>
      </c>
      <c r="D476" s="25" t="str">
        <f aca="false" t="array" ref="D476:D476">IF(F476="n/a","—",IF(_xlfn.XLOOKUP(TRIM(SUBSTITUTE(A476,_xlfn.UNICHAR(160)," ")),TRIM(SUBSTITUTE('worker file'!$A$2:$A$406,_xlfn.UNICHAR(160)," ")),'worker file'!$L$2:$L$406,"")="US Biweekly",$I$3,$I$2))</f>
        <v>—</v>
      </c>
      <c r="E476" s="5" t="s">
        <v>570</v>
      </c>
      <c r="F476" s="5" t="s">
        <v>550</v>
      </c>
    </row>
    <row r="477" customFormat="false" ht="15" hidden="false" customHeight="false" outlineLevel="0" collapsed="false">
      <c r="A477" s="5" t="s">
        <v>409</v>
      </c>
      <c r="B477" s="5" t="s">
        <v>568</v>
      </c>
      <c r="C477" s="24" t="s">
        <v>569</v>
      </c>
      <c r="D477" s="25" t="str">
        <f aca="false" t="array" ref="D477:D477">IF(F477="n/a","—",IF(_xlfn.XLOOKUP(TRIM(SUBSTITUTE(A477,_xlfn.UNICHAR(160)," ")),TRIM(SUBSTITUTE('worker file'!$A$2:$A$406,_xlfn.UNICHAR(160)," ")),'worker file'!$L$2:$L$406,"")="US Biweekly",$I$3,$I$2))</f>
        <v>—</v>
      </c>
      <c r="E477" s="5" t="s">
        <v>570</v>
      </c>
      <c r="F477" s="5" t="s">
        <v>550</v>
      </c>
    </row>
    <row r="478" customFormat="false" ht="15" hidden="false" customHeight="false" outlineLevel="0" collapsed="false">
      <c r="A478" s="5" t="s">
        <v>409</v>
      </c>
      <c r="B478" s="5" t="s">
        <v>566</v>
      </c>
      <c r="C478" s="27" t="n">
        <v>19.5</v>
      </c>
      <c r="D478" s="25" t="n">
        <f aca="false" t="array" ref="D478:D478">IF(F478="n/a","—",IF(_xlfn.XLOOKUP(TRIM(SUBSTITUTE(A478,_xlfn.UNICHAR(160)," ")),TRIM(SUBSTITUTE('worker file'!$A$2:$A$406,_xlfn.UNICHAR(160)," ")),'worker file'!$L$2:$L$406,"")="US Biweekly",$I$3,$I$2))</f>
        <v>46295</v>
      </c>
      <c r="E478" s="5" t="s">
        <v>599</v>
      </c>
      <c r="F478" s="5" t="s">
        <v>554</v>
      </c>
    </row>
    <row r="479" customFormat="false" ht="15" hidden="false" customHeight="false" outlineLevel="0" collapsed="false">
      <c r="A479" s="5" t="s">
        <v>410</v>
      </c>
      <c r="B479" s="5" t="s">
        <v>568</v>
      </c>
      <c r="C479" s="24" t="s">
        <v>569</v>
      </c>
      <c r="D479" s="25" t="str">
        <f aca="false" t="array" ref="D479:D479">IF(F479="n/a","—",IF(_xlfn.XLOOKUP(TRIM(SUBSTITUTE(A479,_xlfn.UNICHAR(160)," ")),TRIM(SUBSTITUTE('worker file'!$A$2:$A$406,_xlfn.UNICHAR(160)," ")),'worker file'!$L$2:$L$406,"")="US Biweekly",$I$3,$I$2))</f>
        <v>—</v>
      </c>
      <c r="E479" s="5" t="s">
        <v>570</v>
      </c>
      <c r="F479" s="5" t="s">
        <v>550</v>
      </c>
    </row>
    <row r="480" customFormat="false" ht="15" hidden="false" customHeight="false" outlineLevel="0" collapsed="false">
      <c r="A480" s="5" t="s">
        <v>410</v>
      </c>
      <c r="B480" s="5" t="s">
        <v>590</v>
      </c>
      <c r="C480" s="27" t="n">
        <v>22</v>
      </c>
      <c r="D480" s="25" t="n">
        <f aca="false" t="array" ref="D480:D480">IF(F480="n/a","—",IF(_xlfn.XLOOKUP(TRIM(SUBSTITUTE(A480,_xlfn.UNICHAR(160)," ")),TRIM(SUBSTITUTE('worker file'!$A$2:$A$406,_xlfn.UNICHAR(160)," ")),'worker file'!$L$2:$L$406,"")="US Biweekly",$I$3,$I$2))</f>
        <v>46295</v>
      </c>
      <c r="E480" s="5" t="s">
        <v>591</v>
      </c>
      <c r="F480" s="5" t="s">
        <v>554</v>
      </c>
    </row>
    <row r="481" customFormat="false" ht="15" hidden="false" customHeight="false" outlineLevel="0" collapsed="false">
      <c r="A481" s="5" t="s">
        <v>411</v>
      </c>
      <c r="B481" s="5" t="s">
        <v>568</v>
      </c>
      <c r="C481" s="24" t="s">
        <v>569</v>
      </c>
      <c r="D481" s="25" t="str">
        <f aca="false" t="array" ref="D481:D481">IF(F481="n/a","—",IF(_xlfn.XLOOKUP(TRIM(SUBSTITUTE(A481,_xlfn.UNICHAR(160)," ")),TRIM(SUBSTITUTE('worker file'!$A$2:$A$406,_xlfn.UNICHAR(160)," ")),'worker file'!$L$2:$L$406,"")="US Biweekly",$I$3,$I$2))</f>
        <v>—</v>
      </c>
      <c r="E481" s="5" t="s">
        <v>570</v>
      </c>
      <c r="F481" s="5" t="s">
        <v>550</v>
      </c>
    </row>
    <row r="482" customFormat="false" ht="15" hidden="false" customHeight="false" outlineLevel="0" collapsed="false">
      <c r="A482" s="5" t="s">
        <v>411</v>
      </c>
      <c r="B482" s="5" t="s">
        <v>566</v>
      </c>
      <c r="C482" s="27" t="n">
        <v>36.75</v>
      </c>
      <c r="D482" s="25" t="n">
        <f aca="false" t="array" ref="D482:D482">IF(F482="n/a","—",IF(_xlfn.XLOOKUP(TRIM(SUBSTITUTE(A482,_xlfn.UNICHAR(160)," ")),TRIM(SUBSTITUTE('worker file'!$A$2:$A$406,_xlfn.UNICHAR(160)," ")),'worker file'!$L$2:$L$406,"")="US Biweekly",$I$3,$I$2))</f>
        <v>46295</v>
      </c>
      <c r="E482" s="5" t="s">
        <v>571</v>
      </c>
      <c r="F482" s="5" t="s">
        <v>554</v>
      </c>
    </row>
    <row r="483" customFormat="false" ht="15" hidden="false" customHeight="false" outlineLevel="0" collapsed="false">
      <c r="A483" s="5" t="s">
        <v>412</v>
      </c>
      <c r="B483" s="5" t="s">
        <v>568</v>
      </c>
      <c r="C483" s="24" t="s">
        <v>569</v>
      </c>
      <c r="D483" s="25" t="str">
        <f aca="false" t="array" ref="D483:D483">IF(F483="n/a","—",IF(_xlfn.XLOOKUP(TRIM(SUBSTITUTE(A483,_xlfn.UNICHAR(160)," ")),TRIM(SUBSTITUTE('worker file'!$A$2:$A$406,_xlfn.UNICHAR(160)," ")),'worker file'!$L$2:$L$406,"")="US Biweekly",$I$3,$I$2))</f>
        <v>—</v>
      </c>
      <c r="E483" s="5" t="s">
        <v>570</v>
      </c>
      <c r="F483" s="5" t="s">
        <v>550</v>
      </c>
    </row>
    <row r="484" customFormat="false" ht="15" hidden="false" customHeight="false" outlineLevel="0" collapsed="false">
      <c r="A484" s="5" t="s">
        <v>413</v>
      </c>
      <c r="B484" s="5" t="s">
        <v>568</v>
      </c>
      <c r="C484" s="24" t="s">
        <v>569</v>
      </c>
      <c r="D484" s="25" t="str">
        <f aca="false" t="array" ref="D484:D484">IF(F484="n/a","—",IF(_xlfn.XLOOKUP(TRIM(SUBSTITUTE(A484,_xlfn.UNICHAR(160)," ")),TRIM(SUBSTITUTE('worker file'!$A$2:$A$406,_xlfn.UNICHAR(160)," ")),'worker file'!$L$2:$L$406,"")="US Biweekly",$I$3,$I$2))</f>
        <v>—</v>
      </c>
      <c r="E484" s="5" t="s">
        <v>570</v>
      </c>
      <c r="F484" s="5" t="s">
        <v>550</v>
      </c>
    </row>
    <row r="485" customFormat="false" ht="15" hidden="false" customHeight="false" outlineLevel="0" collapsed="false">
      <c r="A485" s="5" t="s">
        <v>413</v>
      </c>
      <c r="B485" s="5" t="s">
        <v>566</v>
      </c>
      <c r="C485" s="27" t="n">
        <v>40.25</v>
      </c>
      <c r="D485" s="25" t="n">
        <f aca="false" t="array" ref="D485:D485">IF(F485="n/a","—",IF(_xlfn.XLOOKUP(TRIM(SUBSTITUTE(A485,_xlfn.UNICHAR(160)," ")),TRIM(SUBSTITUTE('worker file'!$A$2:$A$406,_xlfn.UNICHAR(160)," ")),'worker file'!$L$2:$L$406,"")="US Biweekly",$I$3,$I$2))</f>
        <v>46295</v>
      </c>
      <c r="E485" s="5" t="s">
        <v>571</v>
      </c>
      <c r="F485" s="5" t="s">
        <v>554</v>
      </c>
    </row>
    <row r="486" customFormat="false" ht="15" hidden="false" customHeight="false" outlineLevel="0" collapsed="false">
      <c r="A486" s="5" t="s">
        <v>414</v>
      </c>
      <c r="B486" s="5" t="s">
        <v>568</v>
      </c>
      <c r="C486" s="24" t="s">
        <v>569</v>
      </c>
      <c r="D486" s="25" t="str">
        <f aca="false" t="array" ref="D486:D486">IF(F486="n/a","—",IF(_xlfn.XLOOKUP(TRIM(SUBSTITUTE(A486,_xlfn.UNICHAR(160)," ")),TRIM(SUBSTITUTE('worker file'!$A$2:$A$406,_xlfn.UNICHAR(160)," ")),'worker file'!$L$2:$L$406,"")="US Biweekly",$I$3,$I$2))</f>
        <v>—</v>
      </c>
      <c r="E486" s="5" t="s">
        <v>570</v>
      </c>
      <c r="F486" s="5" t="s">
        <v>550</v>
      </c>
    </row>
    <row r="487" customFormat="false" ht="15" hidden="false" customHeight="false" outlineLevel="0" collapsed="false">
      <c r="A487" s="5" t="s">
        <v>414</v>
      </c>
      <c r="B487" s="5" t="s">
        <v>566</v>
      </c>
      <c r="C487" s="27" t="n">
        <v>19</v>
      </c>
      <c r="D487" s="25" t="n">
        <f aca="false" t="array" ref="D487:D487">IF(F487="n/a","—",IF(_xlfn.XLOOKUP(TRIM(SUBSTITUTE(A487,_xlfn.UNICHAR(160)," ")),TRIM(SUBSTITUTE('worker file'!$A$2:$A$406,_xlfn.UNICHAR(160)," ")),'worker file'!$L$2:$L$406,"")="US Biweekly",$I$3,$I$2))</f>
        <v>46295</v>
      </c>
      <c r="E487" s="5" t="s">
        <v>571</v>
      </c>
      <c r="F487" s="5" t="s">
        <v>554</v>
      </c>
    </row>
    <row r="488" customFormat="false" ht="15" hidden="false" customHeight="false" outlineLevel="0" collapsed="false">
      <c r="A488" s="5" t="s">
        <v>415</v>
      </c>
      <c r="B488" s="5" t="s">
        <v>588</v>
      </c>
      <c r="C488" s="28" t="n">
        <v>0.5</v>
      </c>
      <c r="D488" s="25" t="n">
        <f aca="false" t="array" ref="D488:D488">IF(F488="n/a","—",IF(_xlfn.XLOOKUP(TRIM(SUBSTITUTE(A488,_xlfn.UNICHAR(160)," ")),TRIM(SUBSTITUTE('worker file'!$A$2:$A$406,_xlfn.UNICHAR(160)," ")),'worker file'!$L$2:$L$406,"")="US Biweekly",$I$3,$I$2))</f>
        <v>46295</v>
      </c>
      <c r="E488" s="5" t="s">
        <v>589</v>
      </c>
      <c r="F488" s="5" t="s">
        <v>559</v>
      </c>
    </row>
    <row r="489" customFormat="false" ht="15" hidden="false" customHeight="false" outlineLevel="0" collapsed="false">
      <c r="A489" s="5" t="s">
        <v>416</v>
      </c>
      <c r="B489" s="5" t="s">
        <v>568</v>
      </c>
      <c r="C489" s="24" t="s">
        <v>569</v>
      </c>
      <c r="D489" s="25" t="str">
        <f aca="false" t="array" ref="D489:D489">IF(F489="n/a","—",IF(_xlfn.XLOOKUP(TRIM(SUBSTITUTE(A489,_xlfn.UNICHAR(160)," ")),TRIM(SUBSTITUTE('worker file'!$A$2:$A$406,_xlfn.UNICHAR(160)," ")),'worker file'!$L$2:$L$406,"")="US Biweekly",$I$3,$I$2))</f>
        <v>—</v>
      </c>
      <c r="E489" s="5" t="s">
        <v>570</v>
      </c>
      <c r="F489" s="5" t="s">
        <v>550</v>
      </c>
    </row>
    <row r="490" customFormat="false" ht="15" hidden="false" customHeight="false" outlineLevel="0" collapsed="false">
      <c r="A490" s="5" t="s">
        <v>416</v>
      </c>
      <c r="B490" s="5" t="s">
        <v>566</v>
      </c>
      <c r="C490" s="27" t="n">
        <v>25</v>
      </c>
      <c r="D490" s="25" t="n">
        <f aca="false" t="array" ref="D490:D490">IF(F490="n/a","—",IF(_xlfn.XLOOKUP(TRIM(SUBSTITUTE(A490,_xlfn.UNICHAR(160)," ")),TRIM(SUBSTITUTE('worker file'!$A$2:$A$406,_xlfn.UNICHAR(160)," ")),'worker file'!$L$2:$L$406,"")="US Biweekly",$I$3,$I$2))</f>
        <v>46295</v>
      </c>
      <c r="E490" s="5" t="s">
        <v>571</v>
      </c>
      <c r="F490" s="5" t="s">
        <v>554</v>
      </c>
    </row>
    <row r="491" customFormat="false" ht="15" hidden="false" customHeight="false" outlineLevel="0" collapsed="false">
      <c r="A491" s="5" t="s">
        <v>417</v>
      </c>
      <c r="B491" s="5" t="s">
        <v>568</v>
      </c>
      <c r="C491" s="24" t="s">
        <v>569</v>
      </c>
      <c r="D491" s="25" t="str">
        <f aca="false" t="array" ref="D491:D491">IF(F491="n/a","—",IF(_xlfn.XLOOKUP(TRIM(SUBSTITUTE(A491,_xlfn.UNICHAR(160)," ")),TRIM(SUBSTITUTE('worker file'!$A$2:$A$406,_xlfn.UNICHAR(160)," ")),'worker file'!$L$2:$L$406,"")="US Biweekly",$I$3,$I$2))</f>
        <v>—</v>
      </c>
      <c r="E491" s="5" t="s">
        <v>570</v>
      </c>
      <c r="F491" s="5" t="s">
        <v>550</v>
      </c>
    </row>
    <row r="492" customFormat="false" ht="15" hidden="false" customHeight="false" outlineLevel="0" collapsed="false">
      <c r="A492" s="5" t="s">
        <v>418</v>
      </c>
      <c r="B492" s="5" t="s">
        <v>568</v>
      </c>
      <c r="C492" s="24" t="s">
        <v>569</v>
      </c>
      <c r="D492" s="25" t="str">
        <f aca="false" t="array" ref="D492:D492">IF(F492="n/a","—",IF(_xlfn.XLOOKUP(TRIM(SUBSTITUTE(A492,_xlfn.UNICHAR(160)," ")),TRIM(SUBSTITUTE('worker file'!$A$2:$A$406,_xlfn.UNICHAR(160)," ")),'worker file'!$L$2:$L$406,"")="US Biweekly",$I$3,$I$2))</f>
        <v>—</v>
      </c>
      <c r="E492" s="5" t="s">
        <v>570</v>
      </c>
      <c r="F492" s="5" t="s">
        <v>550</v>
      </c>
    </row>
    <row r="493" customFormat="false" ht="15" hidden="false" customHeight="false" outlineLevel="0" collapsed="false">
      <c r="A493" s="5" t="s">
        <v>418</v>
      </c>
      <c r="B493" s="5" t="s">
        <v>577</v>
      </c>
      <c r="C493" s="27" t="n">
        <v>17.75</v>
      </c>
      <c r="D493" s="25" t="n">
        <f aca="false" t="array" ref="D493:D493">IF(F493="n/a","—",IF(_xlfn.XLOOKUP(TRIM(SUBSTITUTE(A493,_xlfn.UNICHAR(160)," ")),TRIM(SUBSTITUTE('worker file'!$A$2:$A$406,_xlfn.UNICHAR(160)," ")),'worker file'!$L$2:$L$406,"")="US Biweekly",$I$3,$I$2))</f>
        <v>46295</v>
      </c>
      <c r="E493" s="5" t="s">
        <v>578</v>
      </c>
      <c r="F493" s="5" t="s">
        <v>554</v>
      </c>
    </row>
    <row r="494" customFormat="false" ht="15" hidden="false" customHeight="false" outlineLevel="0" collapsed="false">
      <c r="A494" s="5" t="s">
        <v>419</v>
      </c>
      <c r="B494" s="5" t="s">
        <v>573</v>
      </c>
      <c r="C494" s="27" t="n">
        <v>20.75</v>
      </c>
      <c r="D494" s="25" t="n">
        <f aca="false" t="array" ref="D494:D494">IF(F494="n/a","—",IF(_xlfn.XLOOKUP(TRIM(SUBSTITUTE(A494,_xlfn.UNICHAR(160)," ")),TRIM(SUBSTITUTE('worker file'!$A$2:$A$406,_xlfn.UNICHAR(160)," ")),'worker file'!$L$2:$L$406,"")="US Biweekly",$I$3,$I$2))</f>
        <v>46298</v>
      </c>
      <c r="E494" s="5" t="s">
        <v>574</v>
      </c>
      <c r="F494" s="5" t="s">
        <v>554</v>
      </c>
    </row>
    <row r="495" customFormat="false" ht="15" hidden="false" customHeight="false" outlineLevel="0" collapsed="false">
      <c r="A495" s="5" t="s">
        <v>419</v>
      </c>
      <c r="B495" s="5" t="s">
        <v>575</v>
      </c>
      <c r="C495" s="27" t="n">
        <v>9.25</v>
      </c>
      <c r="D495" s="25" t="n">
        <f aca="false" t="array" ref="D495:D495">IF(F495="n/a","—",IF(_xlfn.XLOOKUP(TRIM(SUBSTITUTE(A495,_xlfn.UNICHAR(160)," ")),TRIM(SUBSTITUTE('worker file'!$A$2:$A$406,_xlfn.UNICHAR(160)," ")),'worker file'!$L$2:$L$406,"")="US Biweekly",$I$3,$I$2))</f>
        <v>46298</v>
      </c>
      <c r="E495" s="5" t="s">
        <v>576</v>
      </c>
      <c r="F495" s="5" t="s">
        <v>554</v>
      </c>
    </row>
    <row r="496" customFormat="false" ht="15" hidden="false" customHeight="false" outlineLevel="0" collapsed="false">
      <c r="A496" s="5" t="s">
        <v>420</v>
      </c>
      <c r="B496" s="5" t="s">
        <v>584</v>
      </c>
      <c r="C496" s="28" t="n">
        <v>10.5</v>
      </c>
      <c r="D496" s="25" t="n">
        <f aca="false" t="array" ref="D496:D496">IF(F496="n/a","—",IF(_xlfn.XLOOKUP(TRIM(SUBSTITUTE(A496,_xlfn.UNICHAR(160)," ")),TRIM(SUBSTITUTE('worker file'!$A$2:$A$406,_xlfn.UNICHAR(160)," ")),'worker file'!$L$2:$L$406,"")="US Biweekly",$I$3,$I$2))</f>
        <v>46295</v>
      </c>
      <c r="E496" s="5" t="s">
        <v>585</v>
      </c>
      <c r="F496" s="5" t="s">
        <v>559</v>
      </c>
    </row>
    <row r="497" customFormat="false" ht="15" hidden="false" customHeight="false" outlineLevel="0" collapsed="false">
      <c r="A497" s="5" t="s">
        <v>420</v>
      </c>
      <c r="B497" s="5" t="s">
        <v>586</v>
      </c>
      <c r="C497" s="28" t="n">
        <v>1</v>
      </c>
      <c r="D497" s="25" t="n">
        <f aca="false" t="array" ref="D497:D497">IF(F497="n/a","—",IF(_xlfn.XLOOKUP(TRIM(SUBSTITUTE(A497,_xlfn.UNICHAR(160)," ")),TRIM(SUBSTITUTE('worker file'!$A$2:$A$406,_xlfn.UNICHAR(160)," ")),'worker file'!$L$2:$L$406,"")="US Biweekly",$I$3,$I$2))</f>
        <v>46295</v>
      </c>
      <c r="E497" s="5" t="s">
        <v>587</v>
      </c>
      <c r="F497" s="5" t="s">
        <v>559</v>
      </c>
    </row>
    <row r="498" customFormat="false" ht="15" hidden="false" customHeight="false" outlineLevel="0" collapsed="false">
      <c r="A498" s="5" t="s">
        <v>421</v>
      </c>
      <c r="B498" s="5" t="s">
        <v>568</v>
      </c>
      <c r="C498" s="24" t="s">
        <v>569</v>
      </c>
      <c r="D498" s="25" t="str">
        <f aca="false" t="array" ref="D498:D498">IF(F498="n/a","—",IF(_xlfn.XLOOKUP(TRIM(SUBSTITUTE(A498,_xlfn.UNICHAR(160)," ")),TRIM(SUBSTITUTE('worker file'!$A$2:$A$406,_xlfn.UNICHAR(160)," ")),'worker file'!$L$2:$L$406,"")="US Biweekly",$I$3,$I$2))</f>
        <v>—</v>
      </c>
      <c r="E498" s="5" t="s">
        <v>570</v>
      </c>
      <c r="F498" s="5" t="s">
        <v>550</v>
      </c>
    </row>
    <row r="499" customFormat="false" ht="15" hidden="false" customHeight="false" outlineLevel="0" collapsed="false">
      <c r="A499" s="5" t="s">
        <v>421</v>
      </c>
      <c r="B499" s="5" t="s">
        <v>566</v>
      </c>
      <c r="C499" s="27" t="n">
        <v>40</v>
      </c>
      <c r="D499" s="25" t="n">
        <f aca="false" t="array" ref="D499:D499">IF(F499="n/a","—",IF(_xlfn.XLOOKUP(TRIM(SUBSTITUTE(A499,_xlfn.UNICHAR(160)," ")),TRIM(SUBSTITUTE('worker file'!$A$2:$A$406,_xlfn.UNICHAR(160)," ")),'worker file'!$L$2:$L$406,"")="US Biweekly",$I$3,$I$2))</f>
        <v>46295</v>
      </c>
      <c r="E499" s="5" t="s">
        <v>571</v>
      </c>
      <c r="F499" s="5" t="s">
        <v>554</v>
      </c>
    </row>
    <row r="500" customFormat="false" ht="15" hidden="false" customHeight="false" outlineLevel="0" collapsed="false">
      <c r="A500" s="5" t="s">
        <v>422</v>
      </c>
      <c r="B500" s="5" t="s">
        <v>568</v>
      </c>
      <c r="C500" s="24" t="s">
        <v>569</v>
      </c>
      <c r="D500" s="25" t="str">
        <f aca="false" t="array" ref="D500:D500">IF(F500="n/a","—",IF(_xlfn.XLOOKUP(TRIM(SUBSTITUTE(A500,_xlfn.UNICHAR(160)," ")),TRIM(SUBSTITUTE('worker file'!$A$2:$A$406,_xlfn.UNICHAR(160)," ")),'worker file'!$L$2:$L$406,"")="US Biweekly",$I$3,$I$2))</f>
        <v>—</v>
      </c>
      <c r="E500" s="5" t="s">
        <v>570</v>
      </c>
      <c r="F500" s="5" t="s">
        <v>550</v>
      </c>
    </row>
    <row r="501" customFormat="false" ht="15" hidden="false" customHeight="false" outlineLevel="0" collapsed="false">
      <c r="A501" s="5" t="s">
        <v>422</v>
      </c>
      <c r="B501" s="5" t="s">
        <v>566</v>
      </c>
      <c r="C501" s="27" t="n">
        <v>14.25</v>
      </c>
      <c r="D501" s="25" t="n">
        <f aca="false" t="array" ref="D501:D501">IF(F501="n/a","—",IF(_xlfn.XLOOKUP(TRIM(SUBSTITUTE(A501,_xlfn.UNICHAR(160)," ")),TRIM(SUBSTITUTE('worker file'!$A$2:$A$406,_xlfn.UNICHAR(160)," ")),'worker file'!$L$2:$L$406,"")="US Biweekly",$I$3,$I$2))</f>
        <v>46295</v>
      </c>
      <c r="E501" s="5" t="s">
        <v>571</v>
      </c>
      <c r="F501" s="5" t="s">
        <v>554</v>
      </c>
    </row>
    <row r="502" customFormat="false" ht="15" hidden="false" customHeight="false" outlineLevel="0" collapsed="false">
      <c r="A502" s="5" t="s">
        <v>424</v>
      </c>
      <c r="B502" s="5" t="s">
        <v>584</v>
      </c>
      <c r="C502" s="28" t="n">
        <v>12.5</v>
      </c>
      <c r="D502" s="25" t="n">
        <f aca="false" t="array" ref="D502:D502">IF(F502="n/a","—",IF(_xlfn.XLOOKUP(TRIM(SUBSTITUTE(A502,_xlfn.UNICHAR(160)," ")),TRIM(SUBSTITUTE('worker file'!$A$2:$A$406,_xlfn.UNICHAR(160)," ")),'worker file'!$L$2:$L$406,"")="US Biweekly",$I$3,$I$2))</f>
        <v>46295</v>
      </c>
      <c r="E502" s="5" t="s">
        <v>585</v>
      </c>
      <c r="F502" s="5" t="s">
        <v>559</v>
      </c>
    </row>
    <row r="503" customFormat="false" ht="15" hidden="false" customHeight="false" outlineLevel="0" collapsed="false">
      <c r="A503" s="5" t="s">
        <v>424</v>
      </c>
      <c r="B503" s="5" t="s">
        <v>586</v>
      </c>
      <c r="C503" s="28" t="n">
        <v>2.5</v>
      </c>
      <c r="D503" s="25" t="n">
        <f aca="false" t="array" ref="D503:D503">IF(F503="n/a","—",IF(_xlfn.XLOOKUP(TRIM(SUBSTITUTE(A503,_xlfn.UNICHAR(160)," ")),TRIM(SUBSTITUTE('worker file'!$A$2:$A$406,_xlfn.UNICHAR(160)," ")),'worker file'!$L$2:$L$406,"")="US Biweekly",$I$3,$I$2))</f>
        <v>46295</v>
      </c>
      <c r="E503" s="5" t="s">
        <v>587</v>
      </c>
      <c r="F503" s="5" t="s">
        <v>559</v>
      </c>
    </row>
    <row r="504" customFormat="false" ht="15" hidden="false" customHeight="false" outlineLevel="0" collapsed="false">
      <c r="A504" s="5" t="s">
        <v>425</v>
      </c>
      <c r="B504" s="5" t="s">
        <v>568</v>
      </c>
      <c r="C504" s="24" t="s">
        <v>569</v>
      </c>
      <c r="D504" s="25" t="str">
        <f aca="false" t="array" ref="D504:D504">IF(F504="n/a","—",IF(_xlfn.XLOOKUP(TRIM(SUBSTITUTE(A504,_xlfn.UNICHAR(160)," ")),TRIM(SUBSTITUTE('worker file'!$A$2:$A$406,_xlfn.UNICHAR(160)," ")),'worker file'!$L$2:$L$406,"")="US Biweekly",$I$3,$I$2))</f>
        <v>—</v>
      </c>
      <c r="E504" s="5" t="s">
        <v>570</v>
      </c>
      <c r="F504" s="5" t="s">
        <v>550</v>
      </c>
    </row>
    <row r="505" customFormat="false" ht="15" hidden="false" customHeight="false" outlineLevel="0" collapsed="false">
      <c r="A505" s="5" t="s">
        <v>425</v>
      </c>
      <c r="B505" s="5" t="s">
        <v>566</v>
      </c>
      <c r="C505" s="27" t="n">
        <v>13.75</v>
      </c>
      <c r="D505" s="25" t="n">
        <f aca="false" t="array" ref="D505:D505">IF(F505="n/a","—",IF(_xlfn.XLOOKUP(TRIM(SUBSTITUTE(A505,_xlfn.UNICHAR(160)," ")),TRIM(SUBSTITUTE('worker file'!$A$2:$A$406,_xlfn.UNICHAR(160)," ")),'worker file'!$L$2:$L$406,"")="US Biweekly",$I$3,$I$2))</f>
        <v>46295</v>
      </c>
      <c r="E505" s="5" t="s">
        <v>571</v>
      </c>
      <c r="F505" s="5" t="s">
        <v>554</v>
      </c>
    </row>
    <row r="506" customFormat="false" ht="15" hidden="false" customHeight="false" outlineLevel="0" collapsed="false">
      <c r="A506" s="5" t="s">
        <v>426</v>
      </c>
      <c r="B506" s="5" t="s">
        <v>568</v>
      </c>
      <c r="C506" s="24" t="s">
        <v>569</v>
      </c>
      <c r="D506" s="25" t="str">
        <f aca="false" t="array" ref="D506:D506">IF(F506="n/a","—",IF(_xlfn.XLOOKUP(TRIM(SUBSTITUTE(A506,_xlfn.UNICHAR(160)," ")),TRIM(SUBSTITUTE('worker file'!$A$2:$A$406,_xlfn.UNICHAR(160)," ")),'worker file'!$L$2:$L$406,"")="US Biweekly",$I$3,$I$2))</f>
        <v>—</v>
      </c>
      <c r="E506" s="5" t="s">
        <v>570</v>
      </c>
      <c r="F506" s="5" t="s">
        <v>550</v>
      </c>
    </row>
    <row r="507" customFormat="false" ht="15" hidden="false" customHeight="false" outlineLevel="0" collapsed="false">
      <c r="A507" s="5" t="s">
        <v>427</v>
      </c>
      <c r="B507" s="5" t="s">
        <v>568</v>
      </c>
      <c r="C507" s="24" t="s">
        <v>569</v>
      </c>
      <c r="D507" s="25" t="str">
        <f aca="false" t="array" ref="D507:D507">IF(F507="n/a","—",IF(_xlfn.XLOOKUP(TRIM(SUBSTITUTE(A507,_xlfn.UNICHAR(160)," ")),TRIM(SUBSTITUTE('worker file'!$A$2:$A$406,_xlfn.UNICHAR(160)," ")),'worker file'!$L$2:$L$406,"")="US Biweekly",$I$3,$I$2))</f>
        <v>—</v>
      </c>
      <c r="E507" s="5" t="s">
        <v>570</v>
      </c>
      <c r="F507" s="5" t="s">
        <v>550</v>
      </c>
    </row>
    <row r="508" customFormat="false" ht="15" hidden="false" customHeight="false" outlineLevel="0" collapsed="false">
      <c r="A508" s="5" t="s">
        <v>427</v>
      </c>
      <c r="B508" s="5" t="s">
        <v>566</v>
      </c>
      <c r="C508" s="27" t="n">
        <v>34.25</v>
      </c>
      <c r="D508" s="25" t="n">
        <f aca="false" t="array" ref="D508:D508">IF(F508="n/a","—",IF(_xlfn.XLOOKUP(TRIM(SUBSTITUTE(A508,_xlfn.UNICHAR(160)," ")),TRIM(SUBSTITUTE('worker file'!$A$2:$A$406,_xlfn.UNICHAR(160)," ")),'worker file'!$L$2:$L$406,"")="US Biweekly",$I$3,$I$2))</f>
        <v>46295</v>
      </c>
      <c r="E508" s="5" t="s">
        <v>571</v>
      </c>
      <c r="F508" s="5" t="s">
        <v>554</v>
      </c>
    </row>
    <row r="509" customFormat="false" ht="15" hidden="false" customHeight="false" outlineLevel="0" collapsed="false">
      <c r="A509" s="5" t="s">
        <v>428</v>
      </c>
      <c r="B509" s="5" t="s">
        <v>568</v>
      </c>
      <c r="C509" s="24" t="s">
        <v>569</v>
      </c>
      <c r="D509" s="25" t="str">
        <f aca="false" t="array" ref="D509:D509">IF(F509="n/a","—",IF(_xlfn.XLOOKUP(TRIM(SUBSTITUTE(A509,_xlfn.UNICHAR(160)," ")),TRIM(SUBSTITUTE('worker file'!$A$2:$A$406,_xlfn.UNICHAR(160)," ")),'worker file'!$L$2:$L$406,"")="US Biweekly",$I$3,$I$2))</f>
        <v>—</v>
      </c>
      <c r="E509" s="5" t="s">
        <v>570</v>
      </c>
      <c r="F509" s="5" t="s">
        <v>550</v>
      </c>
    </row>
    <row r="510" customFormat="false" ht="15" hidden="false" customHeight="false" outlineLevel="0" collapsed="false">
      <c r="A510" s="5" t="s">
        <v>428</v>
      </c>
      <c r="B510" s="5" t="s">
        <v>566</v>
      </c>
      <c r="C510" s="27" t="n">
        <v>12.25</v>
      </c>
      <c r="D510" s="25" t="n">
        <f aca="false" t="array" ref="D510:D510">IF(F510="n/a","—",IF(_xlfn.XLOOKUP(TRIM(SUBSTITUTE(A510,_xlfn.UNICHAR(160)," ")),TRIM(SUBSTITUTE('worker file'!$A$2:$A$406,_xlfn.UNICHAR(160)," ")),'worker file'!$L$2:$L$406,"")="US Biweekly",$I$3,$I$2))</f>
        <v>46295</v>
      </c>
      <c r="E510" s="5" t="s">
        <v>571</v>
      </c>
      <c r="F510" s="5" t="s">
        <v>554</v>
      </c>
    </row>
    <row r="511" customFormat="false" ht="15" hidden="false" customHeight="false" outlineLevel="0" collapsed="false">
      <c r="A511" s="5" t="s">
        <v>429</v>
      </c>
      <c r="B511" s="5" t="s">
        <v>568</v>
      </c>
      <c r="C511" s="24" t="s">
        <v>569</v>
      </c>
      <c r="D511" s="25" t="str">
        <f aca="false" t="array" ref="D511:D511">IF(F511="n/a","—",IF(_xlfn.XLOOKUP(TRIM(SUBSTITUTE(A511,_xlfn.UNICHAR(160)," ")),TRIM(SUBSTITUTE('worker file'!$A$2:$A$406,_xlfn.UNICHAR(160)," ")),'worker file'!$L$2:$L$406,"")="US Biweekly",$I$3,$I$2))</f>
        <v>—</v>
      </c>
      <c r="E511" s="5" t="s">
        <v>570</v>
      </c>
      <c r="F511" s="5" t="s">
        <v>550</v>
      </c>
    </row>
    <row r="512" customFormat="false" ht="15" hidden="false" customHeight="false" outlineLevel="0" collapsed="false">
      <c r="A512" s="5" t="s">
        <v>430</v>
      </c>
      <c r="B512" s="5" t="s">
        <v>568</v>
      </c>
      <c r="C512" s="24" t="s">
        <v>569</v>
      </c>
      <c r="D512" s="25" t="str">
        <f aca="false" t="array" ref="D512:D512">IF(F512="n/a","—",IF(_xlfn.XLOOKUP(TRIM(SUBSTITUTE(A512,_xlfn.UNICHAR(160)," ")),TRIM(SUBSTITUTE('worker file'!$A$2:$A$406,_xlfn.UNICHAR(160)," ")),'worker file'!$L$2:$L$406,"")="US Biweekly",$I$3,$I$2))</f>
        <v>—</v>
      </c>
      <c r="E512" s="5" t="s">
        <v>570</v>
      </c>
      <c r="F512" s="5" t="s">
        <v>550</v>
      </c>
    </row>
    <row r="513" customFormat="false" ht="15" hidden="false" customHeight="false" outlineLevel="0" collapsed="false">
      <c r="A513" s="5" t="s">
        <v>430</v>
      </c>
      <c r="B513" s="5" t="s">
        <v>566</v>
      </c>
      <c r="C513" s="27" t="n">
        <v>26.5</v>
      </c>
      <c r="D513" s="25" t="n">
        <f aca="false" t="array" ref="D513:D513">IF(F513="n/a","—",IF(_xlfn.XLOOKUP(TRIM(SUBSTITUTE(A513,_xlfn.UNICHAR(160)," ")),TRIM(SUBSTITUTE('worker file'!$A$2:$A$406,_xlfn.UNICHAR(160)," ")),'worker file'!$L$2:$L$406,"")="US Biweekly",$I$3,$I$2))</f>
        <v>46295</v>
      </c>
      <c r="E513" s="5" t="s">
        <v>571</v>
      </c>
      <c r="F513" s="5" t="s">
        <v>554</v>
      </c>
    </row>
    <row r="514" customFormat="false" ht="15" hidden="false" customHeight="false" outlineLevel="0" collapsed="false">
      <c r="A514" s="5" t="s">
        <v>431</v>
      </c>
      <c r="B514" s="5" t="s">
        <v>568</v>
      </c>
      <c r="C514" s="24" t="s">
        <v>569</v>
      </c>
      <c r="D514" s="25" t="str">
        <f aca="false" t="array" ref="D514:D514">IF(F514="n/a","—",IF(_xlfn.XLOOKUP(TRIM(SUBSTITUTE(A514,_xlfn.UNICHAR(160)," ")),TRIM(SUBSTITUTE('worker file'!$A$2:$A$406,_xlfn.UNICHAR(160)," ")),'worker file'!$L$2:$L$406,"")="US Biweekly",$I$3,$I$2))</f>
        <v>—</v>
      </c>
      <c r="E514" s="5" t="s">
        <v>570</v>
      </c>
      <c r="F514" s="5" t="s">
        <v>550</v>
      </c>
    </row>
    <row r="515" customFormat="false" ht="15" hidden="false" customHeight="false" outlineLevel="0" collapsed="false">
      <c r="A515" s="5" t="s">
        <v>431</v>
      </c>
      <c r="B515" s="5" t="s">
        <v>566</v>
      </c>
      <c r="C515" s="27" t="n">
        <v>18</v>
      </c>
      <c r="D515" s="25" t="n">
        <f aca="false" t="array" ref="D515:D515">IF(F515="n/a","—",IF(_xlfn.XLOOKUP(TRIM(SUBSTITUTE(A515,_xlfn.UNICHAR(160)," ")),TRIM(SUBSTITUTE('worker file'!$A$2:$A$406,_xlfn.UNICHAR(160)," ")),'worker file'!$L$2:$L$406,"")="US Biweekly",$I$3,$I$2))</f>
        <v>46295</v>
      </c>
      <c r="E515" s="5" t="s">
        <v>571</v>
      </c>
      <c r="F515" s="5" t="s">
        <v>554</v>
      </c>
    </row>
    <row r="516" customFormat="false" ht="15" hidden="false" customHeight="false" outlineLevel="0" collapsed="false">
      <c r="A516" s="5" t="s">
        <v>432</v>
      </c>
      <c r="B516" s="5" t="s">
        <v>568</v>
      </c>
      <c r="C516" s="24" t="s">
        <v>569</v>
      </c>
      <c r="D516" s="25" t="str">
        <f aca="false" t="array" ref="D516:D516">IF(F516="n/a","—",IF(_xlfn.XLOOKUP(TRIM(SUBSTITUTE(A516,_xlfn.UNICHAR(160)," ")),TRIM(SUBSTITUTE('worker file'!$A$2:$A$406,_xlfn.UNICHAR(160)," ")),'worker file'!$L$2:$L$406,"")="US Biweekly",$I$3,$I$2))</f>
        <v>—</v>
      </c>
      <c r="E516" s="5" t="s">
        <v>570</v>
      </c>
      <c r="F516" s="5" t="s">
        <v>550</v>
      </c>
    </row>
    <row r="517" customFormat="false" ht="15" hidden="false" customHeight="false" outlineLevel="0" collapsed="false">
      <c r="A517" s="5" t="s">
        <v>432</v>
      </c>
      <c r="B517" s="5" t="s">
        <v>577</v>
      </c>
      <c r="C517" s="27" t="n">
        <v>12.5</v>
      </c>
      <c r="D517" s="25" t="n">
        <f aca="false" t="array" ref="D517:D517">IF(F517="n/a","—",IF(_xlfn.XLOOKUP(TRIM(SUBSTITUTE(A517,_xlfn.UNICHAR(160)," ")),TRIM(SUBSTITUTE('worker file'!$A$2:$A$406,_xlfn.UNICHAR(160)," ")),'worker file'!$L$2:$L$406,"")="US Biweekly",$I$3,$I$2))</f>
        <v>46295</v>
      </c>
      <c r="E517" s="5" t="s">
        <v>578</v>
      </c>
      <c r="F517" s="5" t="s">
        <v>554</v>
      </c>
    </row>
    <row r="518" customFormat="false" ht="15" hidden="false" customHeight="false" outlineLevel="0" collapsed="false">
      <c r="A518" s="5" t="s">
        <v>433</v>
      </c>
      <c r="B518" s="5" t="s">
        <v>584</v>
      </c>
      <c r="C518" s="28" t="n">
        <v>13</v>
      </c>
      <c r="D518" s="25" t="n">
        <f aca="false" t="array" ref="D518:D518">IF(F518="n/a","—",IF(_xlfn.XLOOKUP(TRIM(SUBSTITUTE(A518,_xlfn.UNICHAR(160)," ")),TRIM(SUBSTITUTE('worker file'!$A$2:$A$406,_xlfn.UNICHAR(160)," ")),'worker file'!$L$2:$L$406,"")="US Biweekly",$I$3,$I$2))</f>
        <v>46295</v>
      </c>
      <c r="E518" s="5" t="s">
        <v>585</v>
      </c>
      <c r="F518" s="5" t="s">
        <v>559</v>
      </c>
    </row>
    <row r="519" customFormat="false" ht="15" hidden="false" customHeight="false" outlineLevel="0" collapsed="false">
      <c r="A519" s="5" t="s">
        <v>433</v>
      </c>
      <c r="B519" s="5" t="s">
        <v>586</v>
      </c>
      <c r="C519" s="28" t="n">
        <v>1.5</v>
      </c>
      <c r="D519" s="25" t="n">
        <f aca="false" t="array" ref="D519:D519">IF(F519="n/a","—",IF(_xlfn.XLOOKUP(TRIM(SUBSTITUTE(A519,_xlfn.UNICHAR(160)," ")),TRIM(SUBSTITUTE('worker file'!$A$2:$A$406,_xlfn.UNICHAR(160)," ")),'worker file'!$L$2:$L$406,"")="US Biweekly",$I$3,$I$2))</f>
        <v>46295</v>
      </c>
      <c r="E519" s="5" t="s">
        <v>587</v>
      </c>
      <c r="F519" s="5" t="s">
        <v>559</v>
      </c>
    </row>
    <row r="520" customFormat="false" ht="15" hidden="false" customHeight="false" outlineLevel="0" collapsed="false">
      <c r="A520" s="5" t="s">
        <v>434</v>
      </c>
      <c r="B520" s="5" t="s">
        <v>568</v>
      </c>
      <c r="C520" s="24" t="s">
        <v>569</v>
      </c>
      <c r="D520" s="25" t="str">
        <f aca="false" t="array" ref="D520:D520">IF(F520="n/a","—",IF(_xlfn.XLOOKUP(TRIM(SUBSTITUTE(A520,_xlfn.UNICHAR(160)," ")),TRIM(SUBSTITUTE('worker file'!$A$2:$A$406,_xlfn.UNICHAR(160)," ")),'worker file'!$L$2:$L$406,"")="US Biweekly",$I$3,$I$2))</f>
        <v>—</v>
      </c>
      <c r="E520" s="5" t="s">
        <v>570</v>
      </c>
      <c r="F520" s="5" t="s">
        <v>550</v>
      </c>
    </row>
    <row r="521" customFormat="false" ht="15" hidden="false" customHeight="false" outlineLevel="0" collapsed="false">
      <c r="A521" s="5" t="s">
        <v>434</v>
      </c>
      <c r="B521" s="5" t="s">
        <v>566</v>
      </c>
      <c r="C521" s="27" t="n">
        <v>33</v>
      </c>
      <c r="D521" s="25" t="n">
        <f aca="false" t="array" ref="D521:D521">IF(F521="n/a","—",IF(_xlfn.XLOOKUP(TRIM(SUBSTITUTE(A521,_xlfn.UNICHAR(160)," ")),TRIM(SUBSTITUTE('worker file'!$A$2:$A$406,_xlfn.UNICHAR(160)," ")),'worker file'!$L$2:$L$406,"")="US Biweekly",$I$3,$I$2))</f>
        <v>46295</v>
      </c>
      <c r="E521" s="5" t="s">
        <v>571</v>
      </c>
      <c r="F521" s="5" t="s">
        <v>554</v>
      </c>
    </row>
    <row r="522" customFormat="false" ht="15" hidden="false" customHeight="false" outlineLevel="0" collapsed="false">
      <c r="A522" s="5" t="s">
        <v>435</v>
      </c>
      <c r="B522" s="5" t="s">
        <v>568</v>
      </c>
      <c r="C522" s="24" t="s">
        <v>569</v>
      </c>
      <c r="D522" s="25" t="str">
        <f aca="false" t="array" ref="D522:D522">IF(F522="n/a","—",IF(_xlfn.XLOOKUP(TRIM(SUBSTITUTE(A522,_xlfn.UNICHAR(160)," ")),TRIM(SUBSTITUTE('worker file'!$A$2:$A$406,_xlfn.UNICHAR(160)," ")),'worker file'!$L$2:$L$406,"")="US Biweekly",$I$3,$I$2))</f>
        <v>—</v>
      </c>
      <c r="E522" s="5" t="s">
        <v>570</v>
      </c>
      <c r="F522" s="5" t="s">
        <v>550</v>
      </c>
    </row>
    <row r="523" customFormat="false" ht="15" hidden="false" customHeight="false" outlineLevel="0" collapsed="false">
      <c r="A523" s="5" t="s">
        <v>435</v>
      </c>
      <c r="B523" s="5" t="s">
        <v>566</v>
      </c>
      <c r="C523" s="27" t="n">
        <v>28.25</v>
      </c>
      <c r="D523" s="25" t="n">
        <f aca="false" t="array" ref="D523:D523">IF(F523="n/a","—",IF(_xlfn.XLOOKUP(TRIM(SUBSTITUTE(A523,_xlfn.UNICHAR(160)," ")),TRIM(SUBSTITUTE('worker file'!$A$2:$A$406,_xlfn.UNICHAR(160)," ")),'worker file'!$L$2:$L$406,"")="US Biweekly",$I$3,$I$2))</f>
        <v>46295</v>
      </c>
      <c r="E523" s="5" t="s">
        <v>571</v>
      </c>
      <c r="F523" s="5" t="s">
        <v>554</v>
      </c>
    </row>
    <row r="524" customFormat="false" ht="15" hidden="false" customHeight="false" outlineLevel="0" collapsed="false">
      <c r="A524" s="5" t="s">
        <v>436</v>
      </c>
      <c r="B524" s="5" t="s">
        <v>568</v>
      </c>
      <c r="C524" s="24" t="s">
        <v>569</v>
      </c>
      <c r="D524" s="25" t="str">
        <f aca="false" t="array" ref="D524:D524">IF(F524="n/a","—",IF(_xlfn.XLOOKUP(TRIM(SUBSTITUTE(A524,_xlfn.UNICHAR(160)," ")),TRIM(SUBSTITUTE('worker file'!$A$2:$A$406,_xlfn.UNICHAR(160)," ")),'worker file'!$L$2:$L$406,"")="US Biweekly",$I$3,$I$2))</f>
        <v>—</v>
      </c>
      <c r="E524" s="5" t="s">
        <v>570</v>
      </c>
      <c r="F524" s="5" t="s">
        <v>550</v>
      </c>
    </row>
    <row r="525" customFormat="false" ht="15" hidden="false" customHeight="false" outlineLevel="0" collapsed="false">
      <c r="A525" s="5" t="s">
        <v>436</v>
      </c>
      <c r="B525" s="5" t="s">
        <v>566</v>
      </c>
      <c r="C525" s="27" t="n">
        <v>26.75</v>
      </c>
      <c r="D525" s="25" t="n">
        <f aca="false" t="array" ref="D525:D525">IF(F525="n/a","—",IF(_xlfn.XLOOKUP(TRIM(SUBSTITUTE(A525,_xlfn.UNICHAR(160)," ")),TRIM(SUBSTITUTE('worker file'!$A$2:$A$406,_xlfn.UNICHAR(160)," ")),'worker file'!$L$2:$L$406,"")="US Biweekly",$I$3,$I$2))</f>
        <v>46295</v>
      </c>
      <c r="E525" s="5" t="s">
        <v>571</v>
      </c>
      <c r="F525" s="5" t="s">
        <v>554</v>
      </c>
    </row>
    <row r="526" customFormat="false" ht="15" hidden="false" customHeight="false" outlineLevel="0" collapsed="false">
      <c r="A526" s="5" t="s">
        <v>437</v>
      </c>
      <c r="B526" s="5" t="s">
        <v>573</v>
      </c>
      <c r="C526" s="27" t="n">
        <v>6.25</v>
      </c>
      <c r="D526" s="25" t="n">
        <f aca="false" t="array" ref="D526:D526">IF(F526="n/a","—",IF(_xlfn.XLOOKUP(TRIM(SUBSTITUTE(A526,_xlfn.UNICHAR(160)," ")),TRIM(SUBSTITUTE('worker file'!$A$2:$A$406,_xlfn.UNICHAR(160)," ")),'worker file'!$L$2:$L$406,"")="US Biweekly",$I$3,$I$2))</f>
        <v>46298</v>
      </c>
      <c r="E526" s="5" t="s">
        <v>574</v>
      </c>
      <c r="F526" s="5" t="s">
        <v>554</v>
      </c>
    </row>
    <row r="527" customFormat="false" ht="15" hidden="false" customHeight="false" outlineLevel="0" collapsed="false">
      <c r="A527" s="5" t="s">
        <v>437</v>
      </c>
      <c r="B527" s="5" t="s">
        <v>575</v>
      </c>
      <c r="C527" s="27" t="n">
        <v>4</v>
      </c>
      <c r="D527" s="25" t="n">
        <f aca="false" t="array" ref="D527:D527">IF(F527="n/a","—",IF(_xlfn.XLOOKUP(TRIM(SUBSTITUTE(A527,_xlfn.UNICHAR(160)," ")),TRIM(SUBSTITUTE('worker file'!$A$2:$A$406,_xlfn.UNICHAR(160)," ")),'worker file'!$L$2:$L$406,"")="US Biweekly",$I$3,$I$2))</f>
        <v>46298</v>
      </c>
      <c r="E527" s="5" t="s">
        <v>576</v>
      </c>
      <c r="F527" s="5" t="s">
        <v>554</v>
      </c>
    </row>
    <row r="528" customFormat="false" ht="15" hidden="false" customHeight="false" outlineLevel="0" collapsed="false">
      <c r="A528" s="5" t="s">
        <v>438</v>
      </c>
      <c r="B528" s="5" t="s">
        <v>568</v>
      </c>
      <c r="C528" s="24" t="s">
        <v>569</v>
      </c>
      <c r="D528" s="25" t="str">
        <f aca="false" t="array" ref="D528:D528">IF(F528="n/a","—",IF(_xlfn.XLOOKUP(TRIM(SUBSTITUTE(A528,_xlfn.UNICHAR(160)," ")),TRIM(SUBSTITUTE('worker file'!$A$2:$A$406,_xlfn.UNICHAR(160)," ")),'worker file'!$L$2:$L$406,"")="US Biweekly",$I$3,$I$2))</f>
        <v>—</v>
      </c>
      <c r="E528" s="5" t="s">
        <v>570</v>
      </c>
      <c r="F528" s="5" t="s">
        <v>550</v>
      </c>
    </row>
    <row r="529" customFormat="false" ht="15" hidden="false" customHeight="false" outlineLevel="0" collapsed="false">
      <c r="A529" s="5" t="s">
        <v>438</v>
      </c>
      <c r="B529" s="5" t="s">
        <v>566</v>
      </c>
      <c r="C529" s="27" t="n">
        <v>20.5</v>
      </c>
      <c r="D529" s="25" t="n">
        <f aca="false" t="array" ref="D529:D529">IF(F529="n/a","—",IF(_xlfn.XLOOKUP(TRIM(SUBSTITUTE(A529,_xlfn.UNICHAR(160)," ")),TRIM(SUBSTITUTE('worker file'!$A$2:$A$406,_xlfn.UNICHAR(160)," ")),'worker file'!$L$2:$L$406,"")="US Biweekly",$I$3,$I$2))</f>
        <v>46295</v>
      </c>
      <c r="E529" s="5" t="s">
        <v>571</v>
      </c>
      <c r="F529" s="5" t="s">
        <v>554</v>
      </c>
    </row>
    <row r="530" customFormat="false" ht="15" hidden="false" customHeight="false" outlineLevel="0" collapsed="false">
      <c r="A530" s="5" t="s">
        <v>439</v>
      </c>
      <c r="B530" s="5" t="s">
        <v>584</v>
      </c>
      <c r="C530" s="28" t="n">
        <v>5</v>
      </c>
      <c r="D530" s="25" t="n">
        <f aca="false" t="array" ref="D530:D530">IF(F530="n/a","—",IF(_xlfn.XLOOKUP(TRIM(SUBSTITUTE(A530,_xlfn.UNICHAR(160)," ")),TRIM(SUBSTITUTE('worker file'!$A$2:$A$406,_xlfn.UNICHAR(160)," ")),'worker file'!$L$2:$L$406,"")="US Biweekly",$I$3,$I$2))</f>
        <v>46295</v>
      </c>
      <c r="E530" s="5" t="s">
        <v>585</v>
      </c>
      <c r="F530" s="5" t="s">
        <v>559</v>
      </c>
    </row>
    <row r="531" customFormat="false" ht="15" hidden="false" customHeight="false" outlineLevel="0" collapsed="false">
      <c r="A531" s="5" t="s">
        <v>439</v>
      </c>
      <c r="B531" s="5" t="s">
        <v>586</v>
      </c>
      <c r="C531" s="28" t="n">
        <v>3</v>
      </c>
      <c r="D531" s="25" t="n">
        <f aca="false" t="array" ref="D531:D531">IF(F531="n/a","—",IF(_xlfn.XLOOKUP(TRIM(SUBSTITUTE(A531,_xlfn.UNICHAR(160)," ")),TRIM(SUBSTITUTE('worker file'!$A$2:$A$406,_xlfn.UNICHAR(160)," ")),'worker file'!$L$2:$L$406,"")="US Biweekly",$I$3,$I$2))</f>
        <v>46295</v>
      </c>
      <c r="E531" s="5" t="s">
        <v>587</v>
      </c>
      <c r="F531" s="5" t="s">
        <v>559</v>
      </c>
    </row>
    <row r="532" customFormat="false" ht="15" hidden="false" customHeight="false" outlineLevel="0" collapsed="false">
      <c r="A532" s="5" t="s">
        <v>440</v>
      </c>
      <c r="B532" s="5" t="s">
        <v>568</v>
      </c>
      <c r="C532" s="24" t="s">
        <v>569</v>
      </c>
      <c r="D532" s="25" t="str">
        <f aca="false" t="array" ref="D532:D532">IF(F532="n/a","—",IF(_xlfn.XLOOKUP(TRIM(SUBSTITUTE(A532,_xlfn.UNICHAR(160)," ")),TRIM(SUBSTITUTE('worker file'!$A$2:$A$406,_xlfn.UNICHAR(160)," ")),'worker file'!$L$2:$L$406,"")="US Biweekly",$I$3,$I$2))</f>
        <v>—</v>
      </c>
      <c r="E532" s="5" t="s">
        <v>570</v>
      </c>
      <c r="F532" s="5" t="s">
        <v>550</v>
      </c>
    </row>
    <row r="533" customFormat="false" ht="15" hidden="false" customHeight="false" outlineLevel="0" collapsed="false">
      <c r="A533" s="5" t="s">
        <v>441</v>
      </c>
      <c r="B533" s="5" t="s">
        <v>568</v>
      </c>
      <c r="C533" s="24" t="s">
        <v>569</v>
      </c>
      <c r="D533" s="25" t="str">
        <f aca="false" t="array" ref="D533:D533">IF(F533="n/a","—",IF(_xlfn.XLOOKUP(TRIM(SUBSTITUTE(A533,_xlfn.UNICHAR(160)," ")),TRIM(SUBSTITUTE('worker file'!$A$2:$A$406,_xlfn.UNICHAR(160)," ")),'worker file'!$L$2:$L$406,"")="US Biweekly",$I$3,$I$2))</f>
        <v>—</v>
      </c>
      <c r="E533" s="5" t="s">
        <v>570</v>
      </c>
      <c r="F533" s="5" t="s">
        <v>550</v>
      </c>
    </row>
    <row r="534" customFormat="false" ht="15" hidden="false" customHeight="false" outlineLevel="0" collapsed="false">
      <c r="A534" s="5" t="s">
        <v>442</v>
      </c>
      <c r="B534" s="5" t="s">
        <v>568</v>
      </c>
      <c r="C534" s="24" t="s">
        <v>569</v>
      </c>
      <c r="D534" s="25" t="str">
        <f aca="false" t="array" ref="D534:D534">IF(F534="n/a","—",IF(_xlfn.XLOOKUP(TRIM(SUBSTITUTE(A534,_xlfn.UNICHAR(160)," ")),TRIM(SUBSTITUTE('worker file'!$A$2:$A$406,_xlfn.UNICHAR(160)," ")),'worker file'!$L$2:$L$406,"")="US Biweekly",$I$3,$I$2))</f>
        <v>—</v>
      </c>
      <c r="E534" s="5" t="s">
        <v>570</v>
      </c>
      <c r="F534" s="5" t="s">
        <v>550</v>
      </c>
    </row>
    <row r="535" customFormat="false" ht="15" hidden="false" customHeight="false" outlineLevel="0" collapsed="false">
      <c r="A535" s="5" t="s">
        <v>442</v>
      </c>
      <c r="B535" s="5" t="s">
        <v>566</v>
      </c>
      <c r="C535" s="27" t="n">
        <v>26.25</v>
      </c>
      <c r="D535" s="25" t="n">
        <f aca="false" t="array" ref="D535:D535">IF(F535="n/a","—",IF(_xlfn.XLOOKUP(TRIM(SUBSTITUTE(A535,_xlfn.UNICHAR(160)," ")),TRIM(SUBSTITUTE('worker file'!$A$2:$A$406,_xlfn.UNICHAR(160)," ")),'worker file'!$L$2:$L$406,"")="US Biweekly",$I$3,$I$2))</f>
        <v>46295</v>
      </c>
      <c r="E535" s="5" t="s">
        <v>571</v>
      </c>
      <c r="F535" s="5" t="s">
        <v>554</v>
      </c>
    </row>
    <row r="536" customFormat="false" ht="15" hidden="false" customHeight="false" outlineLevel="0" collapsed="false">
      <c r="A536" s="5" t="s">
        <v>443</v>
      </c>
      <c r="B536" s="5" t="s">
        <v>568</v>
      </c>
      <c r="C536" s="24" t="s">
        <v>569</v>
      </c>
      <c r="D536" s="25" t="str">
        <f aca="false" t="array" ref="D536:D536">IF(F536="n/a","—",IF(_xlfn.XLOOKUP(TRIM(SUBSTITUTE(A536,_xlfn.UNICHAR(160)," ")),TRIM(SUBSTITUTE('worker file'!$A$2:$A$406,_xlfn.UNICHAR(160)," ")),'worker file'!$L$2:$L$406,"")="US Biweekly",$I$3,$I$2))</f>
        <v>—</v>
      </c>
      <c r="E536" s="5" t="s">
        <v>570</v>
      </c>
      <c r="F536" s="5" t="s">
        <v>550</v>
      </c>
    </row>
    <row r="537" customFormat="false" ht="15" hidden="false" customHeight="false" outlineLevel="0" collapsed="false">
      <c r="A537" s="5" t="s">
        <v>444</v>
      </c>
      <c r="B537" s="5" t="s">
        <v>568</v>
      </c>
      <c r="C537" s="24" t="s">
        <v>569</v>
      </c>
      <c r="D537" s="25" t="str">
        <f aca="false" t="array" ref="D537:D537">IF(F537="n/a","—",IF(_xlfn.XLOOKUP(TRIM(SUBSTITUTE(A537,_xlfn.UNICHAR(160)," ")),TRIM(SUBSTITUTE('worker file'!$A$2:$A$406,_xlfn.UNICHAR(160)," ")),'worker file'!$L$2:$L$406,"")="US Biweekly",$I$3,$I$2))</f>
        <v>—</v>
      </c>
      <c r="E537" s="5" t="s">
        <v>570</v>
      </c>
      <c r="F537" s="5" t="s">
        <v>550</v>
      </c>
    </row>
    <row r="538" customFormat="false" ht="15" hidden="false" customHeight="false" outlineLevel="0" collapsed="false">
      <c r="A538" s="5" t="s">
        <v>444</v>
      </c>
      <c r="B538" s="5" t="s">
        <v>566</v>
      </c>
      <c r="C538" s="27" t="n">
        <v>24</v>
      </c>
      <c r="D538" s="25" t="n">
        <f aca="false" t="array" ref="D538:D538">IF(F538="n/a","—",IF(_xlfn.XLOOKUP(TRIM(SUBSTITUTE(A538,_xlfn.UNICHAR(160)," ")),TRIM(SUBSTITUTE('worker file'!$A$2:$A$406,_xlfn.UNICHAR(160)," ")),'worker file'!$L$2:$L$406,"")="US Biweekly",$I$3,$I$2))</f>
        <v>46295</v>
      </c>
      <c r="E538" s="5" t="s">
        <v>571</v>
      </c>
      <c r="F538" s="5" t="s">
        <v>554</v>
      </c>
    </row>
    <row r="539" customFormat="false" ht="15" hidden="false" customHeight="false" outlineLevel="0" collapsed="false">
      <c r="A539" s="5" t="s">
        <v>445</v>
      </c>
      <c r="B539" s="5" t="s">
        <v>568</v>
      </c>
      <c r="C539" s="24" t="s">
        <v>569</v>
      </c>
      <c r="D539" s="25" t="str">
        <f aca="false" t="array" ref="D539:D539">IF(F539="n/a","—",IF(_xlfn.XLOOKUP(TRIM(SUBSTITUTE(A539,_xlfn.UNICHAR(160)," ")),TRIM(SUBSTITUTE('worker file'!$A$2:$A$406,_xlfn.UNICHAR(160)," ")),'worker file'!$L$2:$L$406,"")="US Biweekly",$I$3,$I$2))</f>
        <v>—</v>
      </c>
      <c r="E539" s="5" t="s">
        <v>570</v>
      </c>
      <c r="F539" s="5" t="s">
        <v>550</v>
      </c>
    </row>
    <row r="540" customFormat="false" ht="15" hidden="false" customHeight="false" outlineLevel="0" collapsed="false">
      <c r="A540" s="5" t="s">
        <v>445</v>
      </c>
      <c r="B540" s="5" t="s">
        <v>566</v>
      </c>
      <c r="C540" s="27" t="n">
        <v>20</v>
      </c>
      <c r="D540" s="25" t="n">
        <f aca="false" t="array" ref="D540:D540">IF(F540="n/a","—",IF(_xlfn.XLOOKUP(TRIM(SUBSTITUTE(A540,_xlfn.UNICHAR(160)," ")),TRIM(SUBSTITUTE('worker file'!$A$2:$A$406,_xlfn.UNICHAR(160)," ")),'worker file'!$L$2:$L$406,"")="US Biweekly",$I$3,$I$2))</f>
        <v>46295</v>
      </c>
      <c r="E540" s="5" t="s">
        <v>571</v>
      </c>
      <c r="F540" s="5" t="s">
        <v>554</v>
      </c>
    </row>
    <row r="541" customFormat="false" ht="15" hidden="false" customHeight="false" outlineLevel="0" collapsed="false">
      <c r="A541" s="5" t="s">
        <v>446</v>
      </c>
      <c r="B541" s="5" t="s">
        <v>568</v>
      </c>
      <c r="C541" s="24" t="s">
        <v>569</v>
      </c>
      <c r="D541" s="25" t="str">
        <f aca="false" t="array" ref="D541:D541">IF(F541="n/a","—",IF(_xlfn.XLOOKUP(TRIM(SUBSTITUTE(A541,_xlfn.UNICHAR(160)," ")),TRIM(SUBSTITUTE('worker file'!$A$2:$A$406,_xlfn.UNICHAR(160)," ")),'worker file'!$L$2:$L$406,"")="US Biweekly",$I$3,$I$2))</f>
        <v>—</v>
      </c>
      <c r="E541" s="5" t="s">
        <v>570</v>
      </c>
      <c r="F541" s="5" t="s">
        <v>550</v>
      </c>
    </row>
    <row r="542" customFormat="false" ht="15" hidden="false" customHeight="false" outlineLevel="0" collapsed="false">
      <c r="A542" s="5" t="s">
        <v>447</v>
      </c>
      <c r="B542" s="5" t="s">
        <v>568</v>
      </c>
      <c r="C542" s="24" t="s">
        <v>569</v>
      </c>
      <c r="D542" s="25" t="str">
        <f aca="false" t="array" ref="D542:D542">IF(F542="n/a","—",IF(_xlfn.XLOOKUP(TRIM(SUBSTITUTE(A542,_xlfn.UNICHAR(160)," ")),TRIM(SUBSTITUTE('worker file'!$A$2:$A$406,_xlfn.UNICHAR(160)," ")),'worker file'!$L$2:$L$406,"")="US Biweekly",$I$3,$I$2))</f>
        <v>—</v>
      </c>
      <c r="E542" s="5" t="s">
        <v>570</v>
      </c>
      <c r="F542" s="5" t="s">
        <v>550</v>
      </c>
    </row>
    <row r="543" customFormat="false" ht="15" hidden="false" customHeight="false" outlineLevel="0" collapsed="false">
      <c r="A543" s="5" t="s">
        <v>447</v>
      </c>
      <c r="B543" s="5" t="s">
        <v>577</v>
      </c>
      <c r="C543" s="27" t="n">
        <v>10</v>
      </c>
      <c r="D543" s="25" t="n">
        <f aca="false" t="array" ref="D543:D543">IF(F543="n/a","—",IF(_xlfn.XLOOKUP(TRIM(SUBSTITUTE(A543,_xlfn.UNICHAR(160)," ")),TRIM(SUBSTITUTE('worker file'!$A$2:$A$406,_xlfn.UNICHAR(160)," ")),'worker file'!$L$2:$L$406,"")="US Biweekly",$I$3,$I$2))</f>
        <v>46295</v>
      </c>
      <c r="E543" s="5" t="s">
        <v>578</v>
      </c>
      <c r="F543" s="5" t="s">
        <v>554</v>
      </c>
    </row>
    <row r="544" customFormat="false" ht="15" hidden="false" customHeight="false" outlineLevel="0" collapsed="false">
      <c r="A544" s="5" t="s">
        <v>448</v>
      </c>
      <c r="B544" s="5" t="s">
        <v>568</v>
      </c>
      <c r="C544" s="24" t="s">
        <v>569</v>
      </c>
      <c r="D544" s="25" t="str">
        <f aca="false" t="array" ref="D544:D544">IF(F544="n/a","—",IF(_xlfn.XLOOKUP(TRIM(SUBSTITUTE(A544,_xlfn.UNICHAR(160)," ")),TRIM(SUBSTITUTE('worker file'!$A$2:$A$406,_xlfn.UNICHAR(160)," ")),'worker file'!$L$2:$L$406,"")="US Biweekly",$I$3,$I$2))</f>
        <v>—</v>
      </c>
      <c r="E544" s="5" t="s">
        <v>570</v>
      </c>
      <c r="F544" s="5" t="s">
        <v>550</v>
      </c>
    </row>
    <row r="545" customFormat="false" ht="15" hidden="false" customHeight="false" outlineLevel="0" collapsed="false">
      <c r="A545" s="5" t="s">
        <v>449</v>
      </c>
      <c r="B545" s="5" t="s">
        <v>573</v>
      </c>
      <c r="C545" s="27" t="n">
        <v>3</v>
      </c>
      <c r="D545" s="25" t="n">
        <f aca="false" t="array" ref="D545:D545">IF(F545="n/a","—",IF(_xlfn.XLOOKUP(TRIM(SUBSTITUTE(A545,_xlfn.UNICHAR(160)," ")),TRIM(SUBSTITUTE('worker file'!$A$2:$A$406,_xlfn.UNICHAR(160)," ")),'worker file'!$L$2:$L$406,"")="US Biweekly",$I$3,$I$2))</f>
        <v>46298</v>
      </c>
      <c r="E545" s="5" t="s">
        <v>574</v>
      </c>
      <c r="F545" s="5" t="s">
        <v>554</v>
      </c>
    </row>
    <row r="546" customFormat="false" ht="15" hidden="false" customHeight="false" outlineLevel="0" collapsed="false">
      <c r="A546" s="5" t="s">
        <v>449</v>
      </c>
      <c r="B546" s="5" t="s">
        <v>575</v>
      </c>
      <c r="C546" s="27" t="n">
        <v>9.75</v>
      </c>
      <c r="D546" s="25" t="n">
        <f aca="false" t="array" ref="D546:D546">IF(F546="n/a","—",IF(_xlfn.XLOOKUP(TRIM(SUBSTITUTE(A546,_xlfn.UNICHAR(160)," ")),TRIM(SUBSTITUTE('worker file'!$A$2:$A$406,_xlfn.UNICHAR(160)," ")),'worker file'!$L$2:$L$406,"")="US Biweekly",$I$3,$I$2))</f>
        <v>46298</v>
      </c>
      <c r="E546" s="5" t="s">
        <v>576</v>
      </c>
      <c r="F546" s="5" t="s">
        <v>554</v>
      </c>
    </row>
    <row r="547" customFormat="false" ht="15" hidden="false" customHeight="false" outlineLevel="0" collapsed="false">
      <c r="A547" s="5" t="s">
        <v>450</v>
      </c>
      <c r="B547" s="5" t="s">
        <v>588</v>
      </c>
      <c r="C547" s="28" t="n">
        <v>6.5</v>
      </c>
      <c r="D547" s="25" t="n">
        <f aca="false" t="array" ref="D547:D547">IF(F547="n/a","—",IF(_xlfn.XLOOKUP(TRIM(SUBSTITUTE(A547,_xlfn.UNICHAR(160)," ")),TRIM(SUBSTITUTE('worker file'!$A$2:$A$406,_xlfn.UNICHAR(160)," ")),'worker file'!$L$2:$L$406,"")="US Biweekly",$I$3,$I$2))</f>
        <v>46295</v>
      </c>
      <c r="E547" s="5" t="s">
        <v>589</v>
      </c>
      <c r="F547" s="5" t="s">
        <v>559</v>
      </c>
    </row>
    <row r="548" customFormat="false" ht="15" hidden="false" customHeight="false" outlineLevel="0" collapsed="false">
      <c r="A548" s="5" t="s">
        <v>451</v>
      </c>
      <c r="B548" s="5" t="s">
        <v>568</v>
      </c>
      <c r="C548" s="24" t="s">
        <v>569</v>
      </c>
      <c r="D548" s="25" t="str">
        <f aca="false" t="array" ref="D548:D548">IF(F548="n/a","—",IF(_xlfn.XLOOKUP(TRIM(SUBSTITUTE(A548,_xlfn.UNICHAR(160)," ")),TRIM(SUBSTITUTE('worker file'!$A$2:$A$406,_xlfn.UNICHAR(160)," ")),'worker file'!$L$2:$L$406,"")="US Biweekly",$I$3,$I$2))</f>
        <v>—</v>
      </c>
      <c r="E548" s="5" t="s">
        <v>570</v>
      </c>
      <c r="F548" s="5" t="s">
        <v>550</v>
      </c>
    </row>
    <row r="549" customFormat="false" ht="15" hidden="false" customHeight="false" outlineLevel="0" collapsed="false">
      <c r="A549" s="5" t="s">
        <v>451</v>
      </c>
      <c r="B549" s="5" t="s">
        <v>590</v>
      </c>
      <c r="C549" s="27" t="n">
        <v>5.25</v>
      </c>
      <c r="D549" s="25" t="n">
        <f aca="false" t="array" ref="D549:D549">IF(F549="n/a","—",IF(_xlfn.XLOOKUP(TRIM(SUBSTITUTE(A549,_xlfn.UNICHAR(160)," ")),TRIM(SUBSTITUTE('worker file'!$A$2:$A$406,_xlfn.UNICHAR(160)," ")),'worker file'!$L$2:$L$406,"")="US Biweekly",$I$3,$I$2))</f>
        <v>46295</v>
      </c>
      <c r="E549" s="5" t="s">
        <v>591</v>
      </c>
      <c r="F549" s="5" t="s">
        <v>554</v>
      </c>
    </row>
    <row r="550" customFormat="false" ht="15" hidden="false" customHeight="false" outlineLevel="0" collapsed="false">
      <c r="A550" s="5" t="s">
        <v>452</v>
      </c>
      <c r="B550" s="5" t="s">
        <v>573</v>
      </c>
      <c r="C550" s="27" t="n">
        <v>9.75</v>
      </c>
      <c r="D550" s="25" t="n">
        <f aca="false" t="array" ref="D550:D550">IF(F550="n/a","—",IF(_xlfn.XLOOKUP(TRIM(SUBSTITUTE(A550,_xlfn.UNICHAR(160)," ")),TRIM(SUBSTITUTE('worker file'!$A$2:$A$406,_xlfn.UNICHAR(160)," ")),'worker file'!$L$2:$L$406,"")="US Biweekly",$I$3,$I$2))</f>
        <v>46298</v>
      </c>
      <c r="E550" s="5" t="s">
        <v>574</v>
      </c>
      <c r="F550" s="5" t="s">
        <v>554</v>
      </c>
    </row>
    <row r="551" customFormat="false" ht="15" hidden="false" customHeight="false" outlineLevel="0" collapsed="false">
      <c r="A551" s="5" t="s">
        <v>452</v>
      </c>
      <c r="B551" s="5" t="s">
        <v>575</v>
      </c>
      <c r="C551" s="27" t="n">
        <v>1.25</v>
      </c>
      <c r="D551" s="25" t="n">
        <f aca="false" t="array" ref="D551:D551">IF(F551="n/a","—",IF(_xlfn.XLOOKUP(TRIM(SUBSTITUTE(A551,_xlfn.UNICHAR(160)," ")),TRIM(SUBSTITUTE('worker file'!$A$2:$A$406,_xlfn.UNICHAR(160)," ")),'worker file'!$L$2:$L$406,"")="US Biweekly",$I$3,$I$2))</f>
        <v>46298</v>
      </c>
      <c r="E551" s="5" t="s">
        <v>576</v>
      </c>
      <c r="F551" s="5" t="s">
        <v>554</v>
      </c>
    </row>
    <row r="552" customFormat="false" ht="15" hidden="false" customHeight="false" outlineLevel="0" collapsed="false">
      <c r="A552" s="5" t="s">
        <v>453</v>
      </c>
      <c r="B552" s="5" t="s">
        <v>568</v>
      </c>
      <c r="C552" s="24" t="s">
        <v>569</v>
      </c>
      <c r="D552" s="25" t="str">
        <f aca="false" t="array" ref="D552:D552">IF(F552="n/a","—",IF(_xlfn.XLOOKUP(TRIM(SUBSTITUTE(A552,_xlfn.UNICHAR(160)," ")),TRIM(SUBSTITUTE('worker file'!$A$2:$A$406,_xlfn.UNICHAR(160)," ")),'worker file'!$L$2:$L$406,"")="US Biweekly",$I$3,$I$2))</f>
        <v>—</v>
      </c>
      <c r="E552" s="5" t="s">
        <v>570</v>
      </c>
      <c r="F552" s="5" t="s">
        <v>550</v>
      </c>
    </row>
    <row r="553" customFormat="false" ht="15" hidden="false" customHeight="false" outlineLevel="0" collapsed="false">
      <c r="A553" s="5" t="s">
        <v>454</v>
      </c>
      <c r="B553" s="5" t="s">
        <v>568</v>
      </c>
      <c r="C553" s="24" t="s">
        <v>569</v>
      </c>
      <c r="D553" s="25" t="str">
        <f aca="false" t="array" ref="D553:D553">IF(F553="n/a","—",IF(_xlfn.XLOOKUP(TRIM(SUBSTITUTE(A553,_xlfn.UNICHAR(160)," ")),TRIM(SUBSTITUTE('worker file'!$A$2:$A$406,_xlfn.UNICHAR(160)," ")),'worker file'!$L$2:$L$406,"")="US Biweekly",$I$3,$I$2))</f>
        <v>—</v>
      </c>
      <c r="E553" s="5" t="s">
        <v>570</v>
      </c>
      <c r="F553" s="5" t="s">
        <v>550</v>
      </c>
    </row>
    <row r="554" customFormat="false" ht="15" hidden="false" customHeight="false" outlineLevel="0" collapsed="false">
      <c r="A554" s="5" t="s">
        <v>454</v>
      </c>
      <c r="B554" s="5" t="s">
        <v>566</v>
      </c>
      <c r="C554" s="27" t="n">
        <v>15.75</v>
      </c>
      <c r="D554" s="25" t="n">
        <f aca="false" t="array" ref="D554:D554">IF(F554="n/a","—",IF(_xlfn.XLOOKUP(TRIM(SUBSTITUTE(A554,_xlfn.UNICHAR(160)," ")),TRIM(SUBSTITUTE('worker file'!$A$2:$A$406,_xlfn.UNICHAR(160)," ")),'worker file'!$L$2:$L$406,"")="US Biweekly",$I$3,$I$2))</f>
        <v>46295</v>
      </c>
      <c r="E554" s="5" t="s">
        <v>571</v>
      </c>
      <c r="F554" s="5" t="s">
        <v>554</v>
      </c>
    </row>
    <row r="555" customFormat="false" ht="15" hidden="false" customHeight="false" outlineLevel="0" collapsed="false">
      <c r="A555" s="5" t="s">
        <v>455</v>
      </c>
      <c r="B555" s="5" t="s">
        <v>568</v>
      </c>
      <c r="C555" s="24" t="s">
        <v>569</v>
      </c>
      <c r="D555" s="25" t="str">
        <f aca="false" t="array" ref="D555:D555">IF(F555="n/a","—",IF(_xlfn.XLOOKUP(TRIM(SUBSTITUTE(A555,_xlfn.UNICHAR(160)," ")),TRIM(SUBSTITUTE('worker file'!$A$2:$A$406,_xlfn.UNICHAR(160)," ")),'worker file'!$L$2:$L$406,"")="US Biweekly",$I$3,$I$2))</f>
        <v>—</v>
      </c>
      <c r="E555" s="5" t="s">
        <v>570</v>
      </c>
      <c r="F555" s="5" t="s">
        <v>550</v>
      </c>
    </row>
    <row r="556" customFormat="false" ht="15" hidden="false" customHeight="false" outlineLevel="0" collapsed="false">
      <c r="A556" s="5" t="s">
        <v>455</v>
      </c>
      <c r="B556" s="5" t="s">
        <v>566</v>
      </c>
      <c r="C556" s="27" t="n">
        <v>9.25</v>
      </c>
      <c r="D556" s="25" t="n">
        <f aca="false" t="array" ref="D556:D556">IF(F556="n/a","—",IF(_xlfn.XLOOKUP(TRIM(SUBSTITUTE(A556,_xlfn.UNICHAR(160)," ")),TRIM(SUBSTITUTE('worker file'!$A$2:$A$406,_xlfn.UNICHAR(160)," ")),'worker file'!$L$2:$L$406,"")="US Biweekly",$I$3,$I$2))</f>
        <v>46295</v>
      </c>
      <c r="E556" s="5" t="s">
        <v>571</v>
      </c>
      <c r="F556" s="5" t="s">
        <v>554</v>
      </c>
    </row>
    <row r="557" customFormat="false" ht="15" hidden="false" customHeight="false" outlineLevel="0" collapsed="false">
      <c r="A557" s="5" t="s">
        <v>456</v>
      </c>
      <c r="B557" s="5" t="s">
        <v>568</v>
      </c>
      <c r="C557" s="24" t="s">
        <v>569</v>
      </c>
      <c r="D557" s="25" t="str">
        <f aca="false" t="array" ref="D557:D557">IF(F557="n/a","—",IF(_xlfn.XLOOKUP(TRIM(SUBSTITUTE(A557,_xlfn.UNICHAR(160)," ")),TRIM(SUBSTITUTE('worker file'!$A$2:$A$406,_xlfn.UNICHAR(160)," ")),'worker file'!$L$2:$L$406,"")="US Biweekly",$I$3,$I$2))</f>
        <v>—</v>
      </c>
      <c r="E557" s="5" t="s">
        <v>570</v>
      </c>
      <c r="F557" s="5" t="s">
        <v>550</v>
      </c>
    </row>
    <row r="558" customFormat="false" ht="15" hidden="false" customHeight="false" outlineLevel="0" collapsed="false">
      <c r="A558" s="5" t="s">
        <v>456</v>
      </c>
      <c r="B558" s="5" t="s">
        <v>566</v>
      </c>
      <c r="C558" s="27" t="n">
        <v>14.75</v>
      </c>
      <c r="D558" s="25" t="n">
        <f aca="false" t="array" ref="D558:D558">IF(F558="n/a","—",IF(_xlfn.XLOOKUP(TRIM(SUBSTITUTE(A558,_xlfn.UNICHAR(160)," ")),TRIM(SUBSTITUTE('worker file'!$A$2:$A$406,_xlfn.UNICHAR(160)," ")),'worker file'!$L$2:$L$406,"")="US Biweekly",$I$3,$I$2))</f>
        <v>46295</v>
      </c>
      <c r="E558" s="5" t="s">
        <v>571</v>
      </c>
      <c r="F558" s="5" t="s">
        <v>554</v>
      </c>
    </row>
    <row r="559" customFormat="false" ht="15" hidden="false" customHeight="false" outlineLevel="0" collapsed="false">
      <c r="A559" s="5" t="s">
        <v>457</v>
      </c>
      <c r="B559" s="5" t="s">
        <v>568</v>
      </c>
      <c r="C559" s="24" t="s">
        <v>569</v>
      </c>
      <c r="D559" s="25" t="str">
        <f aca="false" t="array" ref="D559:D559">IF(F559="n/a","—",IF(_xlfn.XLOOKUP(TRIM(SUBSTITUTE(A559,_xlfn.UNICHAR(160)," ")),TRIM(SUBSTITUTE('worker file'!$A$2:$A$406,_xlfn.UNICHAR(160)," ")),'worker file'!$L$2:$L$406,"")="US Biweekly",$I$3,$I$2))</f>
        <v>—</v>
      </c>
      <c r="E559" s="5" t="s">
        <v>570</v>
      </c>
      <c r="F559" s="5" t="s">
        <v>550</v>
      </c>
    </row>
    <row r="560" customFormat="false" ht="15" hidden="false" customHeight="false" outlineLevel="0" collapsed="false">
      <c r="A560" s="5" t="s">
        <v>457</v>
      </c>
      <c r="B560" s="5" t="s">
        <v>566</v>
      </c>
      <c r="C560" s="27" t="n">
        <v>9.75</v>
      </c>
      <c r="D560" s="25" t="n">
        <f aca="false" t="array" ref="D560:D560">IF(F560="n/a","—",IF(_xlfn.XLOOKUP(TRIM(SUBSTITUTE(A560,_xlfn.UNICHAR(160)," ")),TRIM(SUBSTITUTE('worker file'!$A$2:$A$406,_xlfn.UNICHAR(160)," ")),'worker file'!$L$2:$L$406,"")="US Biweekly",$I$3,$I$2))</f>
        <v>46295</v>
      </c>
      <c r="E560" s="5" t="s">
        <v>571</v>
      </c>
      <c r="F560" s="5" t="s">
        <v>554</v>
      </c>
    </row>
    <row r="561" customFormat="false" ht="15" hidden="false" customHeight="false" outlineLevel="0" collapsed="false">
      <c r="A561" s="5" t="s">
        <v>458</v>
      </c>
      <c r="B561" s="5" t="s">
        <v>568</v>
      </c>
      <c r="C561" s="24" t="s">
        <v>569</v>
      </c>
      <c r="D561" s="25" t="str">
        <f aca="false" t="array" ref="D561:D561">IF(F561="n/a","—",IF(_xlfn.XLOOKUP(TRIM(SUBSTITUTE(A561,_xlfn.UNICHAR(160)," ")),TRIM(SUBSTITUTE('worker file'!$A$2:$A$406,_xlfn.UNICHAR(160)," ")),'worker file'!$L$2:$L$406,"")="US Biweekly",$I$3,$I$2))</f>
        <v>—</v>
      </c>
      <c r="E561" s="5" t="s">
        <v>570</v>
      </c>
      <c r="F561" s="5" t="s">
        <v>550</v>
      </c>
    </row>
    <row r="562" customFormat="false" ht="15" hidden="false" customHeight="false" outlineLevel="0" collapsed="false">
      <c r="A562" s="5" t="s">
        <v>458</v>
      </c>
      <c r="B562" s="5" t="s">
        <v>590</v>
      </c>
      <c r="C562" s="27" t="n">
        <v>6.25</v>
      </c>
      <c r="D562" s="25" t="n">
        <f aca="false" t="array" ref="D562:D562">IF(F562="n/a","—",IF(_xlfn.XLOOKUP(TRIM(SUBSTITUTE(A562,_xlfn.UNICHAR(160)," ")),TRIM(SUBSTITUTE('worker file'!$A$2:$A$406,_xlfn.UNICHAR(160)," ")),'worker file'!$L$2:$L$406,"")="US Biweekly",$I$3,$I$2))</f>
        <v>46295</v>
      </c>
      <c r="E562" s="5" t="s">
        <v>591</v>
      </c>
      <c r="F562" s="5" t="s">
        <v>554</v>
      </c>
    </row>
    <row r="563" customFormat="false" ht="15" hidden="false" customHeight="false" outlineLevel="0" collapsed="false">
      <c r="A563" s="5" t="s">
        <v>459</v>
      </c>
      <c r="B563" s="5" t="s">
        <v>588</v>
      </c>
      <c r="C563" s="28" t="n">
        <v>2</v>
      </c>
      <c r="D563" s="25" t="n">
        <f aca="false" t="array" ref="D563:D563">IF(F563="n/a","—",IF(_xlfn.XLOOKUP(TRIM(SUBSTITUTE(A563,_xlfn.UNICHAR(160)," ")),TRIM(SUBSTITUTE('worker file'!$A$2:$A$406,_xlfn.UNICHAR(160)," ")),'worker file'!$L$2:$L$406,"")="US Biweekly",$I$3,$I$2))</f>
        <v>46295</v>
      </c>
      <c r="E563" s="5" t="s">
        <v>589</v>
      </c>
      <c r="F563" s="5" t="s">
        <v>559</v>
      </c>
    </row>
    <row r="564" customFormat="false" ht="15" hidden="false" customHeight="false" outlineLevel="0" collapsed="false">
      <c r="A564" s="5" t="s">
        <v>460</v>
      </c>
      <c r="B564" s="5" t="s">
        <v>584</v>
      </c>
      <c r="C564" s="28" t="n">
        <v>3.5</v>
      </c>
      <c r="D564" s="25" t="n">
        <f aca="false" t="array" ref="D564:D564">IF(F564="n/a","—",IF(_xlfn.XLOOKUP(TRIM(SUBSTITUTE(A564,_xlfn.UNICHAR(160)," ")),TRIM(SUBSTITUTE('worker file'!$A$2:$A$406,_xlfn.UNICHAR(160)," ")),'worker file'!$L$2:$L$406,"")="US Biweekly",$I$3,$I$2))</f>
        <v>46295</v>
      </c>
      <c r="E564" s="5" t="s">
        <v>585</v>
      </c>
      <c r="F564" s="5" t="s">
        <v>559</v>
      </c>
    </row>
    <row r="565" customFormat="false" ht="15" hidden="false" customHeight="false" outlineLevel="0" collapsed="false">
      <c r="A565" s="5" t="s">
        <v>460</v>
      </c>
      <c r="B565" s="5" t="s">
        <v>586</v>
      </c>
      <c r="C565" s="28" t="n">
        <v>0.5</v>
      </c>
      <c r="D565" s="25" t="n">
        <f aca="false" t="array" ref="D565:D565">IF(F565="n/a","—",IF(_xlfn.XLOOKUP(TRIM(SUBSTITUTE(A565,_xlfn.UNICHAR(160)," ")),TRIM(SUBSTITUTE('worker file'!$A$2:$A$406,_xlfn.UNICHAR(160)," ")),'worker file'!$L$2:$L$406,"")="US Biweekly",$I$3,$I$2))</f>
        <v>46295</v>
      </c>
      <c r="E565" s="5" t="s">
        <v>587</v>
      </c>
      <c r="F565" s="5" t="s">
        <v>559</v>
      </c>
    </row>
    <row r="566" customFormat="false" ht="15" hidden="false" customHeight="false" outlineLevel="0" collapsed="false">
      <c r="A566" s="5" t="s">
        <v>461</v>
      </c>
      <c r="B566" s="5" t="s">
        <v>568</v>
      </c>
      <c r="C566" s="24" t="s">
        <v>569</v>
      </c>
      <c r="D566" s="25" t="str">
        <f aca="false" t="array" ref="D566:D566">IF(F566="n/a","—",IF(_xlfn.XLOOKUP(TRIM(SUBSTITUTE(A566,_xlfn.UNICHAR(160)," ")),TRIM(SUBSTITUTE('worker file'!$A$2:$A$406,_xlfn.UNICHAR(160)," ")),'worker file'!$L$2:$L$406,"")="US Biweekly",$I$3,$I$2))</f>
        <v>—</v>
      </c>
      <c r="E566" s="5" t="s">
        <v>570</v>
      </c>
      <c r="F566" s="5" t="s">
        <v>550</v>
      </c>
    </row>
    <row r="567" customFormat="false" ht="15" hidden="false" customHeight="false" outlineLevel="0" collapsed="false">
      <c r="A567" s="5" t="s">
        <v>461</v>
      </c>
      <c r="B567" s="5" t="s">
        <v>582</v>
      </c>
      <c r="C567" s="27" t="n">
        <v>5.25</v>
      </c>
      <c r="D567" s="25" t="n">
        <f aca="false" t="array" ref="D567:D567">IF(F567="n/a","—",IF(_xlfn.XLOOKUP(TRIM(SUBSTITUTE(A567,_xlfn.UNICHAR(160)," ")),TRIM(SUBSTITUTE('worker file'!$A$2:$A$406,_xlfn.UNICHAR(160)," ")),'worker file'!$L$2:$L$406,"")="US Biweekly",$I$3,$I$2))</f>
        <v>46295</v>
      </c>
      <c r="E567" s="5" t="s">
        <v>583</v>
      </c>
      <c r="F567" s="5" t="s">
        <v>554</v>
      </c>
    </row>
    <row r="568" customFormat="false" ht="15" hidden="false" customHeight="false" outlineLevel="0" collapsed="false">
      <c r="A568" s="5" t="s">
        <v>462</v>
      </c>
      <c r="B568" s="5" t="s">
        <v>568</v>
      </c>
      <c r="C568" s="24" t="s">
        <v>569</v>
      </c>
      <c r="D568" s="25" t="str">
        <f aca="false" t="array" ref="D568:D568">IF(F568="n/a","—",IF(_xlfn.XLOOKUP(TRIM(SUBSTITUTE(A568,_xlfn.UNICHAR(160)," ")),TRIM(SUBSTITUTE('worker file'!$A$2:$A$406,_xlfn.UNICHAR(160)," ")),'worker file'!$L$2:$L$406,"")="US Biweekly",$I$3,$I$2))</f>
        <v>—</v>
      </c>
      <c r="E568" s="5" t="s">
        <v>570</v>
      </c>
      <c r="F568" s="5" t="s">
        <v>550</v>
      </c>
    </row>
    <row r="569" customFormat="false" ht="15" hidden="false" customHeight="false" outlineLevel="0" collapsed="false">
      <c r="A569" s="5" t="s">
        <v>462</v>
      </c>
      <c r="B569" s="5" t="s">
        <v>566</v>
      </c>
      <c r="C569" s="27" t="n">
        <v>5.75</v>
      </c>
      <c r="D569" s="25" t="n">
        <f aca="false" t="array" ref="D569:D569">IF(F569="n/a","—",IF(_xlfn.XLOOKUP(TRIM(SUBSTITUTE(A569,_xlfn.UNICHAR(160)," ")),TRIM(SUBSTITUTE('worker file'!$A$2:$A$406,_xlfn.UNICHAR(160)," ")),'worker file'!$L$2:$L$406,"")="US Biweekly",$I$3,$I$2))</f>
        <v>46295</v>
      </c>
      <c r="E569" s="5" t="s">
        <v>571</v>
      </c>
      <c r="F569" s="5" t="s">
        <v>554</v>
      </c>
    </row>
    <row r="570" customFormat="false" ht="15" hidden="false" customHeight="false" outlineLevel="0" collapsed="false">
      <c r="A570" s="5" t="s">
        <v>463</v>
      </c>
      <c r="B570" s="5" t="s">
        <v>573</v>
      </c>
      <c r="C570" s="27" t="n">
        <v>4</v>
      </c>
      <c r="D570" s="25" t="n">
        <f aca="false" t="array" ref="D570:D570">IF(F570="n/a","—",IF(_xlfn.XLOOKUP(TRIM(SUBSTITUTE(A570,_xlfn.UNICHAR(160)," ")),TRIM(SUBSTITUTE('worker file'!$A$2:$A$406,_xlfn.UNICHAR(160)," ")),'worker file'!$L$2:$L$406,"")="US Biweekly",$I$3,$I$2))</f>
        <v>46298</v>
      </c>
      <c r="E570" s="5" t="s">
        <v>574</v>
      </c>
      <c r="F570" s="5" t="s">
        <v>554</v>
      </c>
    </row>
    <row r="571" customFormat="false" ht="15" hidden="false" customHeight="false" outlineLevel="0" collapsed="false">
      <c r="A571" s="5" t="s">
        <v>463</v>
      </c>
      <c r="B571" s="5" t="s">
        <v>575</v>
      </c>
      <c r="C571" s="27" t="n">
        <v>3.5</v>
      </c>
      <c r="D571" s="25" t="n">
        <f aca="false" t="array" ref="D571:D571">IF(F571="n/a","—",IF(_xlfn.XLOOKUP(TRIM(SUBSTITUTE(A571,_xlfn.UNICHAR(160)," ")),TRIM(SUBSTITUTE('worker file'!$A$2:$A$406,_xlfn.UNICHAR(160)," ")),'worker file'!$L$2:$L$406,"")="US Biweekly",$I$3,$I$2))</f>
        <v>46298</v>
      </c>
      <c r="E571" s="5" t="s">
        <v>576</v>
      </c>
      <c r="F571" s="5" t="s">
        <v>554</v>
      </c>
    </row>
    <row r="572" customFormat="false" ht="15" hidden="false" customHeight="false" outlineLevel="0" collapsed="false">
      <c r="A572" s="5" t="s">
        <v>464</v>
      </c>
      <c r="B572" s="5" t="s">
        <v>568</v>
      </c>
      <c r="C572" s="24" t="s">
        <v>569</v>
      </c>
      <c r="D572" s="25" t="str">
        <f aca="false" t="array" ref="D572:D572">IF(F572="n/a","—",IF(_xlfn.XLOOKUP(TRIM(SUBSTITUTE(A572,_xlfn.UNICHAR(160)," ")),TRIM(SUBSTITUTE('worker file'!$A$2:$A$406,_xlfn.UNICHAR(160)," ")),'worker file'!$L$2:$L$406,"")="US Biweekly",$I$3,$I$2))</f>
        <v>—</v>
      </c>
      <c r="E572" s="5" t="s">
        <v>570</v>
      </c>
      <c r="F572" s="5" t="s">
        <v>550</v>
      </c>
    </row>
    <row r="573" customFormat="false" ht="15" hidden="false" customHeight="false" outlineLevel="0" collapsed="false">
      <c r="A573" s="5" t="s">
        <v>464</v>
      </c>
      <c r="B573" s="5" t="s">
        <v>566</v>
      </c>
      <c r="C573" s="27" t="n">
        <v>4.75</v>
      </c>
      <c r="D573" s="25" t="n">
        <f aca="false" t="array" ref="D573:D573">IF(F573="n/a","—",IF(_xlfn.XLOOKUP(TRIM(SUBSTITUTE(A573,_xlfn.UNICHAR(160)," ")),TRIM(SUBSTITUTE('worker file'!$A$2:$A$406,_xlfn.UNICHAR(160)," ")),'worker file'!$L$2:$L$406,"")="US Biweekly",$I$3,$I$2))</f>
        <v>46295</v>
      </c>
      <c r="E573" s="5" t="s">
        <v>571</v>
      </c>
      <c r="F573" s="5" t="s">
        <v>554</v>
      </c>
    </row>
    <row r="574" customFormat="false" ht="15" hidden="false" customHeight="false" outlineLevel="0" collapsed="false">
      <c r="A574" s="5" t="s">
        <v>465</v>
      </c>
      <c r="B574" s="5" t="s">
        <v>568</v>
      </c>
      <c r="C574" s="24" t="s">
        <v>569</v>
      </c>
      <c r="D574" s="25" t="str">
        <f aca="false" t="array" ref="D574:D574">IF(F574="n/a","—",IF(_xlfn.XLOOKUP(TRIM(SUBSTITUTE(A574,_xlfn.UNICHAR(160)," ")),TRIM(SUBSTITUTE('worker file'!$A$2:$A$406,_xlfn.UNICHAR(160)," ")),'worker file'!$L$2:$L$406,"")="US Biweekly",$I$3,$I$2))</f>
        <v>—</v>
      </c>
      <c r="E574" s="5" t="s">
        <v>570</v>
      </c>
      <c r="F574" s="5" t="s">
        <v>550</v>
      </c>
    </row>
    <row r="575" customFormat="false" ht="15" hidden="false" customHeight="false" outlineLevel="0" collapsed="false">
      <c r="A575" s="5" t="s">
        <v>465</v>
      </c>
      <c r="B575" s="5" t="s">
        <v>566</v>
      </c>
      <c r="C575" s="27" t="n">
        <v>7</v>
      </c>
      <c r="D575" s="25" t="n">
        <f aca="false" t="array" ref="D575:D575">IF(F575="n/a","—",IF(_xlfn.XLOOKUP(TRIM(SUBSTITUTE(A575,_xlfn.UNICHAR(160)," ")),TRIM(SUBSTITUTE('worker file'!$A$2:$A$406,_xlfn.UNICHAR(160)," ")),'worker file'!$L$2:$L$406,"")="US Biweekly",$I$3,$I$2))</f>
        <v>46295</v>
      </c>
      <c r="E575" s="5" t="s">
        <v>571</v>
      </c>
      <c r="F575" s="5" t="s">
        <v>554</v>
      </c>
    </row>
    <row r="576" customFormat="false" ht="15" hidden="false" customHeight="false" outlineLevel="0" collapsed="false">
      <c r="A576" s="5" t="s">
        <v>466</v>
      </c>
      <c r="B576" s="5" t="s">
        <v>568</v>
      </c>
      <c r="C576" s="24" t="s">
        <v>569</v>
      </c>
      <c r="D576" s="25" t="str">
        <f aca="false" t="array" ref="D576:D576">IF(F576="n/a","—",IF(_xlfn.XLOOKUP(TRIM(SUBSTITUTE(A576,_xlfn.UNICHAR(160)," ")),TRIM(SUBSTITUTE('worker file'!$A$2:$A$406,_xlfn.UNICHAR(160)," ")),'worker file'!$L$2:$L$406,"")="US Biweekly",$I$3,$I$2))</f>
        <v>—</v>
      </c>
      <c r="E576" s="5" t="s">
        <v>570</v>
      </c>
      <c r="F576" s="5" t="s">
        <v>550</v>
      </c>
    </row>
    <row r="577" customFormat="false" ht="15" hidden="false" customHeight="false" outlineLevel="0" collapsed="false">
      <c r="A577" s="5" t="s">
        <v>467</v>
      </c>
      <c r="B577" s="5" t="s">
        <v>588</v>
      </c>
      <c r="C577" s="28" t="n">
        <v>1</v>
      </c>
      <c r="D577" s="25" t="n">
        <f aca="false" t="array" ref="D577:D577">IF(F577="n/a","—",IF(_xlfn.XLOOKUP(TRIM(SUBSTITUTE(A577,_xlfn.UNICHAR(160)," ")),TRIM(SUBSTITUTE('worker file'!$A$2:$A$406,_xlfn.UNICHAR(160)," ")),'worker file'!$L$2:$L$406,"")="US Biweekly",$I$3,$I$2))</f>
        <v>46295</v>
      </c>
      <c r="E577" s="5" t="s">
        <v>589</v>
      </c>
      <c r="F577" s="5" t="s">
        <v>559</v>
      </c>
    </row>
    <row r="578" customFormat="false" ht="15" hidden="false" customHeight="false" outlineLevel="0" collapsed="false">
      <c r="A578" s="5" t="s">
        <v>468</v>
      </c>
      <c r="B578" s="5" t="s">
        <v>584</v>
      </c>
      <c r="C578" s="28" t="n">
        <v>1</v>
      </c>
      <c r="D578" s="25" t="n">
        <f aca="false" t="array" ref="D578:D578">IF(F578="n/a","—",IF(_xlfn.XLOOKUP(TRIM(SUBSTITUTE(A578,_xlfn.UNICHAR(160)," ")),TRIM(SUBSTITUTE('worker file'!$A$2:$A$406,_xlfn.UNICHAR(160)," ")),'worker file'!$L$2:$L$406,"")="US Biweekly",$I$3,$I$2))</f>
        <v>46295</v>
      </c>
      <c r="E578" s="5" t="s">
        <v>585</v>
      </c>
      <c r="F578" s="5" t="s">
        <v>559</v>
      </c>
    </row>
    <row r="579" customFormat="false" ht="15" hidden="false" customHeight="false" outlineLevel="0" collapsed="false">
      <c r="A579" s="5" t="s">
        <v>468</v>
      </c>
      <c r="B579" s="5" t="s">
        <v>586</v>
      </c>
      <c r="C579" s="28" t="n">
        <v>0</v>
      </c>
      <c r="D579" s="25" t="n">
        <f aca="false" t="array" ref="D579:D579">IF(F579="n/a","—",IF(_xlfn.XLOOKUP(TRIM(SUBSTITUTE(A579,_xlfn.UNICHAR(160)," ")),TRIM(SUBSTITUTE('worker file'!$A$2:$A$406,_xlfn.UNICHAR(160)," ")),'worker file'!$L$2:$L$406,"")="US Biweekly",$I$3,$I$2))</f>
        <v>46295</v>
      </c>
      <c r="E579" s="5" t="s">
        <v>587</v>
      </c>
      <c r="F579" s="5" t="s">
        <v>559</v>
      </c>
    </row>
    <row r="580" customFormat="false" ht="15" hidden="false" customHeight="false" outlineLevel="0" collapsed="false">
      <c r="A580" s="5" t="s">
        <v>469</v>
      </c>
      <c r="B580" s="5" t="s">
        <v>584</v>
      </c>
      <c r="C580" s="28" t="n">
        <v>0.5</v>
      </c>
      <c r="D580" s="25" t="n">
        <f aca="false" t="array" ref="D580:D580">IF(F580="n/a","—",IF(_xlfn.XLOOKUP(TRIM(SUBSTITUTE(A580,_xlfn.UNICHAR(160)," ")),TRIM(SUBSTITUTE('worker file'!$A$2:$A$406,_xlfn.UNICHAR(160)," ")),'worker file'!$L$2:$L$406,"")="US Biweekly",$I$3,$I$2))</f>
        <v>46295</v>
      </c>
      <c r="E580" s="5" t="s">
        <v>585</v>
      </c>
      <c r="F580" s="5" t="s">
        <v>559</v>
      </c>
    </row>
    <row r="581" customFormat="false" ht="15" hidden="false" customHeight="false" outlineLevel="0" collapsed="false">
      <c r="A581" s="5" t="s">
        <v>469</v>
      </c>
      <c r="B581" s="5" t="s">
        <v>586</v>
      </c>
      <c r="C581" s="28" t="n">
        <v>0.5</v>
      </c>
      <c r="D581" s="25" t="n">
        <f aca="false" t="array" ref="D581:D581">IF(F581="n/a","—",IF(_xlfn.XLOOKUP(TRIM(SUBSTITUTE(A581,_xlfn.UNICHAR(160)," ")),TRIM(SUBSTITUTE('worker file'!$A$2:$A$406,_xlfn.UNICHAR(160)," ")),'worker file'!$L$2:$L$406,"")="US Biweekly",$I$3,$I$2))</f>
        <v>46295</v>
      </c>
      <c r="E581" s="5" t="s">
        <v>587</v>
      </c>
      <c r="F581" s="5" t="s">
        <v>559</v>
      </c>
    </row>
    <row r="582" customFormat="false" ht="15" hidden="false" customHeight="false" outlineLevel="0" collapsed="false">
      <c r="A582" s="5" t="s">
        <v>470</v>
      </c>
      <c r="B582" s="5" t="s">
        <v>588</v>
      </c>
      <c r="C582" s="28" t="n">
        <v>0.5</v>
      </c>
      <c r="D582" s="25" t="n">
        <f aca="false" t="array" ref="D582:D582">IF(F582="n/a","—",IF(_xlfn.XLOOKUP(TRIM(SUBSTITUTE(A582,_xlfn.UNICHAR(160)," ")),TRIM(SUBSTITUTE('worker file'!$A$2:$A$406,_xlfn.UNICHAR(160)," ")),'worker file'!$L$2:$L$406,"")="US Biweekly",$I$3,$I$2))</f>
        <v>46295</v>
      </c>
      <c r="E582" s="5" t="s">
        <v>589</v>
      </c>
      <c r="F582" s="5" t="s">
        <v>559</v>
      </c>
    </row>
    <row r="583" customFormat="false" ht="15" hidden="false" customHeight="false" outlineLevel="0" collapsed="false">
      <c r="A583" s="5" t="s">
        <v>471</v>
      </c>
      <c r="B583" s="5" t="s">
        <v>588</v>
      </c>
      <c r="C583" s="28" t="n">
        <v>0</v>
      </c>
      <c r="D583" s="25" t="n">
        <f aca="false" t="array" ref="D583:D583">IF(F583="n/a","—",IF(_xlfn.XLOOKUP(TRIM(SUBSTITUTE(A583,_xlfn.UNICHAR(160)," ")),TRIM(SUBSTITUTE('worker file'!$A$2:$A$406,_xlfn.UNICHAR(160)," ")),'worker file'!$L$2:$L$406,"")="US Biweekly",$I$3,$I$2))</f>
        <v>46295</v>
      </c>
      <c r="E583" s="5" t="s">
        <v>598</v>
      </c>
      <c r="F583" s="5" t="s">
        <v>559</v>
      </c>
    </row>
    <row r="584" customFormat="false" ht="15" hidden="false" customHeight="false" outlineLevel="0" collapsed="false">
      <c r="A584" s="5" t="s">
        <v>472</v>
      </c>
      <c r="B584" s="5" t="s">
        <v>568</v>
      </c>
      <c r="C584" s="24" t="s">
        <v>569</v>
      </c>
      <c r="D584" s="25" t="str">
        <f aca="false" t="array" ref="D584:D584">IF(F584="n/a","—",IF(_xlfn.XLOOKUP(TRIM(SUBSTITUTE(A584,_xlfn.UNICHAR(160)," ")),TRIM(SUBSTITUTE('worker file'!$A$2:$A$406,_xlfn.UNICHAR(160)," ")),'worker file'!$L$2:$L$406,"")="US Biweekly",$I$3,$I$2))</f>
        <v>—</v>
      </c>
      <c r="E584" s="5" t="s">
        <v>597</v>
      </c>
      <c r="F584" s="5" t="s">
        <v>550</v>
      </c>
    </row>
    <row r="585" customFormat="false" ht="15" hidden="false" customHeight="false" outlineLevel="0" collapsed="false">
      <c r="A585" s="5" t="s">
        <v>473</v>
      </c>
      <c r="B585" s="5" t="s">
        <v>568</v>
      </c>
      <c r="C585" s="24" t="s">
        <v>569</v>
      </c>
      <c r="D585" s="25" t="str">
        <f aca="false" t="array" ref="D585:D585">IF(F585="n/a","—",IF(_xlfn.XLOOKUP(TRIM(SUBSTITUTE(A585,_xlfn.UNICHAR(160)," ")),TRIM(SUBSTITUTE('worker file'!$A$2:$A$406,_xlfn.UNICHAR(160)," ")),'worker file'!$L$2:$L$406,"")="US Biweekly",$I$3,$I$2))</f>
        <v>—</v>
      </c>
      <c r="E585" s="5" t="s">
        <v>597</v>
      </c>
      <c r="F585" s="5" t="s">
        <v>550</v>
      </c>
    </row>
    <row r="586" customFormat="false" ht="15" hidden="false" customHeight="false" outlineLevel="0" collapsed="false">
      <c r="A586" s="5" t="s">
        <v>474</v>
      </c>
      <c r="B586" s="5" t="s">
        <v>568</v>
      </c>
      <c r="C586" s="24" t="s">
        <v>569</v>
      </c>
      <c r="D586" s="25" t="str">
        <f aca="false" t="array" ref="D586:D586">IF(F586="n/a","—",IF(_xlfn.XLOOKUP(TRIM(SUBSTITUTE(A586,_xlfn.UNICHAR(160)," ")),TRIM(SUBSTITUTE('worker file'!$A$2:$A$406,_xlfn.UNICHAR(160)," ")),'worker file'!$L$2:$L$406,"")="US Biweekly",$I$3,$I$2))</f>
        <v>—</v>
      </c>
      <c r="E586" s="5" t="s">
        <v>597</v>
      </c>
      <c r="F586" s="5" t="s">
        <v>550</v>
      </c>
    </row>
    <row r="587" customFormat="false" ht="15" hidden="false" customHeight="false" outlineLevel="0" collapsed="false">
      <c r="A587" s="5" t="s">
        <v>475</v>
      </c>
      <c r="B587" s="5" t="s">
        <v>568</v>
      </c>
      <c r="C587" s="24" t="s">
        <v>569</v>
      </c>
      <c r="D587" s="25" t="str">
        <f aca="false" t="array" ref="D587:D587">IF(F587="n/a","—",IF(_xlfn.XLOOKUP(TRIM(SUBSTITUTE(A587,_xlfn.UNICHAR(160)," ")),TRIM(SUBSTITUTE('worker file'!$A$2:$A$406,_xlfn.UNICHAR(160)," ")),'worker file'!$L$2:$L$406,"")="US Biweekly",$I$3,$I$2))</f>
        <v>—</v>
      </c>
      <c r="E587" s="5" t="s">
        <v>597</v>
      </c>
      <c r="F587" s="5" t="s">
        <v>550</v>
      </c>
    </row>
    <row r="588" customFormat="false" ht="15" hidden="false" customHeight="false" outlineLevel="0" collapsed="false">
      <c r="A588" s="5" t="s">
        <v>476</v>
      </c>
      <c r="B588" s="5" t="s">
        <v>573</v>
      </c>
      <c r="C588" s="27" t="n">
        <v>0</v>
      </c>
      <c r="D588" s="25" t="n">
        <f aca="false" t="array" ref="D588:D588">IF(F588="n/a","—",IF(_xlfn.XLOOKUP(TRIM(SUBSTITUTE(A588,_xlfn.UNICHAR(160)," ")),TRIM(SUBSTITUTE('worker file'!$A$2:$A$406,_xlfn.UNICHAR(160)," ")),'worker file'!$L$2:$L$406,"")="US Biweekly",$I$3,$I$2))</f>
        <v>46298</v>
      </c>
      <c r="E588" s="5" t="s">
        <v>598</v>
      </c>
      <c r="F588" s="5" t="s">
        <v>554</v>
      </c>
    </row>
    <row r="589" customFormat="false" ht="15" hidden="false" customHeight="false" outlineLevel="0" collapsed="false">
      <c r="A589" s="5" t="s">
        <v>476</v>
      </c>
      <c r="B589" s="5" t="s">
        <v>575</v>
      </c>
      <c r="C589" s="27" t="n">
        <v>0</v>
      </c>
      <c r="D589" s="25" t="n">
        <f aca="false" t="array" ref="D589:D589">IF(F589="n/a","—",IF(_xlfn.XLOOKUP(TRIM(SUBSTITUTE(A589,_xlfn.UNICHAR(160)," ")),TRIM(SUBSTITUTE('worker file'!$A$2:$A$406,_xlfn.UNICHAR(160)," ")),'worker file'!$L$2:$L$406,"")="US Biweekly",$I$3,$I$2))</f>
        <v>46298</v>
      </c>
      <c r="E589" s="5" t="s">
        <v>598</v>
      </c>
      <c r="F589" s="5" t="s">
        <v>554</v>
      </c>
    </row>
    <row r="590" customFormat="false" ht="15" hidden="false" customHeight="false" outlineLevel="0" collapsed="false">
      <c r="A590" s="5" t="s">
        <v>477</v>
      </c>
      <c r="B590" s="5" t="s">
        <v>568</v>
      </c>
      <c r="C590" s="24" t="s">
        <v>569</v>
      </c>
      <c r="D590" s="25" t="str">
        <f aca="false" t="array" ref="D590:D590">IF(F590="n/a","—",IF(_xlfn.XLOOKUP(TRIM(SUBSTITUTE(A590,_xlfn.UNICHAR(160)," ")),TRIM(SUBSTITUTE('worker file'!$A$2:$A$406,_xlfn.UNICHAR(160)," ")),'worker file'!$L$2:$L$406,"")="US Biweekly",$I$3,$I$2))</f>
        <v>—</v>
      </c>
      <c r="E590" s="5" t="s">
        <v>597</v>
      </c>
      <c r="F590" s="5" t="s">
        <v>550</v>
      </c>
    </row>
    <row r="591" customFormat="false" ht="15" hidden="false" customHeight="false" outlineLevel="0" collapsed="false">
      <c r="A591" s="5" t="s">
        <v>478</v>
      </c>
      <c r="B591" s="5" t="s">
        <v>573</v>
      </c>
      <c r="C591" s="27" t="n">
        <v>0</v>
      </c>
      <c r="D591" s="25" t="n">
        <f aca="false" t="array" ref="D591:D591">IF(F591="n/a","—",IF(_xlfn.XLOOKUP(TRIM(SUBSTITUTE(A591,_xlfn.UNICHAR(160)," ")),TRIM(SUBSTITUTE('worker file'!$A$2:$A$406,_xlfn.UNICHAR(160)," ")),'worker file'!$L$2:$L$406,"")="US Biweekly",$I$3,$I$2))</f>
        <v>46298</v>
      </c>
      <c r="E591" s="5" t="s">
        <v>598</v>
      </c>
      <c r="F591" s="5" t="s">
        <v>554</v>
      </c>
    </row>
    <row r="592" customFormat="false" ht="15" hidden="false" customHeight="false" outlineLevel="0" collapsed="false">
      <c r="A592" s="5" t="s">
        <v>478</v>
      </c>
      <c r="B592" s="5" t="s">
        <v>575</v>
      </c>
      <c r="C592" s="27" t="n">
        <v>0</v>
      </c>
      <c r="D592" s="25" t="n">
        <f aca="false" t="array" ref="D592:D592">IF(F592="n/a","—",IF(_xlfn.XLOOKUP(TRIM(SUBSTITUTE(A592,_xlfn.UNICHAR(160)," ")),TRIM(SUBSTITUTE('worker file'!$A$2:$A$406,_xlfn.UNICHAR(160)," ")),'worker file'!$L$2:$L$406,"")="US Biweekly",$I$3,$I$2))</f>
        <v>46298</v>
      </c>
      <c r="E592" s="5" t="s">
        <v>598</v>
      </c>
      <c r="F592" s="5" t="s">
        <v>554</v>
      </c>
    </row>
    <row r="593" customFormat="false" ht="15" hidden="false" customHeight="false" outlineLevel="0" collapsed="false">
      <c r="A593" s="5" t="s">
        <v>479</v>
      </c>
      <c r="B593" s="5" t="s">
        <v>568</v>
      </c>
      <c r="C593" s="27" t="s">
        <v>569</v>
      </c>
      <c r="D593" s="25" t="str">
        <f aca="false" t="array" ref="D593:D593">IF(F593="n/a","—",IF(_xlfn.XLOOKUP(TRIM(SUBSTITUTE(A593,_xlfn.UNICHAR(160)," ")),TRIM(SUBSTITUTE('worker file'!$A$2:$A$406,_xlfn.UNICHAR(160)," ")),'worker file'!$L$2:$L$406,"")="US Biweekly",$I$3,$I$2))</f>
        <v>—</v>
      </c>
      <c r="E593" s="5" t="s">
        <v>597</v>
      </c>
      <c r="F593" s="5" t="s">
        <v>550</v>
      </c>
    </row>
    <row r="594" customFormat="false" ht="15" hidden="false" customHeight="false" outlineLevel="0" collapsed="false">
      <c r="A594" s="5" t="s">
        <v>480</v>
      </c>
      <c r="B594" s="5" t="s">
        <v>600</v>
      </c>
      <c r="C594" s="28" t="n">
        <v>8.5</v>
      </c>
      <c r="D594" s="25" t="n">
        <f aca="false" t="array" ref="D594:D594">IF(F594="n/a","—",IF(_xlfn.XLOOKUP(TRIM(SUBSTITUTE(A594,_xlfn.UNICHAR(160)," ")),TRIM(SUBSTITUTE('worker file'!$A$2:$A$406,_xlfn.UNICHAR(160)," ")),'worker file'!$L$2:$L$406,"")="US Biweekly",$I$3,$I$2))</f>
        <v>46295</v>
      </c>
      <c r="E594" s="5" t="s">
        <v>561</v>
      </c>
      <c r="F594" s="5" t="s">
        <v>559</v>
      </c>
    </row>
    <row r="595" customFormat="false" ht="15" hidden="false" customHeight="false" outlineLevel="0" collapsed="false">
      <c r="A595" s="5" t="s">
        <v>480</v>
      </c>
      <c r="B595" s="5" t="s">
        <v>601</v>
      </c>
      <c r="C595" s="28" t="n">
        <v>6</v>
      </c>
      <c r="D595" s="25" t="n">
        <f aca="false" t="array" ref="D595:D595">IF(F595="n/a","—",IF(_xlfn.XLOOKUP(TRIM(SUBSTITUTE(A595,_xlfn.UNICHAR(160)," ")),TRIM(SUBSTITUTE('worker file'!$A$2:$A$406,_xlfn.UNICHAR(160)," ")),'worker file'!$L$2:$L$406,"")="US Biweekly",$I$3,$I$2))</f>
        <v>46295</v>
      </c>
      <c r="E595" s="5" t="s">
        <v>602</v>
      </c>
      <c r="F595" s="5" t="s">
        <v>559</v>
      </c>
    </row>
    <row r="596" customFormat="false" ht="15" hidden="false" customHeight="false" outlineLevel="0" collapsed="false">
      <c r="A596" s="5" t="s">
        <v>482</v>
      </c>
      <c r="B596" s="5" t="s">
        <v>600</v>
      </c>
      <c r="C596" s="28" t="n">
        <v>11</v>
      </c>
      <c r="D596" s="25" t="n">
        <f aca="false" t="array" ref="D596:D596">IF(F596="n/a","—",IF(_xlfn.XLOOKUP(TRIM(SUBSTITUTE(A596,_xlfn.UNICHAR(160)," ")),TRIM(SUBSTITUTE('worker file'!$A$2:$A$406,_xlfn.UNICHAR(160)," ")),'worker file'!$L$2:$L$406,"")="US Biweekly",$I$3,$I$2))</f>
        <v>46295</v>
      </c>
      <c r="E596" s="5" t="s">
        <v>561</v>
      </c>
      <c r="F596" s="5" t="s">
        <v>559</v>
      </c>
    </row>
    <row r="597" customFormat="false" ht="15" hidden="false" customHeight="false" outlineLevel="0" collapsed="false">
      <c r="A597" s="5" t="s">
        <v>482</v>
      </c>
      <c r="B597" s="5" t="s">
        <v>601</v>
      </c>
      <c r="C597" s="28" t="n">
        <v>7.5</v>
      </c>
      <c r="D597" s="25" t="n">
        <f aca="false" t="array" ref="D597:D597">IF(F597="n/a","—",IF(_xlfn.XLOOKUP(TRIM(SUBSTITUTE(A597,_xlfn.UNICHAR(160)," ")),TRIM(SUBSTITUTE('worker file'!$A$2:$A$406,_xlfn.UNICHAR(160)," ")),'worker file'!$L$2:$L$406,"")="US Biweekly",$I$3,$I$2))</f>
        <v>46295</v>
      </c>
      <c r="E597" s="5" t="s">
        <v>602</v>
      </c>
      <c r="F597" s="5" t="s">
        <v>559</v>
      </c>
    </row>
    <row r="598" customFormat="false" ht="15" hidden="false" customHeight="false" outlineLevel="0" collapsed="false">
      <c r="A598" s="5" t="s">
        <v>483</v>
      </c>
      <c r="B598" s="5" t="s">
        <v>600</v>
      </c>
      <c r="C598" s="28" t="n">
        <v>12.5</v>
      </c>
      <c r="D598" s="25" t="n">
        <f aca="false" t="array" ref="D598:D598">IF(F598="n/a","—",IF(_xlfn.XLOOKUP(TRIM(SUBSTITUTE(A598,_xlfn.UNICHAR(160)," ")),TRIM(SUBSTITUTE('worker file'!$A$2:$A$406,_xlfn.UNICHAR(160)," ")),'worker file'!$L$2:$L$406,"")="US Biweekly",$I$3,$I$2))</f>
        <v>46295</v>
      </c>
      <c r="E598" s="5" t="s">
        <v>603</v>
      </c>
      <c r="F598" s="5" t="s">
        <v>559</v>
      </c>
    </row>
    <row r="599" customFormat="false" ht="15" hidden="false" customHeight="false" outlineLevel="0" collapsed="false">
      <c r="A599" s="5" t="s">
        <v>483</v>
      </c>
      <c r="B599" s="5" t="s">
        <v>601</v>
      </c>
      <c r="C599" s="28" t="n">
        <v>8</v>
      </c>
      <c r="D599" s="25" t="n">
        <f aca="false" t="array" ref="D599:D599">IF(F599="n/a","—",IF(_xlfn.XLOOKUP(TRIM(SUBSTITUTE(A599,_xlfn.UNICHAR(160)," ")),TRIM(SUBSTITUTE('worker file'!$A$2:$A$406,_xlfn.UNICHAR(160)," ")),'worker file'!$L$2:$L$406,"")="US Biweekly",$I$3,$I$2))</f>
        <v>46295</v>
      </c>
      <c r="E599" s="5" t="s">
        <v>604</v>
      </c>
      <c r="F599" s="5" t="s">
        <v>559</v>
      </c>
    </row>
    <row r="600" customFormat="false" ht="15" hidden="false" customHeight="false" outlineLevel="0" collapsed="false">
      <c r="A600" s="5" t="s">
        <v>486</v>
      </c>
      <c r="B600" s="5" t="s">
        <v>600</v>
      </c>
      <c r="C600" s="28" t="n">
        <v>6</v>
      </c>
      <c r="D600" s="25" t="n">
        <f aca="false" t="array" ref="D600:D600">IF(F600="n/a","—",IF(_xlfn.XLOOKUP(TRIM(SUBSTITUTE(A600,_xlfn.UNICHAR(160)," ")),TRIM(SUBSTITUTE('worker file'!$A$2:$A$406,_xlfn.UNICHAR(160)," ")),'worker file'!$L$2:$L$406,"")="US Biweekly",$I$3,$I$2))</f>
        <v>46295</v>
      </c>
      <c r="E600" s="5" t="s">
        <v>603</v>
      </c>
      <c r="F600" s="5" t="s">
        <v>559</v>
      </c>
    </row>
    <row r="601" customFormat="false" ht="15" hidden="false" customHeight="false" outlineLevel="0" collapsed="false">
      <c r="A601" s="5" t="s">
        <v>486</v>
      </c>
      <c r="B601" s="5" t="s">
        <v>601</v>
      </c>
      <c r="C601" s="28" t="n">
        <v>5</v>
      </c>
      <c r="D601" s="25" t="n">
        <f aca="false" t="array" ref="D601:D601">IF(F601="n/a","—",IF(_xlfn.XLOOKUP(TRIM(SUBSTITUTE(A601,_xlfn.UNICHAR(160)," ")),TRIM(SUBSTITUTE('worker file'!$A$2:$A$406,_xlfn.UNICHAR(160)," ")),'worker file'!$L$2:$L$406,"")="US Biweekly",$I$3,$I$2))</f>
        <v>46295</v>
      </c>
      <c r="E601" s="5" t="s">
        <v>604</v>
      </c>
      <c r="F601" s="5" t="s">
        <v>559</v>
      </c>
    </row>
    <row r="602" customFormat="false" ht="15" hidden="false" customHeight="false" outlineLevel="0" collapsed="false">
      <c r="A602" s="5" t="s">
        <v>487</v>
      </c>
      <c r="B602" s="5" t="s">
        <v>600</v>
      </c>
      <c r="C602" s="28" t="n">
        <v>7.5</v>
      </c>
      <c r="D602" s="25" t="n">
        <f aca="false" t="array" ref="D602:D602">IF(F602="n/a","—",IF(_xlfn.XLOOKUP(TRIM(SUBSTITUTE(A602,_xlfn.UNICHAR(160)," ")),TRIM(SUBSTITUTE('worker file'!$A$2:$A$406,_xlfn.UNICHAR(160)," ")),'worker file'!$L$2:$L$406,"")="US Biweekly",$I$3,$I$2))</f>
        <v>46295</v>
      </c>
      <c r="E602" s="5" t="s">
        <v>605</v>
      </c>
      <c r="F602" s="5" t="s">
        <v>559</v>
      </c>
    </row>
    <row r="603" customFormat="false" ht="15" hidden="false" customHeight="false" outlineLevel="0" collapsed="false">
      <c r="A603" s="5" t="s">
        <v>487</v>
      </c>
      <c r="B603" s="5" t="s">
        <v>601</v>
      </c>
      <c r="C603" s="28" t="n">
        <v>6.5</v>
      </c>
      <c r="D603" s="25" t="n">
        <f aca="false" t="array" ref="D603:D603">IF(F603="n/a","—",IF(_xlfn.XLOOKUP(TRIM(SUBSTITUTE(A603,_xlfn.UNICHAR(160)," ")),TRIM(SUBSTITUTE('worker file'!$A$2:$A$406,_xlfn.UNICHAR(160)," ")),'worker file'!$L$2:$L$406,"")="US Biweekly",$I$3,$I$2))</f>
        <v>46295</v>
      </c>
      <c r="E603" s="5" t="s">
        <v>606</v>
      </c>
      <c r="F603" s="5" t="s">
        <v>559</v>
      </c>
    </row>
    <row r="604" customFormat="false" ht="15" hidden="false" customHeight="false" outlineLevel="0" collapsed="false">
      <c r="A604" s="5" t="s">
        <v>490</v>
      </c>
      <c r="B604" s="5" t="s">
        <v>600</v>
      </c>
      <c r="C604" s="28" t="n">
        <v>13</v>
      </c>
      <c r="D604" s="25" t="n">
        <f aca="false" t="array" ref="D604:D604">IF(F604="n/a","—",IF(_xlfn.XLOOKUP(TRIM(SUBSTITUTE(A604,_xlfn.UNICHAR(160)," ")),TRIM(SUBSTITUTE('worker file'!$A$2:$A$406,_xlfn.UNICHAR(160)," ")),'worker file'!$L$2:$L$406,"")="US Biweekly",$I$3,$I$2))</f>
        <v>46295</v>
      </c>
      <c r="E604" s="5" t="s">
        <v>561</v>
      </c>
      <c r="F604" s="5" t="s">
        <v>559</v>
      </c>
    </row>
    <row r="605" customFormat="false" ht="15" hidden="false" customHeight="false" outlineLevel="0" collapsed="false">
      <c r="A605" s="5" t="s">
        <v>490</v>
      </c>
      <c r="B605" s="5" t="s">
        <v>601</v>
      </c>
      <c r="C605" s="28" t="n">
        <v>9</v>
      </c>
      <c r="D605" s="25" t="n">
        <f aca="false" t="array" ref="D605:D605">IF(F605="n/a","—",IF(_xlfn.XLOOKUP(TRIM(SUBSTITUTE(A605,_xlfn.UNICHAR(160)," ")),TRIM(SUBSTITUTE('worker file'!$A$2:$A$406,_xlfn.UNICHAR(160)," ")),'worker file'!$L$2:$L$406,"")="US Biweekly",$I$3,$I$2))</f>
        <v>46295</v>
      </c>
      <c r="E605" s="5" t="s">
        <v>602</v>
      </c>
      <c r="F605" s="5" t="s">
        <v>559</v>
      </c>
    </row>
    <row r="606" customFormat="false" ht="15" hidden="false" customHeight="false" outlineLevel="0" collapsed="false">
      <c r="A606" s="5" t="s">
        <v>491</v>
      </c>
      <c r="B606" s="5" t="s">
        <v>600</v>
      </c>
      <c r="C606" s="28" t="n">
        <v>4.5</v>
      </c>
      <c r="D606" s="25" t="n">
        <f aca="false" t="array" ref="D606:D606">IF(F606="n/a","—",IF(_xlfn.XLOOKUP(TRIM(SUBSTITUTE(A606,_xlfn.UNICHAR(160)," ")),TRIM(SUBSTITUTE('worker file'!$A$2:$A$406,_xlfn.UNICHAR(160)," ")),'worker file'!$L$2:$L$406,"")="US Biweekly",$I$3,$I$2))</f>
        <v>46295</v>
      </c>
      <c r="E606" s="5" t="s">
        <v>561</v>
      </c>
      <c r="F606" s="5" t="s">
        <v>559</v>
      </c>
    </row>
    <row r="607" customFormat="false" ht="15" hidden="false" customHeight="false" outlineLevel="0" collapsed="false">
      <c r="A607" s="5" t="s">
        <v>491</v>
      </c>
      <c r="B607" s="5" t="s">
        <v>601</v>
      </c>
      <c r="C607" s="28" t="n">
        <v>3.5</v>
      </c>
      <c r="D607" s="25" t="n">
        <f aca="false" t="array" ref="D607:D607">IF(F607="n/a","—",IF(_xlfn.XLOOKUP(TRIM(SUBSTITUTE(A607,_xlfn.UNICHAR(160)," ")),TRIM(SUBSTITUTE('worker file'!$A$2:$A$406,_xlfn.UNICHAR(160)," ")),'worker file'!$L$2:$L$406,"")="US Biweekly",$I$3,$I$2))</f>
        <v>46295</v>
      </c>
      <c r="E607" s="5" t="s">
        <v>602</v>
      </c>
      <c r="F607" s="5" t="s">
        <v>559</v>
      </c>
    </row>
    <row r="608" customFormat="false" ht="15" hidden="false" customHeight="false" outlineLevel="0" collapsed="false">
      <c r="A608" s="5" t="s">
        <v>493</v>
      </c>
      <c r="B608" s="5" t="s">
        <v>600</v>
      </c>
      <c r="C608" s="28" t="n">
        <v>0</v>
      </c>
      <c r="D608" s="25" t="n">
        <f aca="false" t="array" ref="D608:D608">IF(F608="n/a","—",IF(_xlfn.XLOOKUP(TRIM(SUBSTITUTE(A608,_xlfn.UNICHAR(160)," ")),TRIM(SUBSTITUTE('worker file'!$A$2:$A$406,_xlfn.UNICHAR(160)," ")),'worker file'!$L$2:$L$406,"")="US Biweekly",$I$3,$I$2))</f>
        <v>46295</v>
      </c>
      <c r="E608" s="5" t="s">
        <v>598</v>
      </c>
      <c r="F608" s="5" t="s">
        <v>559</v>
      </c>
    </row>
    <row r="609" customFormat="false" ht="15" hidden="false" customHeight="false" outlineLevel="0" collapsed="false">
      <c r="A609" s="5" t="s">
        <v>493</v>
      </c>
      <c r="B609" s="5" t="s">
        <v>601</v>
      </c>
      <c r="C609" s="28" t="n">
        <v>0</v>
      </c>
      <c r="D609" s="25" t="n">
        <f aca="false" t="array" ref="D609:D609">IF(F609="n/a","—",IF(_xlfn.XLOOKUP(TRIM(SUBSTITUTE(A609,_xlfn.UNICHAR(160)," ")),TRIM(SUBSTITUTE('worker file'!$A$2:$A$406,_xlfn.UNICHAR(160)," ")),'worker file'!$L$2:$L$406,"")="US Biweekly",$I$3,$I$2))</f>
        <v>46295</v>
      </c>
      <c r="E609" s="5" t="s">
        <v>598</v>
      </c>
      <c r="F609" s="5" t="s">
        <v>559</v>
      </c>
    </row>
    <row r="610" customFormat="false" ht="15" hidden="false" customHeight="false" outlineLevel="0" collapsed="false">
      <c r="A610" s="5" t="s">
        <v>494</v>
      </c>
      <c r="B610" s="5" t="s">
        <v>600</v>
      </c>
      <c r="C610" s="28" t="n">
        <v>10</v>
      </c>
      <c r="D610" s="25" t="n">
        <f aca="false" t="array" ref="D610:D610">IF(F610="n/a","—",IF(_xlfn.XLOOKUP(TRIM(SUBSTITUTE(A610,_xlfn.UNICHAR(160)," ")),TRIM(SUBSTITUTE('worker file'!$A$2:$A$406,_xlfn.UNICHAR(160)," ")),'worker file'!$L$2:$L$406,"")="US Biweekly",$I$3,$I$2))</f>
        <v>46295</v>
      </c>
      <c r="E610" s="5" t="s">
        <v>561</v>
      </c>
      <c r="F610" s="5" t="s">
        <v>559</v>
      </c>
    </row>
    <row r="611" customFormat="false" ht="15" hidden="false" customHeight="false" outlineLevel="0" collapsed="false">
      <c r="A611" s="5" t="s">
        <v>494</v>
      </c>
      <c r="B611" s="5" t="s">
        <v>601</v>
      </c>
      <c r="C611" s="28" t="n">
        <v>7</v>
      </c>
      <c r="D611" s="25" t="n">
        <f aca="false" t="array" ref="D611:D611">IF(F611="n/a","—",IF(_xlfn.XLOOKUP(TRIM(SUBSTITUTE(A611,_xlfn.UNICHAR(160)," ")),TRIM(SUBSTITUTE('worker file'!$A$2:$A$406,_xlfn.UNICHAR(160)," ")),'worker file'!$L$2:$L$406,"")="US Biweekly",$I$3,$I$2))</f>
        <v>46295</v>
      </c>
      <c r="E611" s="5" t="s">
        <v>602</v>
      </c>
      <c r="F611" s="5" t="s">
        <v>559</v>
      </c>
    </row>
    <row r="612" customFormat="false" ht="15" hidden="false" customHeight="false" outlineLevel="0" collapsed="false">
      <c r="A612" s="5" t="s">
        <v>495</v>
      </c>
      <c r="B612" s="5" t="s">
        <v>600</v>
      </c>
      <c r="C612" s="28" t="n">
        <v>14</v>
      </c>
      <c r="D612" s="25" t="n">
        <f aca="false" t="array" ref="D612:D612">IF(F612="n/a","—",IF(_xlfn.XLOOKUP(TRIM(SUBSTITUTE(A612,_xlfn.UNICHAR(160)," ")),TRIM(SUBSTITUTE('worker file'!$A$2:$A$406,_xlfn.UNICHAR(160)," ")),'worker file'!$L$2:$L$406,"")="US Biweekly",$I$3,$I$2))</f>
        <v>46295</v>
      </c>
      <c r="E612" s="5" t="s">
        <v>603</v>
      </c>
      <c r="F612" s="5" t="s">
        <v>559</v>
      </c>
    </row>
    <row r="613" customFormat="false" ht="15" hidden="false" customHeight="false" outlineLevel="0" collapsed="false">
      <c r="A613" s="5" t="s">
        <v>495</v>
      </c>
      <c r="B613" s="5" t="s">
        <v>601</v>
      </c>
      <c r="C613" s="28" t="n">
        <v>8.5</v>
      </c>
      <c r="D613" s="25" t="n">
        <f aca="false" t="array" ref="D613:D613">IF(F613="n/a","—",IF(_xlfn.XLOOKUP(TRIM(SUBSTITUTE(A613,_xlfn.UNICHAR(160)," ")),TRIM(SUBSTITUTE('worker file'!$A$2:$A$406,_xlfn.UNICHAR(160)," ")),'worker file'!$L$2:$L$406,"")="US Biweekly",$I$3,$I$2))</f>
        <v>46295</v>
      </c>
      <c r="E613" s="5" t="s">
        <v>604</v>
      </c>
      <c r="F613" s="5" t="s">
        <v>559</v>
      </c>
    </row>
    <row r="614" customFormat="false" ht="15" hidden="false" customHeight="false" outlineLevel="0" collapsed="false">
      <c r="A614" s="5" t="s">
        <v>496</v>
      </c>
      <c r="B614" s="5" t="s">
        <v>600</v>
      </c>
      <c r="C614" s="28" t="n">
        <v>5.5</v>
      </c>
      <c r="D614" s="25" t="n">
        <f aca="false" t="array" ref="D614:D614">IF(F614="n/a","—",IF(_xlfn.XLOOKUP(TRIM(SUBSTITUTE(A614,_xlfn.UNICHAR(160)," ")),TRIM(SUBSTITUTE('worker file'!$A$2:$A$406,_xlfn.UNICHAR(160)," ")),'worker file'!$L$2:$L$406,"")="US Biweekly",$I$3,$I$2))</f>
        <v>46295</v>
      </c>
      <c r="E614" s="5" t="s">
        <v>603</v>
      </c>
      <c r="F614" s="5" t="s">
        <v>559</v>
      </c>
    </row>
    <row r="615" customFormat="false" ht="15" hidden="false" customHeight="false" outlineLevel="0" collapsed="false">
      <c r="A615" s="5" t="s">
        <v>496</v>
      </c>
      <c r="B615" s="5" t="s">
        <v>601</v>
      </c>
      <c r="C615" s="28" t="n">
        <v>4</v>
      </c>
      <c r="D615" s="25" t="n">
        <f aca="false" t="array" ref="D615:D615">IF(F615="n/a","—",IF(_xlfn.XLOOKUP(TRIM(SUBSTITUTE(A615,_xlfn.UNICHAR(160)," ")),TRIM(SUBSTITUTE('worker file'!$A$2:$A$406,_xlfn.UNICHAR(160)," ")),'worker file'!$L$2:$L$406,"")="US Biweekly",$I$3,$I$2))</f>
        <v>46295</v>
      </c>
      <c r="E615" s="5" t="s">
        <v>604</v>
      </c>
      <c r="F615" s="5" t="s">
        <v>559</v>
      </c>
    </row>
    <row r="616" customFormat="false" ht="15" hidden="false" customHeight="false" outlineLevel="0" collapsed="false">
      <c r="A616" s="5" t="s">
        <v>497</v>
      </c>
      <c r="B616" s="5" t="s">
        <v>600</v>
      </c>
      <c r="C616" s="28" t="n">
        <v>9.5</v>
      </c>
      <c r="D616" s="25" t="n">
        <f aca="false" t="array" ref="D616:D616">IF(F616="n/a","—",IF(_xlfn.XLOOKUP(TRIM(SUBSTITUTE(A616,_xlfn.UNICHAR(160)," ")),TRIM(SUBSTITUTE('worker file'!$A$2:$A$406,_xlfn.UNICHAR(160)," ")),'worker file'!$L$2:$L$406,"")="US Biweekly",$I$3,$I$2))</f>
        <v>46295</v>
      </c>
      <c r="E616" s="5" t="s">
        <v>605</v>
      </c>
      <c r="F616" s="5" t="s">
        <v>559</v>
      </c>
    </row>
    <row r="617" customFormat="false" ht="15" hidden="false" customHeight="false" outlineLevel="0" collapsed="false">
      <c r="A617" s="5" t="s">
        <v>497</v>
      </c>
      <c r="B617" s="5" t="s">
        <v>601</v>
      </c>
      <c r="C617" s="28" t="n">
        <v>10</v>
      </c>
      <c r="D617" s="25" t="n">
        <f aca="false" t="array" ref="D617:D617">IF(F617="n/a","—",IF(_xlfn.XLOOKUP(TRIM(SUBSTITUTE(A617,_xlfn.UNICHAR(160)," ")),TRIM(SUBSTITUTE('worker file'!$A$2:$A$406,_xlfn.UNICHAR(160)," ")),'worker file'!$L$2:$L$406,"")="US Biweekly",$I$3,$I$2))</f>
        <v>46295</v>
      </c>
      <c r="E617" s="5" t="s">
        <v>606</v>
      </c>
      <c r="F617" s="5" t="s">
        <v>559</v>
      </c>
    </row>
    <row r="618" customFormat="false" ht="15" hidden="false" customHeight="false" outlineLevel="0" collapsed="false">
      <c r="A618" s="5" t="s">
        <v>498</v>
      </c>
      <c r="B618" s="5" t="s">
        <v>600</v>
      </c>
      <c r="C618" s="28" t="n">
        <v>3</v>
      </c>
      <c r="D618" s="25" t="n">
        <f aca="false" t="array" ref="D618:D618">IF(F618="n/a","—",IF(_xlfn.XLOOKUP(TRIM(SUBSTITUTE(A618,_xlfn.UNICHAR(160)," ")),TRIM(SUBSTITUTE('worker file'!$A$2:$A$406,_xlfn.UNICHAR(160)," ")),'worker file'!$L$2:$L$406,"")="US Biweekly",$I$3,$I$2))</f>
        <v>46295</v>
      </c>
      <c r="E618" s="5" t="s">
        <v>561</v>
      </c>
      <c r="F618" s="5" t="s">
        <v>559</v>
      </c>
    </row>
    <row r="619" customFormat="false" ht="15" hidden="false" customHeight="false" outlineLevel="0" collapsed="false">
      <c r="A619" s="5" t="s">
        <v>498</v>
      </c>
      <c r="B619" s="5" t="s">
        <v>601</v>
      </c>
      <c r="C619" s="28" t="n">
        <v>2.5</v>
      </c>
      <c r="D619" s="25" t="n">
        <f aca="false" t="array" ref="D619:D619">IF(F619="n/a","—",IF(_xlfn.XLOOKUP(TRIM(SUBSTITUTE(A619,_xlfn.UNICHAR(160)," ")),TRIM(SUBSTITUTE('worker file'!$A$2:$A$406,_xlfn.UNICHAR(160)," ")),'worker file'!$L$2:$L$406,"")="US Biweekly",$I$3,$I$2))</f>
        <v>46295</v>
      </c>
      <c r="E619" s="5" t="s">
        <v>602</v>
      </c>
      <c r="F619" s="5" t="s">
        <v>559</v>
      </c>
    </row>
    <row r="620" customFormat="false" ht="15" hidden="false" customHeight="false" outlineLevel="0" collapsed="false">
      <c r="A620" s="5" t="s">
        <v>499</v>
      </c>
      <c r="B620" s="5" t="s">
        <v>600</v>
      </c>
      <c r="C620" s="28" t="n">
        <v>12</v>
      </c>
      <c r="D620" s="25" t="n">
        <f aca="false" t="array" ref="D620:D620">IF(F620="n/a","—",IF(_xlfn.XLOOKUP(TRIM(SUBSTITUTE(A620,_xlfn.UNICHAR(160)," ")),TRIM(SUBSTITUTE('worker file'!$A$2:$A$406,_xlfn.UNICHAR(160)," ")),'worker file'!$L$2:$L$406,"")="US Biweekly",$I$3,$I$2))</f>
        <v>46295</v>
      </c>
      <c r="E620" s="5" t="s">
        <v>561</v>
      </c>
      <c r="F620" s="5" t="s">
        <v>559</v>
      </c>
    </row>
    <row r="621" customFormat="false" ht="15" hidden="false" customHeight="false" outlineLevel="0" collapsed="false">
      <c r="A621" s="5" t="s">
        <v>499</v>
      </c>
      <c r="B621" s="5" t="s">
        <v>601</v>
      </c>
      <c r="C621" s="28" t="n">
        <v>9.5</v>
      </c>
      <c r="D621" s="25" t="n">
        <f aca="false" t="array" ref="D621:D621">IF(F621="n/a","—",IF(_xlfn.XLOOKUP(TRIM(SUBSTITUTE(A621,_xlfn.UNICHAR(160)," ")),TRIM(SUBSTITUTE('worker file'!$A$2:$A$406,_xlfn.UNICHAR(160)," ")),'worker file'!$L$2:$L$406,"")="US Biweekly",$I$3,$I$2))</f>
        <v>46295</v>
      </c>
      <c r="E621" s="5" t="s">
        <v>602</v>
      </c>
      <c r="F621" s="5" t="s">
        <v>559</v>
      </c>
    </row>
    <row r="622" customFormat="false" ht="15" hidden="false" customHeight="false" outlineLevel="0" collapsed="false">
      <c r="A622" s="5" t="s">
        <v>500</v>
      </c>
      <c r="B622" s="5" t="s">
        <v>600</v>
      </c>
      <c r="C622" s="28" t="n">
        <v>0</v>
      </c>
      <c r="D622" s="25" t="n">
        <f aca="false" t="array" ref="D622:D622">IF(F622="n/a","—",IF(_xlfn.XLOOKUP(TRIM(SUBSTITUTE(A622,_xlfn.UNICHAR(160)," ")),TRIM(SUBSTITUTE('worker file'!$A$2:$A$406,_xlfn.UNICHAR(160)," ")),'worker file'!$L$2:$L$406,"")="US Biweekly",$I$3,$I$2))</f>
        <v>46295</v>
      </c>
      <c r="E622" s="5" t="s">
        <v>598</v>
      </c>
      <c r="F622" s="5" t="s">
        <v>559</v>
      </c>
    </row>
    <row r="623" customFormat="false" ht="15" hidden="false" customHeight="false" outlineLevel="0" collapsed="false">
      <c r="A623" s="5" t="s">
        <v>500</v>
      </c>
      <c r="B623" s="5" t="s">
        <v>601</v>
      </c>
      <c r="C623" s="28" t="n">
        <v>0</v>
      </c>
      <c r="D623" s="25" t="n">
        <f aca="false" t="array" ref="D623:D623">IF(F623="n/a","—",IF(_xlfn.XLOOKUP(TRIM(SUBSTITUTE(A623,_xlfn.UNICHAR(160)," ")),TRIM(SUBSTITUTE('worker file'!$A$2:$A$406,_xlfn.UNICHAR(160)," ")),'worker file'!$L$2:$L$406,"")="US Biweekly",$I$3,$I$2))</f>
        <v>46295</v>
      </c>
      <c r="E623" s="5" t="s">
        <v>598</v>
      </c>
      <c r="F623" s="5" t="s">
        <v>559</v>
      </c>
    </row>
    <row r="624" customFormat="false" ht="15" hidden="false" customHeight="false" outlineLevel="0" collapsed="false">
      <c r="A624" s="5" t="s">
        <v>501</v>
      </c>
      <c r="B624" s="5" t="s">
        <v>600</v>
      </c>
      <c r="C624" s="28" t="n">
        <v>9</v>
      </c>
      <c r="D624" s="25" t="n">
        <f aca="false" t="array" ref="D624:D624">IF(F624="n/a","—",IF(_xlfn.XLOOKUP(TRIM(SUBSTITUTE(A624,_xlfn.UNICHAR(160)," ")),TRIM(SUBSTITUTE('worker file'!$A$2:$A$406,_xlfn.UNICHAR(160)," ")),'worker file'!$L$2:$L$406,"")="US Biweekly",$I$3,$I$2))</f>
        <v>46295</v>
      </c>
      <c r="E624" s="5" t="s">
        <v>561</v>
      </c>
      <c r="F624" s="5" t="s">
        <v>559</v>
      </c>
    </row>
    <row r="625" customFormat="false" ht="15" hidden="false" customHeight="false" outlineLevel="0" collapsed="false">
      <c r="A625" s="5" t="s">
        <v>501</v>
      </c>
      <c r="B625" s="5" t="s">
        <v>601</v>
      </c>
      <c r="C625" s="28" t="n">
        <v>6</v>
      </c>
      <c r="D625" s="25" t="n">
        <f aca="false" t="array" ref="D625:D625">IF(F625="n/a","—",IF(_xlfn.XLOOKUP(TRIM(SUBSTITUTE(A625,_xlfn.UNICHAR(160)," ")),TRIM(SUBSTITUTE('worker file'!$A$2:$A$406,_xlfn.UNICHAR(160)," ")),'worker file'!$L$2:$L$406,"")="US Biweekly",$I$3,$I$2))</f>
        <v>46295</v>
      </c>
      <c r="E625" s="5" t="s">
        <v>602</v>
      </c>
      <c r="F625" s="5" t="s">
        <v>559</v>
      </c>
    </row>
    <row r="626" customFormat="false" ht="15" hidden="false" customHeight="false" outlineLevel="0" collapsed="false">
      <c r="A626" s="5" t="s">
        <v>502</v>
      </c>
      <c r="B626" s="5" t="s">
        <v>600</v>
      </c>
      <c r="C626" s="28" t="n">
        <v>4</v>
      </c>
      <c r="D626" s="25" t="n">
        <f aca="false" t="array" ref="D626:D626">IF(F626="n/a","—",IF(_xlfn.XLOOKUP(TRIM(SUBSTITUTE(A626,_xlfn.UNICHAR(160)," ")),TRIM(SUBSTITUTE('worker file'!$A$2:$A$406,_xlfn.UNICHAR(160)," ")),'worker file'!$L$2:$L$406,"")="US Biweekly",$I$3,$I$2))</f>
        <v>46295</v>
      </c>
      <c r="E626" s="5" t="s">
        <v>561</v>
      </c>
      <c r="F626" s="5" t="s">
        <v>559</v>
      </c>
    </row>
    <row r="627" customFormat="false" ht="15" hidden="false" customHeight="false" outlineLevel="0" collapsed="false">
      <c r="A627" s="5" t="s">
        <v>502</v>
      </c>
      <c r="B627" s="5" t="s">
        <v>601</v>
      </c>
      <c r="C627" s="28" t="n">
        <v>3</v>
      </c>
      <c r="D627" s="25" t="n">
        <f aca="false" t="array" ref="D627:D627">IF(F627="n/a","—",IF(_xlfn.XLOOKUP(TRIM(SUBSTITUTE(A627,_xlfn.UNICHAR(160)," ")),TRIM(SUBSTITUTE('worker file'!$A$2:$A$406,_xlfn.UNICHAR(160)," ")),'worker file'!$L$2:$L$406,"")="US Biweekly",$I$3,$I$2))</f>
        <v>46295</v>
      </c>
      <c r="E627" s="5" t="s">
        <v>602</v>
      </c>
      <c r="F627" s="5" t="s">
        <v>559</v>
      </c>
    </row>
    <row r="628" customFormat="false" ht="15" hidden="false" customHeight="false" outlineLevel="0" collapsed="false">
      <c r="A628" s="5" t="s">
        <v>503</v>
      </c>
      <c r="B628" s="5" t="s">
        <v>600</v>
      </c>
      <c r="C628" s="28" t="n">
        <v>11.5</v>
      </c>
      <c r="D628" s="25" t="n">
        <f aca="false" t="array" ref="D628:D628">IF(F628="n/a","—",IF(_xlfn.XLOOKUP(TRIM(SUBSTITUTE(A628,_xlfn.UNICHAR(160)," ")),TRIM(SUBSTITUTE('worker file'!$A$2:$A$406,_xlfn.UNICHAR(160)," ")),'worker file'!$L$2:$L$406,"")="US Biweekly",$I$3,$I$2))</f>
        <v>46295</v>
      </c>
      <c r="E628" s="5" t="s">
        <v>605</v>
      </c>
      <c r="F628" s="5" t="s">
        <v>559</v>
      </c>
    </row>
    <row r="629" customFormat="false" ht="15" hidden="false" customHeight="false" outlineLevel="0" collapsed="false">
      <c r="A629" s="5" t="s">
        <v>503</v>
      </c>
      <c r="B629" s="5" t="s">
        <v>601</v>
      </c>
      <c r="C629" s="28" t="n">
        <v>7</v>
      </c>
      <c r="D629" s="25" t="n">
        <f aca="false" t="array" ref="D629:D629">IF(F629="n/a","—",IF(_xlfn.XLOOKUP(TRIM(SUBSTITUTE(A629,_xlfn.UNICHAR(160)," ")),TRIM(SUBSTITUTE('worker file'!$A$2:$A$406,_xlfn.UNICHAR(160)," ")),'worker file'!$L$2:$L$406,"")="US Biweekly",$I$3,$I$2))</f>
        <v>46295</v>
      </c>
      <c r="E629" s="5" t="s">
        <v>606</v>
      </c>
      <c r="F629" s="5" t="s">
        <v>559</v>
      </c>
    </row>
    <row r="630" customFormat="false" ht="15" hidden="false" customHeight="false" outlineLevel="0" collapsed="false">
      <c r="A630" s="5" t="s">
        <v>504</v>
      </c>
      <c r="B630" s="5" t="s">
        <v>600</v>
      </c>
      <c r="C630" s="28" t="n">
        <v>7</v>
      </c>
      <c r="D630" s="25" t="n">
        <f aca="false" t="array" ref="D630:D630">IF(F630="n/a","—",IF(_xlfn.XLOOKUP(TRIM(SUBSTITUTE(A630,_xlfn.UNICHAR(160)," ")),TRIM(SUBSTITUTE('worker file'!$A$2:$A$406,_xlfn.UNICHAR(160)," ")),'worker file'!$L$2:$L$406,"")="US Biweekly",$I$3,$I$2))</f>
        <v>46295</v>
      </c>
      <c r="E630" s="5" t="s">
        <v>603</v>
      </c>
      <c r="F630" s="5" t="s">
        <v>559</v>
      </c>
    </row>
    <row r="631" customFormat="false" ht="15" hidden="false" customHeight="false" outlineLevel="0" collapsed="false">
      <c r="A631" s="5" t="s">
        <v>504</v>
      </c>
      <c r="B631" s="5" t="s">
        <v>601</v>
      </c>
      <c r="C631" s="28" t="n">
        <v>5.5</v>
      </c>
      <c r="D631" s="25" t="n">
        <f aca="false" t="array" ref="D631:D631">IF(F631="n/a","—",IF(_xlfn.XLOOKUP(TRIM(SUBSTITUTE(A631,_xlfn.UNICHAR(160)," ")),TRIM(SUBSTITUTE('worker file'!$A$2:$A$406,_xlfn.UNICHAR(160)," ")),'worker file'!$L$2:$L$406,"")="US Biweekly",$I$3,$I$2))</f>
        <v>46295</v>
      </c>
      <c r="E631" s="5" t="s">
        <v>604</v>
      </c>
      <c r="F631" s="5" t="s">
        <v>559</v>
      </c>
    </row>
    <row r="632" customFormat="false" ht="15" hidden="false" customHeight="false" outlineLevel="0" collapsed="false">
      <c r="A632" s="5" t="s">
        <v>505</v>
      </c>
      <c r="B632" s="5" t="s">
        <v>600</v>
      </c>
      <c r="C632" s="28" t="n">
        <v>13.5</v>
      </c>
      <c r="D632" s="25" t="n">
        <f aca="false" t="array" ref="D632:D632">IF(F632="n/a","—",IF(_xlfn.XLOOKUP(TRIM(SUBSTITUTE(A632,_xlfn.UNICHAR(160)," ")),TRIM(SUBSTITUTE('worker file'!$A$2:$A$406,_xlfn.UNICHAR(160)," ")),'worker file'!$L$2:$L$406,"")="US Biweekly",$I$3,$I$2))</f>
        <v>46295</v>
      </c>
      <c r="E632" s="5" t="s">
        <v>561</v>
      </c>
      <c r="F632" s="5" t="s">
        <v>559</v>
      </c>
    </row>
    <row r="633" customFormat="false" ht="15" hidden="false" customHeight="false" outlineLevel="0" collapsed="false">
      <c r="A633" s="5" t="s">
        <v>505</v>
      </c>
      <c r="B633" s="5" t="s">
        <v>601</v>
      </c>
      <c r="C633" s="28" t="n">
        <v>8</v>
      </c>
      <c r="D633" s="25" t="n">
        <f aca="false" t="array" ref="D633:D633">IF(F633="n/a","—",IF(_xlfn.XLOOKUP(TRIM(SUBSTITUTE(A633,_xlfn.UNICHAR(160)," ")),TRIM(SUBSTITUTE('worker file'!$A$2:$A$406,_xlfn.UNICHAR(160)," ")),'worker file'!$L$2:$L$406,"")="US Biweekly",$I$3,$I$2))</f>
        <v>46295</v>
      </c>
      <c r="E633" s="5" t="s">
        <v>602</v>
      </c>
      <c r="F633" s="5" t="s">
        <v>559</v>
      </c>
    </row>
    <row r="634" customFormat="false" ht="15" hidden="false" customHeight="false" outlineLevel="0" collapsed="false">
      <c r="A634" s="5" t="s">
        <v>506</v>
      </c>
      <c r="B634" s="5" t="s">
        <v>600</v>
      </c>
      <c r="C634" s="28" t="n">
        <v>0</v>
      </c>
      <c r="D634" s="25" t="n">
        <f aca="false" t="array" ref="D634:D634">IF(F634="n/a","—",IF(_xlfn.XLOOKUP(TRIM(SUBSTITUTE(A634,_xlfn.UNICHAR(160)," ")),TRIM(SUBSTITUTE('worker file'!$A$2:$A$406,_xlfn.UNICHAR(160)," ")),'worker file'!$L$2:$L$406,"")="US Biweekly",$I$3,$I$2))</f>
        <v>46295</v>
      </c>
      <c r="E634" s="5" t="s">
        <v>598</v>
      </c>
      <c r="F634" s="5" t="s">
        <v>559</v>
      </c>
    </row>
    <row r="635" customFormat="false" ht="15" hidden="false" customHeight="false" outlineLevel="0" collapsed="false">
      <c r="A635" s="5" t="s">
        <v>506</v>
      </c>
      <c r="B635" s="5" t="s">
        <v>601</v>
      </c>
      <c r="C635" s="28" t="n">
        <v>0</v>
      </c>
      <c r="D635" s="25" t="n">
        <f aca="false" t="array" ref="D635:D635">IF(F635="n/a","—",IF(_xlfn.XLOOKUP(TRIM(SUBSTITUTE(A635,_xlfn.UNICHAR(160)," ")),TRIM(SUBSTITUTE('worker file'!$A$2:$A$406,_xlfn.UNICHAR(160)," ")),'worker file'!$L$2:$L$406,"")="US Biweekly",$I$3,$I$2))</f>
        <v>46295</v>
      </c>
      <c r="E635" s="5" t="s">
        <v>598</v>
      </c>
      <c r="F635" s="5" t="s">
        <v>559</v>
      </c>
    </row>
    <row r="636" customFormat="false" ht="15" hidden="false" customHeight="false" outlineLevel="0" collapsed="false">
      <c r="A636" s="5" t="s">
        <v>507</v>
      </c>
      <c r="B636" s="5" t="s">
        <v>600</v>
      </c>
      <c r="C636" s="28" t="n">
        <v>10.5</v>
      </c>
      <c r="D636" s="25" t="n">
        <f aca="false" t="array" ref="D636:D636">IF(F636="n/a","—",IF(_xlfn.XLOOKUP(TRIM(SUBSTITUTE(A636,_xlfn.UNICHAR(160)," ")),TRIM(SUBSTITUTE('worker file'!$A$2:$A$406,_xlfn.UNICHAR(160)," ")),'worker file'!$L$2:$L$406,"")="US Biweekly",$I$3,$I$2))</f>
        <v>46295</v>
      </c>
      <c r="E636" s="5" t="s">
        <v>561</v>
      </c>
      <c r="F636" s="5" t="s">
        <v>559</v>
      </c>
    </row>
    <row r="637" customFormat="false" ht="15" hidden="false" customHeight="false" outlineLevel="0" collapsed="false">
      <c r="A637" s="5" t="s">
        <v>507</v>
      </c>
      <c r="B637" s="5" t="s">
        <v>601</v>
      </c>
      <c r="C637" s="28" t="n">
        <v>7.5</v>
      </c>
      <c r="D637" s="25" t="n">
        <f aca="false" t="array" ref="D637:D637">IF(F637="n/a","—",IF(_xlfn.XLOOKUP(TRIM(SUBSTITUTE(A637,_xlfn.UNICHAR(160)," ")),TRIM(SUBSTITUTE('worker file'!$A$2:$A$406,_xlfn.UNICHAR(160)," ")),'worker file'!$L$2:$L$406,"")="US Biweekly",$I$3,$I$2))</f>
        <v>46295</v>
      </c>
      <c r="E637" s="5" t="s">
        <v>602</v>
      </c>
      <c r="F637" s="5" t="s">
        <v>559</v>
      </c>
    </row>
    <row r="638" customFormat="false" ht="15" hidden="false" customHeight="false" outlineLevel="0" collapsed="false">
      <c r="A638" s="5" t="s">
        <v>508</v>
      </c>
      <c r="B638" s="5" t="s">
        <v>600</v>
      </c>
      <c r="C638" s="28" t="n">
        <v>6.5</v>
      </c>
      <c r="D638" s="25" t="n">
        <f aca="false" t="array" ref="D638:D638">IF(F638="n/a","—",IF(_xlfn.XLOOKUP(TRIM(SUBSTITUTE(A638,_xlfn.UNICHAR(160)," ")),TRIM(SUBSTITUTE('worker file'!$A$2:$A$406,_xlfn.UNICHAR(160)," ")),'worker file'!$L$2:$L$406,"")="US Biweekly",$I$3,$I$2))</f>
        <v>46295</v>
      </c>
      <c r="E638" s="5" t="s">
        <v>561</v>
      </c>
      <c r="F638" s="5" t="s">
        <v>559</v>
      </c>
    </row>
    <row r="639" customFormat="false" ht="15" hidden="false" customHeight="false" outlineLevel="0" collapsed="false">
      <c r="A639" s="5" t="s">
        <v>508</v>
      </c>
      <c r="B639" s="5" t="s">
        <v>601</v>
      </c>
      <c r="C639" s="28" t="n">
        <v>5</v>
      </c>
      <c r="D639" s="25" t="n">
        <f aca="false" t="array" ref="D639:D639">IF(F639="n/a","—",IF(_xlfn.XLOOKUP(TRIM(SUBSTITUTE(A639,_xlfn.UNICHAR(160)," ")),TRIM(SUBSTITUTE('worker file'!$A$2:$A$406,_xlfn.UNICHAR(160)," ")),'worker file'!$L$2:$L$406,"")="US Biweekly",$I$3,$I$2))</f>
        <v>46295</v>
      </c>
      <c r="E639" s="5" t="s">
        <v>602</v>
      </c>
      <c r="F639" s="5" t="s">
        <v>559</v>
      </c>
    </row>
    <row r="640" customFormat="false" ht="15" hidden="false" customHeight="false" outlineLevel="0" collapsed="false">
      <c r="A640" s="5" t="s">
        <v>509</v>
      </c>
      <c r="B640" s="5" t="s">
        <v>600</v>
      </c>
      <c r="C640" s="28" t="n">
        <v>15</v>
      </c>
      <c r="D640" s="25" t="n">
        <f aca="false" t="array" ref="D640:D640">IF(F640="n/a","—",IF(_xlfn.XLOOKUP(TRIM(SUBSTITUTE(A640,_xlfn.UNICHAR(160)," ")),TRIM(SUBSTITUTE('worker file'!$A$2:$A$406,_xlfn.UNICHAR(160)," ")),'worker file'!$L$2:$L$406,"")="US Biweekly",$I$3,$I$2))</f>
        <v>46295</v>
      </c>
      <c r="E640" s="5" t="s">
        <v>603</v>
      </c>
      <c r="F640" s="5" t="s">
        <v>559</v>
      </c>
    </row>
    <row r="641" customFormat="false" ht="15" hidden="false" customHeight="false" outlineLevel="0" collapsed="false">
      <c r="A641" s="5" t="s">
        <v>509</v>
      </c>
      <c r="B641" s="5" t="s">
        <v>601</v>
      </c>
      <c r="C641" s="28" t="n">
        <v>9</v>
      </c>
      <c r="D641" s="25" t="n">
        <f aca="false" t="array" ref="D641:D641">IF(F641="n/a","—",IF(_xlfn.XLOOKUP(TRIM(SUBSTITUTE(A641,_xlfn.UNICHAR(160)," ")),TRIM(SUBSTITUTE('worker file'!$A$2:$A$406,_xlfn.UNICHAR(160)," ")),'worker file'!$L$2:$L$406,"")="US Biweekly",$I$3,$I$2))</f>
        <v>46295</v>
      </c>
      <c r="E641" s="5" t="s">
        <v>604</v>
      </c>
      <c r="F641" s="5" t="s">
        <v>559</v>
      </c>
    </row>
    <row r="642" customFormat="false" ht="15" hidden="false" customHeight="false" outlineLevel="0" collapsed="false">
      <c r="A642" s="5" t="s">
        <v>510</v>
      </c>
      <c r="B642" s="5" t="s">
        <v>600</v>
      </c>
      <c r="C642" s="28" t="n">
        <v>5</v>
      </c>
      <c r="D642" s="25" t="n">
        <f aca="false" t="array" ref="D642:D642">IF(F642="n/a","—",IF(_xlfn.XLOOKUP(TRIM(SUBSTITUTE(A642,_xlfn.UNICHAR(160)," ")),TRIM(SUBSTITUTE('worker file'!$A$2:$A$406,_xlfn.UNICHAR(160)," ")),'worker file'!$L$2:$L$406,"")="US Biweekly",$I$3,$I$2))</f>
        <v>46295</v>
      </c>
      <c r="E642" s="5" t="s">
        <v>605</v>
      </c>
      <c r="F642" s="5" t="s">
        <v>559</v>
      </c>
    </row>
    <row r="643" customFormat="false" ht="15" hidden="false" customHeight="false" outlineLevel="0" collapsed="false">
      <c r="A643" s="5" t="s">
        <v>510</v>
      </c>
      <c r="B643" s="5" t="s">
        <v>601</v>
      </c>
      <c r="C643" s="28" t="n">
        <v>4</v>
      </c>
      <c r="D643" s="25" t="n">
        <f aca="false" t="array" ref="D643:D643">IF(F643="n/a","—",IF(_xlfn.XLOOKUP(TRIM(SUBSTITUTE(A643,_xlfn.UNICHAR(160)," ")),TRIM(SUBSTITUTE('worker file'!$A$2:$A$406,_xlfn.UNICHAR(160)," ")),'worker file'!$L$2:$L$406,"")="US Biweekly",$I$3,$I$2))</f>
        <v>46295</v>
      </c>
      <c r="E643" s="5" t="s">
        <v>606</v>
      </c>
      <c r="F643" s="5" t="s">
        <v>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23"/>
  <sheetViews>
    <sheetView showFormulas="false" showGridLines="true" showRowColHeaders="true" showZeros="true" rightToLeft="false" tabSelected="false" showOutlineSymbols="true" defaultGridColor="true" view="normal" topLeftCell="H626" colorId="64" zoomScale="100" zoomScaleNormal="100" zoomScalePageLayoutView="100" workbookViewId="0">
      <selection pane="topLeft" activeCell="O35" activeCellId="0" sqref="O35"/>
    </sheetView>
  </sheetViews>
  <sheetFormatPr defaultColWidth="10.539062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.33"/>
    <col collapsed="false" customWidth="true" hidden="false" outlineLevel="0" max="3" min="3" style="0" width="13.33"/>
    <col collapsed="false" customWidth="true" hidden="false" outlineLevel="0" max="4" min="4" style="0" width="35.66"/>
    <col collapsed="false" customWidth="true" hidden="false" outlineLevel="0" max="5" min="5" style="0" width="16.33"/>
    <col collapsed="false" customWidth="true" hidden="false" outlineLevel="0" max="6" min="6" style="0" width="22.33"/>
    <col collapsed="false" customWidth="true" hidden="false" outlineLevel="0" max="7" min="7" style="0" width="35.66"/>
    <col collapsed="false" customWidth="true" hidden="false" outlineLevel="0" max="8" min="8" style="0" width="20.66"/>
    <col collapsed="false" customWidth="true" hidden="false" outlineLevel="0" max="9" min="9" style="0" width="9.83"/>
    <col collapsed="false" customWidth="true" hidden="false" outlineLevel="0" max="10" min="10" style="0" width="13"/>
    <col collapsed="false" customWidth="true" hidden="false" outlineLevel="0" max="11" min="11" style="0" width="8.5"/>
    <col collapsed="false" customWidth="true" hidden="false" outlineLevel="0" max="12" min="12" style="0" width="20.66"/>
    <col collapsed="false" customWidth="true" hidden="false" outlineLevel="0" max="13" min="13" style="0" width="14.66"/>
    <col collapsed="false" customWidth="true" hidden="false" outlineLevel="0" max="14" min="14" style="0" width="16"/>
    <col collapsed="false" customWidth="true" hidden="false" outlineLevel="0" max="15" min="15" style="0" width="48.5"/>
  </cols>
  <sheetData>
    <row r="1" customFormat="false" ht="17.35" hidden="false" customHeight="false" outlineLevel="0" collapsed="false">
      <c r="A1" s="30" t="s">
        <v>607</v>
      </c>
    </row>
    <row r="2" customFormat="false" ht="15" hidden="false" customHeight="false" outlineLevel="0" collapsed="false">
      <c r="A2" s="31" t="s">
        <v>608</v>
      </c>
    </row>
    <row r="3" customFormat="false" ht="15" hidden="false" customHeight="false" outlineLevel="0" collapsed="false">
      <c r="F3" s="0" t="s">
        <v>609</v>
      </c>
    </row>
    <row r="4" customFormat="false" ht="15" hidden="false" customHeight="false" outlineLevel="0" collapsed="false">
      <c r="A4" s="32" t="s">
        <v>610</v>
      </c>
      <c r="B4" s="32" t="s">
        <v>611</v>
      </c>
      <c r="C4" s="32" t="s">
        <v>612</v>
      </c>
      <c r="D4" s="32" t="s">
        <v>613</v>
      </c>
      <c r="E4" s="32" t="s">
        <v>614</v>
      </c>
      <c r="F4" s="32" t="s">
        <v>615</v>
      </c>
      <c r="G4" s="32" t="s">
        <v>616</v>
      </c>
      <c r="H4" s="32" t="s">
        <v>617</v>
      </c>
    </row>
    <row r="5" customFormat="false" ht="15" hidden="false" customHeight="false" outlineLevel="0" collapsed="false">
      <c r="A5" s="0" t="s">
        <v>618</v>
      </c>
      <c r="B5" s="0" t="s">
        <v>619</v>
      </c>
      <c r="C5" s="0" t="s">
        <v>620</v>
      </c>
      <c r="D5" s="0" t="s">
        <v>621</v>
      </c>
      <c r="E5" s="0" t="s">
        <v>622</v>
      </c>
      <c r="F5" s="33" t="s">
        <v>623</v>
      </c>
      <c r="G5" s="0" t="s">
        <v>624</v>
      </c>
      <c r="H5" s="0" t="s">
        <v>625</v>
      </c>
    </row>
    <row r="6" customFormat="false" ht="15" hidden="false" customHeight="false" outlineLevel="0" collapsed="false">
      <c r="A6" s="0" t="s">
        <v>626</v>
      </c>
      <c r="B6" s="0" t="s">
        <v>627</v>
      </c>
      <c r="C6" s="0" t="s">
        <v>628</v>
      </c>
      <c r="D6" s="0" t="s">
        <v>629</v>
      </c>
      <c r="E6" s="0" t="s">
        <v>630</v>
      </c>
      <c r="F6" s="34" t="n">
        <v>200</v>
      </c>
      <c r="G6" s="0" t="s">
        <v>631</v>
      </c>
      <c r="H6" s="0" t="s">
        <v>625</v>
      </c>
    </row>
    <row r="7" customFormat="false" ht="15" hidden="false" customHeight="false" outlineLevel="0" collapsed="false">
      <c r="A7" s="0" t="s">
        <v>632</v>
      </c>
      <c r="B7" s="0" t="s">
        <v>633</v>
      </c>
      <c r="C7" s="0" t="s">
        <v>628</v>
      </c>
      <c r="D7" s="0" t="s">
        <v>629</v>
      </c>
      <c r="E7" s="0" t="s">
        <v>630</v>
      </c>
      <c r="F7" s="34" t="n">
        <v>44</v>
      </c>
      <c r="G7" s="0" t="s">
        <v>631</v>
      </c>
      <c r="H7" s="0" t="s">
        <v>625</v>
      </c>
    </row>
    <row r="8" customFormat="false" ht="15" hidden="false" customHeight="false" outlineLevel="0" collapsed="false">
      <c r="A8" s="0" t="s">
        <v>634</v>
      </c>
      <c r="B8" s="0" t="s">
        <v>635</v>
      </c>
      <c r="C8" s="0" t="s">
        <v>628</v>
      </c>
      <c r="D8" s="0" t="s">
        <v>629</v>
      </c>
      <c r="E8" s="0" t="s">
        <v>630</v>
      </c>
      <c r="F8" s="34" t="n">
        <v>30</v>
      </c>
      <c r="G8" s="0" t="s">
        <v>631</v>
      </c>
      <c r="H8" s="0" t="s">
        <v>625</v>
      </c>
    </row>
    <row r="9" customFormat="false" ht="15" hidden="false" customHeight="false" outlineLevel="0" collapsed="false">
      <c r="A9" s="35"/>
      <c r="B9" s="36" t="s">
        <v>636</v>
      </c>
      <c r="C9" s="36"/>
      <c r="D9" s="36"/>
      <c r="E9" s="36"/>
      <c r="F9" s="37" t="n">
        <f aca="false">SUM(F6:F8)</f>
        <v>274</v>
      </c>
      <c r="G9" s="35"/>
      <c r="H9" s="35"/>
    </row>
    <row r="11" customFormat="false" ht="15" hidden="false" customHeight="false" outlineLevel="0" collapsed="false">
      <c r="A11" s="38" t="s">
        <v>637</v>
      </c>
      <c r="B11" s="38" t="s">
        <v>11</v>
      </c>
      <c r="C11" s="38" t="s">
        <v>3</v>
      </c>
      <c r="D11" s="38" t="s">
        <v>638</v>
      </c>
      <c r="E11" s="38" t="s">
        <v>639</v>
      </c>
      <c r="F11" s="38" t="s">
        <v>611</v>
      </c>
      <c r="G11" s="38" t="s">
        <v>613</v>
      </c>
      <c r="H11" s="38" t="s">
        <v>614</v>
      </c>
      <c r="I11" s="38" t="s">
        <v>640</v>
      </c>
      <c r="J11" s="38" t="s">
        <v>641</v>
      </c>
      <c r="K11" s="38" t="s">
        <v>616</v>
      </c>
      <c r="L11" s="38" t="s">
        <v>617</v>
      </c>
      <c r="M11" s="38" t="s">
        <v>642</v>
      </c>
      <c r="N11" s="38" t="s">
        <v>643</v>
      </c>
      <c r="O11" s="38" t="s">
        <v>24</v>
      </c>
    </row>
    <row r="12" customFormat="false" ht="15" hidden="false" customHeight="false" outlineLevel="0" collapsed="false">
      <c r="A12" s="39" t="s">
        <v>176</v>
      </c>
      <c r="B12" s="40" t="str">
        <f aca="false" t="array" ref="B12:B12">_xlfn.XLOOKUP($A12,TRIM(SUBSTITUTE('worker file'!$A$2:$A$406,_xlfn.UNICHAR(160)," ")),'worker file'!$L$2:$L$406,"Not found")</f>
        <v>US Semi-monthly</v>
      </c>
      <c r="C12" s="40" t="str">
        <f aca="false" t="array" ref="C12:C12">_xlfn.XLOOKUP($A12,TRIM(SUBSTITUTE('worker file'!$A$2:$A$406,_xlfn.UNICHAR(160)," ")),'worker file'!$D$2:$D$406,"Not found")</f>
        <v>CA</v>
      </c>
      <c r="D12" s="40" t="str">
        <f aca="false" t="array" ref="D12:D12">_xlfn.XLOOKUP($A12,TRIM(SUBSTITUTE('worker file'!$A$2:$A$406,_xlfn.UNICHAR(160)," ")),'worker file'!$Q$2:$Q$406,"Not found")</f>
        <v>Active</v>
      </c>
      <c r="E12" s="39" t="s">
        <v>618</v>
      </c>
      <c r="F12" s="38" t="str">
        <f aca="false">_xlfn.XLOOKUP($E12,$A$5:$A$8,$B$5:$B$8,"")</f>
        <v>401(k) Employee Deferral</v>
      </c>
      <c r="G12" s="38" t="str">
        <f aca="false">_xlfn.XLOOKUP($E12,$A$5:$A$8,$D$5:$D$8,"")</f>
        <v>Pre-tax (exempt from FIT/SIT; subject to FICA)</v>
      </c>
      <c r="H12" s="38" t="str">
        <f aca="false">_xlfn.XLOOKUP($E12,$A$5:$A$8,$E$5:$E$8,"")</f>
        <v>Percent</v>
      </c>
      <c r="I12" s="41" t="n">
        <v>0.03</v>
      </c>
      <c r="J12" s="42" t="str">
        <f aca="false">IF($H12="Flat",_xlfn.XLOOKUP($E12,$A$5:$A$8,$F$5:$F$8,""),"")</f>
        <v/>
      </c>
      <c r="K12" s="38" t="str">
        <f aca="false">_xlfn.XLOOKUP($E12,$A$5:$A$8,$G$5:$G$8,"")</f>
        <v>Gross pay</v>
      </c>
      <c r="L12" s="38" t="str">
        <f aca="false">_xlfn.XLOOKUP($E12,$A$5:$A$8,$H$5:$H$8,"")</f>
        <v>Every pay period (ongoing)</v>
      </c>
      <c r="M12" s="43" t="n">
        <f aca="false" t="array" ref="M12:M12">MAX(_xlfn.XLOOKUP($A12,TRIM(SUBSTITUTE('worker file'!$A$2:$A$406,_xlfn.UNICHAR(160)," ")),'worker file'!$M$2:$M$406,0),_xlfn.XLOOKUP($B12,TRIM('pay group &amp; schedule'!$A$2:$A$6),'pay group &amp; schedule'!$D$2:$D$6,0))</f>
        <v>46311</v>
      </c>
      <c r="N12" s="43" t="str">
        <f aca="false" t="array" ref="N12:N12">_xlfn.LET(_xlpm.t,_xlfn.XLOOKUP($A12,TRIM(SUBSTITUTE('worker file'!$A$2:$A$406,_xlfn.UNICHAR(160)," ")),'worker file'!$N$2:$N$406,""),IF(N(_xlpm.t)=0,"",_xlpm.t))</f>
        <v/>
      </c>
    </row>
    <row r="13" customFormat="false" ht="15" hidden="false" customHeight="false" outlineLevel="0" collapsed="false">
      <c r="A13" s="39" t="s">
        <v>176</v>
      </c>
      <c r="B13" s="40" t="str">
        <f aca="false" t="array" ref="B13:B13">_xlfn.XLOOKUP($A13,TRIM(SUBSTITUTE('worker file'!$A$2:$A$406,_xlfn.UNICHAR(160)," ")),'worker file'!$L$2:$L$406,"Not found")</f>
        <v>US Semi-monthly</v>
      </c>
      <c r="C13" s="40" t="str">
        <f aca="false" t="array" ref="C13:C13">_xlfn.XLOOKUP($A13,TRIM(SUBSTITUTE('worker file'!$A$2:$A$406,_xlfn.UNICHAR(160)," ")),'worker file'!$D$2:$D$406,"Not found")</f>
        <v>CA</v>
      </c>
      <c r="D13" s="40" t="str">
        <f aca="false" t="array" ref="D13:D13">_xlfn.XLOOKUP($A13,TRIM(SUBSTITUTE('worker file'!$A$2:$A$406,_xlfn.UNICHAR(160)," ")),'worker file'!$Q$2:$Q$406,"Not found")</f>
        <v>Active</v>
      </c>
      <c r="E13" s="39" t="s">
        <v>626</v>
      </c>
      <c r="F13" s="38" t="str">
        <f aca="false">_xlfn.XLOOKUP($E13,$A$5:$A$8,$B$5:$B$8,"")</f>
        <v>Medical (Health) – Employee</v>
      </c>
      <c r="G13" s="38" t="str">
        <f aca="false">_xlfn.XLOOKUP($E13,$A$5:$A$8,$D$5:$D$8,"")</f>
        <v>Pre-tax Section 125 (exempt from FIT/SIT/FICA)</v>
      </c>
      <c r="H13" s="38" t="str">
        <f aca="false">_xlfn.XLOOKUP($E13,$A$5:$A$8,$E$5:$E$8,"")</f>
        <v>Flat</v>
      </c>
      <c r="I13" s="44" t="str">
        <f aca="false">IF($H13="Percent",_xlfn.XLOOKUP($E13,$A$5:$A$8,$F$5:$F$8,""),"")</f>
        <v/>
      </c>
      <c r="J13" s="42" t="n">
        <f aca="false">IF($H13="Flat",_xlfn.XLOOKUP($E13,$A$5:$A$8,$F$5:$F$8,""),"")</f>
        <v>200</v>
      </c>
      <c r="K13" s="38" t="str">
        <f aca="false">_xlfn.XLOOKUP($E13,$A$5:$A$8,$G$5:$G$8,"")</f>
        <v>Per pay period</v>
      </c>
      <c r="L13" s="38" t="str">
        <f aca="false">_xlfn.XLOOKUP($E13,$A$5:$A$8,$H$5:$H$8,"")</f>
        <v>Every pay period (ongoing)</v>
      </c>
      <c r="M13" s="43" t="n">
        <f aca="false" t="array" ref="M13:M13">MAX(_xlfn.XLOOKUP($A13,TRIM(SUBSTITUTE('worker file'!$A$2:$A$406,_xlfn.UNICHAR(160)," ")),'worker file'!$M$2:$M$406,0),_xlfn.XLOOKUP($B13,TRIM('pay group &amp; schedule'!$A$2:$A$6),'pay group &amp; schedule'!$D$2:$D$6,0))</f>
        <v>46311</v>
      </c>
      <c r="N13" s="43" t="str">
        <f aca="false" t="array" ref="N13:N13">_xlfn.LET(_xlpm.t,_xlfn.XLOOKUP($A13,TRIM(SUBSTITUTE('worker file'!$A$2:$A$406,_xlfn.UNICHAR(160)," ")),'worker file'!$N$2:$N$406,""),IF(N(_xlpm.t)=0,"",_xlpm.t))</f>
        <v/>
      </c>
    </row>
    <row r="14" customFormat="false" ht="15" hidden="false" customHeight="false" outlineLevel="0" collapsed="false">
      <c r="A14" s="39" t="s">
        <v>176</v>
      </c>
      <c r="B14" s="40" t="str">
        <f aca="false" t="array" ref="B14:B14">_xlfn.XLOOKUP($A14,TRIM(SUBSTITUTE('worker file'!$A$2:$A$406,_xlfn.UNICHAR(160)," ")),'worker file'!$L$2:$L$406,"Not found")</f>
        <v>US Semi-monthly</v>
      </c>
      <c r="C14" s="40" t="str">
        <f aca="false" t="array" ref="C14:C14">_xlfn.XLOOKUP($A14,TRIM(SUBSTITUTE('worker file'!$A$2:$A$406,_xlfn.UNICHAR(160)," ")),'worker file'!$D$2:$D$406,"Not found")</f>
        <v>CA</v>
      </c>
      <c r="D14" s="40" t="str">
        <f aca="false" t="array" ref="D14:D14">_xlfn.XLOOKUP($A14,TRIM(SUBSTITUTE('worker file'!$A$2:$A$406,_xlfn.UNICHAR(160)," ")),'worker file'!$Q$2:$Q$406,"Not found")</f>
        <v>Active</v>
      </c>
      <c r="E14" s="39" t="s">
        <v>632</v>
      </c>
      <c r="F14" s="38" t="str">
        <f aca="false">_xlfn.XLOOKUP($E14,$A$5:$A$8,$B$5:$B$8,"")</f>
        <v>Dental – Employee</v>
      </c>
      <c r="G14" s="38" t="str">
        <f aca="false">_xlfn.XLOOKUP($E14,$A$5:$A$8,$D$5:$D$8,"")</f>
        <v>Pre-tax Section 125 (exempt from FIT/SIT/FICA)</v>
      </c>
      <c r="H14" s="38" t="str">
        <f aca="false">_xlfn.XLOOKUP($E14,$A$5:$A$8,$E$5:$E$8,"")</f>
        <v>Flat</v>
      </c>
      <c r="I14" s="44" t="str">
        <f aca="false">IF($H14="Percent",_xlfn.XLOOKUP($E14,$A$5:$A$8,$F$5:$F$8,""),"")</f>
        <v/>
      </c>
      <c r="J14" s="42" t="n">
        <f aca="false">IF($H14="Flat",_xlfn.XLOOKUP($E14,$A$5:$A$8,$F$5:$F$8,""),"")</f>
        <v>44</v>
      </c>
      <c r="K14" s="38" t="str">
        <f aca="false">_xlfn.XLOOKUP($E14,$A$5:$A$8,$G$5:$G$8,"")</f>
        <v>Per pay period</v>
      </c>
      <c r="L14" s="38" t="str">
        <f aca="false">_xlfn.XLOOKUP($E14,$A$5:$A$8,$H$5:$H$8,"")</f>
        <v>Every pay period (ongoing)</v>
      </c>
      <c r="M14" s="43" t="n">
        <f aca="false" t="array" ref="M14:M14">MAX(_xlfn.XLOOKUP($A14,TRIM(SUBSTITUTE('worker file'!$A$2:$A$406,_xlfn.UNICHAR(160)," ")),'worker file'!$M$2:$M$406,0),_xlfn.XLOOKUP($B14,TRIM('pay group &amp; schedule'!$A$2:$A$6),'pay group &amp; schedule'!$D$2:$D$6,0))</f>
        <v>46311</v>
      </c>
      <c r="N14" s="43" t="str">
        <f aca="false" t="array" ref="N14:N14">_xlfn.LET(_xlpm.t,_xlfn.XLOOKUP($A14,TRIM(SUBSTITUTE('worker file'!$A$2:$A$406,_xlfn.UNICHAR(160)," ")),'worker file'!$N$2:$N$406,""),IF(N(_xlpm.t)=0,"",_xlpm.t))</f>
        <v/>
      </c>
    </row>
    <row r="15" customFormat="false" ht="15" hidden="false" customHeight="false" outlineLevel="0" collapsed="false">
      <c r="A15" s="39" t="s">
        <v>176</v>
      </c>
      <c r="B15" s="40" t="str">
        <f aca="false" t="array" ref="B15:B15">_xlfn.XLOOKUP($A15,TRIM(SUBSTITUTE('worker file'!$A$2:$A$406,_xlfn.UNICHAR(160)," ")),'worker file'!$L$2:$L$406,"Not found")</f>
        <v>US Semi-monthly</v>
      </c>
      <c r="C15" s="40" t="str">
        <f aca="false" t="array" ref="C15:C15">_xlfn.XLOOKUP($A15,TRIM(SUBSTITUTE('worker file'!$A$2:$A$406,_xlfn.UNICHAR(160)," ")),'worker file'!$D$2:$D$406,"Not found")</f>
        <v>CA</v>
      </c>
      <c r="D15" s="40" t="str">
        <f aca="false" t="array" ref="D15:D15">_xlfn.XLOOKUP($A15,TRIM(SUBSTITUTE('worker file'!$A$2:$A$406,_xlfn.UNICHAR(160)," ")),'worker file'!$Q$2:$Q$406,"Not found")</f>
        <v>Active</v>
      </c>
      <c r="E15" s="39" t="s">
        <v>634</v>
      </c>
      <c r="F15" s="38" t="str">
        <f aca="false">_xlfn.XLOOKUP($E15,$A$5:$A$8,$B$5:$B$8,"")</f>
        <v>Vision – Employee</v>
      </c>
      <c r="G15" s="38" t="str">
        <f aca="false">_xlfn.XLOOKUP($E15,$A$5:$A$8,$D$5:$D$8,"")</f>
        <v>Pre-tax Section 125 (exempt from FIT/SIT/FICA)</v>
      </c>
      <c r="H15" s="38" t="str">
        <f aca="false">_xlfn.XLOOKUP($E15,$A$5:$A$8,$E$5:$E$8,"")</f>
        <v>Flat</v>
      </c>
      <c r="I15" s="44" t="str">
        <f aca="false">IF($H15="Percent",_xlfn.XLOOKUP($E15,$A$5:$A$8,$F$5:$F$8,""),"")</f>
        <v/>
      </c>
      <c r="J15" s="42" t="n">
        <f aca="false">IF($H15="Flat",_xlfn.XLOOKUP($E15,$A$5:$A$8,$F$5:$F$8,""),"")</f>
        <v>30</v>
      </c>
      <c r="K15" s="38" t="str">
        <f aca="false">_xlfn.XLOOKUP($E15,$A$5:$A$8,$G$5:$G$8,"")</f>
        <v>Per pay period</v>
      </c>
      <c r="L15" s="38" t="str">
        <f aca="false">_xlfn.XLOOKUP($E15,$A$5:$A$8,$H$5:$H$8,"")</f>
        <v>Every pay period (ongoing)</v>
      </c>
      <c r="M15" s="43" t="n">
        <f aca="false" t="array" ref="M15:M15">MAX(_xlfn.XLOOKUP($A15,TRIM(SUBSTITUTE('worker file'!$A$2:$A$406,_xlfn.UNICHAR(160)," ")),'worker file'!$M$2:$M$406,0),_xlfn.XLOOKUP($B15,TRIM('pay group &amp; schedule'!$A$2:$A$6),'pay group &amp; schedule'!$D$2:$D$6,0))</f>
        <v>46311</v>
      </c>
      <c r="N15" s="43" t="str">
        <f aca="false" t="array" ref="N15:N15">_xlfn.LET(_xlpm.t,_xlfn.XLOOKUP($A15,TRIM(SUBSTITUTE('worker file'!$A$2:$A$406,_xlfn.UNICHAR(160)," ")),'worker file'!$N$2:$N$406,""),IF(N(_xlpm.t)=0,"",_xlpm.t))</f>
        <v/>
      </c>
    </row>
    <row r="16" customFormat="false" ht="15" hidden="false" customHeight="false" outlineLevel="0" collapsed="false">
      <c r="A16" s="39" t="s">
        <v>572</v>
      </c>
      <c r="B16" s="40" t="str">
        <f aca="false" t="array" ref="B16:B16">_xlfn.XLOOKUP($A16,TRIM(SUBSTITUTE('worker file'!$A$2:$A$406,_xlfn.UNICHAR(160)," ")),'worker file'!$L$2:$L$406,"Not found")</f>
        <v>US Semi-monthly</v>
      </c>
      <c r="C16" s="40" t="str">
        <f aca="false" t="array" ref="C16:C16">_xlfn.XLOOKUP($A16,TRIM(SUBSTITUTE('worker file'!$A$2:$A$406,_xlfn.UNICHAR(160)," ")),'worker file'!$D$2:$D$406,"Not found")</f>
        <v>WA</v>
      </c>
      <c r="D16" s="40" t="str">
        <f aca="false" t="array" ref="D16:D16">_xlfn.XLOOKUP($A16,TRIM(SUBSTITUTE('worker file'!$A$2:$A$406,_xlfn.UNICHAR(160)," ")),'worker file'!$Q$2:$Q$406,"Not found")</f>
        <v>Termination pending</v>
      </c>
      <c r="E16" s="39" t="s">
        <v>626</v>
      </c>
      <c r="F16" s="38" t="str">
        <f aca="false">_xlfn.XLOOKUP($E16,$A$5:$A$8,$B$5:$B$8,"")</f>
        <v>Medical (Health) – Employee</v>
      </c>
      <c r="G16" s="38" t="str">
        <f aca="false">_xlfn.XLOOKUP($E16,$A$5:$A$8,$D$5:$D$8,"")</f>
        <v>Pre-tax Section 125 (exempt from FIT/SIT/FICA)</v>
      </c>
      <c r="H16" s="38" t="str">
        <f aca="false">_xlfn.XLOOKUP($E16,$A$5:$A$8,$E$5:$E$8,"")</f>
        <v>Flat</v>
      </c>
      <c r="I16" s="44" t="str">
        <f aca="false">IF($H16="Percent",_xlfn.XLOOKUP($E16,$A$5:$A$8,$F$5:$F$8,""),"")</f>
        <v/>
      </c>
      <c r="J16" s="42" t="n">
        <f aca="false">IF($H16="Flat",_xlfn.XLOOKUP($E16,$A$5:$A$8,$F$5:$F$8,""),"")</f>
        <v>200</v>
      </c>
      <c r="K16" s="38" t="str">
        <f aca="false">_xlfn.XLOOKUP($E16,$A$5:$A$8,$G$5:$G$8,"")</f>
        <v>Per pay period</v>
      </c>
      <c r="L16" s="38" t="str">
        <f aca="false">_xlfn.XLOOKUP($E16,$A$5:$A$8,$H$5:$H$8,"")</f>
        <v>Every pay period (ongoing)</v>
      </c>
      <c r="M16" s="43" t="n">
        <f aca="false" t="array" ref="M16:M16">MAX(_xlfn.XLOOKUP($A16,TRIM(SUBSTITUTE('worker file'!$A$2:$A$406,_xlfn.UNICHAR(160)," ")),'worker file'!$M$2:$M$406,0),_xlfn.XLOOKUP($B16,TRIM('pay group &amp; schedule'!$A$2:$A$6),'pay group &amp; schedule'!$D$2:$D$6,0))</f>
        <v>46311</v>
      </c>
      <c r="N16" s="43" t="n">
        <f aca="false" t="array" ref="N16:N16">_xlfn.LET(_xlpm.t,_xlfn.XLOOKUP($A16,TRIM(SUBSTITUTE('worker file'!$A$2:$A$406,_xlfn.UNICHAR(160)," ")),'worker file'!$N$2:$N$406,""),IF(N(_xlpm.t)=0,"",_xlpm.t))</f>
        <v>46326</v>
      </c>
      <c r="O16" s="0" t="s">
        <v>644</v>
      </c>
    </row>
    <row r="17" customFormat="false" ht="15" hidden="false" customHeight="false" outlineLevel="0" collapsed="false">
      <c r="A17" s="39" t="s">
        <v>572</v>
      </c>
      <c r="B17" s="40" t="str">
        <f aca="false" t="array" ref="B17:B17">_xlfn.XLOOKUP($A17,TRIM(SUBSTITUTE('worker file'!$A$2:$A$406,_xlfn.UNICHAR(160)," ")),'worker file'!$L$2:$L$406,"Not found")</f>
        <v>US Semi-monthly</v>
      </c>
      <c r="C17" s="40" t="str">
        <f aca="false" t="array" ref="C17:C17">_xlfn.XLOOKUP($A17,TRIM(SUBSTITUTE('worker file'!$A$2:$A$406,_xlfn.UNICHAR(160)," ")),'worker file'!$D$2:$D$406,"Not found")</f>
        <v>WA</v>
      </c>
      <c r="D17" s="40" t="str">
        <f aca="false" t="array" ref="D17:D17">_xlfn.XLOOKUP($A17,TRIM(SUBSTITUTE('worker file'!$A$2:$A$406,_xlfn.UNICHAR(160)," ")),'worker file'!$Q$2:$Q$406,"Not found")</f>
        <v>Termination pending</v>
      </c>
      <c r="E17" s="39" t="s">
        <v>632</v>
      </c>
      <c r="F17" s="38" t="str">
        <f aca="false">_xlfn.XLOOKUP($E17,$A$5:$A$8,$B$5:$B$8,"")</f>
        <v>Dental – Employee</v>
      </c>
      <c r="G17" s="38" t="str">
        <f aca="false">_xlfn.XLOOKUP($E17,$A$5:$A$8,$D$5:$D$8,"")</f>
        <v>Pre-tax Section 125 (exempt from FIT/SIT/FICA)</v>
      </c>
      <c r="H17" s="38" t="str">
        <f aca="false">_xlfn.XLOOKUP($E17,$A$5:$A$8,$E$5:$E$8,"")</f>
        <v>Flat</v>
      </c>
      <c r="I17" s="44" t="str">
        <f aca="false">IF($H17="Percent",_xlfn.XLOOKUP($E17,$A$5:$A$8,$F$5:$F$8,""),"")</f>
        <v/>
      </c>
      <c r="J17" s="42" t="n">
        <f aca="false">IF($H17="Flat",_xlfn.XLOOKUP($E17,$A$5:$A$8,$F$5:$F$8,""),"")</f>
        <v>44</v>
      </c>
      <c r="K17" s="38" t="str">
        <f aca="false">_xlfn.XLOOKUP($E17,$A$5:$A$8,$G$5:$G$8,"")</f>
        <v>Per pay period</v>
      </c>
      <c r="L17" s="38" t="str">
        <f aca="false">_xlfn.XLOOKUP($E17,$A$5:$A$8,$H$5:$H$8,"")</f>
        <v>Every pay period (ongoing)</v>
      </c>
      <c r="M17" s="43" t="n">
        <f aca="false" t="array" ref="M17:M17">MAX(_xlfn.XLOOKUP($A17,TRIM(SUBSTITUTE('worker file'!$A$2:$A$406,_xlfn.UNICHAR(160)," ")),'worker file'!$M$2:$M$406,0),_xlfn.XLOOKUP($B17,TRIM('pay group &amp; schedule'!$A$2:$A$6),'pay group &amp; schedule'!$D$2:$D$6,0))</f>
        <v>46311</v>
      </c>
      <c r="N17" s="43" t="n">
        <f aca="false" t="array" ref="N17:N17">_xlfn.LET(_xlpm.t,_xlfn.XLOOKUP($A17,TRIM(SUBSTITUTE('worker file'!$A$2:$A$406,_xlfn.UNICHAR(160)," ")),'worker file'!$N$2:$N$406,""),IF(N(_xlpm.t)=0,"",_xlpm.t))</f>
        <v>46326</v>
      </c>
      <c r="O17" s="0" t="s">
        <v>644</v>
      </c>
    </row>
    <row r="18" customFormat="false" ht="15" hidden="false" customHeight="false" outlineLevel="0" collapsed="false">
      <c r="A18" s="39" t="s">
        <v>572</v>
      </c>
      <c r="B18" s="40" t="str">
        <f aca="false" t="array" ref="B18:B18">_xlfn.XLOOKUP($A18,TRIM(SUBSTITUTE('worker file'!$A$2:$A$406,_xlfn.UNICHAR(160)," ")),'worker file'!$L$2:$L$406,"Not found")</f>
        <v>US Semi-monthly</v>
      </c>
      <c r="C18" s="40" t="str">
        <f aca="false" t="array" ref="C18:C18">_xlfn.XLOOKUP($A18,TRIM(SUBSTITUTE('worker file'!$A$2:$A$406,_xlfn.UNICHAR(160)," ")),'worker file'!$D$2:$D$406,"Not found")</f>
        <v>WA</v>
      </c>
      <c r="D18" s="40" t="str">
        <f aca="false" t="array" ref="D18:D18">_xlfn.XLOOKUP($A18,TRIM(SUBSTITUTE('worker file'!$A$2:$A$406,_xlfn.UNICHAR(160)," ")),'worker file'!$Q$2:$Q$406,"Not found")</f>
        <v>Termination pending</v>
      </c>
      <c r="E18" s="39" t="s">
        <v>634</v>
      </c>
      <c r="F18" s="38" t="str">
        <f aca="false">_xlfn.XLOOKUP($E18,$A$5:$A$8,$B$5:$B$8,"")</f>
        <v>Vision – Employee</v>
      </c>
      <c r="G18" s="38" t="str">
        <f aca="false">_xlfn.XLOOKUP($E18,$A$5:$A$8,$D$5:$D$8,"")</f>
        <v>Pre-tax Section 125 (exempt from FIT/SIT/FICA)</v>
      </c>
      <c r="H18" s="38" t="str">
        <f aca="false">_xlfn.XLOOKUP($E18,$A$5:$A$8,$E$5:$E$8,"")</f>
        <v>Flat</v>
      </c>
      <c r="I18" s="44" t="str">
        <f aca="false">IF($H18="Percent",_xlfn.XLOOKUP($E18,$A$5:$A$8,$F$5:$F$8,""),"")</f>
        <v/>
      </c>
      <c r="J18" s="42" t="n">
        <f aca="false">IF($H18="Flat",_xlfn.XLOOKUP($E18,$A$5:$A$8,$F$5:$F$8,""),"")</f>
        <v>30</v>
      </c>
      <c r="K18" s="38" t="str">
        <f aca="false">_xlfn.XLOOKUP($E18,$A$5:$A$8,$G$5:$G$8,"")</f>
        <v>Per pay period</v>
      </c>
      <c r="L18" s="38" t="str">
        <f aca="false">_xlfn.XLOOKUP($E18,$A$5:$A$8,$H$5:$H$8,"")</f>
        <v>Every pay period (ongoing)</v>
      </c>
      <c r="M18" s="43" t="n">
        <f aca="false" t="array" ref="M18:M18">MAX(_xlfn.XLOOKUP($A18,TRIM(SUBSTITUTE('worker file'!$A$2:$A$406,_xlfn.UNICHAR(160)," ")),'worker file'!$M$2:$M$406,0),_xlfn.XLOOKUP($B18,TRIM('pay group &amp; schedule'!$A$2:$A$6),'pay group &amp; schedule'!$D$2:$D$6,0))</f>
        <v>46311</v>
      </c>
      <c r="N18" s="43" t="n">
        <f aca="false" t="array" ref="N18:N18">_xlfn.LET(_xlpm.t,_xlfn.XLOOKUP($A18,TRIM(SUBSTITUTE('worker file'!$A$2:$A$406,_xlfn.UNICHAR(160)," ")),'worker file'!$N$2:$N$406,""),IF(N(_xlpm.t)=0,"",_xlpm.t))</f>
        <v>46326</v>
      </c>
      <c r="O18" s="0" t="s">
        <v>644</v>
      </c>
    </row>
    <row r="19" customFormat="false" ht="15" hidden="false" customHeight="false" outlineLevel="0" collapsed="false">
      <c r="A19" s="39" t="s">
        <v>645</v>
      </c>
      <c r="B19" s="40" t="str">
        <f aca="false" t="array" ref="B19:B19">_xlfn.XLOOKUP($A19,TRIM(SUBSTITUTE('worker file'!$A$2:$A$406,_xlfn.UNICHAR(160)," ")),'worker file'!$L$2:$L$406,"Not found")</f>
        <v>US Biweekly</v>
      </c>
      <c r="C19" s="40" t="str">
        <f aca="false" t="array" ref="C19:C19">_xlfn.XLOOKUP($A19,TRIM(SUBSTITUTE('worker file'!$A$2:$A$406,_xlfn.UNICHAR(160)," ")),'worker file'!$D$2:$D$406,"Not found")</f>
        <v>CA</v>
      </c>
      <c r="D19" s="40" t="str">
        <f aca="false" t="array" ref="D19:D19">_xlfn.XLOOKUP($A19,TRIM(SUBSTITUTE('worker file'!$A$2:$A$406,_xlfn.UNICHAR(160)," ")),'worker file'!$Q$2:$Q$406,"Not found")</f>
        <v>Active</v>
      </c>
      <c r="E19" s="39" t="s">
        <v>618</v>
      </c>
      <c r="F19" s="38" t="str">
        <f aca="false">_xlfn.XLOOKUP($E19,$A$5:$A$8,$B$5:$B$8,"")</f>
        <v>401(k) Employee Deferral</v>
      </c>
      <c r="G19" s="38" t="str">
        <f aca="false">_xlfn.XLOOKUP($E19,$A$5:$A$8,$D$5:$D$8,"")</f>
        <v>Pre-tax (exempt from FIT/SIT; subject to FICA)</v>
      </c>
      <c r="H19" s="38" t="str">
        <f aca="false">_xlfn.XLOOKUP($E19,$A$5:$A$8,$E$5:$E$8,"")</f>
        <v>Percent</v>
      </c>
      <c r="I19" s="41" t="n">
        <v>0.05</v>
      </c>
      <c r="J19" s="42" t="str">
        <f aca="false">IF($H19="Flat",_xlfn.XLOOKUP($E19,$A$5:$A$8,$F$5:$F$8,""),"")</f>
        <v/>
      </c>
      <c r="K19" s="38" t="str">
        <f aca="false">_xlfn.XLOOKUP($E19,$A$5:$A$8,$G$5:$G$8,"")</f>
        <v>Gross pay</v>
      </c>
      <c r="L19" s="38" t="str">
        <f aca="false">_xlfn.XLOOKUP($E19,$A$5:$A$8,$H$5:$H$8,"")</f>
        <v>Every pay period (ongoing)</v>
      </c>
      <c r="M19" s="43" t="n">
        <f aca="false" t="array" ref="M19:M19">MAX(_xlfn.XLOOKUP($A19,TRIM(SUBSTITUTE('worker file'!$A$2:$A$406,_xlfn.UNICHAR(160)," ")),'worker file'!$M$2:$M$406,0),_xlfn.XLOOKUP($B19,TRIM('pay group &amp; schedule'!$A$2:$A$6),'pay group &amp; schedule'!$D$2:$D$6,0))</f>
        <v>46299</v>
      </c>
      <c r="N19" s="43" t="str">
        <f aca="false" t="array" ref="N19:N19">_xlfn.LET(_xlpm.t,_xlfn.XLOOKUP($A19,TRIM(SUBSTITUTE('worker file'!$A$2:$A$406,_xlfn.UNICHAR(160)," ")),'worker file'!$N$2:$N$406,""),IF(N(_xlpm.t)=0,"",_xlpm.t))</f>
        <v/>
      </c>
    </row>
    <row r="20" customFormat="false" ht="15" hidden="false" customHeight="false" outlineLevel="0" collapsed="false">
      <c r="A20" s="39" t="s">
        <v>645</v>
      </c>
      <c r="B20" s="40" t="str">
        <f aca="false" t="array" ref="B20:B20">_xlfn.XLOOKUP($A20,TRIM(SUBSTITUTE('worker file'!$A$2:$A$406,_xlfn.UNICHAR(160)," ")),'worker file'!$L$2:$L$406,"Not found")</f>
        <v>US Biweekly</v>
      </c>
      <c r="C20" s="40" t="str">
        <f aca="false" t="array" ref="C20:C20">_xlfn.XLOOKUP($A20,TRIM(SUBSTITUTE('worker file'!$A$2:$A$406,_xlfn.UNICHAR(160)," ")),'worker file'!$D$2:$D$406,"Not found")</f>
        <v>CA</v>
      </c>
      <c r="D20" s="40" t="str">
        <f aca="false" t="array" ref="D20:D20">_xlfn.XLOOKUP($A20,TRIM(SUBSTITUTE('worker file'!$A$2:$A$406,_xlfn.UNICHAR(160)," ")),'worker file'!$Q$2:$Q$406,"Not found")</f>
        <v>Active</v>
      </c>
      <c r="E20" s="39" t="s">
        <v>626</v>
      </c>
      <c r="F20" s="38" t="str">
        <f aca="false">_xlfn.XLOOKUP($E20,$A$5:$A$8,$B$5:$B$8,"")</f>
        <v>Medical (Health) – Employee</v>
      </c>
      <c r="G20" s="38" t="str">
        <f aca="false">_xlfn.XLOOKUP($E20,$A$5:$A$8,$D$5:$D$8,"")</f>
        <v>Pre-tax Section 125 (exempt from FIT/SIT/FICA)</v>
      </c>
      <c r="H20" s="38" t="str">
        <f aca="false">_xlfn.XLOOKUP($E20,$A$5:$A$8,$E$5:$E$8,"")</f>
        <v>Flat</v>
      </c>
      <c r="I20" s="44" t="str">
        <f aca="false">IF($H20="Percent",_xlfn.XLOOKUP($E20,$A$5:$A$8,$F$5:$F$8,""),"")</f>
        <v/>
      </c>
      <c r="J20" s="42" t="n">
        <f aca="false">IF($H20="Flat",_xlfn.XLOOKUP($E20,$A$5:$A$8,$F$5:$F$8,""),"")</f>
        <v>200</v>
      </c>
      <c r="K20" s="38" t="str">
        <f aca="false">_xlfn.XLOOKUP($E20,$A$5:$A$8,$G$5:$G$8,"")</f>
        <v>Per pay period</v>
      </c>
      <c r="L20" s="38" t="str">
        <f aca="false">_xlfn.XLOOKUP($E20,$A$5:$A$8,$H$5:$H$8,"")</f>
        <v>Every pay period (ongoing)</v>
      </c>
      <c r="M20" s="43" t="n">
        <f aca="false" t="array" ref="M20:M20">MAX(_xlfn.XLOOKUP($A20,TRIM(SUBSTITUTE('worker file'!$A$2:$A$406,_xlfn.UNICHAR(160)," ")),'worker file'!$M$2:$M$406,0),_xlfn.XLOOKUP($B20,TRIM('pay group &amp; schedule'!$A$2:$A$6),'pay group &amp; schedule'!$D$2:$D$6,0))</f>
        <v>46299</v>
      </c>
      <c r="N20" s="43" t="str">
        <f aca="false" t="array" ref="N20:N20">_xlfn.LET(_xlpm.t,_xlfn.XLOOKUP($A20,TRIM(SUBSTITUTE('worker file'!$A$2:$A$406,_xlfn.UNICHAR(160)," ")),'worker file'!$N$2:$N$406,""),IF(N(_xlpm.t)=0,"",_xlpm.t))</f>
        <v/>
      </c>
    </row>
    <row r="21" customFormat="false" ht="15" hidden="false" customHeight="false" outlineLevel="0" collapsed="false">
      <c r="A21" s="39" t="s">
        <v>645</v>
      </c>
      <c r="B21" s="40" t="str">
        <f aca="false" t="array" ref="B21:B21">_xlfn.XLOOKUP($A21,TRIM(SUBSTITUTE('worker file'!$A$2:$A$406,_xlfn.UNICHAR(160)," ")),'worker file'!$L$2:$L$406,"Not found")</f>
        <v>US Biweekly</v>
      </c>
      <c r="C21" s="40" t="str">
        <f aca="false" t="array" ref="C21:C21">_xlfn.XLOOKUP($A21,TRIM(SUBSTITUTE('worker file'!$A$2:$A$406,_xlfn.UNICHAR(160)," ")),'worker file'!$D$2:$D$406,"Not found")</f>
        <v>CA</v>
      </c>
      <c r="D21" s="40" t="str">
        <f aca="false" t="array" ref="D21:D21">_xlfn.XLOOKUP($A21,TRIM(SUBSTITUTE('worker file'!$A$2:$A$406,_xlfn.UNICHAR(160)," ")),'worker file'!$Q$2:$Q$406,"Not found")</f>
        <v>Active</v>
      </c>
      <c r="E21" s="39" t="s">
        <v>632</v>
      </c>
      <c r="F21" s="38" t="str">
        <f aca="false">_xlfn.XLOOKUP($E21,$A$5:$A$8,$B$5:$B$8,"")</f>
        <v>Dental – Employee</v>
      </c>
      <c r="G21" s="38" t="str">
        <f aca="false">_xlfn.XLOOKUP($E21,$A$5:$A$8,$D$5:$D$8,"")</f>
        <v>Pre-tax Section 125 (exempt from FIT/SIT/FICA)</v>
      </c>
      <c r="H21" s="38" t="str">
        <f aca="false">_xlfn.XLOOKUP($E21,$A$5:$A$8,$E$5:$E$8,"")</f>
        <v>Flat</v>
      </c>
      <c r="I21" s="44" t="str">
        <f aca="false">IF($H21="Percent",_xlfn.XLOOKUP($E21,$A$5:$A$8,$F$5:$F$8,""),"")</f>
        <v/>
      </c>
      <c r="J21" s="42" t="n">
        <f aca="false">IF($H21="Flat",_xlfn.XLOOKUP($E21,$A$5:$A$8,$F$5:$F$8,""),"")</f>
        <v>44</v>
      </c>
      <c r="K21" s="38" t="str">
        <f aca="false">_xlfn.XLOOKUP($E21,$A$5:$A$8,$G$5:$G$8,"")</f>
        <v>Per pay period</v>
      </c>
      <c r="L21" s="38" t="str">
        <f aca="false">_xlfn.XLOOKUP($E21,$A$5:$A$8,$H$5:$H$8,"")</f>
        <v>Every pay period (ongoing)</v>
      </c>
      <c r="M21" s="43" t="n">
        <f aca="false" t="array" ref="M21:M21">MAX(_xlfn.XLOOKUP($A21,TRIM(SUBSTITUTE('worker file'!$A$2:$A$406,_xlfn.UNICHAR(160)," ")),'worker file'!$M$2:$M$406,0),_xlfn.XLOOKUP($B21,TRIM('pay group &amp; schedule'!$A$2:$A$6),'pay group &amp; schedule'!$D$2:$D$6,0))</f>
        <v>46299</v>
      </c>
      <c r="N21" s="43" t="str">
        <f aca="false" t="array" ref="N21:N21">_xlfn.LET(_xlpm.t,_xlfn.XLOOKUP($A21,TRIM(SUBSTITUTE('worker file'!$A$2:$A$406,_xlfn.UNICHAR(160)," ")),'worker file'!$N$2:$N$406,""),IF(N(_xlpm.t)=0,"",_xlpm.t))</f>
        <v/>
      </c>
    </row>
    <row r="22" customFormat="false" ht="15" hidden="false" customHeight="false" outlineLevel="0" collapsed="false">
      <c r="A22" s="39" t="s">
        <v>645</v>
      </c>
      <c r="B22" s="40" t="str">
        <f aca="false" t="array" ref="B22:B22">_xlfn.XLOOKUP($A22,TRIM(SUBSTITUTE('worker file'!$A$2:$A$406,_xlfn.UNICHAR(160)," ")),'worker file'!$L$2:$L$406,"Not found")</f>
        <v>US Biweekly</v>
      </c>
      <c r="C22" s="40" t="str">
        <f aca="false" t="array" ref="C22:C22">_xlfn.XLOOKUP($A22,TRIM(SUBSTITUTE('worker file'!$A$2:$A$406,_xlfn.UNICHAR(160)," ")),'worker file'!$D$2:$D$406,"Not found")</f>
        <v>CA</v>
      </c>
      <c r="D22" s="40" t="str">
        <f aca="false" t="array" ref="D22:D22">_xlfn.XLOOKUP($A22,TRIM(SUBSTITUTE('worker file'!$A$2:$A$406,_xlfn.UNICHAR(160)," ")),'worker file'!$Q$2:$Q$406,"Not found")</f>
        <v>Active</v>
      </c>
      <c r="E22" s="39" t="s">
        <v>634</v>
      </c>
      <c r="F22" s="38" t="str">
        <f aca="false">_xlfn.XLOOKUP($E22,$A$5:$A$8,$B$5:$B$8,"")</f>
        <v>Vision – Employee</v>
      </c>
      <c r="G22" s="38" t="str">
        <f aca="false">_xlfn.XLOOKUP($E22,$A$5:$A$8,$D$5:$D$8,"")</f>
        <v>Pre-tax Section 125 (exempt from FIT/SIT/FICA)</v>
      </c>
      <c r="H22" s="38" t="str">
        <f aca="false">_xlfn.XLOOKUP($E22,$A$5:$A$8,$E$5:$E$8,"")</f>
        <v>Flat</v>
      </c>
      <c r="I22" s="44" t="str">
        <f aca="false">IF($H22="Percent",_xlfn.XLOOKUP($E22,$A$5:$A$8,$F$5:$F$8,""),"")</f>
        <v/>
      </c>
      <c r="J22" s="42" t="n">
        <f aca="false">IF($H22="Flat",_xlfn.XLOOKUP($E22,$A$5:$A$8,$F$5:$F$8,""),"")</f>
        <v>30</v>
      </c>
      <c r="K22" s="38" t="str">
        <f aca="false">_xlfn.XLOOKUP($E22,$A$5:$A$8,$G$5:$G$8,"")</f>
        <v>Per pay period</v>
      </c>
      <c r="L22" s="38" t="str">
        <f aca="false">_xlfn.XLOOKUP($E22,$A$5:$A$8,$H$5:$H$8,"")</f>
        <v>Every pay period (ongoing)</v>
      </c>
      <c r="M22" s="43" t="n">
        <f aca="false" t="array" ref="M22:M22">MAX(_xlfn.XLOOKUP($A22,TRIM(SUBSTITUTE('worker file'!$A$2:$A$406,_xlfn.UNICHAR(160)," ")),'worker file'!$M$2:$M$406,0),_xlfn.XLOOKUP($B22,TRIM('pay group &amp; schedule'!$A$2:$A$6),'pay group &amp; schedule'!$D$2:$D$6,0))</f>
        <v>46299</v>
      </c>
      <c r="N22" s="43" t="str">
        <f aca="false" t="array" ref="N22:N22">_xlfn.LET(_xlpm.t,_xlfn.XLOOKUP($A22,TRIM(SUBSTITUTE('worker file'!$A$2:$A$406,_xlfn.UNICHAR(160)," ")),'worker file'!$N$2:$N$406,""),IF(N(_xlpm.t)=0,"",_xlpm.t))</f>
        <v/>
      </c>
    </row>
    <row r="23" customFormat="false" ht="15" hidden="false" customHeight="false" outlineLevel="0" collapsed="false">
      <c r="A23" s="39" t="s">
        <v>579</v>
      </c>
      <c r="B23" s="40" t="str">
        <f aca="false" t="array" ref="B23:B23">_xlfn.XLOOKUP($A23,TRIM(SUBSTITUTE('worker file'!$A$2:$A$406,_xlfn.UNICHAR(160)," ")),'worker file'!$L$2:$L$406,"Not found")</f>
        <v>US Biweekly</v>
      </c>
      <c r="C23" s="40" t="str">
        <f aca="false" t="array" ref="C23:C23">_xlfn.XLOOKUP($A23,TRIM(SUBSTITUTE('worker file'!$A$2:$A$406,_xlfn.UNICHAR(160)," ")),'worker file'!$D$2:$D$406,"Not found")</f>
        <v>TX</v>
      </c>
      <c r="D23" s="40" t="str">
        <f aca="false" t="array" ref="D23:D23">_xlfn.XLOOKUP($A23,TRIM(SUBSTITUTE('worker file'!$A$2:$A$406,_xlfn.UNICHAR(160)," ")),'worker file'!$Q$2:$Q$406,"Not found")</f>
        <v>Active</v>
      </c>
      <c r="E23" s="39" t="s">
        <v>618</v>
      </c>
      <c r="F23" s="38" t="str">
        <f aca="false">_xlfn.XLOOKUP($E23,$A$5:$A$8,$B$5:$B$8,"")</f>
        <v>401(k) Employee Deferral</v>
      </c>
      <c r="G23" s="38" t="str">
        <f aca="false">_xlfn.XLOOKUP($E23,$A$5:$A$8,$D$5:$D$8,"")</f>
        <v>Pre-tax (exempt from FIT/SIT; subject to FICA)</v>
      </c>
      <c r="H23" s="38" t="str">
        <f aca="false">_xlfn.XLOOKUP($E23,$A$5:$A$8,$E$5:$E$8,"")</f>
        <v>Percent</v>
      </c>
      <c r="I23" s="41" t="n">
        <v>0.02</v>
      </c>
      <c r="J23" s="42" t="str">
        <f aca="false">IF($H23="Flat",_xlfn.XLOOKUP($E23,$A$5:$A$8,$F$5:$F$8,""),"")</f>
        <v/>
      </c>
      <c r="K23" s="38" t="str">
        <f aca="false">_xlfn.XLOOKUP($E23,$A$5:$A$8,$G$5:$G$8,"")</f>
        <v>Gross pay</v>
      </c>
      <c r="L23" s="38" t="str">
        <f aca="false">_xlfn.XLOOKUP($E23,$A$5:$A$8,$H$5:$H$8,"")</f>
        <v>Every pay period (ongoing)</v>
      </c>
      <c r="M23" s="43" t="n">
        <f aca="false" t="array" ref="M23:M23">MAX(_xlfn.XLOOKUP($A23,TRIM(SUBSTITUTE('worker file'!$A$2:$A$406,_xlfn.UNICHAR(160)," ")),'worker file'!$M$2:$M$406,0),_xlfn.XLOOKUP($B23,TRIM('pay group &amp; schedule'!$A$2:$A$6),'pay group &amp; schedule'!$D$2:$D$6,0))</f>
        <v>46299</v>
      </c>
      <c r="N23" s="43" t="str">
        <f aca="false" t="array" ref="N23:N23">_xlfn.LET(_xlpm.t,_xlfn.XLOOKUP($A23,TRIM(SUBSTITUTE('worker file'!$A$2:$A$406,_xlfn.UNICHAR(160)," ")),'worker file'!$N$2:$N$406,""),IF(N(_xlpm.t)=0,"",_xlpm.t))</f>
        <v/>
      </c>
    </row>
    <row r="24" customFormat="false" ht="15" hidden="false" customHeight="false" outlineLevel="0" collapsed="false">
      <c r="A24" s="39" t="s">
        <v>579</v>
      </c>
      <c r="B24" s="40" t="str">
        <f aca="false" t="array" ref="B24:B24">_xlfn.XLOOKUP($A24,TRIM(SUBSTITUTE('worker file'!$A$2:$A$406,_xlfn.UNICHAR(160)," ")),'worker file'!$L$2:$L$406,"Not found")</f>
        <v>US Biweekly</v>
      </c>
      <c r="C24" s="40" t="str">
        <f aca="false" t="array" ref="C24:C24">_xlfn.XLOOKUP($A24,TRIM(SUBSTITUTE('worker file'!$A$2:$A$406,_xlfn.UNICHAR(160)," ")),'worker file'!$D$2:$D$406,"Not found")</f>
        <v>TX</v>
      </c>
      <c r="D24" s="40" t="str">
        <f aca="false" t="array" ref="D24:D24">_xlfn.XLOOKUP($A24,TRIM(SUBSTITUTE('worker file'!$A$2:$A$406,_xlfn.UNICHAR(160)," ")),'worker file'!$Q$2:$Q$406,"Not found")</f>
        <v>Active</v>
      </c>
      <c r="E24" s="39" t="s">
        <v>626</v>
      </c>
      <c r="F24" s="38" t="str">
        <f aca="false">_xlfn.XLOOKUP($E24,$A$5:$A$8,$B$5:$B$8,"")</f>
        <v>Medical (Health) – Employee</v>
      </c>
      <c r="G24" s="38" t="str">
        <f aca="false">_xlfn.XLOOKUP($E24,$A$5:$A$8,$D$5:$D$8,"")</f>
        <v>Pre-tax Section 125 (exempt from FIT/SIT/FICA)</v>
      </c>
      <c r="H24" s="38" t="str">
        <f aca="false">_xlfn.XLOOKUP($E24,$A$5:$A$8,$E$5:$E$8,"")</f>
        <v>Flat</v>
      </c>
      <c r="I24" s="44" t="str">
        <f aca="false">IF($H24="Percent",_xlfn.XLOOKUP($E24,$A$5:$A$8,$F$5:$F$8,""),"")</f>
        <v/>
      </c>
      <c r="J24" s="42" t="n">
        <f aca="false">IF($H24="Flat",_xlfn.XLOOKUP($E24,$A$5:$A$8,$F$5:$F$8,""),"")</f>
        <v>200</v>
      </c>
      <c r="K24" s="38" t="str">
        <f aca="false">_xlfn.XLOOKUP($E24,$A$5:$A$8,$G$5:$G$8,"")</f>
        <v>Per pay period</v>
      </c>
      <c r="L24" s="38" t="str">
        <f aca="false">_xlfn.XLOOKUP($E24,$A$5:$A$8,$H$5:$H$8,"")</f>
        <v>Every pay period (ongoing)</v>
      </c>
      <c r="M24" s="43" t="n">
        <f aca="false" t="array" ref="M24:M24">MAX(_xlfn.XLOOKUP($A24,TRIM(SUBSTITUTE('worker file'!$A$2:$A$406,_xlfn.UNICHAR(160)," ")),'worker file'!$M$2:$M$406,0),_xlfn.XLOOKUP($B24,TRIM('pay group &amp; schedule'!$A$2:$A$6),'pay group &amp; schedule'!$D$2:$D$6,0))</f>
        <v>46299</v>
      </c>
      <c r="N24" s="43" t="str">
        <f aca="false" t="array" ref="N24:N24">_xlfn.LET(_xlpm.t,_xlfn.XLOOKUP($A24,TRIM(SUBSTITUTE('worker file'!$A$2:$A$406,_xlfn.UNICHAR(160)," ")),'worker file'!$N$2:$N$406,""),IF(N(_xlpm.t)=0,"",_xlpm.t))</f>
        <v/>
      </c>
    </row>
    <row r="25" customFormat="false" ht="15" hidden="false" customHeight="false" outlineLevel="0" collapsed="false">
      <c r="A25" s="39" t="s">
        <v>579</v>
      </c>
      <c r="B25" s="40" t="str">
        <f aca="false" t="array" ref="B25:B25">_xlfn.XLOOKUP($A25,TRIM(SUBSTITUTE('worker file'!$A$2:$A$406,_xlfn.UNICHAR(160)," ")),'worker file'!$L$2:$L$406,"Not found")</f>
        <v>US Biweekly</v>
      </c>
      <c r="C25" s="40" t="str">
        <f aca="false" t="array" ref="C25:C25">_xlfn.XLOOKUP($A25,TRIM(SUBSTITUTE('worker file'!$A$2:$A$406,_xlfn.UNICHAR(160)," ")),'worker file'!$D$2:$D$406,"Not found")</f>
        <v>TX</v>
      </c>
      <c r="D25" s="40" t="str">
        <f aca="false" t="array" ref="D25:D25">_xlfn.XLOOKUP($A25,TRIM(SUBSTITUTE('worker file'!$A$2:$A$406,_xlfn.UNICHAR(160)," ")),'worker file'!$Q$2:$Q$406,"Not found")</f>
        <v>Active</v>
      </c>
      <c r="E25" s="39" t="s">
        <v>632</v>
      </c>
      <c r="F25" s="38" t="str">
        <f aca="false">_xlfn.XLOOKUP($E25,$A$5:$A$8,$B$5:$B$8,"")</f>
        <v>Dental – Employee</v>
      </c>
      <c r="G25" s="38" t="str">
        <f aca="false">_xlfn.XLOOKUP($E25,$A$5:$A$8,$D$5:$D$8,"")</f>
        <v>Pre-tax Section 125 (exempt from FIT/SIT/FICA)</v>
      </c>
      <c r="H25" s="38" t="str">
        <f aca="false">_xlfn.XLOOKUP($E25,$A$5:$A$8,$E$5:$E$8,"")</f>
        <v>Flat</v>
      </c>
      <c r="I25" s="44" t="str">
        <f aca="false">IF($H25="Percent",_xlfn.XLOOKUP($E25,$A$5:$A$8,$F$5:$F$8,""),"")</f>
        <v/>
      </c>
      <c r="J25" s="42" t="n">
        <f aca="false">IF($H25="Flat",_xlfn.XLOOKUP($E25,$A$5:$A$8,$F$5:$F$8,""),"")</f>
        <v>44</v>
      </c>
      <c r="K25" s="38" t="str">
        <f aca="false">_xlfn.XLOOKUP($E25,$A$5:$A$8,$G$5:$G$8,"")</f>
        <v>Per pay period</v>
      </c>
      <c r="L25" s="38" t="str">
        <f aca="false">_xlfn.XLOOKUP($E25,$A$5:$A$8,$H$5:$H$8,"")</f>
        <v>Every pay period (ongoing)</v>
      </c>
      <c r="M25" s="43" t="n">
        <f aca="false" t="array" ref="M25:M25">MAX(_xlfn.XLOOKUP($A25,TRIM(SUBSTITUTE('worker file'!$A$2:$A$406,_xlfn.UNICHAR(160)," ")),'worker file'!$M$2:$M$406,0),_xlfn.XLOOKUP($B25,TRIM('pay group &amp; schedule'!$A$2:$A$6),'pay group &amp; schedule'!$D$2:$D$6,0))</f>
        <v>46299</v>
      </c>
      <c r="N25" s="43" t="str">
        <f aca="false" t="array" ref="N25:N25">_xlfn.LET(_xlpm.t,_xlfn.XLOOKUP($A25,TRIM(SUBSTITUTE('worker file'!$A$2:$A$406,_xlfn.UNICHAR(160)," ")),'worker file'!$N$2:$N$406,""),IF(N(_xlpm.t)=0,"",_xlpm.t))</f>
        <v/>
      </c>
    </row>
    <row r="26" customFormat="false" ht="15" hidden="false" customHeight="false" outlineLevel="0" collapsed="false">
      <c r="A26" s="39" t="s">
        <v>579</v>
      </c>
      <c r="B26" s="40" t="str">
        <f aca="false" t="array" ref="B26:B26">_xlfn.XLOOKUP($A26,TRIM(SUBSTITUTE('worker file'!$A$2:$A$406,_xlfn.UNICHAR(160)," ")),'worker file'!$L$2:$L$406,"Not found")</f>
        <v>US Biweekly</v>
      </c>
      <c r="C26" s="40" t="str">
        <f aca="false" t="array" ref="C26:C26">_xlfn.XLOOKUP($A26,TRIM(SUBSTITUTE('worker file'!$A$2:$A$406,_xlfn.UNICHAR(160)," ")),'worker file'!$D$2:$D$406,"Not found")</f>
        <v>TX</v>
      </c>
      <c r="D26" s="40" t="str">
        <f aca="false" t="array" ref="D26:D26">_xlfn.XLOOKUP($A26,TRIM(SUBSTITUTE('worker file'!$A$2:$A$406,_xlfn.UNICHAR(160)," ")),'worker file'!$Q$2:$Q$406,"Not found")</f>
        <v>Active</v>
      </c>
      <c r="E26" s="39" t="s">
        <v>634</v>
      </c>
      <c r="F26" s="38" t="str">
        <f aca="false">_xlfn.XLOOKUP($E26,$A$5:$A$8,$B$5:$B$8,"")</f>
        <v>Vision – Employee</v>
      </c>
      <c r="G26" s="38" t="str">
        <f aca="false">_xlfn.XLOOKUP($E26,$A$5:$A$8,$D$5:$D$8,"")</f>
        <v>Pre-tax Section 125 (exempt from FIT/SIT/FICA)</v>
      </c>
      <c r="H26" s="38" t="str">
        <f aca="false">_xlfn.XLOOKUP($E26,$A$5:$A$8,$E$5:$E$8,"")</f>
        <v>Flat</v>
      </c>
      <c r="I26" s="44" t="str">
        <f aca="false">IF($H26="Percent",_xlfn.XLOOKUP($E26,$A$5:$A$8,$F$5:$F$8,""),"")</f>
        <v/>
      </c>
      <c r="J26" s="42" t="n">
        <f aca="false">IF($H26="Flat",_xlfn.XLOOKUP($E26,$A$5:$A$8,$F$5:$F$8,""),"")</f>
        <v>30</v>
      </c>
      <c r="K26" s="38" t="str">
        <f aca="false">_xlfn.XLOOKUP($E26,$A$5:$A$8,$G$5:$G$8,"")</f>
        <v>Per pay period</v>
      </c>
      <c r="L26" s="38" t="str">
        <f aca="false">_xlfn.XLOOKUP($E26,$A$5:$A$8,$H$5:$H$8,"")</f>
        <v>Every pay period (ongoing)</v>
      </c>
      <c r="M26" s="43" t="n">
        <f aca="false" t="array" ref="M26:M26">MAX(_xlfn.XLOOKUP($A26,TRIM(SUBSTITUTE('worker file'!$A$2:$A$406,_xlfn.UNICHAR(160)," ")),'worker file'!$M$2:$M$406,0),_xlfn.XLOOKUP($B26,TRIM('pay group &amp; schedule'!$A$2:$A$6),'pay group &amp; schedule'!$D$2:$D$6,0))</f>
        <v>46299</v>
      </c>
      <c r="N26" s="43" t="str">
        <f aca="false" t="array" ref="N26:N26">_xlfn.LET(_xlpm.t,_xlfn.XLOOKUP($A26,TRIM(SUBSTITUTE('worker file'!$A$2:$A$406,_xlfn.UNICHAR(160)," ")),'worker file'!$N$2:$N$406,""),IF(N(_xlpm.t)=0,"",_xlpm.t))</f>
        <v/>
      </c>
    </row>
    <row r="27" customFormat="false" ht="15" hidden="false" customHeight="false" outlineLevel="0" collapsed="false">
      <c r="A27" s="39" t="s">
        <v>565</v>
      </c>
      <c r="B27" s="40" t="str">
        <f aca="false" t="array" ref="B27:B27">_xlfn.XLOOKUP($A27,TRIM(SUBSTITUTE('worker file'!$A$2:$A$406,_xlfn.UNICHAR(160)," ")),'worker file'!$L$2:$L$406,"Not found")</f>
        <v>US Biweekly</v>
      </c>
      <c r="C27" s="40" t="str">
        <f aca="false" t="array" ref="C27:C27">_xlfn.XLOOKUP($A27,TRIM(SUBSTITUTE('worker file'!$A$2:$A$406,_xlfn.UNICHAR(160)," ")),'worker file'!$D$2:$D$406,"Not found")</f>
        <v>CA</v>
      </c>
      <c r="D27" s="40" t="str">
        <f aca="false" t="array" ref="D27:D27">_xlfn.XLOOKUP($A27,TRIM(SUBSTITUTE('worker file'!$A$2:$A$406,_xlfn.UNICHAR(160)," ")),'worker file'!$Q$2:$Q$406,"Not found")</f>
        <v>Termination pending</v>
      </c>
      <c r="E27" s="39" t="s">
        <v>618</v>
      </c>
      <c r="F27" s="38" t="str">
        <f aca="false">_xlfn.XLOOKUP($E27,$A$5:$A$8,$B$5:$B$8,"")</f>
        <v>401(k) Employee Deferral</v>
      </c>
      <c r="G27" s="38" t="str">
        <f aca="false">_xlfn.XLOOKUP($E27,$A$5:$A$8,$D$5:$D$8,"")</f>
        <v>Pre-tax (exempt from FIT/SIT; subject to FICA)</v>
      </c>
      <c r="H27" s="38" t="str">
        <f aca="false">_xlfn.XLOOKUP($E27,$A$5:$A$8,$E$5:$E$8,"")</f>
        <v>Percent</v>
      </c>
      <c r="I27" s="41" t="n">
        <v>0.07</v>
      </c>
      <c r="J27" s="42" t="str">
        <f aca="false">IF($H27="Flat",_xlfn.XLOOKUP($E27,$A$5:$A$8,$F$5:$F$8,""),"")</f>
        <v/>
      </c>
      <c r="K27" s="38" t="str">
        <f aca="false">_xlfn.XLOOKUP($E27,$A$5:$A$8,$G$5:$G$8,"")</f>
        <v>Gross pay</v>
      </c>
      <c r="L27" s="38" t="str">
        <f aca="false">_xlfn.XLOOKUP($E27,$A$5:$A$8,$H$5:$H$8,"")</f>
        <v>Every pay period (ongoing)</v>
      </c>
      <c r="M27" s="43" t="n">
        <f aca="false" t="array" ref="M27:M27">MAX(_xlfn.XLOOKUP($A27,TRIM(SUBSTITUTE('worker file'!$A$2:$A$406,_xlfn.UNICHAR(160)," ")),'worker file'!$M$2:$M$406,0),_xlfn.XLOOKUP($B27,TRIM('pay group &amp; schedule'!$A$2:$A$6),'pay group &amp; schedule'!$D$2:$D$6,0))</f>
        <v>46299</v>
      </c>
      <c r="N27" s="43" t="n">
        <f aca="false" t="array" ref="N27:N27">_xlfn.LET(_xlpm.t,_xlfn.XLOOKUP($A27,TRIM(SUBSTITUTE('worker file'!$A$2:$A$406,_xlfn.UNICHAR(160)," ")),'worker file'!$N$2:$N$406,""),IF(N(_xlpm.t)=0,"",_xlpm.t))</f>
        <v>46312</v>
      </c>
      <c r="O27" s="0" t="s">
        <v>644</v>
      </c>
    </row>
    <row r="28" customFormat="false" ht="15" hidden="false" customHeight="false" outlineLevel="0" collapsed="false">
      <c r="A28" s="39" t="s">
        <v>565</v>
      </c>
      <c r="B28" s="40" t="str">
        <f aca="false" t="array" ref="B28:B28">_xlfn.XLOOKUP($A28,TRIM(SUBSTITUTE('worker file'!$A$2:$A$406,_xlfn.UNICHAR(160)," ")),'worker file'!$L$2:$L$406,"Not found")</f>
        <v>US Biweekly</v>
      </c>
      <c r="C28" s="40" t="str">
        <f aca="false" t="array" ref="C28:C28">_xlfn.XLOOKUP($A28,TRIM(SUBSTITUTE('worker file'!$A$2:$A$406,_xlfn.UNICHAR(160)," ")),'worker file'!$D$2:$D$406,"Not found")</f>
        <v>CA</v>
      </c>
      <c r="D28" s="40" t="str">
        <f aca="false" t="array" ref="D28:D28">_xlfn.XLOOKUP($A28,TRIM(SUBSTITUTE('worker file'!$A$2:$A$406,_xlfn.UNICHAR(160)," ")),'worker file'!$Q$2:$Q$406,"Not found")</f>
        <v>Termination pending</v>
      </c>
      <c r="E28" s="39" t="s">
        <v>626</v>
      </c>
      <c r="F28" s="38" t="str">
        <f aca="false">_xlfn.XLOOKUP($E28,$A$5:$A$8,$B$5:$B$8,"")</f>
        <v>Medical (Health) – Employee</v>
      </c>
      <c r="G28" s="38" t="str">
        <f aca="false">_xlfn.XLOOKUP($E28,$A$5:$A$8,$D$5:$D$8,"")</f>
        <v>Pre-tax Section 125 (exempt from FIT/SIT/FICA)</v>
      </c>
      <c r="H28" s="38" t="str">
        <f aca="false">_xlfn.XLOOKUP($E28,$A$5:$A$8,$E$5:$E$8,"")</f>
        <v>Flat</v>
      </c>
      <c r="I28" s="44" t="str">
        <f aca="false">IF($H28="Percent",_xlfn.XLOOKUP($E28,$A$5:$A$8,$F$5:$F$8,""),"")</f>
        <v/>
      </c>
      <c r="J28" s="42" t="n">
        <f aca="false">IF($H28="Flat",_xlfn.XLOOKUP($E28,$A$5:$A$8,$F$5:$F$8,""),"")</f>
        <v>200</v>
      </c>
      <c r="K28" s="38" t="str">
        <f aca="false">_xlfn.XLOOKUP($E28,$A$5:$A$8,$G$5:$G$8,"")</f>
        <v>Per pay period</v>
      </c>
      <c r="L28" s="38" t="str">
        <f aca="false">_xlfn.XLOOKUP($E28,$A$5:$A$8,$H$5:$H$8,"")</f>
        <v>Every pay period (ongoing)</v>
      </c>
      <c r="M28" s="43" t="n">
        <f aca="false" t="array" ref="M28:M28">MAX(_xlfn.XLOOKUP($A28,TRIM(SUBSTITUTE('worker file'!$A$2:$A$406,_xlfn.UNICHAR(160)," ")),'worker file'!$M$2:$M$406,0),_xlfn.XLOOKUP($B28,TRIM('pay group &amp; schedule'!$A$2:$A$6),'pay group &amp; schedule'!$D$2:$D$6,0))</f>
        <v>46299</v>
      </c>
      <c r="N28" s="43" t="n">
        <f aca="false" t="array" ref="N28:N28">_xlfn.LET(_xlpm.t,_xlfn.XLOOKUP($A28,TRIM(SUBSTITUTE('worker file'!$A$2:$A$406,_xlfn.UNICHAR(160)," ")),'worker file'!$N$2:$N$406,""),IF(N(_xlpm.t)=0,"",_xlpm.t))</f>
        <v>46312</v>
      </c>
      <c r="O28" s="0" t="s">
        <v>644</v>
      </c>
    </row>
    <row r="29" customFormat="false" ht="15" hidden="false" customHeight="false" outlineLevel="0" collapsed="false">
      <c r="A29" s="39" t="s">
        <v>565</v>
      </c>
      <c r="B29" s="40" t="str">
        <f aca="false" t="array" ref="B29:B29">_xlfn.XLOOKUP($A29,TRIM(SUBSTITUTE('worker file'!$A$2:$A$406,_xlfn.UNICHAR(160)," ")),'worker file'!$L$2:$L$406,"Not found")</f>
        <v>US Biweekly</v>
      </c>
      <c r="C29" s="40" t="str">
        <f aca="false" t="array" ref="C29:C29">_xlfn.XLOOKUP($A29,TRIM(SUBSTITUTE('worker file'!$A$2:$A$406,_xlfn.UNICHAR(160)," ")),'worker file'!$D$2:$D$406,"Not found")</f>
        <v>CA</v>
      </c>
      <c r="D29" s="40" t="str">
        <f aca="false" t="array" ref="D29:D29">_xlfn.XLOOKUP($A29,TRIM(SUBSTITUTE('worker file'!$A$2:$A$406,_xlfn.UNICHAR(160)," ")),'worker file'!$Q$2:$Q$406,"Not found")</f>
        <v>Termination pending</v>
      </c>
      <c r="E29" s="39" t="s">
        <v>632</v>
      </c>
      <c r="F29" s="38" t="str">
        <f aca="false">_xlfn.XLOOKUP($E29,$A$5:$A$8,$B$5:$B$8,"")</f>
        <v>Dental – Employee</v>
      </c>
      <c r="G29" s="38" t="str">
        <f aca="false">_xlfn.XLOOKUP($E29,$A$5:$A$8,$D$5:$D$8,"")</f>
        <v>Pre-tax Section 125 (exempt from FIT/SIT/FICA)</v>
      </c>
      <c r="H29" s="38" t="str">
        <f aca="false">_xlfn.XLOOKUP($E29,$A$5:$A$8,$E$5:$E$8,"")</f>
        <v>Flat</v>
      </c>
      <c r="I29" s="44" t="str">
        <f aca="false">IF($H29="Percent",_xlfn.XLOOKUP($E29,$A$5:$A$8,$F$5:$F$8,""),"")</f>
        <v/>
      </c>
      <c r="J29" s="42" t="n">
        <f aca="false">IF($H29="Flat",_xlfn.XLOOKUP($E29,$A$5:$A$8,$F$5:$F$8,""),"")</f>
        <v>44</v>
      </c>
      <c r="K29" s="38" t="str">
        <f aca="false">_xlfn.XLOOKUP($E29,$A$5:$A$8,$G$5:$G$8,"")</f>
        <v>Per pay period</v>
      </c>
      <c r="L29" s="38" t="str">
        <f aca="false">_xlfn.XLOOKUP($E29,$A$5:$A$8,$H$5:$H$8,"")</f>
        <v>Every pay period (ongoing)</v>
      </c>
      <c r="M29" s="43" t="n">
        <f aca="false" t="array" ref="M29:M29">MAX(_xlfn.XLOOKUP($A29,TRIM(SUBSTITUTE('worker file'!$A$2:$A$406,_xlfn.UNICHAR(160)," ")),'worker file'!$M$2:$M$406,0),_xlfn.XLOOKUP($B29,TRIM('pay group &amp; schedule'!$A$2:$A$6),'pay group &amp; schedule'!$D$2:$D$6,0))</f>
        <v>46299</v>
      </c>
      <c r="N29" s="43" t="n">
        <f aca="false" t="array" ref="N29:N29">_xlfn.LET(_xlpm.t,_xlfn.XLOOKUP($A29,TRIM(SUBSTITUTE('worker file'!$A$2:$A$406,_xlfn.UNICHAR(160)," ")),'worker file'!$N$2:$N$406,""),IF(N(_xlpm.t)=0,"",_xlpm.t))</f>
        <v>46312</v>
      </c>
      <c r="O29" s="0" t="s">
        <v>644</v>
      </c>
    </row>
    <row r="30" customFormat="false" ht="15" hidden="false" customHeight="false" outlineLevel="0" collapsed="false">
      <c r="A30" s="39" t="s">
        <v>565</v>
      </c>
      <c r="B30" s="40" t="str">
        <f aca="false" t="array" ref="B30:B30">_xlfn.XLOOKUP($A30,TRIM(SUBSTITUTE('worker file'!$A$2:$A$406,_xlfn.UNICHAR(160)," ")),'worker file'!$L$2:$L$406,"Not found")</f>
        <v>US Biweekly</v>
      </c>
      <c r="C30" s="40" t="str">
        <f aca="false" t="array" ref="C30:C30">_xlfn.XLOOKUP($A30,TRIM(SUBSTITUTE('worker file'!$A$2:$A$406,_xlfn.UNICHAR(160)," ")),'worker file'!$D$2:$D$406,"Not found")</f>
        <v>CA</v>
      </c>
      <c r="D30" s="40" t="str">
        <f aca="false" t="array" ref="D30:D30">_xlfn.XLOOKUP($A30,TRIM(SUBSTITUTE('worker file'!$A$2:$A$406,_xlfn.UNICHAR(160)," ")),'worker file'!$Q$2:$Q$406,"Not found")</f>
        <v>Termination pending</v>
      </c>
      <c r="E30" s="39" t="s">
        <v>634</v>
      </c>
      <c r="F30" s="38" t="str">
        <f aca="false">_xlfn.XLOOKUP($E30,$A$5:$A$8,$B$5:$B$8,"")</f>
        <v>Vision – Employee</v>
      </c>
      <c r="G30" s="38" t="str">
        <f aca="false">_xlfn.XLOOKUP($E30,$A$5:$A$8,$D$5:$D$8,"")</f>
        <v>Pre-tax Section 125 (exempt from FIT/SIT/FICA)</v>
      </c>
      <c r="H30" s="38" t="str">
        <f aca="false">_xlfn.XLOOKUP($E30,$A$5:$A$8,$E$5:$E$8,"")</f>
        <v>Flat</v>
      </c>
      <c r="I30" s="44" t="str">
        <f aca="false">IF($H30="Percent",_xlfn.XLOOKUP($E30,$A$5:$A$8,$F$5:$F$8,""),"")</f>
        <v/>
      </c>
      <c r="J30" s="42" t="n">
        <f aca="false">IF($H30="Flat",_xlfn.XLOOKUP($E30,$A$5:$A$8,$F$5:$F$8,""),"")</f>
        <v>30</v>
      </c>
      <c r="K30" s="38" t="str">
        <f aca="false">_xlfn.XLOOKUP($E30,$A$5:$A$8,$G$5:$G$8,"")</f>
        <v>Per pay period</v>
      </c>
      <c r="L30" s="38" t="str">
        <f aca="false">_xlfn.XLOOKUP($E30,$A$5:$A$8,$H$5:$H$8,"")</f>
        <v>Every pay period (ongoing)</v>
      </c>
      <c r="M30" s="43" t="n">
        <f aca="false" t="array" ref="M30:M30">MAX(_xlfn.XLOOKUP($A30,TRIM(SUBSTITUTE('worker file'!$A$2:$A$406,_xlfn.UNICHAR(160)," ")),'worker file'!$M$2:$M$406,0),_xlfn.XLOOKUP($B30,TRIM('pay group &amp; schedule'!$A$2:$A$6),'pay group &amp; schedule'!$D$2:$D$6,0))</f>
        <v>46299</v>
      </c>
      <c r="N30" s="43" t="n">
        <f aca="false" t="array" ref="N30:N30">_xlfn.LET(_xlpm.t,_xlfn.XLOOKUP($A30,TRIM(SUBSTITUTE('worker file'!$A$2:$A$406,_xlfn.UNICHAR(160)," ")),'worker file'!$N$2:$N$406,""),IF(N(_xlpm.t)=0,"",_xlpm.t))</f>
        <v>46312</v>
      </c>
      <c r="O30" s="0" t="s">
        <v>644</v>
      </c>
    </row>
    <row r="31" customFormat="false" ht="15" hidden="false" customHeight="false" outlineLevel="0" collapsed="false">
      <c r="A31" s="39" t="s">
        <v>594</v>
      </c>
      <c r="B31" s="40" t="str">
        <f aca="false" t="array" ref="B31:B31">_xlfn.XLOOKUP($A31,TRIM(SUBSTITUTE('worker file'!$A$2:$A$406,_xlfn.UNICHAR(160)," ")),'worker file'!$L$2:$L$406,"Not found")</f>
        <v>US Semi-monthly</v>
      </c>
      <c r="C31" s="40" t="str">
        <f aca="false" t="array" ref="C31:C31">_xlfn.XLOOKUP($A31,TRIM(SUBSTITUTE('worker file'!$A$2:$A$406,_xlfn.UNICHAR(160)," ")),'worker file'!$D$2:$D$406,"Not found")</f>
        <v>NY</v>
      </c>
      <c r="D31" s="40" t="str">
        <f aca="false" t="array" ref="D31:D31">_xlfn.XLOOKUP($A31,TRIM(SUBSTITUTE('worker file'!$A$2:$A$406,_xlfn.UNICHAR(160)," ")),'worker file'!$Q$2:$Q$406,"Not found")</f>
        <v>On Leave(unpaid)</v>
      </c>
      <c r="E31" s="39" t="s">
        <v>618</v>
      </c>
      <c r="F31" s="38" t="str">
        <f aca="false">_xlfn.XLOOKUP($E31,$A$5:$A$8,$B$5:$B$8,"")</f>
        <v>401(k) Employee Deferral</v>
      </c>
      <c r="G31" s="38" t="str">
        <f aca="false">_xlfn.XLOOKUP($E31,$A$5:$A$8,$D$5:$D$8,"")</f>
        <v>Pre-tax (exempt from FIT/SIT; subject to FICA)</v>
      </c>
      <c r="H31" s="38" t="str">
        <f aca="false">_xlfn.XLOOKUP($E31,$A$5:$A$8,$E$5:$E$8,"")</f>
        <v>Percent</v>
      </c>
      <c r="I31" s="41" t="n">
        <v>0.04</v>
      </c>
      <c r="J31" s="42" t="str">
        <f aca="false">IF($H31="Flat",_xlfn.XLOOKUP($E31,$A$5:$A$8,$F$5:$F$8,""),"")</f>
        <v/>
      </c>
      <c r="K31" s="38" t="str">
        <f aca="false">_xlfn.XLOOKUP($E31,$A$5:$A$8,$G$5:$G$8,"")</f>
        <v>Gross pay</v>
      </c>
      <c r="L31" s="38" t="str">
        <f aca="false">_xlfn.XLOOKUP($E31,$A$5:$A$8,$H$5:$H$8,"")</f>
        <v>Every pay period (ongoing)</v>
      </c>
      <c r="M31" s="43" t="n">
        <f aca="false" t="array" ref="M31:M31">MAX(_xlfn.XLOOKUP($A31,TRIM(SUBSTITUTE('worker file'!$A$2:$A$406,_xlfn.UNICHAR(160)," ")),'worker file'!$M$2:$M$406,0),_xlfn.XLOOKUP($B31,TRIM('pay group &amp; schedule'!$A$2:$A$6),'pay group &amp; schedule'!$D$2:$D$6,0))</f>
        <v>46311</v>
      </c>
      <c r="N31" s="43" t="str">
        <f aca="false" t="array" ref="N31:N31">_xlfn.LET(_xlpm.t,_xlfn.XLOOKUP($A31,TRIM(SUBSTITUTE('worker file'!$A$2:$A$406,_xlfn.UNICHAR(160)," ")),'worker file'!$N$2:$N$406,""),IF(N(_xlpm.t)=0,"",_xlpm.t))</f>
        <v/>
      </c>
      <c r="O31" s="0" t="s">
        <v>646</v>
      </c>
    </row>
    <row r="32" customFormat="false" ht="15" hidden="false" customHeight="false" outlineLevel="0" collapsed="false">
      <c r="A32" s="39" t="s">
        <v>594</v>
      </c>
      <c r="B32" s="40" t="str">
        <f aca="false" t="array" ref="B32:B32">_xlfn.XLOOKUP($A32,TRIM(SUBSTITUTE('worker file'!$A$2:$A$406,_xlfn.UNICHAR(160)," ")),'worker file'!$L$2:$L$406,"Not found")</f>
        <v>US Semi-monthly</v>
      </c>
      <c r="C32" s="40" t="str">
        <f aca="false" t="array" ref="C32:C32">_xlfn.XLOOKUP($A32,TRIM(SUBSTITUTE('worker file'!$A$2:$A$406,_xlfn.UNICHAR(160)," ")),'worker file'!$D$2:$D$406,"Not found")</f>
        <v>NY</v>
      </c>
      <c r="D32" s="40" t="str">
        <f aca="false" t="array" ref="D32:D32">_xlfn.XLOOKUP($A32,TRIM(SUBSTITUTE('worker file'!$A$2:$A$406,_xlfn.UNICHAR(160)," ")),'worker file'!$Q$2:$Q$406,"Not found")</f>
        <v>On Leave(unpaid)</v>
      </c>
      <c r="E32" s="39" t="s">
        <v>626</v>
      </c>
      <c r="F32" s="38" t="str">
        <f aca="false">_xlfn.XLOOKUP($E32,$A$5:$A$8,$B$5:$B$8,"")</f>
        <v>Medical (Health) – Employee</v>
      </c>
      <c r="G32" s="38" t="str">
        <f aca="false">_xlfn.XLOOKUP($E32,$A$5:$A$8,$D$5:$D$8,"")</f>
        <v>Pre-tax Section 125 (exempt from FIT/SIT/FICA)</v>
      </c>
      <c r="H32" s="38" t="str">
        <f aca="false">_xlfn.XLOOKUP($E32,$A$5:$A$8,$E$5:$E$8,"")</f>
        <v>Flat</v>
      </c>
      <c r="I32" s="44" t="str">
        <f aca="false">IF($H32="Percent",_xlfn.XLOOKUP($E32,$A$5:$A$8,$F$5:$F$8,""),"")</f>
        <v/>
      </c>
      <c r="J32" s="42" t="n">
        <f aca="false">IF($H32="Flat",_xlfn.XLOOKUP($E32,$A$5:$A$8,$F$5:$F$8,""),"")</f>
        <v>200</v>
      </c>
      <c r="K32" s="38" t="str">
        <f aca="false">_xlfn.XLOOKUP($E32,$A$5:$A$8,$G$5:$G$8,"")</f>
        <v>Per pay period</v>
      </c>
      <c r="L32" s="38" t="str">
        <f aca="false">_xlfn.XLOOKUP($E32,$A$5:$A$8,$H$5:$H$8,"")</f>
        <v>Every pay period (ongoing)</v>
      </c>
      <c r="M32" s="43" t="n">
        <f aca="false" t="array" ref="M32:M32">MAX(_xlfn.XLOOKUP($A32,TRIM(SUBSTITUTE('worker file'!$A$2:$A$406,_xlfn.UNICHAR(160)," ")),'worker file'!$M$2:$M$406,0),_xlfn.XLOOKUP($B32,TRIM('pay group &amp; schedule'!$A$2:$A$6),'pay group &amp; schedule'!$D$2:$D$6,0))</f>
        <v>46311</v>
      </c>
      <c r="N32" s="43" t="str">
        <f aca="false" t="array" ref="N32:N32">_xlfn.LET(_xlpm.t,_xlfn.XLOOKUP($A32,TRIM(SUBSTITUTE('worker file'!$A$2:$A$406,_xlfn.UNICHAR(160)," ")),'worker file'!$N$2:$N$406,""),IF(N(_xlpm.t)=0,"",_xlpm.t))</f>
        <v/>
      </c>
      <c r="O32" s="0" t="s">
        <v>646</v>
      </c>
    </row>
    <row r="33" customFormat="false" ht="15" hidden="false" customHeight="false" outlineLevel="0" collapsed="false">
      <c r="A33" s="39" t="s">
        <v>594</v>
      </c>
      <c r="B33" s="40" t="str">
        <f aca="false" t="array" ref="B33:B33">_xlfn.XLOOKUP($A33,TRIM(SUBSTITUTE('worker file'!$A$2:$A$406,_xlfn.UNICHAR(160)," ")),'worker file'!$L$2:$L$406,"Not found")</f>
        <v>US Semi-monthly</v>
      </c>
      <c r="C33" s="40" t="str">
        <f aca="false" t="array" ref="C33:C33">_xlfn.XLOOKUP($A33,TRIM(SUBSTITUTE('worker file'!$A$2:$A$406,_xlfn.UNICHAR(160)," ")),'worker file'!$D$2:$D$406,"Not found")</f>
        <v>NY</v>
      </c>
      <c r="D33" s="40" t="str">
        <f aca="false" t="array" ref="D33:D33">_xlfn.XLOOKUP($A33,TRIM(SUBSTITUTE('worker file'!$A$2:$A$406,_xlfn.UNICHAR(160)," ")),'worker file'!$Q$2:$Q$406,"Not found")</f>
        <v>On Leave(unpaid)</v>
      </c>
      <c r="E33" s="39" t="s">
        <v>632</v>
      </c>
      <c r="F33" s="38" t="str">
        <f aca="false">_xlfn.XLOOKUP($E33,$A$5:$A$8,$B$5:$B$8,"")</f>
        <v>Dental – Employee</v>
      </c>
      <c r="G33" s="38" t="str">
        <f aca="false">_xlfn.XLOOKUP($E33,$A$5:$A$8,$D$5:$D$8,"")</f>
        <v>Pre-tax Section 125 (exempt from FIT/SIT/FICA)</v>
      </c>
      <c r="H33" s="38" t="str">
        <f aca="false">_xlfn.XLOOKUP($E33,$A$5:$A$8,$E$5:$E$8,"")</f>
        <v>Flat</v>
      </c>
      <c r="I33" s="44" t="str">
        <f aca="false">IF($H33="Percent",_xlfn.XLOOKUP($E33,$A$5:$A$8,$F$5:$F$8,""),"")</f>
        <v/>
      </c>
      <c r="J33" s="42" t="n">
        <f aca="false">IF($H33="Flat",_xlfn.XLOOKUP($E33,$A$5:$A$8,$F$5:$F$8,""),"")</f>
        <v>44</v>
      </c>
      <c r="K33" s="38" t="str">
        <f aca="false">_xlfn.XLOOKUP($E33,$A$5:$A$8,$G$5:$G$8,"")</f>
        <v>Per pay period</v>
      </c>
      <c r="L33" s="38" t="str">
        <f aca="false">_xlfn.XLOOKUP($E33,$A$5:$A$8,$H$5:$H$8,"")</f>
        <v>Every pay period (ongoing)</v>
      </c>
      <c r="M33" s="43" t="n">
        <f aca="false" t="array" ref="M33:M33">MAX(_xlfn.XLOOKUP($A33,TRIM(SUBSTITUTE('worker file'!$A$2:$A$406,_xlfn.UNICHAR(160)," ")),'worker file'!$M$2:$M$406,0),_xlfn.XLOOKUP($B33,TRIM('pay group &amp; schedule'!$A$2:$A$6),'pay group &amp; schedule'!$D$2:$D$6,0))</f>
        <v>46311</v>
      </c>
      <c r="N33" s="43" t="str">
        <f aca="false" t="array" ref="N33:N33">_xlfn.LET(_xlpm.t,_xlfn.XLOOKUP($A33,TRIM(SUBSTITUTE('worker file'!$A$2:$A$406,_xlfn.UNICHAR(160)," ")),'worker file'!$N$2:$N$406,""),IF(N(_xlpm.t)=0,"",_xlpm.t))</f>
        <v/>
      </c>
      <c r="O33" s="0" t="s">
        <v>646</v>
      </c>
    </row>
    <row r="34" customFormat="false" ht="15" hidden="false" customHeight="false" outlineLevel="0" collapsed="false">
      <c r="A34" s="39" t="s">
        <v>594</v>
      </c>
      <c r="B34" s="40" t="str">
        <f aca="false" t="array" ref="B34:B34">_xlfn.XLOOKUP($A34,TRIM(SUBSTITUTE('worker file'!$A$2:$A$406,_xlfn.UNICHAR(160)," ")),'worker file'!$L$2:$L$406,"Not found")</f>
        <v>US Semi-monthly</v>
      </c>
      <c r="C34" s="40" t="str">
        <f aca="false" t="array" ref="C34:C34">_xlfn.XLOOKUP($A34,TRIM(SUBSTITUTE('worker file'!$A$2:$A$406,_xlfn.UNICHAR(160)," ")),'worker file'!$D$2:$D$406,"Not found")</f>
        <v>NY</v>
      </c>
      <c r="D34" s="40" t="str">
        <f aca="false" t="array" ref="D34:D34">_xlfn.XLOOKUP($A34,TRIM(SUBSTITUTE('worker file'!$A$2:$A$406,_xlfn.UNICHAR(160)," ")),'worker file'!$Q$2:$Q$406,"Not found")</f>
        <v>On Leave(unpaid)</v>
      </c>
      <c r="E34" s="39" t="s">
        <v>634</v>
      </c>
      <c r="F34" s="38" t="str">
        <f aca="false">_xlfn.XLOOKUP($E34,$A$5:$A$8,$B$5:$B$8,"")</f>
        <v>Vision – Employee</v>
      </c>
      <c r="G34" s="38" t="str">
        <f aca="false">_xlfn.XLOOKUP($E34,$A$5:$A$8,$D$5:$D$8,"")</f>
        <v>Pre-tax Section 125 (exempt from FIT/SIT/FICA)</v>
      </c>
      <c r="H34" s="38" t="str">
        <f aca="false">_xlfn.XLOOKUP($E34,$A$5:$A$8,$E$5:$E$8,"")</f>
        <v>Flat</v>
      </c>
      <c r="I34" s="44" t="str">
        <f aca="false">IF($H34="Percent",_xlfn.XLOOKUP($E34,$A$5:$A$8,$F$5:$F$8,""),"")</f>
        <v/>
      </c>
      <c r="J34" s="42" t="n">
        <f aca="false">IF($H34="Flat",_xlfn.XLOOKUP($E34,$A$5:$A$8,$F$5:$F$8,""),"")</f>
        <v>30</v>
      </c>
      <c r="K34" s="38" t="str">
        <f aca="false">_xlfn.XLOOKUP($E34,$A$5:$A$8,$G$5:$G$8,"")</f>
        <v>Per pay period</v>
      </c>
      <c r="L34" s="38" t="str">
        <f aca="false">_xlfn.XLOOKUP($E34,$A$5:$A$8,$H$5:$H$8,"")</f>
        <v>Every pay period (ongoing)</v>
      </c>
      <c r="M34" s="43" t="n">
        <f aca="false" t="array" ref="M34:M34">MAX(_xlfn.XLOOKUP($A34,TRIM(SUBSTITUTE('worker file'!$A$2:$A$406,_xlfn.UNICHAR(160)," ")),'worker file'!$M$2:$M$406,0),_xlfn.XLOOKUP($B34,TRIM('pay group &amp; schedule'!$A$2:$A$6),'pay group &amp; schedule'!$D$2:$D$6,0))</f>
        <v>46311</v>
      </c>
      <c r="N34" s="43" t="str">
        <f aca="false" t="array" ref="N34:N34">_xlfn.LET(_xlpm.t,_xlfn.XLOOKUP($A34,TRIM(SUBSTITUTE('worker file'!$A$2:$A$406,_xlfn.UNICHAR(160)," ")),'worker file'!$N$2:$N$406,""),IF(N(_xlpm.t)=0,"",_xlpm.t))</f>
        <v/>
      </c>
      <c r="O34" s="0" t="s">
        <v>646</v>
      </c>
    </row>
    <row r="35" customFormat="false" ht="15" hidden="false" customHeight="false" outlineLevel="0" collapsed="false">
      <c r="A35" s="39" t="s">
        <v>596</v>
      </c>
      <c r="B35" s="40" t="str">
        <f aca="false" t="array" ref="B35:B35">_xlfn.XLOOKUP($A35,TRIM(SUBSTITUTE('worker file'!$A$2:$A$406,_xlfn.UNICHAR(160)," ")),'worker file'!$L$2:$L$406,"Not found")</f>
        <v>US Semi-monthly</v>
      </c>
      <c r="C35" s="40" t="str">
        <f aca="false" t="array" ref="C35:C35">_xlfn.XLOOKUP($A35,TRIM(SUBSTITUTE('worker file'!$A$2:$A$406,_xlfn.UNICHAR(160)," ")),'worker file'!$D$2:$D$406,"Not found")</f>
        <v>CA</v>
      </c>
      <c r="D35" s="40" t="str">
        <f aca="false" t="array" ref="D35:D35">_xlfn.XLOOKUP($A35,TRIM(SUBSTITUTE('worker file'!$A$2:$A$406,_xlfn.UNICHAR(160)," ")),'worker file'!$Q$2:$Q$406,"Not found")</f>
        <v>New Hire</v>
      </c>
      <c r="E35" s="39" t="s">
        <v>618</v>
      </c>
      <c r="F35" s="38" t="str">
        <f aca="false">_xlfn.XLOOKUP($E35,$A$5:$A$8,$B$5:$B$8,"")</f>
        <v>401(k) Employee Deferral</v>
      </c>
      <c r="G35" s="38" t="str">
        <f aca="false">_xlfn.XLOOKUP($E35,$A$5:$A$8,$D$5:$D$8,"")</f>
        <v>Pre-tax (exempt from FIT/SIT; subject to FICA)</v>
      </c>
      <c r="H35" s="38" t="str">
        <f aca="false">_xlfn.XLOOKUP($E35,$A$5:$A$8,$E$5:$E$8,"")</f>
        <v>Percent</v>
      </c>
      <c r="I35" s="41" t="n">
        <v>0.01</v>
      </c>
      <c r="J35" s="42" t="str">
        <f aca="false">IF($H35="Flat",_xlfn.XLOOKUP($E35,$A$5:$A$8,$F$5:$F$8,""),"")</f>
        <v/>
      </c>
      <c r="K35" s="38" t="str">
        <f aca="false">_xlfn.XLOOKUP($E35,$A$5:$A$8,$G$5:$G$8,"")</f>
        <v>Gross pay</v>
      </c>
      <c r="L35" s="38" t="str">
        <f aca="false">_xlfn.XLOOKUP($E35,$A$5:$A$8,$H$5:$H$8,"")</f>
        <v>Every pay period (ongoing)</v>
      </c>
      <c r="M35" s="43" t="n">
        <f aca="false" t="array" ref="M35:M35">MAX(_xlfn.XLOOKUP($A35,TRIM(SUBSTITUTE('worker file'!$A$2:$A$406,_xlfn.UNICHAR(160)," ")),'worker file'!$M$2:$M$406,0),_xlfn.XLOOKUP($B35,TRIM('pay group &amp; schedule'!$A$2:$A$6),'pay group &amp; schedule'!$D$2:$D$6,0))</f>
        <v>46316</v>
      </c>
      <c r="N35" s="43" t="str">
        <f aca="false" t="array" ref="N35:N35">_xlfn.LET(_xlpm.t,_xlfn.XLOOKUP($A35,TRIM(SUBSTITUTE('worker file'!$A$2:$A$406,_xlfn.UNICHAR(160)," ")),'worker file'!$N$2:$N$406,""),IF(N(_xlpm.t)=0,"",_xlpm.t))</f>
        <v/>
      </c>
      <c r="O35" s="0" t="s">
        <v>647</v>
      </c>
    </row>
    <row r="36" customFormat="false" ht="15" hidden="false" customHeight="false" outlineLevel="0" collapsed="false">
      <c r="A36" s="39" t="s">
        <v>596</v>
      </c>
      <c r="B36" s="40" t="str">
        <f aca="false" t="array" ref="B36:B36">_xlfn.XLOOKUP($A36,TRIM(SUBSTITUTE('worker file'!$A$2:$A$406,_xlfn.UNICHAR(160)," ")),'worker file'!$L$2:$L$406,"Not found")</f>
        <v>US Semi-monthly</v>
      </c>
      <c r="C36" s="40" t="str">
        <f aca="false" t="array" ref="C36:C36">_xlfn.XLOOKUP($A36,TRIM(SUBSTITUTE('worker file'!$A$2:$A$406,_xlfn.UNICHAR(160)," ")),'worker file'!$D$2:$D$406,"Not found")</f>
        <v>CA</v>
      </c>
      <c r="D36" s="40" t="str">
        <f aca="false" t="array" ref="D36:D36">_xlfn.XLOOKUP($A36,TRIM(SUBSTITUTE('worker file'!$A$2:$A$406,_xlfn.UNICHAR(160)," ")),'worker file'!$Q$2:$Q$406,"Not found")</f>
        <v>New Hire</v>
      </c>
      <c r="E36" s="39" t="s">
        <v>626</v>
      </c>
      <c r="F36" s="38" t="str">
        <f aca="false">_xlfn.XLOOKUP($E36,$A$5:$A$8,$B$5:$B$8,"")</f>
        <v>Medical (Health) – Employee</v>
      </c>
      <c r="G36" s="38" t="str">
        <f aca="false">_xlfn.XLOOKUP($E36,$A$5:$A$8,$D$5:$D$8,"")</f>
        <v>Pre-tax Section 125 (exempt from FIT/SIT/FICA)</v>
      </c>
      <c r="H36" s="38" t="str">
        <f aca="false">_xlfn.XLOOKUP($E36,$A$5:$A$8,$E$5:$E$8,"")</f>
        <v>Flat</v>
      </c>
      <c r="I36" s="44" t="str">
        <f aca="false">IF($H36="Percent",_xlfn.XLOOKUP($E36,$A$5:$A$8,$F$5:$F$8,""),"")</f>
        <v/>
      </c>
      <c r="J36" s="42" t="n">
        <f aca="false">IF($H36="Flat",_xlfn.XLOOKUP($E36,$A$5:$A$8,$F$5:$F$8,""),"")</f>
        <v>200</v>
      </c>
      <c r="K36" s="38" t="str">
        <f aca="false">_xlfn.XLOOKUP($E36,$A$5:$A$8,$G$5:$G$8,"")</f>
        <v>Per pay period</v>
      </c>
      <c r="L36" s="38" t="str">
        <f aca="false">_xlfn.XLOOKUP($E36,$A$5:$A$8,$H$5:$H$8,"")</f>
        <v>Every pay period (ongoing)</v>
      </c>
      <c r="M36" s="43" t="n">
        <f aca="false" t="array" ref="M36:M36">MAX(_xlfn.XLOOKUP($A36,TRIM(SUBSTITUTE('worker file'!$A$2:$A$406,_xlfn.UNICHAR(160)," ")),'worker file'!$M$2:$M$406,0),_xlfn.XLOOKUP($B36,TRIM('pay group &amp; schedule'!$A$2:$A$6),'pay group &amp; schedule'!$D$2:$D$6,0))</f>
        <v>46316</v>
      </c>
      <c r="N36" s="43" t="str">
        <f aca="false" t="array" ref="N36:N36">_xlfn.LET(_xlpm.t,_xlfn.XLOOKUP($A36,TRIM(SUBSTITUTE('worker file'!$A$2:$A$406,_xlfn.UNICHAR(160)," ")),'worker file'!$N$2:$N$406,""),IF(N(_xlpm.t)=0,"",_xlpm.t))</f>
        <v/>
      </c>
      <c r="O36" s="0" t="s">
        <v>647</v>
      </c>
    </row>
    <row r="37" customFormat="false" ht="15" hidden="false" customHeight="false" outlineLevel="0" collapsed="false">
      <c r="A37" s="39" t="s">
        <v>596</v>
      </c>
      <c r="B37" s="40" t="str">
        <f aca="false" t="array" ref="B37:B37">_xlfn.XLOOKUP($A37,TRIM(SUBSTITUTE('worker file'!$A$2:$A$406,_xlfn.UNICHAR(160)," ")),'worker file'!$L$2:$L$406,"Not found")</f>
        <v>US Semi-monthly</v>
      </c>
      <c r="C37" s="40" t="str">
        <f aca="false" t="array" ref="C37:C37">_xlfn.XLOOKUP($A37,TRIM(SUBSTITUTE('worker file'!$A$2:$A$406,_xlfn.UNICHAR(160)," ")),'worker file'!$D$2:$D$406,"Not found")</f>
        <v>CA</v>
      </c>
      <c r="D37" s="40" t="str">
        <f aca="false" t="array" ref="D37:D37">_xlfn.XLOOKUP($A37,TRIM(SUBSTITUTE('worker file'!$A$2:$A$406,_xlfn.UNICHAR(160)," ")),'worker file'!$Q$2:$Q$406,"Not found")</f>
        <v>New Hire</v>
      </c>
      <c r="E37" s="39" t="s">
        <v>632</v>
      </c>
      <c r="F37" s="38" t="str">
        <f aca="false">_xlfn.XLOOKUP($E37,$A$5:$A$8,$B$5:$B$8,"")</f>
        <v>Dental – Employee</v>
      </c>
      <c r="G37" s="38" t="str">
        <f aca="false">_xlfn.XLOOKUP($E37,$A$5:$A$8,$D$5:$D$8,"")</f>
        <v>Pre-tax Section 125 (exempt from FIT/SIT/FICA)</v>
      </c>
      <c r="H37" s="38" t="str">
        <f aca="false">_xlfn.XLOOKUP($E37,$A$5:$A$8,$E$5:$E$8,"")</f>
        <v>Flat</v>
      </c>
      <c r="I37" s="44" t="str">
        <f aca="false">IF($H37="Percent",_xlfn.XLOOKUP($E37,$A$5:$A$8,$F$5:$F$8,""),"")</f>
        <v/>
      </c>
      <c r="J37" s="42" t="n">
        <f aca="false">IF($H37="Flat",_xlfn.XLOOKUP($E37,$A$5:$A$8,$F$5:$F$8,""),"")</f>
        <v>44</v>
      </c>
      <c r="K37" s="38" t="str">
        <f aca="false">_xlfn.XLOOKUP($E37,$A$5:$A$8,$G$5:$G$8,"")</f>
        <v>Per pay period</v>
      </c>
      <c r="L37" s="38" t="str">
        <f aca="false">_xlfn.XLOOKUP($E37,$A$5:$A$8,$H$5:$H$8,"")</f>
        <v>Every pay period (ongoing)</v>
      </c>
      <c r="M37" s="43" t="n">
        <f aca="false" t="array" ref="M37:M37">MAX(_xlfn.XLOOKUP($A37,TRIM(SUBSTITUTE('worker file'!$A$2:$A$406,_xlfn.UNICHAR(160)," ")),'worker file'!$M$2:$M$406,0),_xlfn.XLOOKUP($B37,TRIM('pay group &amp; schedule'!$A$2:$A$6),'pay group &amp; schedule'!$D$2:$D$6,0))</f>
        <v>46316</v>
      </c>
      <c r="N37" s="43" t="str">
        <f aca="false" t="array" ref="N37:N37">_xlfn.LET(_xlpm.t,_xlfn.XLOOKUP($A37,TRIM(SUBSTITUTE('worker file'!$A$2:$A$406,_xlfn.UNICHAR(160)," ")),'worker file'!$N$2:$N$406,""),IF(N(_xlpm.t)=0,"",_xlpm.t))</f>
        <v/>
      </c>
      <c r="O37" s="0" t="s">
        <v>647</v>
      </c>
    </row>
    <row r="38" customFormat="false" ht="15" hidden="false" customHeight="false" outlineLevel="0" collapsed="false">
      <c r="A38" s="39" t="s">
        <v>596</v>
      </c>
      <c r="B38" s="40" t="str">
        <f aca="false" t="array" ref="B38:B38">_xlfn.XLOOKUP($A38,TRIM(SUBSTITUTE('worker file'!$A$2:$A$406,_xlfn.UNICHAR(160)," ")),'worker file'!$L$2:$L$406,"Not found")</f>
        <v>US Semi-monthly</v>
      </c>
      <c r="C38" s="40" t="str">
        <f aca="false" t="array" ref="C38:C38">_xlfn.XLOOKUP($A38,TRIM(SUBSTITUTE('worker file'!$A$2:$A$406,_xlfn.UNICHAR(160)," ")),'worker file'!$D$2:$D$406,"Not found")</f>
        <v>CA</v>
      </c>
      <c r="D38" s="40" t="str">
        <f aca="false" t="array" ref="D38:D38">_xlfn.XLOOKUP($A38,TRIM(SUBSTITUTE('worker file'!$A$2:$A$406,_xlfn.UNICHAR(160)," ")),'worker file'!$Q$2:$Q$406,"Not found")</f>
        <v>New Hire</v>
      </c>
      <c r="E38" s="39" t="s">
        <v>634</v>
      </c>
      <c r="F38" s="38" t="str">
        <f aca="false">_xlfn.XLOOKUP($E38,$A$5:$A$8,$B$5:$B$8,"")</f>
        <v>Vision – Employee</v>
      </c>
      <c r="G38" s="38" t="str">
        <f aca="false">_xlfn.XLOOKUP($E38,$A$5:$A$8,$D$5:$D$8,"")</f>
        <v>Pre-tax Section 125 (exempt from FIT/SIT/FICA)</v>
      </c>
      <c r="H38" s="38" t="str">
        <f aca="false">_xlfn.XLOOKUP($E38,$A$5:$A$8,$E$5:$E$8,"")</f>
        <v>Flat</v>
      </c>
      <c r="I38" s="44" t="str">
        <f aca="false">IF($H38="Percent",_xlfn.XLOOKUP($E38,$A$5:$A$8,$F$5:$F$8,""),"")</f>
        <v/>
      </c>
      <c r="J38" s="42" t="n">
        <f aca="false">IF($H38="Flat",_xlfn.XLOOKUP($E38,$A$5:$A$8,$F$5:$F$8,""),"")</f>
        <v>30</v>
      </c>
      <c r="K38" s="38" t="str">
        <f aca="false">_xlfn.XLOOKUP($E38,$A$5:$A$8,$G$5:$G$8,"")</f>
        <v>Per pay period</v>
      </c>
      <c r="L38" s="38" t="str">
        <f aca="false">_xlfn.XLOOKUP($E38,$A$5:$A$8,$H$5:$H$8,"")</f>
        <v>Every pay period (ongoing)</v>
      </c>
      <c r="M38" s="43" t="n">
        <f aca="false" t="array" ref="M38:M38">MAX(_xlfn.XLOOKUP($A38,TRIM(SUBSTITUTE('worker file'!$A$2:$A$406,_xlfn.UNICHAR(160)," ")),'worker file'!$M$2:$M$406,0),_xlfn.XLOOKUP($B38,TRIM('pay group &amp; schedule'!$A$2:$A$6),'pay group &amp; schedule'!$D$2:$D$6,0))</f>
        <v>46316</v>
      </c>
      <c r="N38" s="43" t="str">
        <f aca="false" t="array" ref="N38:N38">_xlfn.LET(_xlpm.t,_xlfn.XLOOKUP($A38,TRIM(SUBSTITUTE('worker file'!$A$2:$A$406,_xlfn.UNICHAR(160)," ")),'worker file'!$N$2:$N$406,""),IF(N(_xlpm.t)=0,"",_xlpm.t))</f>
        <v/>
      </c>
      <c r="O38" s="0" t="s">
        <v>647</v>
      </c>
    </row>
    <row r="39" customFormat="false" ht="15" hidden="false" customHeight="false" outlineLevel="0" collapsed="false">
      <c r="A39" s="39" t="s">
        <v>98</v>
      </c>
      <c r="B39" s="40" t="str">
        <f aca="false" t="array" ref="B39:B39">_xlfn.XLOOKUP($A39,TRIM(SUBSTITUTE('worker file'!$A$2:$A$406,_xlfn.UNICHAR(160)," ")),'worker file'!$L$2:$L$406,"Not found")</f>
        <v>US Semi-monthly</v>
      </c>
      <c r="C39" s="40" t="str">
        <f aca="false" t="array" ref="C39:C39">_xlfn.XLOOKUP($A39,TRIM(SUBSTITUTE('worker file'!$A$2:$A$406,_xlfn.UNICHAR(160)," ")),'worker file'!$D$2:$D$406,"Not found")</f>
        <v>CA</v>
      </c>
      <c r="D39" s="40" t="str">
        <f aca="false" t="array" ref="D39:D39">_xlfn.XLOOKUP($A39,TRIM(SUBSTITUTE('worker file'!$A$2:$A$406,_xlfn.UNICHAR(160)," ")),'worker file'!$Q$2:$Q$406,"Not found")</f>
        <v>Active</v>
      </c>
      <c r="E39" s="39" t="s">
        <v>618</v>
      </c>
      <c r="F39" s="38" t="str">
        <f aca="false">_xlfn.XLOOKUP($E39,$A$5:$A$8,$B$5:$B$8,"")</f>
        <v>401(k) Employee Deferral</v>
      </c>
      <c r="G39" s="38" t="str">
        <f aca="false">_xlfn.XLOOKUP($E39,$A$5:$A$8,$D$5:$D$8,"")</f>
        <v>Pre-tax (exempt from FIT/SIT; subject to FICA)</v>
      </c>
      <c r="H39" s="38" t="str">
        <f aca="false">_xlfn.XLOOKUP($E39,$A$5:$A$8,$E$5:$E$8,"")</f>
        <v>Percent</v>
      </c>
      <c r="I39" s="41" t="n">
        <v>0.06</v>
      </c>
      <c r="J39" s="42" t="str">
        <f aca="false">IF($H39="Flat",_xlfn.XLOOKUP($E39,$A$5:$A$8,$F$5:$F$8,""),"")</f>
        <v/>
      </c>
      <c r="K39" s="38" t="str">
        <f aca="false">_xlfn.XLOOKUP($E39,$A$5:$A$8,$G$5:$G$8,"")</f>
        <v>Gross pay</v>
      </c>
      <c r="L39" s="38" t="str">
        <f aca="false">_xlfn.XLOOKUP($E39,$A$5:$A$8,$H$5:$H$8,"")</f>
        <v>Every pay period (ongoing)</v>
      </c>
      <c r="M39" s="43" t="n">
        <f aca="false" t="array" ref="M39:M39">MAX(_xlfn.XLOOKUP($A39,TRIM(SUBSTITUTE('worker file'!$A$2:$A$406,_xlfn.UNICHAR(160)," ")),'worker file'!$M$2:$M$406,0),_xlfn.XLOOKUP($B39,TRIM('pay group &amp; schedule'!$A$2:$A$6),'pay group &amp; schedule'!$D$2:$D$6,0))</f>
        <v>46311</v>
      </c>
      <c r="N39" s="43" t="str">
        <f aca="false" t="array" ref="N39:N39">_xlfn.LET(_xlpm.t,_xlfn.XLOOKUP($A39,TRIM(SUBSTITUTE('worker file'!$A$2:$A$406,_xlfn.UNICHAR(160)," ")),'worker file'!$N$2:$N$406,""),IF(N(_xlpm.t)=0,"",_xlpm.t))</f>
        <v/>
      </c>
    </row>
    <row r="40" customFormat="false" ht="15" hidden="false" customHeight="false" outlineLevel="0" collapsed="false">
      <c r="A40" s="39" t="s">
        <v>98</v>
      </c>
      <c r="B40" s="40" t="str">
        <f aca="false" t="array" ref="B40:B40">_xlfn.XLOOKUP($A40,TRIM(SUBSTITUTE('worker file'!$A$2:$A$406,_xlfn.UNICHAR(160)," ")),'worker file'!$L$2:$L$406,"Not found")</f>
        <v>US Semi-monthly</v>
      </c>
      <c r="C40" s="40" t="str">
        <f aca="false" t="array" ref="C40:C40">_xlfn.XLOOKUP($A40,TRIM(SUBSTITUTE('worker file'!$A$2:$A$406,_xlfn.UNICHAR(160)," ")),'worker file'!$D$2:$D$406,"Not found")</f>
        <v>CA</v>
      </c>
      <c r="D40" s="40" t="str">
        <f aca="false" t="array" ref="D40:D40">_xlfn.XLOOKUP($A40,TRIM(SUBSTITUTE('worker file'!$A$2:$A$406,_xlfn.UNICHAR(160)," ")),'worker file'!$Q$2:$Q$406,"Not found")</f>
        <v>Active</v>
      </c>
      <c r="E40" s="39" t="s">
        <v>626</v>
      </c>
      <c r="F40" s="38" t="str">
        <f aca="false">_xlfn.XLOOKUP($E40,$A$5:$A$8,$B$5:$B$8,"")</f>
        <v>Medical (Health) – Employee</v>
      </c>
      <c r="G40" s="38" t="str">
        <f aca="false">_xlfn.XLOOKUP($E40,$A$5:$A$8,$D$5:$D$8,"")</f>
        <v>Pre-tax Section 125 (exempt from FIT/SIT/FICA)</v>
      </c>
      <c r="H40" s="38" t="str">
        <f aca="false">_xlfn.XLOOKUP($E40,$A$5:$A$8,$E$5:$E$8,"")</f>
        <v>Flat</v>
      </c>
      <c r="I40" s="44" t="str">
        <f aca="false">IF($H40="Percent",_xlfn.XLOOKUP($E40,$A$5:$A$8,$F$5:$F$8,""),"")</f>
        <v/>
      </c>
      <c r="J40" s="42" t="n">
        <f aca="false">IF($H40="Flat",_xlfn.XLOOKUP($E40,$A$5:$A$8,$F$5:$F$8,""),"")</f>
        <v>200</v>
      </c>
      <c r="K40" s="38" t="str">
        <f aca="false">_xlfn.XLOOKUP($E40,$A$5:$A$8,$G$5:$G$8,"")</f>
        <v>Per pay period</v>
      </c>
      <c r="L40" s="38" t="str">
        <f aca="false">_xlfn.XLOOKUP($E40,$A$5:$A$8,$H$5:$H$8,"")</f>
        <v>Every pay period (ongoing)</v>
      </c>
      <c r="M40" s="43" t="n">
        <f aca="false" t="array" ref="M40:M40">MAX(_xlfn.XLOOKUP($A40,TRIM(SUBSTITUTE('worker file'!$A$2:$A$406,_xlfn.UNICHAR(160)," ")),'worker file'!$M$2:$M$406,0),_xlfn.XLOOKUP($B40,TRIM('pay group &amp; schedule'!$A$2:$A$6),'pay group &amp; schedule'!$D$2:$D$6,0))</f>
        <v>46311</v>
      </c>
      <c r="N40" s="43" t="str">
        <f aca="false" t="array" ref="N40:N40">_xlfn.LET(_xlpm.t,_xlfn.XLOOKUP($A40,TRIM(SUBSTITUTE('worker file'!$A$2:$A$406,_xlfn.UNICHAR(160)," ")),'worker file'!$N$2:$N$406,""),IF(N(_xlpm.t)=0,"",_xlpm.t))</f>
        <v/>
      </c>
    </row>
    <row r="41" customFormat="false" ht="15" hidden="false" customHeight="false" outlineLevel="0" collapsed="false">
      <c r="A41" s="39" t="s">
        <v>98</v>
      </c>
      <c r="B41" s="40" t="str">
        <f aca="false" t="array" ref="B41:B41">_xlfn.XLOOKUP($A41,TRIM(SUBSTITUTE('worker file'!$A$2:$A$406,_xlfn.UNICHAR(160)," ")),'worker file'!$L$2:$L$406,"Not found")</f>
        <v>US Semi-monthly</v>
      </c>
      <c r="C41" s="40" t="str">
        <f aca="false" t="array" ref="C41:C41">_xlfn.XLOOKUP($A41,TRIM(SUBSTITUTE('worker file'!$A$2:$A$406,_xlfn.UNICHAR(160)," ")),'worker file'!$D$2:$D$406,"Not found")</f>
        <v>CA</v>
      </c>
      <c r="D41" s="40" t="str">
        <f aca="false" t="array" ref="D41:D41">_xlfn.XLOOKUP($A41,TRIM(SUBSTITUTE('worker file'!$A$2:$A$406,_xlfn.UNICHAR(160)," ")),'worker file'!$Q$2:$Q$406,"Not found")</f>
        <v>Active</v>
      </c>
      <c r="E41" s="39" t="s">
        <v>632</v>
      </c>
      <c r="F41" s="38" t="str">
        <f aca="false">_xlfn.XLOOKUP($E41,$A$5:$A$8,$B$5:$B$8,"")</f>
        <v>Dental – Employee</v>
      </c>
      <c r="G41" s="38" t="str">
        <f aca="false">_xlfn.XLOOKUP($E41,$A$5:$A$8,$D$5:$D$8,"")</f>
        <v>Pre-tax Section 125 (exempt from FIT/SIT/FICA)</v>
      </c>
      <c r="H41" s="38" t="str">
        <f aca="false">_xlfn.XLOOKUP($E41,$A$5:$A$8,$E$5:$E$8,"")</f>
        <v>Flat</v>
      </c>
      <c r="I41" s="44" t="str">
        <f aca="false">IF($H41="Percent",_xlfn.XLOOKUP($E41,$A$5:$A$8,$F$5:$F$8,""),"")</f>
        <v/>
      </c>
      <c r="J41" s="42" t="n">
        <f aca="false">IF($H41="Flat",_xlfn.XLOOKUP($E41,$A$5:$A$8,$F$5:$F$8,""),"")</f>
        <v>44</v>
      </c>
      <c r="K41" s="38" t="str">
        <f aca="false">_xlfn.XLOOKUP($E41,$A$5:$A$8,$G$5:$G$8,"")</f>
        <v>Per pay period</v>
      </c>
      <c r="L41" s="38" t="str">
        <f aca="false">_xlfn.XLOOKUP($E41,$A$5:$A$8,$H$5:$H$8,"")</f>
        <v>Every pay period (ongoing)</v>
      </c>
      <c r="M41" s="43" t="n">
        <f aca="false" t="array" ref="M41:M41">MAX(_xlfn.XLOOKUP($A41,TRIM(SUBSTITUTE('worker file'!$A$2:$A$406,_xlfn.UNICHAR(160)," ")),'worker file'!$M$2:$M$406,0),_xlfn.XLOOKUP($B41,TRIM('pay group &amp; schedule'!$A$2:$A$6),'pay group &amp; schedule'!$D$2:$D$6,0))</f>
        <v>46311</v>
      </c>
      <c r="N41" s="43" t="str">
        <f aca="false" t="array" ref="N41:N41">_xlfn.LET(_xlpm.t,_xlfn.XLOOKUP($A41,TRIM(SUBSTITUTE('worker file'!$A$2:$A$406,_xlfn.UNICHAR(160)," ")),'worker file'!$N$2:$N$406,""),IF(N(_xlpm.t)=0,"",_xlpm.t))</f>
        <v/>
      </c>
    </row>
    <row r="42" customFormat="false" ht="15" hidden="false" customHeight="false" outlineLevel="0" collapsed="false">
      <c r="A42" s="39" t="s">
        <v>98</v>
      </c>
      <c r="B42" s="40" t="str">
        <f aca="false" t="array" ref="B42:B42">_xlfn.XLOOKUP($A42,TRIM(SUBSTITUTE('worker file'!$A$2:$A$406,_xlfn.UNICHAR(160)," ")),'worker file'!$L$2:$L$406,"Not found")</f>
        <v>US Semi-monthly</v>
      </c>
      <c r="C42" s="40" t="str">
        <f aca="false" t="array" ref="C42:C42">_xlfn.XLOOKUP($A42,TRIM(SUBSTITUTE('worker file'!$A$2:$A$406,_xlfn.UNICHAR(160)," ")),'worker file'!$D$2:$D$406,"Not found")</f>
        <v>CA</v>
      </c>
      <c r="D42" s="40" t="str">
        <f aca="false" t="array" ref="D42:D42">_xlfn.XLOOKUP($A42,TRIM(SUBSTITUTE('worker file'!$A$2:$A$406,_xlfn.UNICHAR(160)," ")),'worker file'!$Q$2:$Q$406,"Not found")</f>
        <v>Active</v>
      </c>
      <c r="E42" s="39" t="s">
        <v>634</v>
      </c>
      <c r="F42" s="38" t="str">
        <f aca="false">_xlfn.XLOOKUP($E42,$A$5:$A$8,$B$5:$B$8,"")</f>
        <v>Vision – Employee</v>
      </c>
      <c r="G42" s="38" t="str">
        <f aca="false">_xlfn.XLOOKUP($E42,$A$5:$A$8,$D$5:$D$8,"")</f>
        <v>Pre-tax Section 125 (exempt from FIT/SIT/FICA)</v>
      </c>
      <c r="H42" s="38" t="str">
        <f aca="false">_xlfn.XLOOKUP($E42,$A$5:$A$8,$E$5:$E$8,"")</f>
        <v>Flat</v>
      </c>
      <c r="I42" s="44" t="str">
        <f aca="false">IF($H42="Percent",_xlfn.XLOOKUP($E42,$A$5:$A$8,$F$5:$F$8,""),"")</f>
        <v/>
      </c>
      <c r="J42" s="42" t="n">
        <f aca="false">IF($H42="Flat",_xlfn.XLOOKUP($E42,$A$5:$A$8,$F$5:$F$8,""),"")</f>
        <v>30</v>
      </c>
      <c r="K42" s="38" t="str">
        <f aca="false">_xlfn.XLOOKUP($E42,$A$5:$A$8,$G$5:$G$8,"")</f>
        <v>Per pay period</v>
      </c>
      <c r="L42" s="38" t="str">
        <f aca="false">_xlfn.XLOOKUP($E42,$A$5:$A$8,$H$5:$H$8,"")</f>
        <v>Every pay period (ongoing)</v>
      </c>
      <c r="M42" s="43" t="n">
        <f aca="false" t="array" ref="M42:M42">MAX(_xlfn.XLOOKUP($A42,TRIM(SUBSTITUTE('worker file'!$A$2:$A$406,_xlfn.UNICHAR(160)," ")),'worker file'!$M$2:$M$406,0),_xlfn.XLOOKUP($B42,TRIM('pay group &amp; schedule'!$A$2:$A$6),'pay group &amp; schedule'!$D$2:$D$6,0))</f>
        <v>46311</v>
      </c>
      <c r="N42" s="43" t="str">
        <f aca="false" t="array" ref="N42:N42">_xlfn.LET(_xlpm.t,_xlfn.XLOOKUP($A42,TRIM(SUBSTITUTE('worker file'!$A$2:$A$406,_xlfn.UNICHAR(160)," ")),'worker file'!$N$2:$N$406,""),IF(N(_xlpm.t)=0,"",_xlpm.t))</f>
        <v/>
      </c>
    </row>
    <row r="43" customFormat="false" ht="15" hidden="false" customHeight="false" outlineLevel="0" collapsed="false">
      <c r="A43" s="39" t="s">
        <v>102</v>
      </c>
      <c r="B43" s="40" t="str">
        <f aca="false" t="array" ref="B43:B43">_xlfn.XLOOKUP($A43,TRIM(SUBSTITUTE('worker file'!$A$2:$A$406,_xlfn.UNICHAR(160)," ")),'worker file'!$L$2:$L$406,"Not found")</f>
        <v>US Semi-monthly</v>
      </c>
      <c r="C43" s="40" t="str">
        <f aca="false" t="array" ref="C43:C43">_xlfn.XLOOKUP($A43,TRIM(SUBSTITUTE('worker file'!$A$2:$A$406,_xlfn.UNICHAR(160)," ")),'worker file'!$D$2:$D$406,"Not found")</f>
        <v>CA</v>
      </c>
      <c r="D43" s="40" t="str">
        <f aca="false" t="array" ref="D43:D43">_xlfn.XLOOKUP($A43,TRIM(SUBSTITUTE('worker file'!$A$2:$A$406,_xlfn.UNICHAR(160)," ")),'worker file'!$Q$2:$Q$406,"Not found")</f>
        <v>Active</v>
      </c>
      <c r="E43" s="39" t="s">
        <v>618</v>
      </c>
      <c r="F43" s="38" t="str">
        <f aca="false">_xlfn.XLOOKUP($E43,$A$5:$A$8,$B$5:$B$8,"")</f>
        <v>401(k) Employee Deferral</v>
      </c>
      <c r="G43" s="38" t="str">
        <f aca="false">_xlfn.XLOOKUP($E43,$A$5:$A$8,$D$5:$D$8,"")</f>
        <v>Pre-tax (exempt from FIT/SIT; subject to FICA)</v>
      </c>
      <c r="H43" s="38" t="str">
        <f aca="false">_xlfn.XLOOKUP($E43,$A$5:$A$8,$E$5:$E$8,"")</f>
        <v>Percent</v>
      </c>
      <c r="I43" s="41" t="n">
        <v>0.03</v>
      </c>
      <c r="J43" s="42" t="str">
        <f aca="false">IF($H43="Flat",_xlfn.XLOOKUP($E43,$A$5:$A$8,$F$5:$F$8,""),"")</f>
        <v/>
      </c>
      <c r="K43" s="38" t="str">
        <f aca="false">_xlfn.XLOOKUP($E43,$A$5:$A$8,$G$5:$G$8,"")</f>
        <v>Gross pay</v>
      </c>
      <c r="L43" s="38" t="str">
        <f aca="false">_xlfn.XLOOKUP($E43,$A$5:$A$8,$H$5:$H$8,"")</f>
        <v>Every pay period (ongoing)</v>
      </c>
      <c r="M43" s="43" t="n">
        <f aca="false" t="array" ref="M43:M43">MAX(_xlfn.XLOOKUP($A43,TRIM(SUBSTITUTE('worker file'!$A$2:$A$406,_xlfn.UNICHAR(160)," ")),'worker file'!$M$2:$M$406,0),_xlfn.XLOOKUP($B43,TRIM('pay group &amp; schedule'!$A$2:$A$6),'pay group &amp; schedule'!$D$2:$D$6,0))</f>
        <v>46311</v>
      </c>
      <c r="N43" s="43" t="str">
        <f aca="false" t="array" ref="N43:N43">_xlfn.LET(_xlpm.t,_xlfn.XLOOKUP($A43,TRIM(SUBSTITUTE('worker file'!$A$2:$A$406,_xlfn.UNICHAR(160)," ")),'worker file'!$N$2:$N$406,""),IF(N(_xlpm.t)=0,"",_xlpm.t))</f>
        <v/>
      </c>
    </row>
    <row r="44" customFormat="false" ht="15" hidden="false" customHeight="false" outlineLevel="0" collapsed="false">
      <c r="A44" s="39" t="s">
        <v>102</v>
      </c>
      <c r="B44" s="40" t="str">
        <f aca="false" t="array" ref="B44:B44">_xlfn.XLOOKUP($A44,TRIM(SUBSTITUTE('worker file'!$A$2:$A$406,_xlfn.UNICHAR(160)," ")),'worker file'!$L$2:$L$406,"Not found")</f>
        <v>US Semi-monthly</v>
      </c>
      <c r="C44" s="40" t="str">
        <f aca="false" t="array" ref="C44:C44">_xlfn.XLOOKUP($A44,TRIM(SUBSTITUTE('worker file'!$A$2:$A$406,_xlfn.UNICHAR(160)," ")),'worker file'!$D$2:$D$406,"Not found")</f>
        <v>CA</v>
      </c>
      <c r="D44" s="40" t="str">
        <f aca="false" t="array" ref="D44:D44">_xlfn.XLOOKUP($A44,TRIM(SUBSTITUTE('worker file'!$A$2:$A$406,_xlfn.UNICHAR(160)," ")),'worker file'!$Q$2:$Q$406,"Not found")</f>
        <v>Active</v>
      </c>
      <c r="E44" s="39" t="s">
        <v>626</v>
      </c>
      <c r="F44" s="38" t="str">
        <f aca="false">_xlfn.XLOOKUP($E44,$A$5:$A$8,$B$5:$B$8,"")</f>
        <v>Medical (Health) – Employee</v>
      </c>
      <c r="G44" s="38" t="str">
        <f aca="false">_xlfn.XLOOKUP($E44,$A$5:$A$8,$D$5:$D$8,"")</f>
        <v>Pre-tax Section 125 (exempt from FIT/SIT/FICA)</v>
      </c>
      <c r="H44" s="38" t="str">
        <f aca="false">_xlfn.XLOOKUP($E44,$A$5:$A$8,$E$5:$E$8,"")</f>
        <v>Flat</v>
      </c>
      <c r="I44" s="44" t="str">
        <f aca="false">IF($H44="Percent",_xlfn.XLOOKUP($E44,$A$5:$A$8,$F$5:$F$8,""),"")</f>
        <v/>
      </c>
      <c r="J44" s="42" t="n">
        <f aca="false">IF($H44="Flat",_xlfn.XLOOKUP($E44,$A$5:$A$8,$F$5:$F$8,""),"")</f>
        <v>200</v>
      </c>
      <c r="K44" s="38" t="str">
        <f aca="false">_xlfn.XLOOKUP($E44,$A$5:$A$8,$G$5:$G$8,"")</f>
        <v>Per pay period</v>
      </c>
      <c r="L44" s="38" t="str">
        <f aca="false">_xlfn.XLOOKUP($E44,$A$5:$A$8,$H$5:$H$8,"")</f>
        <v>Every pay period (ongoing)</v>
      </c>
      <c r="M44" s="43" t="n">
        <f aca="false" t="array" ref="M44:M44">MAX(_xlfn.XLOOKUP($A44,TRIM(SUBSTITUTE('worker file'!$A$2:$A$406,_xlfn.UNICHAR(160)," ")),'worker file'!$M$2:$M$406,0),_xlfn.XLOOKUP($B44,TRIM('pay group &amp; schedule'!$A$2:$A$6),'pay group &amp; schedule'!$D$2:$D$6,0))</f>
        <v>46311</v>
      </c>
      <c r="N44" s="43" t="str">
        <f aca="false" t="array" ref="N44:N44">_xlfn.LET(_xlpm.t,_xlfn.XLOOKUP($A44,TRIM(SUBSTITUTE('worker file'!$A$2:$A$406,_xlfn.UNICHAR(160)," ")),'worker file'!$N$2:$N$406,""),IF(N(_xlpm.t)=0,"",_xlpm.t))</f>
        <v/>
      </c>
    </row>
    <row r="45" customFormat="false" ht="15" hidden="false" customHeight="false" outlineLevel="0" collapsed="false">
      <c r="A45" s="39" t="s">
        <v>102</v>
      </c>
      <c r="B45" s="40" t="str">
        <f aca="false" t="array" ref="B45:B45">_xlfn.XLOOKUP($A45,TRIM(SUBSTITUTE('worker file'!$A$2:$A$406,_xlfn.UNICHAR(160)," ")),'worker file'!$L$2:$L$406,"Not found")</f>
        <v>US Semi-monthly</v>
      </c>
      <c r="C45" s="40" t="str">
        <f aca="false" t="array" ref="C45:C45">_xlfn.XLOOKUP($A45,TRIM(SUBSTITUTE('worker file'!$A$2:$A$406,_xlfn.UNICHAR(160)," ")),'worker file'!$D$2:$D$406,"Not found")</f>
        <v>CA</v>
      </c>
      <c r="D45" s="40" t="str">
        <f aca="false" t="array" ref="D45:D45">_xlfn.XLOOKUP($A45,TRIM(SUBSTITUTE('worker file'!$A$2:$A$406,_xlfn.UNICHAR(160)," ")),'worker file'!$Q$2:$Q$406,"Not found")</f>
        <v>Active</v>
      </c>
      <c r="E45" s="39" t="s">
        <v>632</v>
      </c>
      <c r="F45" s="38" t="str">
        <f aca="false">_xlfn.XLOOKUP($E45,$A$5:$A$8,$B$5:$B$8,"")</f>
        <v>Dental – Employee</v>
      </c>
      <c r="G45" s="38" t="str">
        <f aca="false">_xlfn.XLOOKUP($E45,$A$5:$A$8,$D$5:$D$8,"")</f>
        <v>Pre-tax Section 125 (exempt from FIT/SIT/FICA)</v>
      </c>
      <c r="H45" s="38" t="str">
        <f aca="false">_xlfn.XLOOKUP($E45,$A$5:$A$8,$E$5:$E$8,"")</f>
        <v>Flat</v>
      </c>
      <c r="I45" s="44" t="str">
        <f aca="false">IF($H45="Percent",_xlfn.XLOOKUP($E45,$A$5:$A$8,$F$5:$F$8,""),"")</f>
        <v/>
      </c>
      <c r="J45" s="42" t="n">
        <f aca="false">IF($H45="Flat",_xlfn.XLOOKUP($E45,$A$5:$A$8,$F$5:$F$8,""),"")</f>
        <v>44</v>
      </c>
      <c r="K45" s="38" t="str">
        <f aca="false">_xlfn.XLOOKUP($E45,$A$5:$A$8,$G$5:$G$8,"")</f>
        <v>Per pay period</v>
      </c>
      <c r="L45" s="38" t="str">
        <f aca="false">_xlfn.XLOOKUP($E45,$A$5:$A$8,$H$5:$H$8,"")</f>
        <v>Every pay period (ongoing)</v>
      </c>
      <c r="M45" s="43" t="n">
        <f aca="false" t="array" ref="M45:M45">MAX(_xlfn.XLOOKUP($A45,TRIM(SUBSTITUTE('worker file'!$A$2:$A$406,_xlfn.UNICHAR(160)," ")),'worker file'!$M$2:$M$406,0),_xlfn.XLOOKUP($B45,TRIM('pay group &amp; schedule'!$A$2:$A$6),'pay group &amp; schedule'!$D$2:$D$6,0))</f>
        <v>46311</v>
      </c>
      <c r="N45" s="43" t="str">
        <f aca="false" t="array" ref="N45:N45">_xlfn.LET(_xlpm.t,_xlfn.XLOOKUP($A45,TRIM(SUBSTITUTE('worker file'!$A$2:$A$406,_xlfn.UNICHAR(160)," ")),'worker file'!$N$2:$N$406,""),IF(N(_xlpm.t)=0,"",_xlpm.t))</f>
        <v/>
      </c>
    </row>
    <row r="46" customFormat="false" ht="15" hidden="false" customHeight="false" outlineLevel="0" collapsed="false">
      <c r="A46" s="39" t="s">
        <v>102</v>
      </c>
      <c r="B46" s="40" t="str">
        <f aca="false" t="array" ref="B46:B46">_xlfn.XLOOKUP($A46,TRIM(SUBSTITUTE('worker file'!$A$2:$A$406,_xlfn.UNICHAR(160)," ")),'worker file'!$L$2:$L$406,"Not found")</f>
        <v>US Semi-monthly</v>
      </c>
      <c r="C46" s="40" t="str">
        <f aca="false" t="array" ref="C46:C46">_xlfn.XLOOKUP($A46,TRIM(SUBSTITUTE('worker file'!$A$2:$A$406,_xlfn.UNICHAR(160)," ")),'worker file'!$D$2:$D$406,"Not found")</f>
        <v>CA</v>
      </c>
      <c r="D46" s="40" t="str">
        <f aca="false" t="array" ref="D46:D46">_xlfn.XLOOKUP($A46,TRIM(SUBSTITUTE('worker file'!$A$2:$A$406,_xlfn.UNICHAR(160)," ")),'worker file'!$Q$2:$Q$406,"Not found")</f>
        <v>Active</v>
      </c>
      <c r="E46" s="39" t="s">
        <v>634</v>
      </c>
      <c r="F46" s="38" t="str">
        <f aca="false">_xlfn.XLOOKUP($E46,$A$5:$A$8,$B$5:$B$8,"")</f>
        <v>Vision – Employee</v>
      </c>
      <c r="G46" s="38" t="str">
        <f aca="false">_xlfn.XLOOKUP($E46,$A$5:$A$8,$D$5:$D$8,"")</f>
        <v>Pre-tax Section 125 (exempt from FIT/SIT/FICA)</v>
      </c>
      <c r="H46" s="38" t="str">
        <f aca="false">_xlfn.XLOOKUP($E46,$A$5:$A$8,$E$5:$E$8,"")</f>
        <v>Flat</v>
      </c>
      <c r="I46" s="44" t="str">
        <f aca="false">IF($H46="Percent",_xlfn.XLOOKUP($E46,$A$5:$A$8,$F$5:$F$8,""),"")</f>
        <v/>
      </c>
      <c r="J46" s="42" t="n">
        <f aca="false">IF($H46="Flat",_xlfn.XLOOKUP($E46,$A$5:$A$8,$F$5:$F$8,""),"")</f>
        <v>30</v>
      </c>
      <c r="K46" s="38" t="str">
        <f aca="false">_xlfn.XLOOKUP($E46,$A$5:$A$8,$G$5:$G$8,"")</f>
        <v>Per pay period</v>
      </c>
      <c r="L46" s="38" t="str">
        <f aca="false">_xlfn.XLOOKUP($E46,$A$5:$A$8,$H$5:$H$8,"")</f>
        <v>Every pay period (ongoing)</v>
      </c>
      <c r="M46" s="43" t="n">
        <f aca="false" t="array" ref="M46:M46">MAX(_xlfn.XLOOKUP($A46,TRIM(SUBSTITUTE('worker file'!$A$2:$A$406,_xlfn.UNICHAR(160)," ")),'worker file'!$M$2:$M$406,0),_xlfn.XLOOKUP($B46,TRIM('pay group &amp; schedule'!$A$2:$A$6),'pay group &amp; schedule'!$D$2:$D$6,0))</f>
        <v>46311</v>
      </c>
      <c r="N46" s="43" t="str">
        <f aca="false" t="array" ref="N46:N46">_xlfn.LET(_xlpm.t,_xlfn.XLOOKUP($A46,TRIM(SUBSTITUTE('worker file'!$A$2:$A$406,_xlfn.UNICHAR(160)," ")),'worker file'!$N$2:$N$406,""),IF(N(_xlpm.t)=0,"",_xlpm.t))</f>
        <v/>
      </c>
    </row>
    <row r="47" customFormat="false" ht="15" hidden="false" customHeight="false" outlineLevel="0" collapsed="false">
      <c r="A47" s="39" t="s">
        <v>105</v>
      </c>
      <c r="B47" s="40" t="str">
        <f aca="false" t="array" ref="B47:B47">_xlfn.XLOOKUP($A47,TRIM(SUBSTITUTE('worker file'!$A$2:$A$406,_xlfn.UNICHAR(160)," ")),'worker file'!$L$2:$L$406,"Not found")</f>
        <v>US Semi-monthly</v>
      </c>
      <c r="C47" s="40" t="str">
        <f aca="false" t="array" ref="C47:C47">_xlfn.XLOOKUP($A47,TRIM(SUBSTITUTE('worker file'!$A$2:$A$406,_xlfn.UNICHAR(160)," ")),'worker file'!$D$2:$D$406,"Not found")</f>
        <v>WA</v>
      </c>
      <c r="D47" s="40" t="str">
        <f aca="false" t="array" ref="D47:D47">_xlfn.XLOOKUP($A47,TRIM(SUBSTITUTE('worker file'!$A$2:$A$406,_xlfn.UNICHAR(160)," ")),'worker file'!$Q$2:$Q$406,"Not found")</f>
        <v>Active</v>
      </c>
      <c r="E47" s="39" t="s">
        <v>618</v>
      </c>
      <c r="F47" s="38" t="str">
        <f aca="false">_xlfn.XLOOKUP($E47,$A$5:$A$8,$B$5:$B$8,"")</f>
        <v>401(k) Employee Deferral</v>
      </c>
      <c r="G47" s="38" t="str">
        <f aca="false">_xlfn.XLOOKUP($E47,$A$5:$A$8,$D$5:$D$8,"")</f>
        <v>Pre-tax (exempt from FIT/SIT; subject to FICA)</v>
      </c>
      <c r="H47" s="38" t="str">
        <f aca="false">_xlfn.XLOOKUP($E47,$A$5:$A$8,$E$5:$E$8,"")</f>
        <v>Percent</v>
      </c>
      <c r="I47" s="41" t="n">
        <v>0</v>
      </c>
      <c r="J47" s="42" t="str">
        <f aca="false">IF($H47="Flat",_xlfn.XLOOKUP($E47,$A$5:$A$8,$F$5:$F$8,""),"")</f>
        <v/>
      </c>
      <c r="K47" s="38" t="str">
        <f aca="false">_xlfn.XLOOKUP($E47,$A$5:$A$8,$G$5:$G$8,"")</f>
        <v>Gross pay</v>
      </c>
      <c r="L47" s="38" t="str">
        <f aca="false">_xlfn.XLOOKUP($E47,$A$5:$A$8,$H$5:$H$8,"")</f>
        <v>Every pay period (ongoing)</v>
      </c>
      <c r="M47" s="43" t="n">
        <f aca="false" t="array" ref="M47:M47">MAX(_xlfn.XLOOKUP($A47,TRIM(SUBSTITUTE('worker file'!$A$2:$A$406,_xlfn.UNICHAR(160)," ")),'worker file'!$M$2:$M$406,0),_xlfn.XLOOKUP($B47,TRIM('pay group &amp; schedule'!$A$2:$A$6),'pay group &amp; schedule'!$D$2:$D$6,0))</f>
        <v>46311</v>
      </c>
      <c r="N47" s="43" t="str">
        <f aca="false" t="array" ref="N47:N47">_xlfn.LET(_xlpm.t,_xlfn.XLOOKUP($A47,TRIM(SUBSTITUTE('worker file'!$A$2:$A$406,_xlfn.UNICHAR(160)," ")),'worker file'!$N$2:$N$406,""),IF(N(_xlpm.t)=0,"",_xlpm.t))</f>
        <v/>
      </c>
    </row>
    <row r="48" customFormat="false" ht="15" hidden="false" customHeight="false" outlineLevel="0" collapsed="false">
      <c r="A48" s="39" t="s">
        <v>105</v>
      </c>
      <c r="B48" s="40" t="str">
        <f aca="false" t="array" ref="B48:B48">_xlfn.XLOOKUP($A48,TRIM(SUBSTITUTE('worker file'!$A$2:$A$406,_xlfn.UNICHAR(160)," ")),'worker file'!$L$2:$L$406,"Not found")</f>
        <v>US Semi-monthly</v>
      </c>
      <c r="C48" s="40" t="str">
        <f aca="false" t="array" ref="C48:C48">_xlfn.XLOOKUP($A48,TRIM(SUBSTITUTE('worker file'!$A$2:$A$406,_xlfn.UNICHAR(160)," ")),'worker file'!$D$2:$D$406,"Not found")</f>
        <v>WA</v>
      </c>
      <c r="D48" s="40" t="str">
        <f aca="false" t="array" ref="D48:D48">_xlfn.XLOOKUP($A48,TRIM(SUBSTITUTE('worker file'!$A$2:$A$406,_xlfn.UNICHAR(160)," ")),'worker file'!$Q$2:$Q$406,"Not found")</f>
        <v>Active</v>
      </c>
      <c r="E48" s="39" t="s">
        <v>626</v>
      </c>
      <c r="F48" s="38" t="str">
        <f aca="false">_xlfn.XLOOKUP($E48,$A$5:$A$8,$B$5:$B$8,"")</f>
        <v>Medical (Health) – Employee</v>
      </c>
      <c r="G48" s="38" t="str">
        <f aca="false">_xlfn.XLOOKUP($E48,$A$5:$A$8,$D$5:$D$8,"")</f>
        <v>Pre-tax Section 125 (exempt from FIT/SIT/FICA)</v>
      </c>
      <c r="H48" s="38" t="str">
        <f aca="false">_xlfn.XLOOKUP($E48,$A$5:$A$8,$E$5:$E$8,"")</f>
        <v>Flat</v>
      </c>
      <c r="I48" s="44" t="str">
        <f aca="false">IF($H48="Percent",_xlfn.XLOOKUP($E48,$A$5:$A$8,$F$5:$F$8,""),"")</f>
        <v/>
      </c>
      <c r="J48" s="42" t="n">
        <f aca="false">IF($H48="Flat",_xlfn.XLOOKUP($E48,$A$5:$A$8,$F$5:$F$8,""),"")</f>
        <v>200</v>
      </c>
      <c r="K48" s="38" t="str">
        <f aca="false">_xlfn.XLOOKUP($E48,$A$5:$A$8,$G$5:$G$8,"")</f>
        <v>Per pay period</v>
      </c>
      <c r="L48" s="38" t="str">
        <f aca="false">_xlfn.XLOOKUP($E48,$A$5:$A$8,$H$5:$H$8,"")</f>
        <v>Every pay period (ongoing)</v>
      </c>
      <c r="M48" s="43" t="n">
        <f aca="false" t="array" ref="M48:M48">MAX(_xlfn.XLOOKUP($A48,TRIM(SUBSTITUTE('worker file'!$A$2:$A$406,_xlfn.UNICHAR(160)," ")),'worker file'!$M$2:$M$406,0),_xlfn.XLOOKUP($B48,TRIM('pay group &amp; schedule'!$A$2:$A$6),'pay group &amp; schedule'!$D$2:$D$6,0))</f>
        <v>46311</v>
      </c>
      <c r="N48" s="43" t="str">
        <f aca="false" t="array" ref="N48:N48">_xlfn.LET(_xlpm.t,_xlfn.XLOOKUP($A48,TRIM(SUBSTITUTE('worker file'!$A$2:$A$406,_xlfn.UNICHAR(160)," ")),'worker file'!$N$2:$N$406,""),IF(N(_xlpm.t)=0,"",_xlpm.t))</f>
        <v/>
      </c>
    </row>
    <row r="49" customFormat="false" ht="15" hidden="false" customHeight="false" outlineLevel="0" collapsed="false">
      <c r="A49" s="39" t="s">
        <v>105</v>
      </c>
      <c r="B49" s="40" t="str">
        <f aca="false" t="array" ref="B49:B49">_xlfn.XLOOKUP($A49,TRIM(SUBSTITUTE('worker file'!$A$2:$A$406,_xlfn.UNICHAR(160)," ")),'worker file'!$L$2:$L$406,"Not found")</f>
        <v>US Semi-monthly</v>
      </c>
      <c r="C49" s="40" t="str">
        <f aca="false" t="array" ref="C49:C49">_xlfn.XLOOKUP($A49,TRIM(SUBSTITUTE('worker file'!$A$2:$A$406,_xlfn.UNICHAR(160)," ")),'worker file'!$D$2:$D$406,"Not found")</f>
        <v>WA</v>
      </c>
      <c r="D49" s="40" t="str">
        <f aca="false" t="array" ref="D49:D49">_xlfn.XLOOKUP($A49,TRIM(SUBSTITUTE('worker file'!$A$2:$A$406,_xlfn.UNICHAR(160)," ")),'worker file'!$Q$2:$Q$406,"Not found")</f>
        <v>Active</v>
      </c>
      <c r="E49" s="39" t="s">
        <v>632</v>
      </c>
      <c r="F49" s="38" t="str">
        <f aca="false">_xlfn.XLOOKUP($E49,$A$5:$A$8,$B$5:$B$8,"")</f>
        <v>Dental – Employee</v>
      </c>
      <c r="G49" s="38" t="str">
        <f aca="false">_xlfn.XLOOKUP($E49,$A$5:$A$8,$D$5:$D$8,"")</f>
        <v>Pre-tax Section 125 (exempt from FIT/SIT/FICA)</v>
      </c>
      <c r="H49" s="38" t="str">
        <f aca="false">_xlfn.XLOOKUP($E49,$A$5:$A$8,$E$5:$E$8,"")</f>
        <v>Flat</v>
      </c>
      <c r="I49" s="44" t="str">
        <f aca="false">IF($H49="Percent",_xlfn.XLOOKUP($E49,$A$5:$A$8,$F$5:$F$8,""),"")</f>
        <v/>
      </c>
      <c r="J49" s="42" t="n">
        <f aca="false">IF($H49="Flat",_xlfn.XLOOKUP($E49,$A$5:$A$8,$F$5:$F$8,""),"")</f>
        <v>44</v>
      </c>
      <c r="K49" s="38" t="str">
        <f aca="false">_xlfn.XLOOKUP($E49,$A$5:$A$8,$G$5:$G$8,"")</f>
        <v>Per pay period</v>
      </c>
      <c r="L49" s="38" t="str">
        <f aca="false">_xlfn.XLOOKUP($E49,$A$5:$A$8,$H$5:$H$8,"")</f>
        <v>Every pay period (ongoing)</v>
      </c>
      <c r="M49" s="43" t="n">
        <f aca="false" t="array" ref="M49:M49">MAX(_xlfn.XLOOKUP($A49,TRIM(SUBSTITUTE('worker file'!$A$2:$A$406,_xlfn.UNICHAR(160)," ")),'worker file'!$M$2:$M$406,0),_xlfn.XLOOKUP($B49,TRIM('pay group &amp; schedule'!$A$2:$A$6),'pay group &amp; schedule'!$D$2:$D$6,0))</f>
        <v>46311</v>
      </c>
      <c r="N49" s="43" t="str">
        <f aca="false" t="array" ref="N49:N49">_xlfn.LET(_xlpm.t,_xlfn.XLOOKUP($A49,TRIM(SUBSTITUTE('worker file'!$A$2:$A$406,_xlfn.UNICHAR(160)," ")),'worker file'!$N$2:$N$406,""),IF(N(_xlpm.t)=0,"",_xlpm.t))</f>
        <v/>
      </c>
    </row>
    <row r="50" customFormat="false" ht="15" hidden="false" customHeight="false" outlineLevel="0" collapsed="false">
      <c r="A50" s="39" t="s">
        <v>105</v>
      </c>
      <c r="B50" s="40" t="str">
        <f aca="false" t="array" ref="B50:B50">_xlfn.XLOOKUP($A50,TRIM(SUBSTITUTE('worker file'!$A$2:$A$406,_xlfn.UNICHAR(160)," ")),'worker file'!$L$2:$L$406,"Not found")</f>
        <v>US Semi-monthly</v>
      </c>
      <c r="C50" s="40" t="str">
        <f aca="false" t="array" ref="C50:C50">_xlfn.XLOOKUP($A50,TRIM(SUBSTITUTE('worker file'!$A$2:$A$406,_xlfn.UNICHAR(160)," ")),'worker file'!$D$2:$D$406,"Not found")</f>
        <v>WA</v>
      </c>
      <c r="D50" s="40" t="str">
        <f aca="false" t="array" ref="D50:D50">_xlfn.XLOOKUP($A50,TRIM(SUBSTITUTE('worker file'!$A$2:$A$406,_xlfn.UNICHAR(160)," ")),'worker file'!$Q$2:$Q$406,"Not found")</f>
        <v>Active</v>
      </c>
      <c r="E50" s="39" t="s">
        <v>634</v>
      </c>
      <c r="F50" s="38" t="str">
        <f aca="false">_xlfn.XLOOKUP($E50,$A$5:$A$8,$B$5:$B$8,"")</f>
        <v>Vision – Employee</v>
      </c>
      <c r="G50" s="38" t="str">
        <f aca="false">_xlfn.XLOOKUP($E50,$A$5:$A$8,$D$5:$D$8,"")</f>
        <v>Pre-tax Section 125 (exempt from FIT/SIT/FICA)</v>
      </c>
      <c r="H50" s="38" t="str">
        <f aca="false">_xlfn.XLOOKUP($E50,$A$5:$A$8,$E$5:$E$8,"")</f>
        <v>Flat</v>
      </c>
      <c r="I50" s="44" t="str">
        <f aca="false">IF($H50="Percent",_xlfn.XLOOKUP($E50,$A$5:$A$8,$F$5:$F$8,""),"")</f>
        <v/>
      </c>
      <c r="J50" s="42" t="n">
        <f aca="false">IF($H50="Flat",_xlfn.XLOOKUP($E50,$A$5:$A$8,$F$5:$F$8,""),"")</f>
        <v>30</v>
      </c>
      <c r="K50" s="38" t="str">
        <f aca="false">_xlfn.XLOOKUP($E50,$A$5:$A$8,$G$5:$G$8,"")</f>
        <v>Per pay period</v>
      </c>
      <c r="L50" s="38" t="str">
        <f aca="false">_xlfn.XLOOKUP($E50,$A$5:$A$8,$H$5:$H$8,"")</f>
        <v>Every pay period (ongoing)</v>
      </c>
      <c r="M50" s="43" t="n">
        <f aca="false" t="array" ref="M50:M50">MAX(_xlfn.XLOOKUP($A50,TRIM(SUBSTITUTE('worker file'!$A$2:$A$406,_xlfn.UNICHAR(160)," ")),'worker file'!$M$2:$M$406,0),_xlfn.XLOOKUP($B50,TRIM('pay group &amp; schedule'!$A$2:$A$6),'pay group &amp; schedule'!$D$2:$D$6,0))</f>
        <v>46311</v>
      </c>
      <c r="N50" s="43" t="str">
        <f aca="false" t="array" ref="N50:N50">_xlfn.LET(_xlpm.t,_xlfn.XLOOKUP($A50,TRIM(SUBSTITUTE('worker file'!$A$2:$A$406,_xlfn.UNICHAR(160)," ")),'worker file'!$N$2:$N$406,""),IF(N(_xlpm.t)=0,"",_xlpm.t))</f>
        <v/>
      </c>
    </row>
    <row r="51" customFormat="false" ht="15" hidden="false" customHeight="false" outlineLevel="0" collapsed="false">
      <c r="A51" s="39" t="s">
        <v>108</v>
      </c>
      <c r="B51" s="40" t="str">
        <f aca="false" t="array" ref="B51:B51">_xlfn.XLOOKUP($A51,TRIM(SUBSTITUTE('worker file'!$A$2:$A$406,_xlfn.UNICHAR(160)," ")),'worker file'!$L$2:$L$406,"Not found")</f>
        <v>US Semi-monthly</v>
      </c>
      <c r="C51" s="40" t="str">
        <f aca="false" t="array" ref="C51:C51">_xlfn.XLOOKUP($A51,TRIM(SUBSTITUTE('worker file'!$A$2:$A$406,_xlfn.UNICHAR(160)," ")),'worker file'!$D$2:$D$406,"Not found")</f>
        <v>TX</v>
      </c>
      <c r="D51" s="40" t="str">
        <f aca="false" t="array" ref="D51:D51">_xlfn.XLOOKUP($A51,TRIM(SUBSTITUTE('worker file'!$A$2:$A$406,_xlfn.UNICHAR(160)," ")),'worker file'!$Q$2:$Q$406,"Not found")</f>
        <v>Active</v>
      </c>
      <c r="E51" s="39" t="s">
        <v>618</v>
      </c>
      <c r="F51" s="38" t="str">
        <f aca="false">_xlfn.XLOOKUP($E51,$A$5:$A$8,$B$5:$B$8,"")</f>
        <v>401(k) Employee Deferral</v>
      </c>
      <c r="G51" s="38" t="str">
        <f aca="false">_xlfn.XLOOKUP($E51,$A$5:$A$8,$D$5:$D$8,"")</f>
        <v>Pre-tax (exempt from FIT/SIT; subject to FICA)</v>
      </c>
      <c r="H51" s="38" t="str">
        <f aca="false">_xlfn.XLOOKUP($E51,$A$5:$A$8,$E$5:$E$8,"")</f>
        <v>Percent</v>
      </c>
      <c r="I51" s="41" t="n">
        <v>0.05</v>
      </c>
      <c r="J51" s="42" t="str">
        <f aca="false">IF($H51="Flat",_xlfn.XLOOKUP($E51,$A$5:$A$8,$F$5:$F$8,""),"")</f>
        <v/>
      </c>
      <c r="K51" s="38" t="str">
        <f aca="false">_xlfn.XLOOKUP($E51,$A$5:$A$8,$G$5:$G$8,"")</f>
        <v>Gross pay</v>
      </c>
      <c r="L51" s="38" t="str">
        <f aca="false">_xlfn.XLOOKUP($E51,$A$5:$A$8,$H$5:$H$8,"")</f>
        <v>Every pay period (ongoing)</v>
      </c>
      <c r="M51" s="43" t="n">
        <f aca="false" t="array" ref="M51:M51">MAX(_xlfn.XLOOKUP($A51,TRIM(SUBSTITUTE('worker file'!$A$2:$A$406,_xlfn.UNICHAR(160)," ")),'worker file'!$M$2:$M$406,0),_xlfn.XLOOKUP($B51,TRIM('pay group &amp; schedule'!$A$2:$A$6),'pay group &amp; schedule'!$D$2:$D$6,0))</f>
        <v>46311</v>
      </c>
      <c r="N51" s="43" t="str">
        <f aca="false" t="array" ref="N51:N51">_xlfn.LET(_xlpm.t,_xlfn.XLOOKUP($A51,TRIM(SUBSTITUTE('worker file'!$A$2:$A$406,_xlfn.UNICHAR(160)," ")),'worker file'!$N$2:$N$406,""),IF(N(_xlpm.t)=0,"",_xlpm.t))</f>
        <v/>
      </c>
    </row>
    <row r="52" customFormat="false" ht="15" hidden="false" customHeight="false" outlineLevel="0" collapsed="false">
      <c r="A52" s="39" t="s">
        <v>108</v>
      </c>
      <c r="B52" s="40" t="str">
        <f aca="false" t="array" ref="B52:B52">_xlfn.XLOOKUP($A52,TRIM(SUBSTITUTE('worker file'!$A$2:$A$406,_xlfn.UNICHAR(160)," ")),'worker file'!$L$2:$L$406,"Not found")</f>
        <v>US Semi-monthly</v>
      </c>
      <c r="C52" s="40" t="str">
        <f aca="false" t="array" ref="C52:C52">_xlfn.XLOOKUP($A52,TRIM(SUBSTITUTE('worker file'!$A$2:$A$406,_xlfn.UNICHAR(160)," ")),'worker file'!$D$2:$D$406,"Not found")</f>
        <v>TX</v>
      </c>
      <c r="D52" s="40" t="str">
        <f aca="false" t="array" ref="D52:D52">_xlfn.XLOOKUP($A52,TRIM(SUBSTITUTE('worker file'!$A$2:$A$406,_xlfn.UNICHAR(160)," ")),'worker file'!$Q$2:$Q$406,"Not found")</f>
        <v>Active</v>
      </c>
      <c r="E52" s="39" t="s">
        <v>626</v>
      </c>
      <c r="F52" s="38" t="str">
        <f aca="false">_xlfn.XLOOKUP($E52,$A$5:$A$8,$B$5:$B$8,"")</f>
        <v>Medical (Health) – Employee</v>
      </c>
      <c r="G52" s="38" t="str">
        <f aca="false">_xlfn.XLOOKUP($E52,$A$5:$A$8,$D$5:$D$8,"")</f>
        <v>Pre-tax Section 125 (exempt from FIT/SIT/FICA)</v>
      </c>
      <c r="H52" s="38" t="str">
        <f aca="false">_xlfn.XLOOKUP($E52,$A$5:$A$8,$E$5:$E$8,"")</f>
        <v>Flat</v>
      </c>
      <c r="I52" s="44" t="str">
        <f aca="false">IF($H52="Percent",_xlfn.XLOOKUP($E52,$A$5:$A$8,$F$5:$F$8,""),"")</f>
        <v/>
      </c>
      <c r="J52" s="42" t="n">
        <f aca="false">IF($H52="Flat",_xlfn.XLOOKUP($E52,$A$5:$A$8,$F$5:$F$8,""),"")</f>
        <v>200</v>
      </c>
      <c r="K52" s="38" t="str">
        <f aca="false">_xlfn.XLOOKUP($E52,$A$5:$A$8,$G$5:$G$8,"")</f>
        <v>Per pay period</v>
      </c>
      <c r="L52" s="38" t="str">
        <f aca="false">_xlfn.XLOOKUP($E52,$A$5:$A$8,$H$5:$H$8,"")</f>
        <v>Every pay period (ongoing)</v>
      </c>
      <c r="M52" s="43" t="n">
        <f aca="false" t="array" ref="M52:M52">MAX(_xlfn.XLOOKUP($A52,TRIM(SUBSTITUTE('worker file'!$A$2:$A$406,_xlfn.UNICHAR(160)," ")),'worker file'!$M$2:$M$406,0),_xlfn.XLOOKUP($B52,TRIM('pay group &amp; schedule'!$A$2:$A$6),'pay group &amp; schedule'!$D$2:$D$6,0))</f>
        <v>46311</v>
      </c>
      <c r="N52" s="43" t="str">
        <f aca="false" t="array" ref="N52:N52">_xlfn.LET(_xlpm.t,_xlfn.XLOOKUP($A52,TRIM(SUBSTITUTE('worker file'!$A$2:$A$406,_xlfn.UNICHAR(160)," ")),'worker file'!$N$2:$N$406,""),IF(N(_xlpm.t)=0,"",_xlpm.t))</f>
        <v/>
      </c>
    </row>
    <row r="53" customFormat="false" ht="15" hidden="false" customHeight="false" outlineLevel="0" collapsed="false">
      <c r="A53" s="39" t="s">
        <v>108</v>
      </c>
      <c r="B53" s="40" t="str">
        <f aca="false" t="array" ref="B53:B53">_xlfn.XLOOKUP($A53,TRIM(SUBSTITUTE('worker file'!$A$2:$A$406,_xlfn.UNICHAR(160)," ")),'worker file'!$L$2:$L$406,"Not found")</f>
        <v>US Semi-monthly</v>
      </c>
      <c r="C53" s="40" t="str">
        <f aca="false" t="array" ref="C53:C53">_xlfn.XLOOKUP($A53,TRIM(SUBSTITUTE('worker file'!$A$2:$A$406,_xlfn.UNICHAR(160)," ")),'worker file'!$D$2:$D$406,"Not found")</f>
        <v>TX</v>
      </c>
      <c r="D53" s="40" t="str">
        <f aca="false" t="array" ref="D53:D53">_xlfn.XLOOKUP($A53,TRIM(SUBSTITUTE('worker file'!$A$2:$A$406,_xlfn.UNICHAR(160)," ")),'worker file'!$Q$2:$Q$406,"Not found")</f>
        <v>Active</v>
      </c>
      <c r="E53" s="39" t="s">
        <v>632</v>
      </c>
      <c r="F53" s="38" t="str">
        <f aca="false">_xlfn.XLOOKUP($E53,$A$5:$A$8,$B$5:$B$8,"")</f>
        <v>Dental – Employee</v>
      </c>
      <c r="G53" s="38" t="str">
        <f aca="false">_xlfn.XLOOKUP($E53,$A$5:$A$8,$D$5:$D$8,"")</f>
        <v>Pre-tax Section 125 (exempt from FIT/SIT/FICA)</v>
      </c>
      <c r="H53" s="38" t="str">
        <f aca="false">_xlfn.XLOOKUP($E53,$A$5:$A$8,$E$5:$E$8,"")</f>
        <v>Flat</v>
      </c>
      <c r="I53" s="44" t="str">
        <f aca="false">IF($H53="Percent",_xlfn.XLOOKUP($E53,$A$5:$A$8,$F$5:$F$8,""),"")</f>
        <v/>
      </c>
      <c r="J53" s="42" t="n">
        <f aca="false">IF($H53="Flat",_xlfn.XLOOKUP($E53,$A$5:$A$8,$F$5:$F$8,""),"")</f>
        <v>44</v>
      </c>
      <c r="K53" s="38" t="str">
        <f aca="false">_xlfn.XLOOKUP($E53,$A$5:$A$8,$G$5:$G$8,"")</f>
        <v>Per pay period</v>
      </c>
      <c r="L53" s="38" t="str">
        <f aca="false">_xlfn.XLOOKUP($E53,$A$5:$A$8,$H$5:$H$8,"")</f>
        <v>Every pay period (ongoing)</v>
      </c>
      <c r="M53" s="43" t="n">
        <f aca="false" t="array" ref="M53:M53">MAX(_xlfn.XLOOKUP($A53,TRIM(SUBSTITUTE('worker file'!$A$2:$A$406,_xlfn.UNICHAR(160)," ")),'worker file'!$M$2:$M$406,0),_xlfn.XLOOKUP($B53,TRIM('pay group &amp; schedule'!$A$2:$A$6),'pay group &amp; schedule'!$D$2:$D$6,0))</f>
        <v>46311</v>
      </c>
      <c r="N53" s="43" t="str">
        <f aca="false" t="array" ref="N53:N53">_xlfn.LET(_xlpm.t,_xlfn.XLOOKUP($A53,TRIM(SUBSTITUTE('worker file'!$A$2:$A$406,_xlfn.UNICHAR(160)," ")),'worker file'!$N$2:$N$406,""),IF(N(_xlpm.t)=0,"",_xlpm.t))</f>
        <v/>
      </c>
    </row>
    <row r="54" customFormat="false" ht="15" hidden="false" customHeight="false" outlineLevel="0" collapsed="false">
      <c r="A54" s="39" t="s">
        <v>108</v>
      </c>
      <c r="B54" s="40" t="str">
        <f aca="false" t="array" ref="B54:B54">_xlfn.XLOOKUP($A54,TRIM(SUBSTITUTE('worker file'!$A$2:$A$406,_xlfn.UNICHAR(160)," ")),'worker file'!$L$2:$L$406,"Not found")</f>
        <v>US Semi-monthly</v>
      </c>
      <c r="C54" s="40" t="str">
        <f aca="false" t="array" ref="C54:C54">_xlfn.XLOOKUP($A54,TRIM(SUBSTITUTE('worker file'!$A$2:$A$406,_xlfn.UNICHAR(160)," ")),'worker file'!$D$2:$D$406,"Not found")</f>
        <v>TX</v>
      </c>
      <c r="D54" s="40" t="str">
        <f aca="false" t="array" ref="D54:D54">_xlfn.XLOOKUP($A54,TRIM(SUBSTITUTE('worker file'!$A$2:$A$406,_xlfn.UNICHAR(160)," ")),'worker file'!$Q$2:$Q$406,"Not found")</f>
        <v>Active</v>
      </c>
      <c r="E54" s="39" t="s">
        <v>634</v>
      </c>
      <c r="F54" s="38" t="str">
        <f aca="false">_xlfn.XLOOKUP($E54,$A$5:$A$8,$B$5:$B$8,"")</f>
        <v>Vision – Employee</v>
      </c>
      <c r="G54" s="38" t="str">
        <f aca="false">_xlfn.XLOOKUP($E54,$A$5:$A$8,$D$5:$D$8,"")</f>
        <v>Pre-tax Section 125 (exempt from FIT/SIT/FICA)</v>
      </c>
      <c r="H54" s="38" t="str">
        <f aca="false">_xlfn.XLOOKUP($E54,$A$5:$A$8,$E$5:$E$8,"")</f>
        <v>Flat</v>
      </c>
      <c r="I54" s="44" t="str">
        <f aca="false">IF($H54="Percent",_xlfn.XLOOKUP($E54,$A$5:$A$8,$F$5:$F$8,""),"")</f>
        <v/>
      </c>
      <c r="J54" s="42" t="n">
        <f aca="false">IF($H54="Flat",_xlfn.XLOOKUP($E54,$A$5:$A$8,$F$5:$F$8,""),"")</f>
        <v>30</v>
      </c>
      <c r="K54" s="38" t="str">
        <f aca="false">_xlfn.XLOOKUP($E54,$A$5:$A$8,$G$5:$G$8,"")</f>
        <v>Per pay period</v>
      </c>
      <c r="L54" s="38" t="str">
        <f aca="false">_xlfn.XLOOKUP($E54,$A$5:$A$8,$H$5:$H$8,"")</f>
        <v>Every pay period (ongoing)</v>
      </c>
      <c r="M54" s="43" t="n">
        <f aca="false" t="array" ref="M54:M54">MAX(_xlfn.XLOOKUP($A54,TRIM(SUBSTITUTE('worker file'!$A$2:$A$406,_xlfn.UNICHAR(160)," ")),'worker file'!$M$2:$M$406,0),_xlfn.XLOOKUP($B54,TRIM('pay group &amp; schedule'!$A$2:$A$6),'pay group &amp; schedule'!$D$2:$D$6,0))</f>
        <v>46311</v>
      </c>
      <c r="N54" s="43" t="str">
        <f aca="false" t="array" ref="N54:N54">_xlfn.LET(_xlpm.t,_xlfn.XLOOKUP($A54,TRIM(SUBSTITUTE('worker file'!$A$2:$A$406,_xlfn.UNICHAR(160)," ")),'worker file'!$N$2:$N$406,""),IF(N(_xlpm.t)=0,"",_xlpm.t))</f>
        <v/>
      </c>
    </row>
    <row r="55" customFormat="false" ht="15" hidden="false" customHeight="false" outlineLevel="0" collapsed="false">
      <c r="A55" s="39" t="s">
        <v>111</v>
      </c>
      <c r="B55" s="40" t="str">
        <f aca="false" t="array" ref="B55:B55">_xlfn.XLOOKUP($A55,TRIM(SUBSTITUTE('worker file'!$A$2:$A$406,_xlfn.UNICHAR(160)," ")),'worker file'!$L$2:$L$406,"Not found")</f>
        <v>US Semi-monthly</v>
      </c>
      <c r="C55" s="40" t="str">
        <f aca="false" t="array" ref="C55:C55">_xlfn.XLOOKUP($A55,TRIM(SUBSTITUTE('worker file'!$A$2:$A$406,_xlfn.UNICHAR(160)," ")),'worker file'!$D$2:$D$406,"Not found")</f>
        <v>TX</v>
      </c>
      <c r="D55" s="40" t="str">
        <f aca="false" t="array" ref="D55:D55">_xlfn.XLOOKUP($A55,TRIM(SUBSTITUTE('worker file'!$A$2:$A$406,_xlfn.UNICHAR(160)," ")),'worker file'!$Q$2:$Q$406,"Not found")</f>
        <v>Active</v>
      </c>
      <c r="E55" s="39" t="s">
        <v>626</v>
      </c>
      <c r="F55" s="38" t="str">
        <f aca="false">_xlfn.XLOOKUP($E55,$A$5:$A$8,$B$5:$B$8,"")</f>
        <v>Medical (Health) – Employee</v>
      </c>
      <c r="G55" s="38" t="str">
        <f aca="false">_xlfn.XLOOKUP($E55,$A$5:$A$8,$D$5:$D$8,"")</f>
        <v>Pre-tax Section 125 (exempt from FIT/SIT/FICA)</v>
      </c>
      <c r="H55" s="38" t="str">
        <f aca="false">_xlfn.XLOOKUP($E55,$A$5:$A$8,$E$5:$E$8,"")</f>
        <v>Flat</v>
      </c>
      <c r="I55" s="44" t="str">
        <f aca="false">IF($H55="Percent",_xlfn.XLOOKUP($E55,$A$5:$A$8,$F$5:$F$8,""),"")</f>
        <v/>
      </c>
      <c r="J55" s="42" t="n">
        <f aca="false">IF($H55="Flat",_xlfn.XLOOKUP($E55,$A$5:$A$8,$F$5:$F$8,""),"")</f>
        <v>200</v>
      </c>
      <c r="K55" s="38" t="str">
        <f aca="false">_xlfn.XLOOKUP($E55,$A$5:$A$8,$G$5:$G$8,"")</f>
        <v>Per pay period</v>
      </c>
      <c r="L55" s="38" t="str">
        <f aca="false">_xlfn.XLOOKUP($E55,$A$5:$A$8,$H$5:$H$8,"")</f>
        <v>Every pay period (ongoing)</v>
      </c>
      <c r="M55" s="43" t="n">
        <f aca="false" t="array" ref="M55:M55">MAX(_xlfn.XLOOKUP($A55,TRIM(SUBSTITUTE('worker file'!$A$2:$A$406,_xlfn.UNICHAR(160)," ")),'worker file'!$M$2:$M$406,0),_xlfn.XLOOKUP($B55,TRIM('pay group &amp; schedule'!$A$2:$A$6),'pay group &amp; schedule'!$D$2:$D$6,0))</f>
        <v>46311</v>
      </c>
      <c r="N55" s="43" t="str">
        <f aca="false" t="array" ref="N55:N55">_xlfn.LET(_xlpm.t,_xlfn.XLOOKUP($A55,TRIM(SUBSTITUTE('worker file'!$A$2:$A$406,_xlfn.UNICHAR(160)," ")),'worker file'!$N$2:$N$406,""),IF(N(_xlpm.t)=0,"",_xlpm.t))</f>
        <v/>
      </c>
    </row>
    <row r="56" customFormat="false" ht="15" hidden="false" customHeight="false" outlineLevel="0" collapsed="false">
      <c r="A56" s="39" t="s">
        <v>111</v>
      </c>
      <c r="B56" s="40" t="str">
        <f aca="false" t="array" ref="B56:B56">_xlfn.XLOOKUP($A56,TRIM(SUBSTITUTE('worker file'!$A$2:$A$406,_xlfn.UNICHAR(160)," ")),'worker file'!$L$2:$L$406,"Not found")</f>
        <v>US Semi-monthly</v>
      </c>
      <c r="C56" s="40" t="str">
        <f aca="false" t="array" ref="C56:C56">_xlfn.XLOOKUP($A56,TRIM(SUBSTITUTE('worker file'!$A$2:$A$406,_xlfn.UNICHAR(160)," ")),'worker file'!$D$2:$D$406,"Not found")</f>
        <v>TX</v>
      </c>
      <c r="D56" s="40" t="str">
        <f aca="false" t="array" ref="D56:D56">_xlfn.XLOOKUP($A56,TRIM(SUBSTITUTE('worker file'!$A$2:$A$406,_xlfn.UNICHAR(160)," ")),'worker file'!$Q$2:$Q$406,"Not found")</f>
        <v>Active</v>
      </c>
      <c r="E56" s="39" t="s">
        <v>632</v>
      </c>
      <c r="F56" s="38" t="str">
        <f aca="false">_xlfn.XLOOKUP($E56,$A$5:$A$8,$B$5:$B$8,"")</f>
        <v>Dental – Employee</v>
      </c>
      <c r="G56" s="38" t="str">
        <f aca="false">_xlfn.XLOOKUP($E56,$A$5:$A$8,$D$5:$D$8,"")</f>
        <v>Pre-tax Section 125 (exempt from FIT/SIT/FICA)</v>
      </c>
      <c r="H56" s="38" t="str">
        <f aca="false">_xlfn.XLOOKUP($E56,$A$5:$A$8,$E$5:$E$8,"")</f>
        <v>Flat</v>
      </c>
      <c r="I56" s="44" t="str">
        <f aca="false">IF($H56="Percent",_xlfn.XLOOKUP($E56,$A$5:$A$8,$F$5:$F$8,""),"")</f>
        <v/>
      </c>
      <c r="J56" s="42" t="n">
        <f aca="false">IF($H56="Flat",_xlfn.XLOOKUP($E56,$A$5:$A$8,$F$5:$F$8,""),"")</f>
        <v>44</v>
      </c>
      <c r="K56" s="38" t="str">
        <f aca="false">_xlfn.XLOOKUP($E56,$A$5:$A$8,$G$5:$G$8,"")</f>
        <v>Per pay period</v>
      </c>
      <c r="L56" s="38" t="str">
        <f aca="false">_xlfn.XLOOKUP($E56,$A$5:$A$8,$H$5:$H$8,"")</f>
        <v>Every pay period (ongoing)</v>
      </c>
      <c r="M56" s="43" t="n">
        <f aca="false" t="array" ref="M56:M56">MAX(_xlfn.XLOOKUP($A56,TRIM(SUBSTITUTE('worker file'!$A$2:$A$406,_xlfn.UNICHAR(160)," ")),'worker file'!$M$2:$M$406,0),_xlfn.XLOOKUP($B56,TRIM('pay group &amp; schedule'!$A$2:$A$6),'pay group &amp; schedule'!$D$2:$D$6,0))</f>
        <v>46311</v>
      </c>
      <c r="N56" s="43" t="str">
        <f aca="false" t="array" ref="N56:N56">_xlfn.LET(_xlpm.t,_xlfn.XLOOKUP($A56,TRIM(SUBSTITUTE('worker file'!$A$2:$A$406,_xlfn.UNICHAR(160)," ")),'worker file'!$N$2:$N$406,""),IF(N(_xlpm.t)=0,"",_xlpm.t))</f>
        <v/>
      </c>
    </row>
    <row r="57" customFormat="false" ht="15" hidden="false" customHeight="false" outlineLevel="0" collapsed="false">
      <c r="A57" s="39" t="s">
        <v>111</v>
      </c>
      <c r="B57" s="40" t="str">
        <f aca="false" t="array" ref="B57:B57">_xlfn.XLOOKUP($A57,TRIM(SUBSTITUTE('worker file'!$A$2:$A$406,_xlfn.UNICHAR(160)," ")),'worker file'!$L$2:$L$406,"Not found")</f>
        <v>US Semi-monthly</v>
      </c>
      <c r="C57" s="40" t="str">
        <f aca="false" t="array" ref="C57:C57">_xlfn.XLOOKUP($A57,TRIM(SUBSTITUTE('worker file'!$A$2:$A$406,_xlfn.UNICHAR(160)," ")),'worker file'!$D$2:$D$406,"Not found")</f>
        <v>TX</v>
      </c>
      <c r="D57" s="40" t="str">
        <f aca="false" t="array" ref="D57:D57">_xlfn.XLOOKUP($A57,TRIM(SUBSTITUTE('worker file'!$A$2:$A$406,_xlfn.UNICHAR(160)," ")),'worker file'!$Q$2:$Q$406,"Not found")</f>
        <v>Active</v>
      </c>
      <c r="E57" s="39" t="s">
        <v>634</v>
      </c>
      <c r="F57" s="38" t="str">
        <f aca="false">_xlfn.XLOOKUP($E57,$A$5:$A$8,$B$5:$B$8,"")</f>
        <v>Vision – Employee</v>
      </c>
      <c r="G57" s="38" t="str">
        <f aca="false">_xlfn.XLOOKUP($E57,$A$5:$A$8,$D$5:$D$8,"")</f>
        <v>Pre-tax Section 125 (exempt from FIT/SIT/FICA)</v>
      </c>
      <c r="H57" s="38" t="str">
        <f aca="false">_xlfn.XLOOKUP($E57,$A$5:$A$8,$E$5:$E$8,"")</f>
        <v>Flat</v>
      </c>
      <c r="I57" s="44" t="str">
        <f aca="false">IF($H57="Percent",_xlfn.XLOOKUP($E57,$A$5:$A$8,$F$5:$F$8,""),"")</f>
        <v/>
      </c>
      <c r="J57" s="42" t="n">
        <f aca="false">IF($H57="Flat",_xlfn.XLOOKUP($E57,$A$5:$A$8,$F$5:$F$8,""),"")</f>
        <v>30</v>
      </c>
      <c r="K57" s="38" t="str">
        <f aca="false">_xlfn.XLOOKUP($E57,$A$5:$A$8,$G$5:$G$8,"")</f>
        <v>Per pay period</v>
      </c>
      <c r="L57" s="38" t="str">
        <f aca="false">_xlfn.XLOOKUP($E57,$A$5:$A$8,$H$5:$H$8,"")</f>
        <v>Every pay period (ongoing)</v>
      </c>
      <c r="M57" s="43" t="n">
        <f aca="false" t="array" ref="M57:M57">MAX(_xlfn.XLOOKUP($A57,TRIM(SUBSTITUTE('worker file'!$A$2:$A$406,_xlfn.UNICHAR(160)," ")),'worker file'!$M$2:$M$406,0),_xlfn.XLOOKUP($B57,TRIM('pay group &amp; schedule'!$A$2:$A$6),'pay group &amp; schedule'!$D$2:$D$6,0))</f>
        <v>46311</v>
      </c>
      <c r="N57" s="43" t="str">
        <f aca="false" t="array" ref="N57:N57">_xlfn.LET(_xlpm.t,_xlfn.XLOOKUP($A57,TRIM(SUBSTITUTE('worker file'!$A$2:$A$406,_xlfn.UNICHAR(160)," ")),'worker file'!$N$2:$N$406,""),IF(N(_xlpm.t)=0,"",_xlpm.t))</f>
        <v/>
      </c>
    </row>
    <row r="58" customFormat="false" ht="15" hidden="false" customHeight="false" outlineLevel="0" collapsed="false">
      <c r="A58" s="39" t="s">
        <v>114</v>
      </c>
      <c r="B58" s="40" t="str">
        <f aca="false" t="array" ref="B58:B58">_xlfn.XLOOKUP($A58,TRIM(SUBSTITUTE('worker file'!$A$2:$A$406,_xlfn.UNICHAR(160)," ")),'worker file'!$L$2:$L$406,"Not found")</f>
        <v>US Semi-monthly</v>
      </c>
      <c r="C58" s="40" t="str">
        <f aca="false" t="array" ref="C58:C58">_xlfn.XLOOKUP($A58,TRIM(SUBSTITUTE('worker file'!$A$2:$A$406,_xlfn.UNICHAR(160)," ")),'worker file'!$D$2:$D$406,"Not found")</f>
        <v>CA</v>
      </c>
      <c r="D58" s="40" t="str">
        <f aca="false" t="array" ref="D58:D58">_xlfn.XLOOKUP($A58,TRIM(SUBSTITUTE('worker file'!$A$2:$A$406,_xlfn.UNICHAR(160)," ")),'worker file'!$Q$2:$Q$406,"Not found")</f>
        <v>Active</v>
      </c>
      <c r="E58" s="39" t="s">
        <v>618</v>
      </c>
      <c r="F58" s="38" t="str">
        <f aca="false">_xlfn.XLOOKUP($E58,$A$5:$A$8,$B$5:$B$8,"")</f>
        <v>401(k) Employee Deferral</v>
      </c>
      <c r="G58" s="38" t="str">
        <f aca="false">_xlfn.XLOOKUP($E58,$A$5:$A$8,$D$5:$D$8,"")</f>
        <v>Pre-tax (exempt from FIT/SIT; subject to FICA)</v>
      </c>
      <c r="H58" s="38" t="str">
        <f aca="false">_xlfn.XLOOKUP($E58,$A$5:$A$8,$E$5:$E$8,"")</f>
        <v>Percent</v>
      </c>
      <c r="I58" s="41" t="n">
        <v>0.07</v>
      </c>
      <c r="J58" s="42" t="str">
        <f aca="false">IF($H58="Flat",_xlfn.XLOOKUP($E58,$A$5:$A$8,$F$5:$F$8,""),"")</f>
        <v/>
      </c>
      <c r="K58" s="38" t="str">
        <f aca="false">_xlfn.XLOOKUP($E58,$A$5:$A$8,$G$5:$G$8,"")</f>
        <v>Gross pay</v>
      </c>
      <c r="L58" s="38" t="str">
        <f aca="false">_xlfn.XLOOKUP($E58,$A$5:$A$8,$H$5:$H$8,"")</f>
        <v>Every pay period (ongoing)</v>
      </c>
      <c r="M58" s="43" t="n">
        <f aca="false" t="array" ref="M58:M58">MAX(_xlfn.XLOOKUP($A58,TRIM(SUBSTITUTE('worker file'!$A$2:$A$406,_xlfn.UNICHAR(160)," ")),'worker file'!$M$2:$M$406,0),_xlfn.XLOOKUP($B58,TRIM('pay group &amp; schedule'!$A$2:$A$6),'pay group &amp; schedule'!$D$2:$D$6,0))</f>
        <v>46311</v>
      </c>
      <c r="N58" s="43" t="str">
        <f aca="false" t="array" ref="N58:N58">_xlfn.LET(_xlpm.t,_xlfn.XLOOKUP($A58,TRIM(SUBSTITUTE('worker file'!$A$2:$A$406,_xlfn.UNICHAR(160)," ")),'worker file'!$N$2:$N$406,""),IF(N(_xlpm.t)=0,"",_xlpm.t))</f>
        <v/>
      </c>
    </row>
    <row r="59" customFormat="false" ht="15" hidden="false" customHeight="false" outlineLevel="0" collapsed="false">
      <c r="A59" s="39" t="s">
        <v>114</v>
      </c>
      <c r="B59" s="40" t="str">
        <f aca="false" t="array" ref="B59:B59">_xlfn.XLOOKUP($A59,TRIM(SUBSTITUTE('worker file'!$A$2:$A$406,_xlfn.UNICHAR(160)," ")),'worker file'!$L$2:$L$406,"Not found")</f>
        <v>US Semi-monthly</v>
      </c>
      <c r="C59" s="40" t="str">
        <f aca="false" t="array" ref="C59:C59">_xlfn.XLOOKUP($A59,TRIM(SUBSTITUTE('worker file'!$A$2:$A$406,_xlfn.UNICHAR(160)," ")),'worker file'!$D$2:$D$406,"Not found")</f>
        <v>CA</v>
      </c>
      <c r="D59" s="40" t="str">
        <f aca="false" t="array" ref="D59:D59">_xlfn.XLOOKUP($A59,TRIM(SUBSTITUTE('worker file'!$A$2:$A$406,_xlfn.UNICHAR(160)," ")),'worker file'!$Q$2:$Q$406,"Not found")</f>
        <v>Active</v>
      </c>
      <c r="E59" s="39" t="s">
        <v>626</v>
      </c>
      <c r="F59" s="38" t="str">
        <f aca="false">_xlfn.XLOOKUP($E59,$A$5:$A$8,$B$5:$B$8,"")</f>
        <v>Medical (Health) – Employee</v>
      </c>
      <c r="G59" s="38" t="str">
        <f aca="false">_xlfn.XLOOKUP($E59,$A$5:$A$8,$D$5:$D$8,"")</f>
        <v>Pre-tax Section 125 (exempt from FIT/SIT/FICA)</v>
      </c>
      <c r="H59" s="38" t="str">
        <f aca="false">_xlfn.XLOOKUP($E59,$A$5:$A$8,$E$5:$E$8,"")</f>
        <v>Flat</v>
      </c>
      <c r="I59" s="44" t="str">
        <f aca="false">IF($H59="Percent",_xlfn.XLOOKUP($E59,$A$5:$A$8,$F$5:$F$8,""),"")</f>
        <v/>
      </c>
      <c r="J59" s="42" t="n">
        <f aca="false">IF($H59="Flat",_xlfn.XLOOKUP($E59,$A$5:$A$8,$F$5:$F$8,""),"")</f>
        <v>200</v>
      </c>
      <c r="K59" s="38" t="str">
        <f aca="false">_xlfn.XLOOKUP($E59,$A$5:$A$8,$G$5:$G$8,"")</f>
        <v>Per pay period</v>
      </c>
      <c r="L59" s="38" t="str">
        <f aca="false">_xlfn.XLOOKUP($E59,$A$5:$A$8,$H$5:$H$8,"")</f>
        <v>Every pay period (ongoing)</v>
      </c>
      <c r="M59" s="43" t="n">
        <f aca="false" t="array" ref="M59:M59">MAX(_xlfn.XLOOKUP($A59,TRIM(SUBSTITUTE('worker file'!$A$2:$A$406,_xlfn.UNICHAR(160)," ")),'worker file'!$M$2:$M$406,0),_xlfn.XLOOKUP($B59,TRIM('pay group &amp; schedule'!$A$2:$A$6),'pay group &amp; schedule'!$D$2:$D$6,0))</f>
        <v>46311</v>
      </c>
      <c r="N59" s="43" t="str">
        <f aca="false" t="array" ref="N59:N59">_xlfn.LET(_xlpm.t,_xlfn.XLOOKUP($A59,TRIM(SUBSTITUTE('worker file'!$A$2:$A$406,_xlfn.UNICHAR(160)," ")),'worker file'!$N$2:$N$406,""),IF(N(_xlpm.t)=0,"",_xlpm.t))</f>
        <v/>
      </c>
    </row>
    <row r="60" customFormat="false" ht="15" hidden="false" customHeight="false" outlineLevel="0" collapsed="false">
      <c r="A60" s="39" t="s">
        <v>114</v>
      </c>
      <c r="B60" s="40" t="str">
        <f aca="false" t="array" ref="B60:B60">_xlfn.XLOOKUP($A60,TRIM(SUBSTITUTE('worker file'!$A$2:$A$406,_xlfn.UNICHAR(160)," ")),'worker file'!$L$2:$L$406,"Not found")</f>
        <v>US Semi-monthly</v>
      </c>
      <c r="C60" s="40" t="str">
        <f aca="false" t="array" ref="C60:C60">_xlfn.XLOOKUP($A60,TRIM(SUBSTITUTE('worker file'!$A$2:$A$406,_xlfn.UNICHAR(160)," ")),'worker file'!$D$2:$D$406,"Not found")</f>
        <v>CA</v>
      </c>
      <c r="D60" s="40" t="str">
        <f aca="false" t="array" ref="D60:D60">_xlfn.XLOOKUP($A60,TRIM(SUBSTITUTE('worker file'!$A$2:$A$406,_xlfn.UNICHAR(160)," ")),'worker file'!$Q$2:$Q$406,"Not found")</f>
        <v>Active</v>
      </c>
      <c r="E60" s="39" t="s">
        <v>632</v>
      </c>
      <c r="F60" s="38" t="str">
        <f aca="false">_xlfn.XLOOKUP($E60,$A$5:$A$8,$B$5:$B$8,"")</f>
        <v>Dental – Employee</v>
      </c>
      <c r="G60" s="38" t="str">
        <f aca="false">_xlfn.XLOOKUP($E60,$A$5:$A$8,$D$5:$D$8,"")</f>
        <v>Pre-tax Section 125 (exempt from FIT/SIT/FICA)</v>
      </c>
      <c r="H60" s="38" t="str">
        <f aca="false">_xlfn.XLOOKUP($E60,$A$5:$A$8,$E$5:$E$8,"")</f>
        <v>Flat</v>
      </c>
      <c r="I60" s="44" t="str">
        <f aca="false">IF($H60="Percent",_xlfn.XLOOKUP($E60,$A$5:$A$8,$F$5:$F$8,""),"")</f>
        <v/>
      </c>
      <c r="J60" s="42" t="n">
        <f aca="false">IF($H60="Flat",_xlfn.XLOOKUP($E60,$A$5:$A$8,$F$5:$F$8,""),"")</f>
        <v>44</v>
      </c>
      <c r="K60" s="38" t="str">
        <f aca="false">_xlfn.XLOOKUP($E60,$A$5:$A$8,$G$5:$G$8,"")</f>
        <v>Per pay period</v>
      </c>
      <c r="L60" s="38" t="str">
        <f aca="false">_xlfn.XLOOKUP($E60,$A$5:$A$8,$H$5:$H$8,"")</f>
        <v>Every pay period (ongoing)</v>
      </c>
      <c r="M60" s="43" t="n">
        <f aca="false" t="array" ref="M60:M60">MAX(_xlfn.XLOOKUP($A60,TRIM(SUBSTITUTE('worker file'!$A$2:$A$406,_xlfn.UNICHAR(160)," ")),'worker file'!$M$2:$M$406,0),_xlfn.XLOOKUP($B60,TRIM('pay group &amp; schedule'!$A$2:$A$6),'pay group &amp; schedule'!$D$2:$D$6,0))</f>
        <v>46311</v>
      </c>
      <c r="N60" s="43" t="str">
        <f aca="false" t="array" ref="N60:N60">_xlfn.LET(_xlpm.t,_xlfn.XLOOKUP($A60,TRIM(SUBSTITUTE('worker file'!$A$2:$A$406,_xlfn.UNICHAR(160)," ")),'worker file'!$N$2:$N$406,""),IF(N(_xlpm.t)=0,"",_xlpm.t))</f>
        <v/>
      </c>
    </row>
    <row r="61" customFormat="false" ht="15" hidden="false" customHeight="false" outlineLevel="0" collapsed="false">
      <c r="A61" s="39" t="s">
        <v>114</v>
      </c>
      <c r="B61" s="40" t="str">
        <f aca="false" t="array" ref="B61:B61">_xlfn.XLOOKUP($A61,TRIM(SUBSTITUTE('worker file'!$A$2:$A$406,_xlfn.UNICHAR(160)," ")),'worker file'!$L$2:$L$406,"Not found")</f>
        <v>US Semi-monthly</v>
      </c>
      <c r="C61" s="40" t="str">
        <f aca="false" t="array" ref="C61:C61">_xlfn.XLOOKUP($A61,TRIM(SUBSTITUTE('worker file'!$A$2:$A$406,_xlfn.UNICHAR(160)," ")),'worker file'!$D$2:$D$406,"Not found")</f>
        <v>CA</v>
      </c>
      <c r="D61" s="40" t="str">
        <f aca="false" t="array" ref="D61:D61">_xlfn.XLOOKUP($A61,TRIM(SUBSTITUTE('worker file'!$A$2:$A$406,_xlfn.UNICHAR(160)," ")),'worker file'!$Q$2:$Q$406,"Not found")</f>
        <v>Active</v>
      </c>
      <c r="E61" s="39" t="s">
        <v>634</v>
      </c>
      <c r="F61" s="38" t="str">
        <f aca="false">_xlfn.XLOOKUP($E61,$A$5:$A$8,$B$5:$B$8,"")</f>
        <v>Vision – Employee</v>
      </c>
      <c r="G61" s="38" t="str">
        <f aca="false">_xlfn.XLOOKUP($E61,$A$5:$A$8,$D$5:$D$8,"")</f>
        <v>Pre-tax Section 125 (exempt from FIT/SIT/FICA)</v>
      </c>
      <c r="H61" s="38" t="str">
        <f aca="false">_xlfn.XLOOKUP($E61,$A$5:$A$8,$E$5:$E$8,"")</f>
        <v>Flat</v>
      </c>
      <c r="I61" s="44" t="str">
        <f aca="false">IF($H61="Percent",_xlfn.XLOOKUP($E61,$A$5:$A$8,$F$5:$F$8,""),"")</f>
        <v/>
      </c>
      <c r="J61" s="42" t="n">
        <f aca="false">IF($H61="Flat",_xlfn.XLOOKUP($E61,$A$5:$A$8,$F$5:$F$8,""),"")</f>
        <v>30</v>
      </c>
      <c r="K61" s="38" t="str">
        <f aca="false">_xlfn.XLOOKUP($E61,$A$5:$A$8,$G$5:$G$8,"")</f>
        <v>Per pay period</v>
      </c>
      <c r="L61" s="38" t="str">
        <f aca="false">_xlfn.XLOOKUP($E61,$A$5:$A$8,$H$5:$H$8,"")</f>
        <v>Every pay period (ongoing)</v>
      </c>
      <c r="M61" s="43" t="n">
        <f aca="false" t="array" ref="M61:M61">MAX(_xlfn.XLOOKUP($A61,TRIM(SUBSTITUTE('worker file'!$A$2:$A$406,_xlfn.UNICHAR(160)," ")),'worker file'!$M$2:$M$406,0),_xlfn.XLOOKUP($B61,TRIM('pay group &amp; schedule'!$A$2:$A$6),'pay group &amp; schedule'!$D$2:$D$6,0))</f>
        <v>46311</v>
      </c>
      <c r="N61" s="43" t="str">
        <f aca="false" t="array" ref="N61:N61">_xlfn.LET(_xlpm.t,_xlfn.XLOOKUP($A61,TRIM(SUBSTITUTE('worker file'!$A$2:$A$406,_xlfn.UNICHAR(160)," ")),'worker file'!$N$2:$N$406,""),IF(N(_xlpm.t)=0,"",_xlpm.t))</f>
        <v/>
      </c>
    </row>
    <row r="62" customFormat="false" ht="15" hidden="false" customHeight="false" outlineLevel="0" collapsed="false">
      <c r="A62" s="39" t="s">
        <v>115</v>
      </c>
      <c r="B62" s="40" t="str">
        <f aca="false" t="array" ref="B62:B62">_xlfn.XLOOKUP($A62,TRIM(SUBSTITUTE('worker file'!$A$2:$A$406,_xlfn.UNICHAR(160)," ")),'worker file'!$L$2:$L$406,"Not found")</f>
        <v>US Semi-monthly</v>
      </c>
      <c r="C62" s="40" t="str">
        <f aca="false" t="array" ref="C62:C62">_xlfn.XLOOKUP($A62,TRIM(SUBSTITUTE('worker file'!$A$2:$A$406,_xlfn.UNICHAR(160)," ")),'worker file'!$D$2:$D$406,"Not found")</f>
        <v>CA</v>
      </c>
      <c r="D62" s="40" t="str">
        <f aca="false" t="array" ref="D62:D62">_xlfn.XLOOKUP($A62,TRIM(SUBSTITUTE('worker file'!$A$2:$A$406,_xlfn.UNICHAR(160)," ")),'worker file'!$Q$2:$Q$406,"Not found")</f>
        <v>Active</v>
      </c>
      <c r="E62" s="39" t="s">
        <v>618</v>
      </c>
      <c r="F62" s="38" t="str">
        <f aca="false">_xlfn.XLOOKUP($E62,$A$5:$A$8,$B$5:$B$8,"")</f>
        <v>401(k) Employee Deferral</v>
      </c>
      <c r="G62" s="38" t="str">
        <f aca="false">_xlfn.XLOOKUP($E62,$A$5:$A$8,$D$5:$D$8,"")</f>
        <v>Pre-tax (exempt from FIT/SIT; subject to FICA)</v>
      </c>
      <c r="H62" s="38" t="str">
        <f aca="false">_xlfn.XLOOKUP($E62,$A$5:$A$8,$E$5:$E$8,"")</f>
        <v>Percent</v>
      </c>
      <c r="I62" s="41" t="n">
        <v>0.04</v>
      </c>
      <c r="J62" s="42" t="str">
        <f aca="false">IF($H62="Flat",_xlfn.XLOOKUP($E62,$A$5:$A$8,$F$5:$F$8,""),"")</f>
        <v/>
      </c>
      <c r="K62" s="38" t="str">
        <f aca="false">_xlfn.XLOOKUP($E62,$A$5:$A$8,$G$5:$G$8,"")</f>
        <v>Gross pay</v>
      </c>
      <c r="L62" s="38" t="str">
        <f aca="false">_xlfn.XLOOKUP($E62,$A$5:$A$8,$H$5:$H$8,"")</f>
        <v>Every pay period (ongoing)</v>
      </c>
      <c r="M62" s="43" t="n">
        <f aca="false" t="array" ref="M62:M62">MAX(_xlfn.XLOOKUP($A62,TRIM(SUBSTITUTE('worker file'!$A$2:$A$406,_xlfn.UNICHAR(160)," ")),'worker file'!$M$2:$M$406,0),_xlfn.XLOOKUP($B62,TRIM('pay group &amp; schedule'!$A$2:$A$6),'pay group &amp; schedule'!$D$2:$D$6,0))</f>
        <v>46311</v>
      </c>
      <c r="N62" s="43" t="str">
        <f aca="false" t="array" ref="N62:N62">_xlfn.LET(_xlpm.t,_xlfn.XLOOKUP($A62,TRIM(SUBSTITUTE('worker file'!$A$2:$A$406,_xlfn.UNICHAR(160)," ")),'worker file'!$N$2:$N$406,""),IF(N(_xlpm.t)=0,"",_xlpm.t))</f>
        <v/>
      </c>
    </row>
    <row r="63" customFormat="false" ht="15" hidden="false" customHeight="false" outlineLevel="0" collapsed="false">
      <c r="A63" s="39" t="s">
        <v>115</v>
      </c>
      <c r="B63" s="40" t="str">
        <f aca="false" t="array" ref="B63:B63">_xlfn.XLOOKUP($A63,TRIM(SUBSTITUTE('worker file'!$A$2:$A$406,_xlfn.UNICHAR(160)," ")),'worker file'!$L$2:$L$406,"Not found")</f>
        <v>US Semi-monthly</v>
      </c>
      <c r="C63" s="40" t="str">
        <f aca="false" t="array" ref="C63:C63">_xlfn.XLOOKUP($A63,TRIM(SUBSTITUTE('worker file'!$A$2:$A$406,_xlfn.UNICHAR(160)," ")),'worker file'!$D$2:$D$406,"Not found")</f>
        <v>CA</v>
      </c>
      <c r="D63" s="40" t="str">
        <f aca="false" t="array" ref="D63:D63">_xlfn.XLOOKUP($A63,TRIM(SUBSTITUTE('worker file'!$A$2:$A$406,_xlfn.UNICHAR(160)," ")),'worker file'!$Q$2:$Q$406,"Not found")</f>
        <v>Active</v>
      </c>
      <c r="E63" s="39" t="s">
        <v>626</v>
      </c>
      <c r="F63" s="38" t="str">
        <f aca="false">_xlfn.XLOOKUP($E63,$A$5:$A$8,$B$5:$B$8,"")</f>
        <v>Medical (Health) – Employee</v>
      </c>
      <c r="G63" s="38" t="str">
        <f aca="false">_xlfn.XLOOKUP($E63,$A$5:$A$8,$D$5:$D$8,"")</f>
        <v>Pre-tax Section 125 (exempt from FIT/SIT/FICA)</v>
      </c>
      <c r="H63" s="38" t="str">
        <f aca="false">_xlfn.XLOOKUP($E63,$A$5:$A$8,$E$5:$E$8,"")</f>
        <v>Flat</v>
      </c>
      <c r="I63" s="44" t="str">
        <f aca="false">IF($H63="Percent",_xlfn.XLOOKUP($E63,$A$5:$A$8,$F$5:$F$8,""),"")</f>
        <v/>
      </c>
      <c r="J63" s="42" t="n">
        <f aca="false">IF($H63="Flat",_xlfn.XLOOKUP($E63,$A$5:$A$8,$F$5:$F$8,""),"")</f>
        <v>200</v>
      </c>
      <c r="K63" s="38" t="str">
        <f aca="false">_xlfn.XLOOKUP($E63,$A$5:$A$8,$G$5:$G$8,"")</f>
        <v>Per pay period</v>
      </c>
      <c r="L63" s="38" t="str">
        <f aca="false">_xlfn.XLOOKUP($E63,$A$5:$A$8,$H$5:$H$8,"")</f>
        <v>Every pay period (ongoing)</v>
      </c>
      <c r="M63" s="43" t="n">
        <f aca="false" t="array" ref="M63:M63">MAX(_xlfn.XLOOKUP($A63,TRIM(SUBSTITUTE('worker file'!$A$2:$A$406,_xlfn.UNICHAR(160)," ")),'worker file'!$M$2:$M$406,0),_xlfn.XLOOKUP($B63,TRIM('pay group &amp; schedule'!$A$2:$A$6),'pay group &amp; schedule'!$D$2:$D$6,0))</f>
        <v>46311</v>
      </c>
      <c r="N63" s="43" t="str">
        <f aca="false" t="array" ref="N63:N63">_xlfn.LET(_xlpm.t,_xlfn.XLOOKUP($A63,TRIM(SUBSTITUTE('worker file'!$A$2:$A$406,_xlfn.UNICHAR(160)," ")),'worker file'!$N$2:$N$406,""),IF(N(_xlpm.t)=0,"",_xlpm.t))</f>
        <v/>
      </c>
    </row>
    <row r="64" customFormat="false" ht="15" hidden="false" customHeight="false" outlineLevel="0" collapsed="false">
      <c r="A64" s="39" t="s">
        <v>115</v>
      </c>
      <c r="B64" s="40" t="str">
        <f aca="false" t="array" ref="B64:B64">_xlfn.XLOOKUP($A64,TRIM(SUBSTITUTE('worker file'!$A$2:$A$406,_xlfn.UNICHAR(160)," ")),'worker file'!$L$2:$L$406,"Not found")</f>
        <v>US Semi-monthly</v>
      </c>
      <c r="C64" s="40" t="str">
        <f aca="false" t="array" ref="C64:C64">_xlfn.XLOOKUP($A64,TRIM(SUBSTITUTE('worker file'!$A$2:$A$406,_xlfn.UNICHAR(160)," ")),'worker file'!$D$2:$D$406,"Not found")</f>
        <v>CA</v>
      </c>
      <c r="D64" s="40" t="str">
        <f aca="false" t="array" ref="D64:D64">_xlfn.XLOOKUP($A64,TRIM(SUBSTITUTE('worker file'!$A$2:$A$406,_xlfn.UNICHAR(160)," ")),'worker file'!$Q$2:$Q$406,"Not found")</f>
        <v>Active</v>
      </c>
      <c r="E64" s="39" t="s">
        <v>632</v>
      </c>
      <c r="F64" s="38" t="str">
        <f aca="false">_xlfn.XLOOKUP($E64,$A$5:$A$8,$B$5:$B$8,"")</f>
        <v>Dental – Employee</v>
      </c>
      <c r="G64" s="38" t="str">
        <f aca="false">_xlfn.XLOOKUP($E64,$A$5:$A$8,$D$5:$D$8,"")</f>
        <v>Pre-tax Section 125 (exempt from FIT/SIT/FICA)</v>
      </c>
      <c r="H64" s="38" t="str">
        <f aca="false">_xlfn.XLOOKUP($E64,$A$5:$A$8,$E$5:$E$8,"")</f>
        <v>Flat</v>
      </c>
      <c r="I64" s="44" t="str">
        <f aca="false">IF($H64="Percent",_xlfn.XLOOKUP($E64,$A$5:$A$8,$F$5:$F$8,""),"")</f>
        <v/>
      </c>
      <c r="J64" s="42" t="n">
        <f aca="false">IF($H64="Flat",_xlfn.XLOOKUP($E64,$A$5:$A$8,$F$5:$F$8,""),"")</f>
        <v>44</v>
      </c>
      <c r="K64" s="38" t="str">
        <f aca="false">_xlfn.XLOOKUP($E64,$A$5:$A$8,$G$5:$G$8,"")</f>
        <v>Per pay period</v>
      </c>
      <c r="L64" s="38" t="str">
        <f aca="false">_xlfn.XLOOKUP($E64,$A$5:$A$8,$H$5:$H$8,"")</f>
        <v>Every pay period (ongoing)</v>
      </c>
      <c r="M64" s="43" t="n">
        <f aca="false" t="array" ref="M64:M64">MAX(_xlfn.XLOOKUP($A64,TRIM(SUBSTITUTE('worker file'!$A$2:$A$406,_xlfn.UNICHAR(160)," ")),'worker file'!$M$2:$M$406,0),_xlfn.XLOOKUP($B64,TRIM('pay group &amp; schedule'!$A$2:$A$6),'pay group &amp; schedule'!$D$2:$D$6,0))</f>
        <v>46311</v>
      </c>
      <c r="N64" s="43" t="str">
        <f aca="false" t="array" ref="N64:N64">_xlfn.LET(_xlpm.t,_xlfn.XLOOKUP($A64,TRIM(SUBSTITUTE('worker file'!$A$2:$A$406,_xlfn.UNICHAR(160)," ")),'worker file'!$N$2:$N$406,""),IF(N(_xlpm.t)=0,"",_xlpm.t))</f>
        <v/>
      </c>
    </row>
    <row r="65" customFormat="false" ht="15" hidden="false" customHeight="false" outlineLevel="0" collapsed="false">
      <c r="A65" s="39" t="s">
        <v>115</v>
      </c>
      <c r="B65" s="40" t="str">
        <f aca="false" t="array" ref="B65:B65">_xlfn.XLOOKUP($A65,TRIM(SUBSTITUTE('worker file'!$A$2:$A$406,_xlfn.UNICHAR(160)," ")),'worker file'!$L$2:$L$406,"Not found")</f>
        <v>US Semi-monthly</v>
      </c>
      <c r="C65" s="40" t="str">
        <f aca="false" t="array" ref="C65:C65">_xlfn.XLOOKUP($A65,TRIM(SUBSTITUTE('worker file'!$A$2:$A$406,_xlfn.UNICHAR(160)," ")),'worker file'!$D$2:$D$406,"Not found")</f>
        <v>CA</v>
      </c>
      <c r="D65" s="40" t="str">
        <f aca="false" t="array" ref="D65:D65">_xlfn.XLOOKUP($A65,TRIM(SUBSTITUTE('worker file'!$A$2:$A$406,_xlfn.UNICHAR(160)," ")),'worker file'!$Q$2:$Q$406,"Not found")</f>
        <v>Active</v>
      </c>
      <c r="E65" s="39" t="s">
        <v>634</v>
      </c>
      <c r="F65" s="38" t="str">
        <f aca="false">_xlfn.XLOOKUP($E65,$A$5:$A$8,$B$5:$B$8,"")</f>
        <v>Vision – Employee</v>
      </c>
      <c r="G65" s="38" t="str">
        <f aca="false">_xlfn.XLOOKUP($E65,$A$5:$A$8,$D$5:$D$8,"")</f>
        <v>Pre-tax Section 125 (exempt from FIT/SIT/FICA)</v>
      </c>
      <c r="H65" s="38" t="str">
        <f aca="false">_xlfn.XLOOKUP($E65,$A$5:$A$8,$E$5:$E$8,"")</f>
        <v>Flat</v>
      </c>
      <c r="I65" s="44" t="str">
        <f aca="false">IF($H65="Percent",_xlfn.XLOOKUP($E65,$A$5:$A$8,$F$5:$F$8,""),"")</f>
        <v/>
      </c>
      <c r="J65" s="42" t="n">
        <f aca="false">IF($H65="Flat",_xlfn.XLOOKUP($E65,$A$5:$A$8,$F$5:$F$8,""),"")</f>
        <v>30</v>
      </c>
      <c r="K65" s="38" t="str">
        <f aca="false">_xlfn.XLOOKUP($E65,$A$5:$A$8,$G$5:$G$8,"")</f>
        <v>Per pay period</v>
      </c>
      <c r="L65" s="38" t="str">
        <f aca="false">_xlfn.XLOOKUP($E65,$A$5:$A$8,$H$5:$H$8,"")</f>
        <v>Every pay period (ongoing)</v>
      </c>
      <c r="M65" s="43" t="n">
        <f aca="false" t="array" ref="M65:M65">MAX(_xlfn.XLOOKUP($A65,TRIM(SUBSTITUTE('worker file'!$A$2:$A$406,_xlfn.UNICHAR(160)," ")),'worker file'!$M$2:$M$406,0),_xlfn.XLOOKUP($B65,TRIM('pay group &amp; schedule'!$A$2:$A$6),'pay group &amp; schedule'!$D$2:$D$6,0))</f>
        <v>46311</v>
      </c>
      <c r="N65" s="43" t="str">
        <f aca="false" t="array" ref="N65:N65">_xlfn.LET(_xlpm.t,_xlfn.XLOOKUP($A65,TRIM(SUBSTITUTE('worker file'!$A$2:$A$406,_xlfn.UNICHAR(160)," ")),'worker file'!$N$2:$N$406,""),IF(N(_xlpm.t)=0,"",_xlpm.t))</f>
        <v/>
      </c>
    </row>
    <row r="66" customFormat="false" ht="15" hidden="false" customHeight="false" outlineLevel="0" collapsed="false">
      <c r="A66" s="39" t="s">
        <v>116</v>
      </c>
      <c r="B66" s="40" t="str">
        <f aca="false" t="array" ref="B66:B66">_xlfn.XLOOKUP($A66,TRIM(SUBSTITUTE('worker file'!$A$2:$A$406,_xlfn.UNICHAR(160)," ")),'worker file'!$L$2:$L$406,"Not found")</f>
        <v>US Semi-monthly</v>
      </c>
      <c r="C66" s="40" t="str">
        <f aca="false" t="array" ref="C66:C66">_xlfn.XLOOKUP($A66,TRIM(SUBSTITUTE('worker file'!$A$2:$A$406,_xlfn.UNICHAR(160)," ")),'worker file'!$D$2:$D$406,"Not found")</f>
        <v>CA</v>
      </c>
      <c r="D66" s="40" t="str">
        <f aca="false" t="array" ref="D66:D66">_xlfn.XLOOKUP($A66,TRIM(SUBSTITUTE('worker file'!$A$2:$A$406,_xlfn.UNICHAR(160)," ")),'worker file'!$Q$2:$Q$406,"Not found")</f>
        <v>Active</v>
      </c>
      <c r="E66" s="39" t="s">
        <v>618</v>
      </c>
      <c r="F66" s="38" t="str">
        <f aca="false">_xlfn.XLOOKUP($E66,$A$5:$A$8,$B$5:$B$8,"")</f>
        <v>401(k) Employee Deferral</v>
      </c>
      <c r="G66" s="38" t="str">
        <f aca="false">_xlfn.XLOOKUP($E66,$A$5:$A$8,$D$5:$D$8,"")</f>
        <v>Pre-tax (exempt from FIT/SIT; subject to FICA)</v>
      </c>
      <c r="H66" s="38" t="str">
        <f aca="false">_xlfn.XLOOKUP($E66,$A$5:$A$8,$E$5:$E$8,"")</f>
        <v>Percent</v>
      </c>
      <c r="I66" s="41" t="n">
        <v>0.01</v>
      </c>
      <c r="J66" s="42" t="str">
        <f aca="false">IF($H66="Flat",_xlfn.XLOOKUP($E66,$A$5:$A$8,$F$5:$F$8,""),"")</f>
        <v/>
      </c>
      <c r="K66" s="38" t="str">
        <f aca="false">_xlfn.XLOOKUP($E66,$A$5:$A$8,$G$5:$G$8,"")</f>
        <v>Gross pay</v>
      </c>
      <c r="L66" s="38" t="str">
        <f aca="false">_xlfn.XLOOKUP($E66,$A$5:$A$8,$H$5:$H$8,"")</f>
        <v>Every pay period (ongoing)</v>
      </c>
      <c r="M66" s="43" t="n">
        <f aca="false" t="array" ref="M66:M66">MAX(_xlfn.XLOOKUP($A66,TRIM(SUBSTITUTE('worker file'!$A$2:$A$406,_xlfn.UNICHAR(160)," ")),'worker file'!$M$2:$M$406,0),_xlfn.XLOOKUP($B66,TRIM('pay group &amp; schedule'!$A$2:$A$6),'pay group &amp; schedule'!$D$2:$D$6,0))</f>
        <v>46311</v>
      </c>
      <c r="N66" s="43" t="str">
        <f aca="false" t="array" ref="N66:N66">_xlfn.LET(_xlpm.t,_xlfn.XLOOKUP($A66,TRIM(SUBSTITUTE('worker file'!$A$2:$A$406,_xlfn.UNICHAR(160)," ")),'worker file'!$N$2:$N$406,""),IF(N(_xlpm.t)=0,"",_xlpm.t))</f>
        <v/>
      </c>
    </row>
    <row r="67" customFormat="false" ht="15" hidden="false" customHeight="false" outlineLevel="0" collapsed="false">
      <c r="A67" s="39" t="s">
        <v>116</v>
      </c>
      <c r="B67" s="40" t="str">
        <f aca="false" t="array" ref="B67:B67">_xlfn.XLOOKUP($A67,TRIM(SUBSTITUTE('worker file'!$A$2:$A$406,_xlfn.UNICHAR(160)," ")),'worker file'!$L$2:$L$406,"Not found")</f>
        <v>US Semi-monthly</v>
      </c>
      <c r="C67" s="40" t="str">
        <f aca="false" t="array" ref="C67:C67">_xlfn.XLOOKUP($A67,TRIM(SUBSTITUTE('worker file'!$A$2:$A$406,_xlfn.UNICHAR(160)," ")),'worker file'!$D$2:$D$406,"Not found")</f>
        <v>CA</v>
      </c>
      <c r="D67" s="40" t="str">
        <f aca="false" t="array" ref="D67:D67">_xlfn.XLOOKUP($A67,TRIM(SUBSTITUTE('worker file'!$A$2:$A$406,_xlfn.UNICHAR(160)," ")),'worker file'!$Q$2:$Q$406,"Not found")</f>
        <v>Active</v>
      </c>
      <c r="E67" s="39" t="s">
        <v>626</v>
      </c>
      <c r="F67" s="38" t="str">
        <f aca="false">_xlfn.XLOOKUP($E67,$A$5:$A$8,$B$5:$B$8,"")</f>
        <v>Medical (Health) – Employee</v>
      </c>
      <c r="G67" s="38" t="str">
        <f aca="false">_xlfn.XLOOKUP($E67,$A$5:$A$8,$D$5:$D$8,"")</f>
        <v>Pre-tax Section 125 (exempt from FIT/SIT/FICA)</v>
      </c>
      <c r="H67" s="38" t="str">
        <f aca="false">_xlfn.XLOOKUP($E67,$A$5:$A$8,$E$5:$E$8,"")</f>
        <v>Flat</v>
      </c>
      <c r="I67" s="44" t="str">
        <f aca="false">IF($H67="Percent",_xlfn.XLOOKUP($E67,$A$5:$A$8,$F$5:$F$8,""),"")</f>
        <v/>
      </c>
      <c r="J67" s="42" t="n">
        <f aca="false">IF($H67="Flat",_xlfn.XLOOKUP($E67,$A$5:$A$8,$F$5:$F$8,""),"")</f>
        <v>200</v>
      </c>
      <c r="K67" s="38" t="str">
        <f aca="false">_xlfn.XLOOKUP($E67,$A$5:$A$8,$G$5:$G$8,"")</f>
        <v>Per pay period</v>
      </c>
      <c r="L67" s="38" t="str">
        <f aca="false">_xlfn.XLOOKUP($E67,$A$5:$A$8,$H$5:$H$8,"")</f>
        <v>Every pay period (ongoing)</v>
      </c>
      <c r="M67" s="43" t="n">
        <f aca="false" t="array" ref="M67:M67">MAX(_xlfn.XLOOKUP($A67,TRIM(SUBSTITUTE('worker file'!$A$2:$A$406,_xlfn.UNICHAR(160)," ")),'worker file'!$M$2:$M$406,0),_xlfn.XLOOKUP($B67,TRIM('pay group &amp; schedule'!$A$2:$A$6),'pay group &amp; schedule'!$D$2:$D$6,0))</f>
        <v>46311</v>
      </c>
      <c r="N67" s="43" t="str">
        <f aca="false" t="array" ref="N67:N67">_xlfn.LET(_xlpm.t,_xlfn.XLOOKUP($A67,TRIM(SUBSTITUTE('worker file'!$A$2:$A$406,_xlfn.UNICHAR(160)," ")),'worker file'!$N$2:$N$406,""),IF(N(_xlpm.t)=0,"",_xlpm.t))</f>
        <v/>
      </c>
    </row>
    <row r="68" customFormat="false" ht="15" hidden="false" customHeight="false" outlineLevel="0" collapsed="false">
      <c r="A68" s="39" t="s">
        <v>116</v>
      </c>
      <c r="B68" s="40" t="str">
        <f aca="false" t="array" ref="B68:B68">_xlfn.XLOOKUP($A68,TRIM(SUBSTITUTE('worker file'!$A$2:$A$406,_xlfn.UNICHAR(160)," ")),'worker file'!$L$2:$L$406,"Not found")</f>
        <v>US Semi-monthly</v>
      </c>
      <c r="C68" s="40" t="str">
        <f aca="false" t="array" ref="C68:C68">_xlfn.XLOOKUP($A68,TRIM(SUBSTITUTE('worker file'!$A$2:$A$406,_xlfn.UNICHAR(160)," ")),'worker file'!$D$2:$D$406,"Not found")</f>
        <v>CA</v>
      </c>
      <c r="D68" s="40" t="str">
        <f aca="false" t="array" ref="D68:D68">_xlfn.XLOOKUP($A68,TRIM(SUBSTITUTE('worker file'!$A$2:$A$406,_xlfn.UNICHAR(160)," ")),'worker file'!$Q$2:$Q$406,"Not found")</f>
        <v>Active</v>
      </c>
      <c r="E68" s="39" t="s">
        <v>632</v>
      </c>
      <c r="F68" s="38" t="str">
        <f aca="false">_xlfn.XLOOKUP($E68,$A$5:$A$8,$B$5:$B$8,"")</f>
        <v>Dental – Employee</v>
      </c>
      <c r="G68" s="38" t="str">
        <f aca="false">_xlfn.XLOOKUP($E68,$A$5:$A$8,$D$5:$D$8,"")</f>
        <v>Pre-tax Section 125 (exempt from FIT/SIT/FICA)</v>
      </c>
      <c r="H68" s="38" t="str">
        <f aca="false">_xlfn.XLOOKUP($E68,$A$5:$A$8,$E$5:$E$8,"")</f>
        <v>Flat</v>
      </c>
      <c r="I68" s="44" t="str">
        <f aca="false">IF($H68="Percent",_xlfn.XLOOKUP($E68,$A$5:$A$8,$F$5:$F$8,""),"")</f>
        <v/>
      </c>
      <c r="J68" s="42" t="n">
        <f aca="false">IF($H68="Flat",_xlfn.XLOOKUP($E68,$A$5:$A$8,$F$5:$F$8,""),"")</f>
        <v>44</v>
      </c>
      <c r="K68" s="38" t="str">
        <f aca="false">_xlfn.XLOOKUP($E68,$A$5:$A$8,$G$5:$G$8,"")</f>
        <v>Per pay period</v>
      </c>
      <c r="L68" s="38" t="str">
        <f aca="false">_xlfn.XLOOKUP($E68,$A$5:$A$8,$H$5:$H$8,"")</f>
        <v>Every pay period (ongoing)</v>
      </c>
      <c r="M68" s="43" t="n">
        <f aca="false" t="array" ref="M68:M68">MAX(_xlfn.XLOOKUP($A68,TRIM(SUBSTITUTE('worker file'!$A$2:$A$406,_xlfn.UNICHAR(160)," ")),'worker file'!$M$2:$M$406,0),_xlfn.XLOOKUP($B68,TRIM('pay group &amp; schedule'!$A$2:$A$6),'pay group &amp; schedule'!$D$2:$D$6,0))</f>
        <v>46311</v>
      </c>
      <c r="N68" s="43" t="str">
        <f aca="false" t="array" ref="N68:N68">_xlfn.LET(_xlpm.t,_xlfn.XLOOKUP($A68,TRIM(SUBSTITUTE('worker file'!$A$2:$A$406,_xlfn.UNICHAR(160)," ")),'worker file'!$N$2:$N$406,""),IF(N(_xlpm.t)=0,"",_xlpm.t))</f>
        <v/>
      </c>
    </row>
    <row r="69" customFormat="false" ht="15" hidden="false" customHeight="false" outlineLevel="0" collapsed="false">
      <c r="A69" s="39" t="s">
        <v>116</v>
      </c>
      <c r="B69" s="40" t="str">
        <f aca="false" t="array" ref="B69:B69">_xlfn.XLOOKUP($A69,TRIM(SUBSTITUTE('worker file'!$A$2:$A$406,_xlfn.UNICHAR(160)," ")),'worker file'!$L$2:$L$406,"Not found")</f>
        <v>US Semi-monthly</v>
      </c>
      <c r="C69" s="40" t="str">
        <f aca="false" t="array" ref="C69:C69">_xlfn.XLOOKUP($A69,TRIM(SUBSTITUTE('worker file'!$A$2:$A$406,_xlfn.UNICHAR(160)," ")),'worker file'!$D$2:$D$406,"Not found")</f>
        <v>CA</v>
      </c>
      <c r="D69" s="40" t="str">
        <f aca="false" t="array" ref="D69:D69">_xlfn.XLOOKUP($A69,TRIM(SUBSTITUTE('worker file'!$A$2:$A$406,_xlfn.UNICHAR(160)," ")),'worker file'!$Q$2:$Q$406,"Not found")</f>
        <v>Active</v>
      </c>
      <c r="E69" s="39" t="s">
        <v>634</v>
      </c>
      <c r="F69" s="38" t="str">
        <f aca="false">_xlfn.XLOOKUP($E69,$A$5:$A$8,$B$5:$B$8,"")</f>
        <v>Vision – Employee</v>
      </c>
      <c r="G69" s="38" t="str">
        <f aca="false">_xlfn.XLOOKUP($E69,$A$5:$A$8,$D$5:$D$8,"")</f>
        <v>Pre-tax Section 125 (exempt from FIT/SIT/FICA)</v>
      </c>
      <c r="H69" s="38" t="str">
        <f aca="false">_xlfn.XLOOKUP($E69,$A$5:$A$8,$E$5:$E$8,"")</f>
        <v>Flat</v>
      </c>
      <c r="I69" s="44" t="str">
        <f aca="false">IF($H69="Percent",_xlfn.XLOOKUP($E69,$A$5:$A$8,$F$5:$F$8,""),"")</f>
        <v/>
      </c>
      <c r="J69" s="42" t="n">
        <f aca="false">IF($H69="Flat",_xlfn.XLOOKUP($E69,$A$5:$A$8,$F$5:$F$8,""),"")</f>
        <v>30</v>
      </c>
      <c r="K69" s="38" t="str">
        <f aca="false">_xlfn.XLOOKUP($E69,$A$5:$A$8,$G$5:$G$8,"")</f>
        <v>Per pay period</v>
      </c>
      <c r="L69" s="38" t="str">
        <f aca="false">_xlfn.XLOOKUP($E69,$A$5:$A$8,$H$5:$H$8,"")</f>
        <v>Every pay period (ongoing)</v>
      </c>
      <c r="M69" s="43" t="n">
        <f aca="false" t="array" ref="M69:M69">MAX(_xlfn.XLOOKUP($A69,TRIM(SUBSTITUTE('worker file'!$A$2:$A$406,_xlfn.UNICHAR(160)," ")),'worker file'!$M$2:$M$406,0),_xlfn.XLOOKUP($B69,TRIM('pay group &amp; schedule'!$A$2:$A$6),'pay group &amp; schedule'!$D$2:$D$6,0))</f>
        <v>46311</v>
      </c>
      <c r="N69" s="43" t="str">
        <f aca="false" t="array" ref="N69:N69">_xlfn.LET(_xlpm.t,_xlfn.XLOOKUP($A69,TRIM(SUBSTITUTE('worker file'!$A$2:$A$406,_xlfn.UNICHAR(160)," ")),'worker file'!$N$2:$N$406,""),IF(N(_xlpm.t)=0,"",_xlpm.t))</f>
        <v/>
      </c>
    </row>
    <row r="70" customFormat="false" ht="15" hidden="false" customHeight="false" outlineLevel="0" collapsed="false">
      <c r="A70" s="39" t="s">
        <v>117</v>
      </c>
      <c r="B70" s="40" t="str">
        <f aca="false" t="array" ref="B70:B70">_xlfn.XLOOKUP($A70,TRIM(SUBSTITUTE('worker file'!$A$2:$A$406,_xlfn.UNICHAR(160)," ")),'worker file'!$L$2:$L$406,"Not found")</f>
        <v>US Semi-monthly</v>
      </c>
      <c r="C70" s="40" t="str">
        <f aca="false" t="array" ref="C70:C70">_xlfn.XLOOKUP($A70,TRIM(SUBSTITUTE('worker file'!$A$2:$A$406,_xlfn.UNICHAR(160)," ")),'worker file'!$D$2:$D$406,"Not found")</f>
        <v>CA</v>
      </c>
      <c r="D70" s="40" t="str">
        <f aca="false" t="array" ref="D70:D70">_xlfn.XLOOKUP($A70,TRIM(SUBSTITUTE('worker file'!$A$2:$A$406,_xlfn.UNICHAR(160)," ")),'worker file'!$Q$2:$Q$406,"Not found")</f>
        <v>Active</v>
      </c>
      <c r="E70" s="39" t="s">
        <v>618</v>
      </c>
      <c r="F70" s="38" t="str">
        <f aca="false">_xlfn.XLOOKUP($E70,$A$5:$A$8,$B$5:$B$8,"")</f>
        <v>401(k) Employee Deferral</v>
      </c>
      <c r="G70" s="38" t="str">
        <f aca="false">_xlfn.XLOOKUP($E70,$A$5:$A$8,$D$5:$D$8,"")</f>
        <v>Pre-tax (exempt from FIT/SIT; subject to FICA)</v>
      </c>
      <c r="H70" s="38" t="str">
        <f aca="false">_xlfn.XLOOKUP($E70,$A$5:$A$8,$E$5:$E$8,"")</f>
        <v>Percent</v>
      </c>
      <c r="I70" s="41" t="n">
        <v>0.06</v>
      </c>
      <c r="J70" s="42" t="str">
        <f aca="false">IF($H70="Flat",_xlfn.XLOOKUP($E70,$A$5:$A$8,$F$5:$F$8,""),"")</f>
        <v/>
      </c>
      <c r="K70" s="38" t="str">
        <f aca="false">_xlfn.XLOOKUP($E70,$A$5:$A$8,$G$5:$G$8,"")</f>
        <v>Gross pay</v>
      </c>
      <c r="L70" s="38" t="str">
        <f aca="false">_xlfn.XLOOKUP($E70,$A$5:$A$8,$H$5:$H$8,"")</f>
        <v>Every pay period (ongoing)</v>
      </c>
      <c r="M70" s="43" t="n">
        <f aca="false" t="array" ref="M70:M70">MAX(_xlfn.XLOOKUP($A70,TRIM(SUBSTITUTE('worker file'!$A$2:$A$406,_xlfn.UNICHAR(160)," ")),'worker file'!$M$2:$M$406,0),_xlfn.XLOOKUP($B70,TRIM('pay group &amp; schedule'!$A$2:$A$6),'pay group &amp; schedule'!$D$2:$D$6,0))</f>
        <v>46311</v>
      </c>
      <c r="N70" s="43" t="str">
        <f aca="false" t="array" ref="N70:N70">_xlfn.LET(_xlpm.t,_xlfn.XLOOKUP($A70,TRIM(SUBSTITUTE('worker file'!$A$2:$A$406,_xlfn.UNICHAR(160)," ")),'worker file'!$N$2:$N$406,""),IF(N(_xlpm.t)=0,"",_xlpm.t))</f>
        <v/>
      </c>
    </row>
    <row r="71" customFormat="false" ht="15" hidden="false" customHeight="false" outlineLevel="0" collapsed="false">
      <c r="A71" s="39" t="s">
        <v>117</v>
      </c>
      <c r="B71" s="40" t="str">
        <f aca="false" t="array" ref="B71:B71">_xlfn.XLOOKUP($A71,TRIM(SUBSTITUTE('worker file'!$A$2:$A$406,_xlfn.UNICHAR(160)," ")),'worker file'!$L$2:$L$406,"Not found")</f>
        <v>US Semi-monthly</v>
      </c>
      <c r="C71" s="40" t="str">
        <f aca="false" t="array" ref="C71:C71">_xlfn.XLOOKUP($A71,TRIM(SUBSTITUTE('worker file'!$A$2:$A$406,_xlfn.UNICHAR(160)," ")),'worker file'!$D$2:$D$406,"Not found")</f>
        <v>CA</v>
      </c>
      <c r="D71" s="40" t="str">
        <f aca="false" t="array" ref="D71:D71">_xlfn.XLOOKUP($A71,TRIM(SUBSTITUTE('worker file'!$A$2:$A$406,_xlfn.UNICHAR(160)," ")),'worker file'!$Q$2:$Q$406,"Not found")</f>
        <v>Active</v>
      </c>
      <c r="E71" s="39" t="s">
        <v>626</v>
      </c>
      <c r="F71" s="38" t="str">
        <f aca="false">_xlfn.XLOOKUP($E71,$A$5:$A$8,$B$5:$B$8,"")</f>
        <v>Medical (Health) – Employee</v>
      </c>
      <c r="G71" s="38" t="str">
        <f aca="false">_xlfn.XLOOKUP($E71,$A$5:$A$8,$D$5:$D$8,"")</f>
        <v>Pre-tax Section 125 (exempt from FIT/SIT/FICA)</v>
      </c>
      <c r="H71" s="38" t="str">
        <f aca="false">_xlfn.XLOOKUP($E71,$A$5:$A$8,$E$5:$E$8,"")</f>
        <v>Flat</v>
      </c>
      <c r="I71" s="44" t="str">
        <f aca="false">IF($H71="Percent",_xlfn.XLOOKUP($E71,$A$5:$A$8,$F$5:$F$8,""),"")</f>
        <v/>
      </c>
      <c r="J71" s="42" t="n">
        <f aca="false">IF($H71="Flat",_xlfn.XLOOKUP($E71,$A$5:$A$8,$F$5:$F$8,""),"")</f>
        <v>200</v>
      </c>
      <c r="K71" s="38" t="str">
        <f aca="false">_xlfn.XLOOKUP($E71,$A$5:$A$8,$G$5:$G$8,"")</f>
        <v>Per pay period</v>
      </c>
      <c r="L71" s="38" t="str">
        <f aca="false">_xlfn.XLOOKUP($E71,$A$5:$A$8,$H$5:$H$8,"")</f>
        <v>Every pay period (ongoing)</v>
      </c>
      <c r="M71" s="43" t="n">
        <f aca="false" t="array" ref="M71:M71">MAX(_xlfn.XLOOKUP($A71,TRIM(SUBSTITUTE('worker file'!$A$2:$A$406,_xlfn.UNICHAR(160)," ")),'worker file'!$M$2:$M$406,0),_xlfn.XLOOKUP($B71,TRIM('pay group &amp; schedule'!$A$2:$A$6),'pay group &amp; schedule'!$D$2:$D$6,0))</f>
        <v>46311</v>
      </c>
      <c r="N71" s="43" t="str">
        <f aca="false" t="array" ref="N71:N71">_xlfn.LET(_xlpm.t,_xlfn.XLOOKUP($A71,TRIM(SUBSTITUTE('worker file'!$A$2:$A$406,_xlfn.UNICHAR(160)," ")),'worker file'!$N$2:$N$406,""),IF(N(_xlpm.t)=0,"",_xlpm.t))</f>
        <v/>
      </c>
    </row>
    <row r="72" customFormat="false" ht="15" hidden="false" customHeight="false" outlineLevel="0" collapsed="false">
      <c r="A72" s="39" t="s">
        <v>117</v>
      </c>
      <c r="B72" s="40" t="str">
        <f aca="false" t="array" ref="B72:B72">_xlfn.XLOOKUP($A72,TRIM(SUBSTITUTE('worker file'!$A$2:$A$406,_xlfn.UNICHAR(160)," ")),'worker file'!$L$2:$L$406,"Not found")</f>
        <v>US Semi-monthly</v>
      </c>
      <c r="C72" s="40" t="str">
        <f aca="false" t="array" ref="C72:C72">_xlfn.XLOOKUP($A72,TRIM(SUBSTITUTE('worker file'!$A$2:$A$406,_xlfn.UNICHAR(160)," ")),'worker file'!$D$2:$D$406,"Not found")</f>
        <v>CA</v>
      </c>
      <c r="D72" s="40" t="str">
        <f aca="false" t="array" ref="D72:D72">_xlfn.XLOOKUP($A72,TRIM(SUBSTITUTE('worker file'!$A$2:$A$406,_xlfn.UNICHAR(160)," ")),'worker file'!$Q$2:$Q$406,"Not found")</f>
        <v>Active</v>
      </c>
      <c r="E72" s="39" t="s">
        <v>632</v>
      </c>
      <c r="F72" s="38" t="str">
        <f aca="false">_xlfn.XLOOKUP($E72,$A$5:$A$8,$B$5:$B$8,"")</f>
        <v>Dental – Employee</v>
      </c>
      <c r="G72" s="38" t="str">
        <f aca="false">_xlfn.XLOOKUP($E72,$A$5:$A$8,$D$5:$D$8,"")</f>
        <v>Pre-tax Section 125 (exempt from FIT/SIT/FICA)</v>
      </c>
      <c r="H72" s="38" t="str">
        <f aca="false">_xlfn.XLOOKUP($E72,$A$5:$A$8,$E$5:$E$8,"")</f>
        <v>Flat</v>
      </c>
      <c r="I72" s="44" t="str">
        <f aca="false">IF($H72="Percent",_xlfn.XLOOKUP($E72,$A$5:$A$8,$F$5:$F$8,""),"")</f>
        <v/>
      </c>
      <c r="J72" s="42" t="n">
        <f aca="false">IF($H72="Flat",_xlfn.XLOOKUP($E72,$A$5:$A$8,$F$5:$F$8,""),"")</f>
        <v>44</v>
      </c>
      <c r="K72" s="38" t="str">
        <f aca="false">_xlfn.XLOOKUP($E72,$A$5:$A$8,$G$5:$G$8,"")</f>
        <v>Per pay period</v>
      </c>
      <c r="L72" s="38" t="str">
        <f aca="false">_xlfn.XLOOKUP($E72,$A$5:$A$8,$H$5:$H$8,"")</f>
        <v>Every pay period (ongoing)</v>
      </c>
      <c r="M72" s="43" t="n">
        <f aca="false" t="array" ref="M72:M72">MAX(_xlfn.XLOOKUP($A72,TRIM(SUBSTITUTE('worker file'!$A$2:$A$406,_xlfn.UNICHAR(160)," ")),'worker file'!$M$2:$M$406,0),_xlfn.XLOOKUP($B72,TRIM('pay group &amp; schedule'!$A$2:$A$6),'pay group &amp; schedule'!$D$2:$D$6,0))</f>
        <v>46311</v>
      </c>
      <c r="N72" s="43" t="str">
        <f aca="false" t="array" ref="N72:N72">_xlfn.LET(_xlpm.t,_xlfn.XLOOKUP($A72,TRIM(SUBSTITUTE('worker file'!$A$2:$A$406,_xlfn.UNICHAR(160)," ")),'worker file'!$N$2:$N$406,""),IF(N(_xlpm.t)=0,"",_xlpm.t))</f>
        <v/>
      </c>
    </row>
    <row r="73" customFormat="false" ht="15" hidden="false" customHeight="false" outlineLevel="0" collapsed="false">
      <c r="A73" s="39" t="s">
        <v>117</v>
      </c>
      <c r="B73" s="40" t="str">
        <f aca="false" t="array" ref="B73:B73">_xlfn.XLOOKUP($A73,TRIM(SUBSTITUTE('worker file'!$A$2:$A$406,_xlfn.UNICHAR(160)," ")),'worker file'!$L$2:$L$406,"Not found")</f>
        <v>US Semi-monthly</v>
      </c>
      <c r="C73" s="40" t="str">
        <f aca="false" t="array" ref="C73:C73">_xlfn.XLOOKUP($A73,TRIM(SUBSTITUTE('worker file'!$A$2:$A$406,_xlfn.UNICHAR(160)," ")),'worker file'!$D$2:$D$406,"Not found")</f>
        <v>CA</v>
      </c>
      <c r="D73" s="40" t="str">
        <f aca="false" t="array" ref="D73:D73">_xlfn.XLOOKUP($A73,TRIM(SUBSTITUTE('worker file'!$A$2:$A$406,_xlfn.UNICHAR(160)," ")),'worker file'!$Q$2:$Q$406,"Not found")</f>
        <v>Active</v>
      </c>
      <c r="E73" s="39" t="s">
        <v>634</v>
      </c>
      <c r="F73" s="38" t="str">
        <f aca="false">_xlfn.XLOOKUP($E73,$A$5:$A$8,$B$5:$B$8,"")</f>
        <v>Vision – Employee</v>
      </c>
      <c r="G73" s="38" t="str">
        <f aca="false">_xlfn.XLOOKUP($E73,$A$5:$A$8,$D$5:$D$8,"")</f>
        <v>Pre-tax Section 125 (exempt from FIT/SIT/FICA)</v>
      </c>
      <c r="H73" s="38" t="str">
        <f aca="false">_xlfn.XLOOKUP($E73,$A$5:$A$8,$E$5:$E$8,"")</f>
        <v>Flat</v>
      </c>
      <c r="I73" s="44" t="str">
        <f aca="false">IF($H73="Percent",_xlfn.XLOOKUP($E73,$A$5:$A$8,$F$5:$F$8,""),"")</f>
        <v/>
      </c>
      <c r="J73" s="42" t="n">
        <f aca="false">IF($H73="Flat",_xlfn.XLOOKUP($E73,$A$5:$A$8,$F$5:$F$8,""),"")</f>
        <v>30</v>
      </c>
      <c r="K73" s="38" t="str">
        <f aca="false">_xlfn.XLOOKUP($E73,$A$5:$A$8,$G$5:$G$8,"")</f>
        <v>Per pay period</v>
      </c>
      <c r="L73" s="38" t="str">
        <f aca="false">_xlfn.XLOOKUP($E73,$A$5:$A$8,$H$5:$H$8,"")</f>
        <v>Every pay period (ongoing)</v>
      </c>
      <c r="M73" s="43" t="n">
        <f aca="false" t="array" ref="M73:M73">MAX(_xlfn.XLOOKUP($A73,TRIM(SUBSTITUTE('worker file'!$A$2:$A$406,_xlfn.UNICHAR(160)," ")),'worker file'!$M$2:$M$406,0),_xlfn.XLOOKUP($B73,TRIM('pay group &amp; schedule'!$A$2:$A$6),'pay group &amp; schedule'!$D$2:$D$6,0))</f>
        <v>46311</v>
      </c>
      <c r="N73" s="43" t="str">
        <f aca="false" t="array" ref="N73:N73">_xlfn.LET(_xlpm.t,_xlfn.XLOOKUP($A73,TRIM(SUBSTITUTE('worker file'!$A$2:$A$406,_xlfn.UNICHAR(160)," ")),'worker file'!$N$2:$N$406,""),IF(N(_xlpm.t)=0,"",_xlpm.t))</f>
        <v/>
      </c>
    </row>
    <row r="74" customFormat="false" ht="15" hidden="false" customHeight="false" outlineLevel="0" collapsed="false">
      <c r="A74" s="39" t="s">
        <v>118</v>
      </c>
      <c r="B74" s="40" t="str">
        <f aca="false" t="array" ref="B74:B74">_xlfn.XLOOKUP($A74,TRIM(SUBSTITUTE('worker file'!$A$2:$A$406,_xlfn.UNICHAR(160)," ")),'worker file'!$L$2:$L$406,"Not found")</f>
        <v>US Semi-monthly</v>
      </c>
      <c r="C74" s="40" t="str">
        <f aca="false" t="array" ref="C74:C74">_xlfn.XLOOKUP($A74,TRIM(SUBSTITUTE('worker file'!$A$2:$A$406,_xlfn.UNICHAR(160)," ")),'worker file'!$D$2:$D$406,"Not found")</f>
        <v>CA</v>
      </c>
      <c r="D74" s="40" t="str">
        <f aca="false" t="array" ref="D74:D74">_xlfn.XLOOKUP($A74,TRIM(SUBSTITUTE('worker file'!$A$2:$A$406,_xlfn.UNICHAR(160)," ")),'worker file'!$Q$2:$Q$406,"Not found")</f>
        <v>Active</v>
      </c>
      <c r="E74" s="39" t="s">
        <v>618</v>
      </c>
      <c r="F74" s="38" t="str">
        <f aca="false">_xlfn.XLOOKUP($E74,$A$5:$A$8,$B$5:$B$8,"")</f>
        <v>401(k) Employee Deferral</v>
      </c>
      <c r="G74" s="38" t="str">
        <f aca="false">_xlfn.XLOOKUP($E74,$A$5:$A$8,$D$5:$D$8,"")</f>
        <v>Pre-tax (exempt from FIT/SIT; subject to FICA)</v>
      </c>
      <c r="H74" s="38" t="str">
        <f aca="false">_xlfn.XLOOKUP($E74,$A$5:$A$8,$E$5:$E$8,"")</f>
        <v>Percent</v>
      </c>
      <c r="I74" s="41" t="n">
        <v>0.03</v>
      </c>
      <c r="J74" s="42" t="str">
        <f aca="false">IF($H74="Flat",_xlfn.XLOOKUP($E74,$A$5:$A$8,$F$5:$F$8,""),"")</f>
        <v/>
      </c>
      <c r="K74" s="38" t="str">
        <f aca="false">_xlfn.XLOOKUP($E74,$A$5:$A$8,$G$5:$G$8,"")</f>
        <v>Gross pay</v>
      </c>
      <c r="L74" s="38" t="str">
        <f aca="false">_xlfn.XLOOKUP($E74,$A$5:$A$8,$H$5:$H$8,"")</f>
        <v>Every pay period (ongoing)</v>
      </c>
      <c r="M74" s="43" t="n">
        <f aca="false" t="array" ref="M74:M74">MAX(_xlfn.XLOOKUP($A74,TRIM(SUBSTITUTE('worker file'!$A$2:$A$406,_xlfn.UNICHAR(160)," ")),'worker file'!$M$2:$M$406,0),_xlfn.XLOOKUP($B74,TRIM('pay group &amp; schedule'!$A$2:$A$6),'pay group &amp; schedule'!$D$2:$D$6,0))</f>
        <v>46311</v>
      </c>
      <c r="N74" s="43" t="str">
        <f aca="false" t="array" ref="N74:N74">_xlfn.LET(_xlpm.t,_xlfn.XLOOKUP($A74,TRIM(SUBSTITUTE('worker file'!$A$2:$A$406,_xlfn.UNICHAR(160)," ")),'worker file'!$N$2:$N$406,""),IF(N(_xlpm.t)=0,"",_xlpm.t))</f>
        <v/>
      </c>
    </row>
    <row r="75" customFormat="false" ht="15" hidden="false" customHeight="false" outlineLevel="0" collapsed="false">
      <c r="A75" s="39" t="s">
        <v>118</v>
      </c>
      <c r="B75" s="40" t="str">
        <f aca="false" t="array" ref="B75:B75">_xlfn.XLOOKUP($A75,TRIM(SUBSTITUTE('worker file'!$A$2:$A$406,_xlfn.UNICHAR(160)," ")),'worker file'!$L$2:$L$406,"Not found")</f>
        <v>US Semi-monthly</v>
      </c>
      <c r="C75" s="40" t="str">
        <f aca="false" t="array" ref="C75:C75">_xlfn.XLOOKUP($A75,TRIM(SUBSTITUTE('worker file'!$A$2:$A$406,_xlfn.UNICHAR(160)," ")),'worker file'!$D$2:$D$406,"Not found")</f>
        <v>CA</v>
      </c>
      <c r="D75" s="40" t="str">
        <f aca="false" t="array" ref="D75:D75">_xlfn.XLOOKUP($A75,TRIM(SUBSTITUTE('worker file'!$A$2:$A$406,_xlfn.UNICHAR(160)," ")),'worker file'!$Q$2:$Q$406,"Not found")</f>
        <v>Active</v>
      </c>
      <c r="E75" s="39" t="s">
        <v>626</v>
      </c>
      <c r="F75" s="38" t="str">
        <f aca="false">_xlfn.XLOOKUP($E75,$A$5:$A$8,$B$5:$B$8,"")</f>
        <v>Medical (Health) – Employee</v>
      </c>
      <c r="G75" s="38" t="str">
        <f aca="false">_xlfn.XLOOKUP($E75,$A$5:$A$8,$D$5:$D$8,"")</f>
        <v>Pre-tax Section 125 (exempt from FIT/SIT/FICA)</v>
      </c>
      <c r="H75" s="38" t="str">
        <f aca="false">_xlfn.XLOOKUP($E75,$A$5:$A$8,$E$5:$E$8,"")</f>
        <v>Flat</v>
      </c>
      <c r="I75" s="44" t="str">
        <f aca="false">IF($H75="Percent",_xlfn.XLOOKUP($E75,$A$5:$A$8,$F$5:$F$8,""),"")</f>
        <v/>
      </c>
      <c r="J75" s="42" t="n">
        <f aca="false">IF($H75="Flat",_xlfn.XLOOKUP($E75,$A$5:$A$8,$F$5:$F$8,""),"")</f>
        <v>200</v>
      </c>
      <c r="K75" s="38" t="str">
        <f aca="false">_xlfn.XLOOKUP($E75,$A$5:$A$8,$G$5:$G$8,"")</f>
        <v>Per pay period</v>
      </c>
      <c r="L75" s="38" t="str">
        <f aca="false">_xlfn.XLOOKUP($E75,$A$5:$A$8,$H$5:$H$8,"")</f>
        <v>Every pay period (ongoing)</v>
      </c>
      <c r="M75" s="43" t="n">
        <f aca="false" t="array" ref="M75:M75">MAX(_xlfn.XLOOKUP($A75,TRIM(SUBSTITUTE('worker file'!$A$2:$A$406,_xlfn.UNICHAR(160)," ")),'worker file'!$M$2:$M$406,0),_xlfn.XLOOKUP($B75,TRIM('pay group &amp; schedule'!$A$2:$A$6),'pay group &amp; schedule'!$D$2:$D$6,0))</f>
        <v>46311</v>
      </c>
      <c r="N75" s="43" t="str">
        <f aca="false" t="array" ref="N75:N75">_xlfn.LET(_xlpm.t,_xlfn.XLOOKUP($A75,TRIM(SUBSTITUTE('worker file'!$A$2:$A$406,_xlfn.UNICHAR(160)," ")),'worker file'!$N$2:$N$406,""),IF(N(_xlpm.t)=0,"",_xlpm.t))</f>
        <v/>
      </c>
    </row>
    <row r="76" customFormat="false" ht="15" hidden="false" customHeight="false" outlineLevel="0" collapsed="false">
      <c r="A76" s="39" t="s">
        <v>118</v>
      </c>
      <c r="B76" s="40" t="str">
        <f aca="false" t="array" ref="B76:B76">_xlfn.XLOOKUP($A76,TRIM(SUBSTITUTE('worker file'!$A$2:$A$406,_xlfn.UNICHAR(160)," ")),'worker file'!$L$2:$L$406,"Not found")</f>
        <v>US Semi-monthly</v>
      </c>
      <c r="C76" s="40" t="str">
        <f aca="false" t="array" ref="C76:C76">_xlfn.XLOOKUP($A76,TRIM(SUBSTITUTE('worker file'!$A$2:$A$406,_xlfn.UNICHAR(160)," ")),'worker file'!$D$2:$D$406,"Not found")</f>
        <v>CA</v>
      </c>
      <c r="D76" s="40" t="str">
        <f aca="false" t="array" ref="D76:D76">_xlfn.XLOOKUP($A76,TRIM(SUBSTITUTE('worker file'!$A$2:$A$406,_xlfn.UNICHAR(160)," ")),'worker file'!$Q$2:$Q$406,"Not found")</f>
        <v>Active</v>
      </c>
      <c r="E76" s="39" t="s">
        <v>632</v>
      </c>
      <c r="F76" s="38" t="str">
        <f aca="false">_xlfn.XLOOKUP($E76,$A$5:$A$8,$B$5:$B$8,"")</f>
        <v>Dental – Employee</v>
      </c>
      <c r="G76" s="38" t="str">
        <f aca="false">_xlfn.XLOOKUP($E76,$A$5:$A$8,$D$5:$D$8,"")</f>
        <v>Pre-tax Section 125 (exempt from FIT/SIT/FICA)</v>
      </c>
      <c r="H76" s="38" t="str">
        <f aca="false">_xlfn.XLOOKUP($E76,$A$5:$A$8,$E$5:$E$8,"")</f>
        <v>Flat</v>
      </c>
      <c r="I76" s="44" t="str">
        <f aca="false">IF($H76="Percent",_xlfn.XLOOKUP($E76,$A$5:$A$8,$F$5:$F$8,""),"")</f>
        <v/>
      </c>
      <c r="J76" s="42" t="n">
        <f aca="false">IF($H76="Flat",_xlfn.XLOOKUP($E76,$A$5:$A$8,$F$5:$F$8,""),"")</f>
        <v>44</v>
      </c>
      <c r="K76" s="38" t="str">
        <f aca="false">_xlfn.XLOOKUP($E76,$A$5:$A$8,$G$5:$G$8,"")</f>
        <v>Per pay period</v>
      </c>
      <c r="L76" s="38" t="str">
        <f aca="false">_xlfn.XLOOKUP($E76,$A$5:$A$8,$H$5:$H$8,"")</f>
        <v>Every pay period (ongoing)</v>
      </c>
      <c r="M76" s="43" t="n">
        <f aca="false" t="array" ref="M76:M76">MAX(_xlfn.XLOOKUP($A76,TRIM(SUBSTITUTE('worker file'!$A$2:$A$406,_xlfn.UNICHAR(160)," ")),'worker file'!$M$2:$M$406,0),_xlfn.XLOOKUP($B76,TRIM('pay group &amp; schedule'!$A$2:$A$6),'pay group &amp; schedule'!$D$2:$D$6,0))</f>
        <v>46311</v>
      </c>
      <c r="N76" s="43" t="str">
        <f aca="false" t="array" ref="N76:N76">_xlfn.LET(_xlpm.t,_xlfn.XLOOKUP($A76,TRIM(SUBSTITUTE('worker file'!$A$2:$A$406,_xlfn.UNICHAR(160)," ")),'worker file'!$N$2:$N$406,""),IF(N(_xlpm.t)=0,"",_xlpm.t))</f>
        <v/>
      </c>
    </row>
    <row r="77" customFormat="false" ht="15" hidden="false" customHeight="false" outlineLevel="0" collapsed="false">
      <c r="A77" s="39" t="s">
        <v>118</v>
      </c>
      <c r="B77" s="40" t="str">
        <f aca="false" t="array" ref="B77:B77">_xlfn.XLOOKUP($A77,TRIM(SUBSTITUTE('worker file'!$A$2:$A$406,_xlfn.UNICHAR(160)," ")),'worker file'!$L$2:$L$406,"Not found")</f>
        <v>US Semi-monthly</v>
      </c>
      <c r="C77" s="40" t="str">
        <f aca="false" t="array" ref="C77:C77">_xlfn.XLOOKUP($A77,TRIM(SUBSTITUTE('worker file'!$A$2:$A$406,_xlfn.UNICHAR(160)," ")),'worker file'!$D$2:$D$406,"Not found")</f>
        <v>CA</v>
      </c>
      <c r="D77" s="40" t="str">
        <f aca="false" t="array" ref="D77:D77">_xlfn.XLOOKUP($A77,TRIM(SUBSTITUTE('worker file'!$A$2:$A$406,_xlfn.UNICHAR(160)," ")),'worker file'!$Q$2:$Q$406,"Not found")</f>
        <v>Active</v>
      </c>
      <c r="E77" s="39" t="s">
        <v>634</v>
      </c>
      <c r="F77" s="38" t="str">
        <f aca="false">_xlfn.XLOOKUP($E77,$A$5:$A$8,$B$5:$B$8,"")</f>
        <v>Vision – Employee</v>
      </c>
      <c r="G77" s="38" t="str">
        <f aca="false">_xlfn.XLOOKUP($E77,$A$5:$A$8,$D$5:$D$8,"")</f>
        <v>Pre-tax Section 125 (exempt from FIT/SIT/FICA)</v>
      </c>
      <c r="H77" s="38" t="str">
        <f aca="false">_xlfn.XLOOKUP($E77,$A$5:$A$8,$E$5:$E$8,"")</f>
        <v>Flat</v>
      </c>
      <c r="I77" s="44" t="str">
        <f aca="false">IF($H77="Percent",_xlfn.XLOOKUP($E77,$A$5:$A$8,$F$5:$F$8,""),"")</f>
        <v/>
      </c>
      <c r="J77" s="42" t="n">
        <f aca="false">IF($H77="Flat",_xlfn.XLOOKUP($E77,$A$5:$A$8,$F$5:$F$8,""),"")</f>
        <v>30</v>
      </c>
      <c r="K77" s="38" t="str">
        <f aca="false">_xlfn.XLOOKUP($E77,$A$5:$A$8,$G$5:$G$8,"")</f>
        <v>Per pay period</v>
      </c>
      <c r="L77" s="38" t="str">
        <f aca="false">_xlfn.XLOOKUP($E77,$A$5:$A$8,$H$5:$H$8,"")</f>
        <v>Every pay period (ongoing)</v>
      </c>
      <c r="M77" s="43" t="n">
        <f aca="false" t="array" ref="M77:M77">MAX(_xlfn.XLOOKUP($A77,TRIM(SUBSTITUTE('worker file'!$A$2:$A$406,_xlfn.UNICHAR(160)," ")),'worker file'!$M$2:$M$406,0),_xlfn.XLOOKUP($B77,TRIM('pay group &amp; schedule'!$A$2:$A$6),'pay group &amp; schedule'!$D$2:$D$6,0))</f>
        <v>46311</v>
      </c>
      <c r="N77" s="43" t="str">
        <f aca="false" t="array" ref="N77:N77">_xlfn.LET(_xlpm.t,_xlfn.XLOOKUP($A77,TRIM(SUBSTITUTE('worker file'!$A$2:$A$406,_xlfn.UNICHAR(160)," ")),'worker file'!$N$2:$N$406,""),IF(N(_xlpm.t)=0,"",_xlpm.t))</f>
        <v/>
      </c>
    </row>
    <row r="78" customFormat="false" ht="15" hidden="false" customHeight="false" outlineLevel="0" collapsed="false">
      <c r="A78" s="39" t="s">
        <v>120</v>
      </c>
      <c r="B78" s="40" t="str">
        <f aca="false" t="array" ref="B78:B78">_xlfn.XLOOKUP($A78,TRIM(SUBSTITUTE('worker file'!$A$2:$A$406,_xlfn.UNICHAR(160)," ")),'worker file'!$L$2:$L$406,"Not found")</f>
        <v>US Biweekly</v>
      </c>
      <c r="C78" s="40" t="str">
        <f aca="false" t="array" ref="C78:C78">_xlfn.XLOOKUP($A78,TRIM(SUBSTITUTE('worker file'!$A$2:$A$406,_xlfn.UNICHAR(160)," ")),'worker file'!$D$2:$D$406,"Not found")</f>
        <v>TX</v>
      </c>
      <c r="D78" s="40" t="str">
        <f aca="false" t="array" ref="D78:D78">_xlfn.XLOOKUP($A78,TRIM(SUBSTITUTE('worker file'!$A$2:$A$406,_xlfn.UNICHAR(160)," ")),'worker file'!$Q$2:$Q$406,"Not found")</f>
        <v>Active</v>
      </c>
      <c r="E78" s="39" t="s">
        <v>618</v>
      </c>
      <c r="F78" s="38" t="str">
        <f aca="false">_xlfn.XLOOKUP($E78,$A$5:$A$8,$B$5:$B$8,"")</f>
        <v>401(k) Employee Deferral</v>
      </c>
      <c r="G78" s="38" t="str">
        <f aca="false">_xlfn.XLOOKUP($E78,$A$5:$A$8,$D$5:$D$8,"")</f>
        <v>Pre-tax (exempt from FIT/SIT; subject to FICA)</v>
      </c>
      <c r="H78" s="38" t="str">
        <f aca="false">_xlfn.XLOOKUP($E78,$A$5:$A$8,$E$5:$E$8,"")</f>
        <v>Percent</v>
      </c>
      <c r="I78" s="41" t="n">
        <v>0</v>
      </c>
      <c r="J78" s="42" t="str">
        <f aca="false">IF($H78="Flat",_xlfn.XLOOKUP($E78,$A$5:$A$8,$F$5:$F$8,""),"")</f>
        <v/>
      </c>
      <c r="K78" s="38" t="str">
        <f aca="false">_xlfn.XLOOKUP($E78,$A$5:$A$8,$G$5:$G$8,"")</f>
        <v>Gross pay</v>
      </c>
      <c r="L78" s="38" t="str">
        <f aca="false">_xlfn.XLOOKUP($E78,$A$5:$A$8,$H$5:$H$8,"")</f>
        <v>Every pay period (ongoing)</v>
      </c>
      <c r="M78" s="43" t="n">
        <f aca="false" t="array" ref="M78:M78">MAX(_xlfn.XLOOKUP($A78,TRIM(SUBSTITUTE('worker file'!$A$2:$A$406,_xlfn.UNICHAR(160)," ")),'worker file'!$M$2:$M$406,0),_xlfn.XLOOKUP($B78,TRIM('pay group &amp; schedule'!$A$2:$A$6),'pay group &amp; schedule'!$D$2:$D$6,0))</f>
        <v>46299</v>
      </c>
      <c r="N78" s="43" t="str">
        <f aca="false" t="array" ref="N78:N78">_xlfn.LET(_xlpm.t,_xlfn.XLOOKUP($A78,TRIM(SUBSTITUTE('worker file'!$A$2:$A$406,_xlfn.UNICHAR(160)," ")),'worker file'!$N$2:$N$406,""),IF(N(_xlpm.t)=0,"",_xlpm.t))</f>
        <v/>
      </c>
    </row>
    <row r="79" customFormat="false" ht="15" hidden="false" customHeight="false" outlineLevel="0" collapsed="false">
      <c r="A79" s="39" t="s">
        <v>120</v>
      </c>
      <c r="B79" s="40" t="str">
        <f aca="false" t="array" ref="B79:B79">_xlfn.XLOOKUP($A79,TRIM(SUBSTITUTE('worker file'!$A$2:$A$406,_xlfn.UNICHAR(160)," ")),'worker file'!$L$2:$L$406,"Not found")</f>
        <v>US Biweekly</v>
      </c>
      <c r="C79" s="40" t="str">
        <f aca="false" t="array" ref="C79:C79">_xlfn.XLOOKUP($A79,TRIM(SUBSTITUTE('worker file'!$A$2:$A$406,_xlfn.UNICHAR(160)," ")),'worker file'!$D$2:$D$406,"Not found")</f>
        <v>TX</v>
      </c>
      <c r="D79" s="40" t="str">
        <f aca="false" t="array" ref="D79:D79">_xlfn.XLOOKUP($A79,TRIM(SUBSTITUTE('worker file'!$A$2:$A$406,_xlfn.UNICHAR(160)," ")),'worker file'!$Q$2:$Q$406,"Not found")</f>
        <v>Active</v>
      </c>
      <c r="E79" s="39" t="s">
        <v>626</v>
      </c>
      <c r="F79" s="38" t="str">
        <f aca="false">_xlfn.XLOOKUP($E79,$A$5:$A$8,$B$5:$B$8,"")</f>
        <v>Medical (Health) – Employee</v>
      </c>
      <c r="G79" s="38" t="str">
        <f aca="false">_xlfn.XLOOKUP($E79,$A$5:$A$8,$D$5:$D$8,"")</f>
        <v>Pre-tax Section 125 (exempt from FIT/SIT/FICA)</v>
      </c>
      <c r="H79" s="38" t="str">
        <f aca="false">_xlfn.XLOOKUP($E79,$A$5:$A$8,$E$5:$E$8,"")</f>
        <v>Flat</v>
      </c>
      <c r="I79" s="44" t="str">
        <f aca="false">IF($H79="Percent",_xlfn.XLOOKUP($E79,$A$5:$A$8,$F$5:$F$8,""),"")</f>
        <v/>
      </c>
      <c r="J79" s="42" t="n">
        <f aca="false">IF($H79="Flat",_xlfn.XLOOKUP($E79,$A$5:$A$8,$F$5:$F$8,""),"")</f>
        <v>200</v>
      </c>
      <c r="K79" s="38" t="str">
        <f aca="false">_xlfn.XLOOKUP($E79,$A$5:$A$8,$G$5:$G$8,"")</f>
        <v>Per pay period</v>
      </c>
      <c r="L79" s="38" t="str">
        <f aca="false">_xlfn.XLOOKUP($E79,$A$5:$A$8,$H$5:$H$8,"")</f>
        <v>Every pay period (ongoing)</v>
      </c>
      <c r="M79" s="43" t="n">
        <f aca="false" t="array" ref="M79:M79">MAX(_xlfn.XLOOKUP($A79,TRIM(SUBSTITUTE('worker file'!$A$2:$A$406,_xlfn.UNICHAR(160)," ")),'worker file'!$M$2:$M$406,0),_xlfn.XLOOKUP($B79,TRIM('pay group &amp; schedule'!$A$2:$A$6),'pay group &amp; schedule'!$D$2:$D$6,0))</f>
        <v>46299</v>
      </c>
      <c r="N79" s="43" t="str">
        <f aca="false" t="array" ref="N79:N79">_xlfn.LET(_xlpm.t,_xlfn.XLOOKUP($A79,TRIM(SUBSTITUTE('worker file'!$A$2:$A$406,_xlfn.UNICHAR(160)," ")),'worker file'!$N$2:$N$406,""),IF(N(_xlpm.t)=0,"",_xlpm.t))</f>
        <v/>
      </c>
    </row>
    <row r="80" customFormat="false" ht="15" hidden="false" customHeight="false" outlineLevel="0" collapsed="false">
      <c r="A80" s="39" t="s">
        <v>120</v>
      </c>
      <c r="B80" s="40" t="str">
        <f aca="false" t="array" ref="B80:B80">_xlfn.XLOOKUP($A80,TRIM(SUBSTITUTE('worker file'!$A$2:$A$406,_xlfn.UNICHAR(160)," ")),'worker file'!$L$2:$L$406,"Not found")</f>
        <v>US Biweekly</v>
      </c>
      <c r="C80" s="40" t="str">
        <f aca="false" t="array" ref="C80:C80">_xlfn.XLOOKUP($A80,TRIM(SUBSTITUTE('worker file'!$A$2:$A$406,_xlfn.UNICHAR(160)," ")),'worker file'!$D$2:$D$406,"Not found")</f>
        <v>TX</v>
      </c>
      <c r="D80" s="40" t="str">
        <f aca="false" t="array" ref="D80:D80">_xlfn.XLOOKUP($A80,TRIM(SUBSTITUTE('worker file'!$A$2:$A$406,_xlfn.UNICHAR(160)," ")),'worker file'!$Q$2:$Q$406,"Not found")</f>
        <v>Active</v>
      </c>
      <c r="E80" s="39" t="s">
        <v>632</v>
      </c>
      <c r="F80" s="38" t="str">
        <f aca="false">_xlfn.XLOOKUP($E80,$A$5:$A$8,$B$5:$B$8,"")</f>
        <v>Dental – Employee</v>
      </c>
      <c r="G80" s="38" t="str">
        <f aca="false">_xlfn.XLOOKUP($E80,$A$5:$A$8,$D$5:$D$8,"")</f>
        <v>Pre-tax Section 125 (exempt from FIT/SIT/FICA)</v>
      </c>
      <c r="H80" s="38" t="str">
        <f aca="false">_xlfn.XLOOKUP($E80,$A$5:$A$8,$E$5:$E$8,"")</f>
        <v>Flat</v>
      </c>
      <c r="I80" s="44" t="str">
        <f aca="false">IF($H80="Percent",_xlfn.XLOOKUP($E80,$A$5:$A$8,$F$5:$F$8,""),"")</f>
        <v/>
      </c>
      <c r="J80" s="42" t="n">
        <f aca="false">IF($H80="Flat",_xlfn.XLOOKUP($E80,$A$5:$A$8,$F$5:$F$8,""),"")</f>
        <v>44</v>
      </c>
      <c r="K80" s="38" t="str">
        <f aca="false">_xlfn.XLOOKUP($E80,$A$5:$A$8,$G$5:$G$8,"")</f>
        <v>Per pay period</v>
      </c>
      <c r="L80" s="38" t="str">
        <f aca="false">_xlfn.XLOOKUP($E80,$A$5:$A$8,$H$5:$H$8,"")</f>
        <v>Every pay period (ongoing)</v>
      </c>
      <c r="M80" s="43" t="n">
        <f aca="false" t="array" ref="M80:M80">MAX(_xlfn.XLOOKUP($A80,TRIM(SUBSTITUTE('worker file'!$A$2:$A$406,_xlfn.UNICHAR(160)," ")),'worker file'!$M$2:$M$406,0),_xlfn.XLOOKUP($B80,TRIM('pay group &amp; schedule'!$A$2:$A$6),'pay group &amp; schedule'!$D$2:$D$6,0))</f>
        <v>46299</v>
      </c>
      <c r="N80" s="43" t="str">
        <f aca="false" t="array" ref="N80:N80">_xlfn.LET(_xlpm.t,_xlfn.XLOOKUP($A80,TRIM(SUBSTITUTE('worker file'!$A$2:$A$406,_xlfn.UNICHAR(160)," ")),'worker file'!$N$2:$N$406,""),IF(N(_xlpm.t)=0,"",_xlpm.t))</f>
        <v/>
      </c>
    </row>
    <row r="81" customFormat="false" ht="15" hidden="false" customHeight="false" outlineLevel="0" collapsed="false">
      <c r="A81" s="39" t="s">
        <v>120</v>
      </c>
      <c r="B81" s="40" t="str">
        <f aca="false" t="array" ref="B81:B81">_xlfn.XLOOKUP($A81,TRIM(SUBSTITUTE('worker file'!$A$2:$A$406,_xlfn.UNICHAR(160)," ")),'worker file'!$L$2:$L$406,"Not found")</f>
        <v>US Biweekly</v>
      </c>
      <c r="C81" s="40" t="str">
        <f aca="false" t="array" ref="C81:C81">_xlfn.XLOOKUP($A81,TRIM(SUBSTITUTE('worker file'!$A$2:$A$406,_xlfn.UNICHAR(160)," ")),'worker file'!$D$2:$D$406,"Not found")</f>
        <v>TX</v>
      </c>
      <c r="D81" s="40" t="str">
        <f aca="false" t="array" ref="D81:D81">_xlfn.XLOOKUP($A81,TRIM(SUBSTITUTE('worker file'!$A$2:$A$406,_xlfn.UNICHAR(160)," ")),'worker file'!$Q$2:$Q$406,"Not found")</f>
        <v>Active</v>
      </c>
      <c r="E81" s="39" t="s">
        <v>634</v>
      </c>
      <c r="F81" s="38" t="str">
        <f aca="false">_xlfn.XLOOKUP($E81,$A$5:$A$8,$B$5:$B$8,"")</f>
        <v>Vision – Employee</v>
      </c>
      <c r="G81" s="38" t="str">
        <f aca="false">_xlfn.XLOOKUP($E81,$A$5:$A$8,$D$5:$D$8,"")</f>
        <v>Pre-tax Section 125 (exempt from FIT/SIT/FICA)</v>
      </c>
      <c r="H81" s="38" t="str">
        <f aca="false">_xlfn.XLOOKUP($E81,$A$5:$A$8,$E$5:$E$8,"")</f>
        <v>Flat</v>
      </c>
      <c r="I81" s="44" t="str">
        <f aca="false">IF($H81="Percent",_xlfn.XLOOKUP($E81,$A$5:$A$8,$F$5:$F$8,""),"")</f>
        <v/>
      </c>
      <c r="J81" s="42" t="n">
        <f aca="false">IF($H81="Flat",_xlfn.XLOOKUP($E81,$A$5:$A$8,$F$5:$F$8,""),"")</f>
        <v>30</v>
      </c>
      <c r="K81" s="38" t="str">
        <f aca="false">_xlfn.XLOOKUP($E81,$A$5:$A$8,$G$5:$G$8,"")</f>
        <v>Per pay period</v>
      </c>
      <c r="L81" s="38" t="str">
        <f aca="false">_xlfn.XLOOKUP($E81,$A$5:$A$8,$H$5:$H$8,"")</f>
        <v>Every pay period (ongoing)</v>
      </c>
      <c r="M81" s="43" t="n">
        <f aca="false" t="array" ref="M81:M81">MAX(_xlfn.XLOOKUP($A81,TRIM(SUBSTITUTE('worker file'!$A$2:$A$406,_xlfn.UNICHAR(160)," ")),'worker file'!$M$2:$M$406,0),_xlfn.XLOOKUP($B81,TRIM('pay group &amp; schedule'!$A$2:$A$6),'pay group &amp; schedule'!$D$2:$D$6,0))</f>
        <v>46299</v>
      </c>
      <c r="N81" s="43" t="str">
        <f aca="false" t="array" ref="N81:N81">_xlfn.LET(_xlpm.t,_xlfn.XLOOKUP($A81,TRIM(SUBSTITUTE('worker file'!$A$2:$A$406,_xlfn.UNICHAR(160)," ")),'worker file'!$N$2:$N$406,""),IF(N(_xlpm.t)=0,"",_xlpm.t))</f>
        <v/>
      </c>
    </row>
    <row r="82" customFormat="false" ht="15" hidden="false" customHeight="false" outlineLevel="0" collapsed="false">
      <c r="A82" s="39" t="s">
        <v>122</v>
      </c>
      <c r="B82" s="40" t="str">
        <f aca="false" t="array" ref="B82:B82">_xlfn.XLOOKUP($A82,TRIM(SUBSTITUTE('worker file'!$A$2:$A$406,_xlfn.UNICHAR(160)," ")),'worker file'!$L$2:$L$406,"Not found")</f>
        <v>US Semi-monthly</v>
      </c>
      <c r="C82" s="40" t="str">
        <f aca="false" t="array" ref="C82:C82">_xlfn.XLOOKUP($A82,TRIM(SUBSTITUTE('worker file'!$A$2:$A$406,_xlfn.UNICHAR(160)," ")),'worker file'!$D$2:$D$406,"Not found")</f>
        <v>WA</v>
      </c>
      <c r="D82" s="40" t="str">
        <f aca="false" t="array" ref="D82:D82">_xlfn.XLOOKUP($A82,TRIM(SUBSTITUTE('worker file'!$A$2:$A$406,_xlfn.UNICHAR(160)," ")),'worker file'!$Q$2:$Q$406,"Not found")</f>
        <v>Active</v>
      </c>
      <c r="E82" s="39" t="s">
        <v>618</v>
      </c>
      <c r="F82" s="38" t="str">
        <f aca="false">_xlfn.XLOOKUP($E82,$A$5:$A$8,$B$5:$B$8,"")</f>
        <v>401(k) Employee Deferral</v>
      </c>
      <c r="G82" s="38" t="str">
        <f aca="false">_xlfn.XLOOKUP($E82,$A$5:$A$8,$D$5:$D$8,"")</f>
        <v>Pre-tax (exempt from FIT/SIT; subject to FICA)</v>
      </c>
      <c r="H82" s="38" t="str">
        <f aca="false">_xlfn.XLOOKUP($E82,$A$5:$A$8,$E$5:$E$8,"")</f>
        <v>Percent</v>
      </c>
      <c r="I82" s="41" t="n">
        <v>0.05</v>
      </c>
      <c r="J82" s="42" t="str">
        <f aca="false">IF($H82="Flat",_xlfn.XLOOKUP($E82,$A$5:$A$8,$F$5:$F$8,""),"")</f>
        <v/>
      </c>
      <c r="K82" s="38" t="str">
        <f aca="false">_xlfn.XLOOKUP($E82,$A$5:$A$8,$G$5:$G$8,"")</f>
        <v>Gross pay</v>
      </c>
      <c r="L82" s="38" t="str">
        <f aca="false">_xlfn.XLOOKUP($E82,$A$5:$A$8,$H$5:$H$8,"")</f>
        <v>Every pay period (ongoing)</v>
      </c>
      <c r="M82" s="43" t="n">
        <f aca="false" t="array" ref="M82:M82">MAX(_xlfn.XLOOKUP($A82,TRIM(SUBSTITUTE('worker file'!$A$2:$A$406,_xlfn.UNICHAR(160)," ")),'worker file'!$M$2:$M$406,0),_xlfn.XLOOKUP($B82,TRIM('pay group &amp; schedule'!$A$2:$A$6),'pay group &amp; schedule'!$D$2:$D$6,0))</f>
        <v>46311</v>
      </c>
      <c r="N82" s="43" t="str">
        <f aca="false" t="array" ref="N82:N82">_xlfn.LET(_xlpm.t,_xlfn.XLOOKUP($A82,TRIM(SUBSTITUTE('worker file'!$A$2:$A$406,_xlfn.UNICHAR(160)," ")),'worker file'!$N$2:$N$406,""),IF(N(_xlpm.t)=0,"",_xlpm.t))</f>
        <v/>
      </c>
    </row>
    <row r="83" customFormat="false" ht="15" hidden="false" customHeight="false" outlineLevel="0" collapsed="false">
      <c r="A83" s="39" t="s">
        <v>122</v>
      </c>
      <c r="B83" s="40" t="str">
        <f aca="false" t="array" ref="B83:B83">_xlfn.XLOOKUP($A83,TRIM(SUBSTITUTE('worker file'!$A$2:$A$406,_xlfn.UNICHAR(160)," ")),'worker file'!$L$2:$L$406,"Not found")</f>
        <v>US Semi-monthly</v>
      </c>
      <c r="C83" s="40" t="str">
        <f aca="false" t="array" ref="C83:C83">_xlfn.XLOOKUP($A83,TRIM(SUBSTITUTE('worker file'!$A$2:$A$406,_xlfn.UNICHAR(160)," ")),'worker file'!$D$2:$D$406,"Not found")</f>
        <v>WA</v>
      </c>
      <c r="D83" s="40" t="str">
        <f aca="false" t="array" ref="D83:D83">_xlfn.XLOOKUP($A83,TRIM(SUBSTITUTE('worker file'!$A$2:$A$406,_xlfn.UNICHAR(160)," ")),'worker file'!$Q$2:$Q$406,"Not found")</f>
        <v>Active</v>
      </c>
      <c r="E83" s="39" t="s">
        <v>626</v>
      </c>
      <c r="F83" s="38" t="str">
        <f aca="false">_xlfn.XLOOKUP($E83,$A$5:$A$8,$B$5:$B$8,"")</f>
        <v>Medical (Health) – Employee</v>
      </c>
      <c r="G83" s="38" t="str">
        <f aca="false">_xlfn.XLOOKUP($E83,$A$5:$A$8,$D$5:$D$8,"")</f>
        <v>Pre-tax Section 125 (exempt from FIT/SIT/FICA)</v>
      </c>
      <c r="H83" s="38" t="str">
        <f aca="false">_xlfn.XLOOKUP($E83,$A$5:$A$8,$E$5:$E$8,"")</f>
        <v>Flat</v>
      </c>
      <c r="I83" s="44" t="str">
        <f aca="false">IF($H83="Percent",_xlfn.XLOOKUP($E83,$A$5:$A$8,$F$5:$F$8,""),"")</f>
        <v/>
      </c>
      <c r="J83" s="42" t="n">
        <f aca="false">IF($H83="Flat",_xlfn.XLOOKUP($E83,$A$5:$A$8,$F$5:$F$8,""),"")</f>
        <v>200</v>
      </c>
      <c r="K83" s="38" t="str">
        <f aca="false">_xlfn.XLOOKUP($E83,$A$5:$A$8,$G$5:$G$8,"")</f>
        <v>Per pay period</v>
      </c>
      <c r="L83" s="38" t="str">
        <f aca="false">_xlfn.XLOOKUP($E83,$A$5:$A$8,$H$5:$H$8,"")</f>
        <v>Every pay period (ongoing)</v>
      </c>
      <c r="M83" s="43" t="n">
        <f aca="false" t="array" ref="M83:M83">MAX(_xlfn.XLOOKUP($A83,TRIM(SUBSTITUTE('worker file'!$A$2:$A$406,_xlfn.UNICHAR(160)," ")),'worker file'!$M$2:$M$406,0),_xlfn.XLOOKUP($B83,TRIM('pay group &amp; schedule'!$A$2:$A$6),'pay group &amp; schedule'!$D$2:$D$6,0))</f>
        <v>46311</v>
      </c>
      <c r="N83" s="43" t="str">
        <f aca="false" t="array" ref="N83:N83">_xlfn.LET(_xlpm.t,_xlfn.XLOOKUP($A83,TRIM(SUBSTITUTE('worker file'!$A$2:$A$406,_xlfn.UNICHAR(160)," ")),'worker file'!$N$2:$N$406,""),IF(N(_xlpm.t)=0,"",_xlpm.t))</f>
        <v/>
      </c>
    </row>
    <row r="84" customFormat="false" ht="15" hidden="false" customHeight="false" outlineLevel="0" collapsed="false">
      <c r="A84" s="39" t="s">
        <v>122</v>
      </c>
      <c r="B84" s="40" t="str">
        <f aca="false" t="array" ref="B84:B84">_xlfn.XLOOKUP($A84,TRIM(SUBSTITUTE('worker file'!$A$2:$A$406,_xlfn.UNICHAR(160)," ")),'worker file'!$L$2:$L$406,"Not found")</f>
        <v>US Semi-monthly</v>
      </c>
      <c r="C84" s="40" t="str">
        <f aca="false" t="array" ref="C84:C84">_xlfn.XLOOKUP($A84,TRIM(SUBSTITUTE('worker file'!$A$2:$A$406,_xlfn.UNICHAR(160)," ")),'worker file'!$D$2:$D$406,"Not found")</f>
        <v>WA</v>
      </c>
      <c r="D84" s="40" t="str">
        <f aca="false" t="array" ref="D84:D84">_xlfn.XLOOKUP($A84,TRIM(SUBSTITUTE('worker file'!$A$2:$A$406,_xlfn.UNICHAR(160)," ")),'worker file'!$Q$2:$Q$406,"Not found")</f>
        <v>Active</v>
      </c>
      <c r="E84" s="39" t="s">
        <v>632</v>
      </c>
      <c r="F84" s="38" t="str">
        <f aca="false">_xlfn.XLOOKUP($E84,$A$5:$A$8,$B$5:$B$8,"")</f>
        <v>Dental – Employee</v>
      </c>
      <c r="G84" s="38" t="str">
        <f aca="false">_xlfn.XLOOKUP($E84,$A$5:$A$8,$D$5:$D$8,"")</f>
        <v>Pre-tax Section 125 (exempt from FIT/SIT/FICA)</v>
      </c>
      <c r="H84" s="38" t="str">
        <f aca="false">_xlfn.XLOOKUP($E84,$A$5:$A$8,$E$5:$E$8,"")</f>
        <v>Flat</v>
      </c>
      <c r="I84" s="44" t="str">
        <f aca="false">IF($H84="Percent",_xlfn.XLOOKUP($E84,$A$5:$A$8,$F$5:$F$8,""),"")</f>
        <v/>
      </c>
      <c r="J84" s="42" t="n">
        <f aca="false">IF($H84="Flat",_xlfn.XLOOKUP($E84,$A$5:$A$8,$F$5:$F$8,""),"")</f>
        <v>44</v>
      </c>
      <c r="K84" s="38" t="str">
        <f aca="false">_xlfn.XLOOKUP($E84,$A$5:$A$8,$G$5:$G$8,"")</f>
        <v>Per pay period</v>
      </c>
      <c r="L84" s="38" t="str">
        <f aca="false">_xlfn.XLOOKUP($E84,$A$5:$A$8,$H$5:$H$8,"")</f>
        <v>Every pay period (ongoing)</v>
      </c>
      <c r="M84" s="43" t="n">
        <f aca="false" t="array" ref="M84:M84">MAX(_xlfn.XLOOKUP($A84,TRIM(SUBSTITUTE('worker file'!$A$2:$A$406,_xlfn.UNICHAR(160)," ")),'worker file'!$M$2:$M$406,0),_xlfn.XLOOKUP($B84,TRIM('pay group &amp; schedule'!$A$2:$A$6),'pay group &amp; schedule'!$D$2:$D$6,0))</f>
        <v>46311</v>
      </c>
      <c r="N84" s="43" t="str">
        <f aca="false" t="array" ref="N84:N84">_xlfn.LET(_xlpm.t,_xlfn.XLOOKUP($A84,TRIM(SUBSTITUTE('worker file'!$A$2:$A$406,_xlfn.UNICHAR(160)," ")),'worker file'!$N$2:$N$406,""),IF(N(_xlpm.t)=0,"",_xlpm.t))</f>
        <v/>
      </c>
    </row>
    <row r="85" customFormat="false" ht="15" hidden="false" customHeight="false" outlineLevel="0" collapsed="false">
      <c r="A85" s="39" t="s">
        <v>122</v>
      </c>
      <c r="B85" s="40" t="str">
        <f aca="false" t="array" ref="B85:B85">_xlfn.XLOOKUP($A85,TRIM(SUBSTITUTE('worker file'!$A$2:$A$406,_xlfn.UNICHAR(160)," ")),'worker file'!$L$2:$L$406,"Not found")</f>
        <v>US Semi-monthly</v>
      </c>
      <c r="C85" s="40" t="str">
        <f aca="false" t="array" ref="C85:C85">_xlfn.XLOOKUP($A85,TRIM(SUBSTITUTE('worker file'!$A$2:$A$406,_xlfn.UNICHAR(160)," ")),'worker file'!$D$2:$D$406,"Not found")</f>
        <v>WA</v>
      </c>
      <c r="D85" s="40" t="str">
        <f aca="false" t="array" ref="D85:D85">_xlfn.XLOOKUP($A85,TRIM(SUBSTITUTE('worker file'!$A$2:$A$406,_xlfn.UNICHAR(160)," ")),'worker file'!$Q$2:$Q$406,"Not found")</f>
        <v>Active</v>
      </c>
      <c r="E85" s="39" t="s">
        <v>634</v>
      </c>
      <c r="F85" s="38" t="str">
        <f aca="false">_xlfn.XLOOKUP($E85,$A$5:$A$8,$B$5:$B$8,"")</f>
        <v>Vision – Employee</v>
      </c>
      <c r="G85" s="38" t="str">
        <f aca="false">_xlfn.XLOOKUP($E85,$A$5:$A$8,$D$5:$D$8,"")</f>
        <v>Pre-tax Section 125 (exempt from FIT/SIT/FICA)</v>
      </c>
      <c r="H85" s="38" t="str">
        <f aca="false">_xlfn.XLOOKUP($E85,$A$5:$A$8,$E$5:$E$8,"")</f>
        <v>Flat</v>
      </c>
      <c r="I85" s="44" t="str">
        <f aca="false">IF($H85="Percent",_xlfn.XLOOKUP($E85,$A$5:$A$8,$F$5:$F$8,""),"")</f>
        <v/>
      </c>
      <c r="J85" s="42" t="n">
        <f aca="false">IF($H85="Flat",_xlfn.XLOOKUP($E85,$A$5:$A$8,$F$5:$F$8,""),"")</f>
        <v>30</v>
      </c>
      <c r="K85" s="38" t="str">
        <f aca="false">_xlfn.XLOOKUP($E85,$A$5:$A$8,$G$5:$G$8,"")</f>
        <v>Per pay period</v>
      </c>
      <c r="L85" s="38" t="str">
        <f aca="false">_xlfn.XLOOKUP($E85,$A$5:$A$8,$H$5:$H$8,"")</f>
        <v>Every pay period (ongoing)</v>
      </c>
      <c r="M85" s="43" t="n">
        <f aca="false" t="array" ref="M85:M85">MAX(_xlfn.XLOOKUP($A85,TRIM(SUBSTITUTE('worker file'!$A$2:$A$406,_xlfn.UNICHAR(160)," ")),'worker file'!$M$2:$M$406,0),_xlfn.XLOOKUP($B85,TRIM('pay group &amp; schedule'!$A$2:$A$6),'pay group &amp; schedule'!$D$2:$D$6,0))</f>
        <v>46311</v>
      </c>
      <c r="N85" s="43" t="str">
        <f aca="false" t="array" ref="N85:N85">_xlfn.LET(_xlpm.t,_xlfn.XLOOKUP($A85,TRIM(SUBSTITUTE('worker file'!$A$2:$A$406,_xlfn.UNICHAR(160)," ")),'worker file'!$N$2:$N$406,""),IF(N(_xlpm.t)=0,"",_xlpm.t))</f>
        <v/>
      </c>
    </row>
    <row r="86" customFormat="false" ht="15" hidden="false" customHeight="false" outlineLevel="0" collapsed="false">
      <c r="A86" s="39" t="s">
        <v>123</v>
      </c>
      <c r="B86" s="40" t="str">
        <f aca="false" t="array" ref="B86:B86">_xlfn.XLOOKUP($A86,TRIM(SUBSTITUTE('worker file'!$A$2:$A$406,_xlfn.UNICHAR(160)," ")),'worker file'!$L$2:$L$406,"Not found")</f>
        <v>US Semi-monthly</v>
      </c>
      <c r="C86" s="40" t="str">
        <f aca="false" t="array" ref="C86:C86">_xlfn.XLOOKUP($A86,TRIM(SUBSTITUTE('worker file'!$A$2:$A$406,_xlfn.UNICHAR(160)," ")),'worker file'!$D$2:$D$406,"Not found")</f>
        <v>WA</v>
      </c>
      <c r="D86" s="40" t="str">
        <f aca="false" t="array" ref="D86:D86">_xlfn.XLOOKUP($A86,TRIM(SUBSTITUTE('worker file'!$A$2:$A$406,_xlfn.UNICHAR(160)," ")),'worker file'!$Q$2:$Q$406,"Not found")</f>
        <v>Termination pending</v>
      </c>
      <c r="E86" s="39" t="s">
        <v>618</v>
      </c>
      <c r="F86" s="38" t="str">
        <f aca="false">_xlfn.XLOOKUP($E86,$A$5:$A$8,$B$5:$B$8,"")</f>
        <v>401(k) Employee Deferral</v>
      </c>
      <c r="G86" s="38" t="str">
        <f aca="false">_xlfn.XLOOKUP($E86,$A$5:$A$8,$D$5:$D$8,"")</f>
        <v>Pre-tax (exempt from FIT/SIT; subject to FICA)</v>
      </c>
      <c r="H86" s="38" t="str">
        <f aca="false">_xlfn.XLOOKUP($E86,$A$5:$A$8,$E$5:$E$8,"")</f>
        <v>Percent</v>
      </c>
      <c r="I86" s="41" t="n">
        <v>0.02</v>
      </c>
      <c r="J86" s="42" t="str">
        <f aca="false">IF($H86="Flat",_xlfn.XLOOKUP($E86,$A$5:$A$8,$F$5:$F$8,""),"")</f>
        <v/>
      </c>
      <c r="K86" s="38" t="str">
        <f aca="false">_xlfn.XLOOKUP($E86,$A$5:$A$8,$G$5:$G$8,"")</f>
        <v>Gross pay</v>
      </c>
      <c r="L86" s="38" t="str">
        <f aca="false">_xlfn.XLOOKUP($E86,$A$5:$A$8,$H$5:$H$8,"")</f>
        <v>Every pay period (ongoing)</v>
      </c>
      <c r="M86" s="43" t="n">
        <f aca="false" t="array" ref="M86:M86">MAX(_xlfn.XLOOKUP($A86,TRIM(SUBSTITUTE('worker file'!$A$2:$A$406,_xlfn.UNICHAR(160)," ")),'worker file'!$M$2:$M$406,0),_xlfn.XLOOKUP($B86,TRIM('pay group &amp; schedule'!$A$2:$A$6),'pay group &amp; schedule'!$D$2:$D$6,0))</f>
        <v>46311</v>
      </c>
      <c r="N86" s="43" t="n">
        <f aca="false" t="array" ref="N86:N86">_xlfn.LET(_xlpm.t,_xlfn.XLOOKUP($A86,TRIM(SUBSTITUTE('worker file'!$A$2:$A$406,_xlfn.UNICHAR(160)," ")),'worker file'!$N$2:$N$406,""),IF(N(_xlpm.t)=0,"",_xlpm.t))</f>
        <v>46318</v>
      </c>
      <c r="O86" s="0" t="s">
        <v>644</v>
      </c>
    </row>
    <row r="87" customFormat="false" ht="15" hidden="false" customHeight="false" outlineLevel="0" collapsed="false">
      <c r="A87" s="39" t="s">
        <v>123</v>
      </c>
      <c r="B87" s="40" t="str">
        <f aca="false" t="array" ref="B87:B87">_xlfn.XLOOKUP($A87,TRIM(SUBSTITUTE('worker file'!$A$2:$A$406,_xlfn.UNICHAR(160)," ")),'worker file'!$L$2:$L$406,"Not found")</f>
        <v>US Semi-monthly</v>
      </c>
      <c r="C87" s="40" t="str">
        <f aca="false" t="array" ref="C87:C87">_xlfn.XLOOKUP($A87,TRIM(SUBSTITUTE('worker file'!$A$2:$A$406,_xlfn.UNICHAR(160)," ")),'worker file'!$D$2:$D$406,"Not found")</f>
        <v>WA</v>
      </c>
      <c r="D87" s="40" t="str">
        <f aca="false" t="array" ref="D87:D87">_xlfn.XLOOKUP($A87,TRIM(SUBSTITUTE('worker file'!$A$2:$A$406,_xlfn.UNICHAR(160)," ")),'worker file'!$Q$2:$Q$406,"Not found")</f>
        <v>Termination pending</v>
      </c>
      <c r="E87" s="39" t="s">
        <v>626</v>
      </c>
      <c r="F87" s="38" t="str">
        <f aca="false">_xlfn.XLOOKUP($E87,$A$5:$A$8,$B$5:$B$8,"")</f>
        <v>Medical (Health) – Employee</v>
      </c>
      <c r="G87" s="38" t="str">
        <f aca="false">_xlfn.XLOOKUP($E87,$A$5:$A$8,$D$5:$D$8,"")</f>
        <v>Pre-tax Section 125 (exempt from FIT/SIT/FICA)</v>
      </c>
      <c r="H87" s="38" t="str">
        <f aca="false">_xlfn.XLOOKUP($E87,$A$5:$A$8,$E$5:$E$8,"")</f>
        <v>Flat</v>
      </c>
      <c r="I87" s="44" t="str">
        <f aca="false">IF($H87="Percent",_xlfn.XLOOKUP($E87,$A$5:$A$8,$F$5:$F$8,""),"")</f>
        <v/>
      </c>
      <c r="J87" s="42" t="n">
        <f aca="false">IF($H87="Flat",_xlfn.XLOOKUP($E87,$A$5:$A$8,$F$5:$F$8,""),"")</f>
        <v>200</v>
      </c>
      <c r="K87" s="38" t="str">
        <f aca="false">_xlfn.XLOOKUP($E87,$A$5:$A$8,$G$5:$G$8,"")</f>
        <v>Per pay period</v>
      </c>
      <c r="L87" s="38" t="str">
        <f aca="false">_xlfn.XLOOKUP($E87,$A$5:$A$8,$H$5:$H$8,"")</f>
        <v>Every pay period (ongoing)</v>
      </c>
      <c r="M87" s="43" t="n">
        <f aca="false" t="array" ref="M87:M87">MAX(_xlfn.XLOOKUP($A87,TRIM(SUBSTITUTE('worker file'!$A$2:$A$406,_xlfn.UNICHAR(160)," ")),'worker file'!$M$2:$M$406,0),_xlfn.XLOOKUP($B87,TRIM('pay group &amp; schedule'!$A$2:$A$6),'pay group &amp; schedule'!$D$2:$D$6,0))</f>
        <v>46311</v>
      </c>
      <c r="N87" s="43" t="n">
        <f aca="false" t="array" ref="N87:N87">_xlfn.LET(_xlpm.t,_xlfn.XLOOKUP($A87,TRIM(SUBSTITUTE('worker file'!$A$2:$A$406,_xlfn.UNICHAR(160)," ")),'worker file'!$N$2:$N$406,""),IF(N(_xlpm.t)=0,"",_xlpm.t))</f>
        <v>46318</v>
      </c>
      <c r="O87" s="0" t="s">
        <v>644</v>
      </c>
    </row>
    <row r="88" customFormat="false" ht="15" hidden="false" customHeight="false" outlineLevel="0" collapsed="false">
      <c r="A88" s="39" t="s">
        <v>123</v>
      </c>
      <c r="B88" s="40" t="str">
        <f aca="false" t="array" ref="B88:B88">_xlfn.XLOOKUP($A88,TRIM(SUBSTITUTE('worker file'!$A$2:$A$406,_xlfn.UNICHAR(160)," ")),'worker file'!$L$2:$L$406,"Not found")</f>
        <v>US Semi-monthly</v>
      </c>
      <c r="C88" s="40" t="str">
        <f aca="false" t="array" ref="C88:C88">_xlfn.XLOOKUP($A88,TRIM(SUBSTITUTE('worker file'!$A$2:$A$406,_xlfn.UNICHAR(160)," ")),'worker file'!$D$2:$D$406,"Not found")</f>
        <v>WA</v>
      </c>
      <c r="D88" s="40" t="str">
        <f aca="false" t="array" ref="D88:D88">_xlfn.XLOOKUP($A88,TRIM(SUBSTITUTE('worker file'!$A$2:$A$406,_xlfn.UNICHAR(160)," ")),'worker file'!$Q$2:$Q$406,"Not found")</f>
        <v>Termination pending</v>
      </c>
      <c r="E88" s="39" t="s">
        <v>632</v>
      </c>
      <c r="F88" s="38" t="str">
        <f aca="false">_xlfn.XLOOKUP($E88,$A$5:$A$8,$B$5:$B$8,"")</f>
        <v>Dental – Employee</v>
      </c>
      <c r="G88" s="38" t="str">
        <f aca="false">_xlfn.XLOOKUP($E88,$A$5:$A$8,$D$5:$D$8,"")</f>
        <v>Pre-tax Section 125 (exempt from FIT/SIT/FICA)</v>
      </c>
      <c r="H88" s="38" t="str">
        <f aca="false">_xlfn.XLOOKUP($E88,$A$5:$A$8,$E$5:$E$8,"")</f>
        <v>Flat</v>
      </c>
      <c r="I88" s="44" t="str">
        <f aca="false">IF($H88="Percent",_xlfn.XLOOKUP($E88,$A$5:$A$8,$F$5:$F$8,""),"")</f>
        <v/>
      </c>
      <c r="J88" s="42" t="n">
        <f aca="false">IF($H88="Flat",_xlfn.XLOOKUP($E88,$A$5:$A$8,$F$5:$F$8,""),"")</f>
        <v>44</v>
      </c>
      <c r="K88" s="38" t="str">
        <f aca="false">_xlfn.XLOOKUP($E88,$A$5:$A$8,$G$5:$G$8,"")</f>
        <v>Per pay period</v>
      </c>
      <c r="L88" s="38" t="str">
        <f aca="false">_xlfn.XLOOKUP($E88,$A$5:$A$8,$H$5:$H$8,"")</f>
        <v>Every pay period (ongoing)</v>
      </c>
      <c r="M88" s="43" t="n">
        <f aca="false" t="array" ref="M88:M88">MAX(_xlfn.XLOOKUP($A88,TRIM(SUBSTITUTE('worker file'!$A$2:$A$406,_xlfn.UNICHAR(160)," ")),'worker file'!$M$2:$M$406,0),_xlfn.XLOOKUP($B88,TRIM('pay group &amp; schedule'!$A$2:$A$6),'pay group &amp; schedule'!$D$2:$D$6,0))</f>
        <v>46311</v>
      </c>
      <c r="N88" s="43" t="n">
        <f aca="false" t="array" ref="N88:N88">_xlfn.LET(_xlpm.t,_xlfn.XLOOKUP($A88,TRIM(SUBSTITUTE('worker file'!$A$2:$A$406,_xlfn.UNICHAR(160)," ")),'worker file'!$N$2:$N$406,""),IF(N(_xlpm.t)=0,"",_xlpm.t))</f>
        <v>46318</v>
      </c>
      <c r="O88" s="0" t="s">
        <v>644</v>
      </c>
    </row>
    <row r="89" customFormat="false" ht="15" hidden="false" customHeight="false" outlineLevel="0" collapsed="false">
      <c r="A89" s="39" t="s">
        <v>123</v>
      </c>
      <c r="B89" s="40" t="str">
        <f aca="false" t="array" ref="B89:B89">_xlfn.XLOOKUP($A89,TRIM(SUBSTITUTE('worker file'!$A$2:$A$406,_xlfn.UNICHAR(160)," ")),'worker file'!$L$2:$L$406,"Not found")</f>
        <v>US Semi-monthly</v>
      </c>
      <c r="C89" s="40" t="str">
        <f aca="false" t="array" ref="C89:C89">_xlfn.XLOOKUP($A89,TRIM(SUBSTITUTE('worker file'!$A$2:$A$406,_xlfn.UNICHAR(160)," ")),'worker file'!$D$2:$D$406,"Not found")</f>
        <v>WA</v>
      </c>
      <c r="D89" s="40" t="str">
        <f aca="false" t="array" ref="D89:D89">_xlfn.XLOOKUP($A89,TRIM(SUBSTITUTE('worker file'!$A$2:$A$406,_xlfn.UNICHAR(160)," ")),'worker file'!$Q$2:$Q$406,"Not found")</f>
        <v>Termination pending</v>
      </c>
      <c r="E89" s="39" t="s">
        <v>634</v>
      </c>
      <c r="F89" s="38" t="str">
        <f aca="false">_xlfn.XLOOKUP($E89,$A$5:$A$8,$B$5:$B$8,"")</f>
        <v>Vision – Employee</v>
      </c>
      <c r="G89" s="38" t="str">
        <f aca="false">_xlfn.XLOOKUP($E89,$A$5:$A$8,$D$5:$D$8,"")</f>
        <v>Pre-tax Section 125 (exempt from FIT/SIT/FICA)</v>
      </c>
      <c r="H89" s="38" t="str">
        <f aca="false">_xlfn.XLOOKUP($E89,$A$5:$A$8,$E$5:$E$8,"")</f>
        <v>Flat</v>
      </c>
      <c r="I89" s="44" t="str">
        <f aca="false">IF($H89="Percent",_xlfn.XLOOKUP($E89,$A$5:$A$8,$F$5:$F$8,""),"")</f>
        <v/>
      </c>
      <c r="J89" s="42" t="n">
        <f aca="false">IF($H89="Flat",_xlfn.XLOOKUP($E89,$A$5:$A$8,$F$5:$F$8,""),"")</f>
        <v>30</v>
      </c>
      <c r="K89" s="38" t="str">
        <f aca="false">_xlfn.XLOOKUP($E89,$A$5:$A$8,$G$5:$G$8,"")</f>
        <v>Per pay period</v>
      </c>
      <c r="L89" s="38" t="str">
        <f aca="false">_xlfn.XLOOKUP($E89,$A$5:$A$8,$H$5:$H$8,"")</f>
        <v>Every pay period (ongoing)</v>
      </c>
      <c r="M89" s="43" t="n">
        <f aca="false" t="array" ref="M89:M89">MAX(_xlfn.XLOOKUP($A89,TRIM(SUBSTITUTE('worker file'!$A$2:$A$406,_xlfn.UNICHAR(160)," ")),'worker file'!$M$2:$M$406,0),_xlfn.XLOOKUP($B89,TRIM('pay group &amp; schedule'!$A$2:$A$6),'pay group &amp; schedule'!$D$2:$D$6,0))</f>
        <v>46311</v>
      </c>
      <c r="N89" s="43" t="n">
        <f aca="false" t="array" ref="N89:N89">_xlfn.LET(_xlpm.t,_xlfn.XLOOKUP($A89,TRIM(SUBSTITUTE('worker file'!$A$2:$A$406,_xlfn.UNICHAR(160)," ")),'worker file'!$N$2:$N$406,""),IF(N(_xlpm.t)=0,"",_xlpm.t))</f>
        <v>46318</v>
      </c>
      <c r="O89" s="0" t="s">
        <v>644</v>
      </c>
    </row>
    <row r="90" customFormat="false" ht="15" hidden="false" customHeight="false" outlineLevel="0" collapsed="false">
      <c r="A90" s="39" t="s">
        <v>126</v>
      </c>
      <c r="B90" s="40" t="str">
        <f aca="false" t="array" ref="B90:B90">_xlfn.XLOOKUP($A90,TRIM(SUBSTITUTE('worker file'!$A$2:$A$406,_xlfn.UNICHAR(160)," ")),'worker file'!$L$2:$L$406,"Not found")</f>
        <v>US Semi-monthly</v>
      </c>
      <c r="C90" s="40" t="str">
        <f aca="false" t="array" ref="C90:C90">_xlfn.XLOOKUP($A90,TRIM(SUBSTITUTE('worker file'!$A$2:$A$406,_xlfn.UNICHAR(160)," ")),'worker file'!$D$2:$D$406,"Not found")</f>
        <v>NY</v>
      </c>
      <c r="D90" s="40" t="str">
        <f aca="false" t="array" ref="D90:D90">_xlfn.XLOOKUP($A90,TRIM(SUBSTITUTE('worker file'!$A$2:$A$406,_xlfn.UNICHAR(160)," ")),'worker file'!$Q$2:$Q$406,"Not found")</f>
        <v>Active</v>
      </c>
      <c r="E90" s="39" t="s">
        <v>618</v>
      </c>
      <c r="F90" s="38" t="str">
        <f aca="false">_xlfn.XLOOKUP($E90,$A$5:$A$8,$B$5:$B$8,"")</f>
        <v>401(k) Employee Deferral</v>
      </c>
      <c r="G90" s="38" t="str">
        <f aca="false">_xlfn.XLOOKUP($E90,$A$5:$A$8,$D$5:$D$8,"")</f>
        <v>Pre-tax (exempt from FIT/SIT; subject to FICA)</v>
      </c>
      <c r="H90" s="38" t="str">
        <f aca="false">_xlfn.XLOOKUP($E90,$A$5:$A$8,$E$5:$E$8,"")</f>
        <v>Percent</v>
      </c>
      <c r="I90" s="41" t="n">
        <v>0.07</v>
      </c>
      <c r="J90" s="42" t="str">
        <f aca="false">IF($H90="Flat",_xlfn.XLOOKUP($E90,$A$5:$A$8,$F$5:$F$8,""),"")</f>
        <v/>
      </c>
      <c r="K90" s="38" t="str">
        <f aca="false">_xlfn.XLOOKUP($E90,$A$5:$A$8,$G$5:$G$8,"")</f>
        <v>Gross pay</v>
      </c>
      <c r="L90" s="38" t="str">
        <f aca="false">_xlfn.XLOOKUP($E90,$A$5:$A$8,$H$5:$H$8,"")</f>
        <v>Every pay period (ongoing)</v>
      </c>
      <c r="M90" s="43" t="n">
        <f aca="false" t="array" ref="M90:M90">MAX(_xlfn.XLOOKUP($A90,TRIM(SUBSTITUTE('worker file'!$A$2:$A$406,_xlfn.UNICHAR(160)," ")),'worker file'!$M$2:$M$406,0),_xlfn.XLOOKUP($B90,TRIM('pay group &amp; schedule'!$A$2:$A$6),'pay group &amp; schedule'!$D$2:$D$6,0))</f>
        <v>46311</v>
      </c>
      <c r="N90" s="43" t="str">
        <f aca="false" t="array" ref="N90:N90">_xlfn.LET(_xlpm.t,_xlfn.XLOOKUP($A90,TRIM(SUBSTITUTE('worker file'!$A$2:$A$406,_xlfn.UNICHAR(160)," ")),'worker file'!$N$2:$N$406,""),IF(N(_xlpm.t)=0,"",_xlpm.t))</f>
        <v/>
      </c>
    </row>
    <row r="91" customFormat="false" ht="15" hidden="false" customHeight="false" outlineLevel="0" collapsed="false">
      <c r="A91" s="39" t="s">
        <v>126</v>
      </c>
      <c r="B91" s="40" t="str">
        <f aca="false" t="array" ref="B91:B91">_xlfn.XLOOKUP($A91,TRIM(SUBSTITUTE('worker file'!$A$2:$A$406,_xlfn.UNICHAR(160)," ")),'worker file'!$L$2:$L$406,"Not found")</f>
        <v>US Semi-monthly</v>
      </c>
      <c r="C91" s="40" t="str">
        <f aca="false" t="array" ref="C91:C91">_xlfn.XLOOKUP($A91,TRIM(SUBSTITUTE('worker file'!$A$2:$A$406,_xlfn.UNICHAR(160)," ")),'worker file'!$D$2:$D$406,"Not found")</f>
        <v>NY</v>
      </c>
      <c r="D91" s="40" t="str">
        <f aca="false" t="array" ref="D91:D91">_xlfn.XLOOKUP($A91,TRIM(SUBSTITUTE('worker file'!$A$2:$A$406,_xlfn.UNICHAR(160)," ")),'worker file'!$Q$2:$Q$406,"Not found")</f>
        <v>Active</v>
      </c>
      <c r="E91" s="39" t="s">
        <v>626</v>
      </c>
      <c r="F91" s="38" t="str">
        <f aca="false">_xlfn.XLOOKUP($E91,$A$5:$A$8,$B$5:$B$8,"")</f>
        <v>Medical (Health) – Employee</v>
      </c>
      <c r="G91" s="38" t="str">
        <f aca="false">_xlfn.XLOOKUP($E91,$A$5:$A$8,$D$5:$D$8,"")</f>
        <v>Pre-tax Section 125 (exempt from FIT/SIT/FICA)</v>
      </c>
      <c r="H91" s="38" t="str">
        <f aca="false">_xlfn.XLOOKUP($E91,$A$5:$A$8,$E$5:$E$8,"")</f>
        <v>Flat</v>
      </c>
      <c r="I91" s="44" t="str">
        <f aca="false">IF($H91="Percent",_xlfn.XLOOKUP($E91,$A$5:$A$8,$F$5:$F$8,""),"")</f>
        <v/>
      </c>
      <c r="J91" s="42" t="n">
        <f aca="false">IF($H91="Flat",_xlfn.XLOOKUP($E91,$A$5:$A$8,$F$5:$F$8,""),"")</f>
        <v>200</v>
      </c>
      <c r="K91" s="38" t="str">
        <f aca="false">_xlfn.XLOOKUP($E91,$A$5:$A$8,$G$5:$G$8,"")</f>
        <v>Per pay period</v>
      </c>
      <c r="L91" s="38" t="str">
        <f aca="false">_xlfn.XLOOKUP($E91,$A$5:$A$8,$H$5:$H$8,"")</f>
        <v>Every pay period (ongoing)</v>
      </c>
      <c r="M91" s="43" t="n">
        <f aca="false" t="array" ref="M91:M91">MAX(_xlfn.XLOOKUP($A91,TRIM(SUBSTITUTE('worker file'!$A$2:$A$406,_xlfn.UNICHAR(160)," ")),'worker file'!$M$2:$M$406,0),_xlfn.XLOOKUP($B91,TRIM('pay group &amp; schedule'!$A$2:$A$6),'pay group &amp; schedule'!$D$2:$D$6,0))</f>
        <v>46311</v>
      </c>
      <c r="N91" s="43" t="str">
        <f aca="false" t="array" ref="N91:N91">_xlfn.LET(_xlpm.t,_xlfn.XLOOKUP($A91,TRIM(SUBSTITUTE('worker file'!$A$2:$A$406,_xlfn.UNICHAR(160)," ")),'worker file'!$N$2:$N$406,""),IF(N(_xlpm.t)=0,"",_xlpm.t))</f>
        <v/>
      </c>
    </row>
    <row r="92" customFormat="false" ht="15" hidden="false" customHeight="false" outlineLevel="0" collapsed="false">
      <c r="A92" s="39" t="s">
        <v>126</v>
      </c>
      <c r="B92" s="40" t="str">
        <f aca="false" t="array" ref="B92:B92">_xlfn.XLOOKUP($A92,TRIM(SUBSTITUTE('worker file'!$A$2:$A$406,_xlfn.UNICHAR(160)," ")),'worker file'!$L$2:$L$406,"Not found")</f>
        <v>US Semi-monthly</v>
      </c>
      <c r="C92" s="40" t="str">
        <f aca="false" t="array" ref="C92:C92">_xlfn.XLOOKUP($A92,TRIM(SUBSTITUTE('worker file'!$A$2:$A$406,_xlfn.UNICHAR(160)," ")),'worker file'!$D$2:$D$406,"Not found")</f>
        <v>NY</v>
      </c>
      <c r="D92" s="40" t="str">
        <f aca="false" t="array" ref="D92:D92">_xlfn.XLOOKUP($A92,TRIM(SUBSTITUTE('worker file'!$A$2:$A$406,_xlfn.UNICHAR(160)," ")),'worker file'!$Q$2:$Q$406,"Not found")</f>
        <v>Active</v>
      </c>
      <c r="E92" s="39" t="s">
        <v>632</v>
      </c>
      <c r="F92" s="38" t="str">
        <f aca="false">_xlfn.XLOOKUP($E92,$A$5:$A$8,$B$5:$B$8,"")</f>
        <v>Dental – Employee</v>
      </c>
      <c r="G92" s="38" t="str">
        <f aca="false">_xlfn.XLOOKUP($E92,$A$5:$A$8,$D$5:$D$8,"")</f>
        <v>Pre-tax Section 125 (exempt from FIT/SIT/FICA)</v>
      </c>
      <c r="H92" s="38" t="str">
        <f aca="false">_xlfn.XLOOKUP($E92,$A$5:$A$8,$E$5:$E$8,"")</f>
        <v>Flat</v>
      </c>
      <c r="I92" s="44" t="str">
        <f aca="false">IF($H92="Percent",_xlfn.XLOOKUP($E92,$A$5:$A$8,$F$5:$F$8,""),"")</f>
        <v/>
      </c>
      <c r="J92" s="42" t="n">
        <f aca="false">IF($H92="Flat",_xlfn.XLOOKUP($E92,$A$5:$A$8,$F$5:$F$8,""),"")</f>
        <v>44</v>
      </c>
      <c r="K92" s="38" t="str">
        <f aca="false">_xlfn.XLOOKUP($E92,$A$5:$A$8,$G$5:$G$8,"")</f>
        <v>Per pay period</v>
      </c>
      <c r="L92" s="38" t="str">
        <f aca="false">_xlfn.XLOOKUP($E92,$A$5:$A$8,$H$5:$H$8,"")</f>
        <v>Every pay period (ongoing)</v>
      </c>
      <c r="M92" s="43" t="n">
        <f aca="false" t="array" ref="M92:M92">MAX(_xlfn.XLOOKUP($A92,TRIM(SUBSTITUTE('worker file'!$A$2:$A$406,_xlfn.UNICHAR(160)," ")),'worker file'!$M$2:$M$406,0),_xlfn.XLOOKUP($B92,TRIM('pay group &amp; schedule'!$A$2:$A$6),'pay group &amp; schedule'!$D$2:$D$6,0))</f>
        <v>46311</v>
      </c>
      <c r="N92" s="43" t="str">
        <f aca="false" t="array" ref="N92:N92">_xlfn.LET(_xlpm.t,_xlfn.XLOOKUP($A92,TRIM(SUBSTITUTE('worker file'!$A$2:$A$406,_xlfn.UNICHAR(160)," ")),'worker file'!$N$2:$N$406,""),IF(N(_xlpm.t)=0,"",_xlpm.t))</f>
        <v/>
      </c>
    </row>
    <row r="93" customFormat="false" ht="15" hidden="false" customHeight="false" outlineLevel="0" collapsed="false">
      <c r="A93" s="39" t="s">
        <v>126</v>
      </c>
      <c r="B93" s="40" t="str">
        <f aca="false" t="array" ref="B93:B93">_xlfn.XLOOKUP($A93,TRIM(SUBSTITUTE('worker file'!$A$2:$A$406,_xlfn.UNICHAR(160)," ")),'worker file'!$L$2:$L$406,"Not found")</f>
        <v>US Semi-monthly</v>
      </c>
      <c r="C93" s="40" t="str">
        <f aca="false" t="array" ref="C93:C93">_xlfn.XLOOKUP($A93,TRIM(SUBSTITUTE('worker file'!$A$2:$A$406,_xlfn.UNICHAR(160)," ")),'worker file'!$D$2:$D$406,"Not found")</f>
        <v>NY</v>
      </c>
      <c r="D93" s="40" t="str">
        <f aca="false" t="array" ref="D93:D93">_xlfn.XLOOKUP($A93,TRIM(SUBSTITUTE('worker file'!$A$2:$A$406,_xlfn.UNICHAR(160)," ")),'worker file'!$Q$2:$Q$406,"Not found")</f>
        <v>Active</v>
      </c>
      <c r="E93" s="39" t="s">
        <v>634</v>
      </c>
      <c r="F93" s="38" t="str">
        <f aca="false">_xlfn.XLOOKUP($E93,$A$5:$A$8,$B$5:$B$8,"")</f>
        <v>Vision – Employee</v>
      </c>
      <c r="G93" s="38" t="str">
        <f aca="false">_xlfn.XLOOKUP($E93,$A$5:$A$8,$D$5:$D$8,"")</f>
        <v>Pre-tax Section 125 (exempt from FIT/SIT/FICA)</v>
      </c>
      <c r="H93" s="38" t="str">
        <f aca="false">_xlfn.XLOOKUP($E93,$A$5:$A$8,$E$5:$E$8,"")</f>
        <v>Flat</v>
      </c>
      <c r="I93" s="44" t="str">
        <f aca="false">IF($H93="Percent",_xlfn.XLOOKUP($E93,$A$5:$A$8,$F$5:$F$8,""),"")</f>
        <v/>
      </c>
      <c r="J93" s="42" t="n">
        <f aca="false">IF($H93="Flat",_xlfn.XLOOKUP($E93,$A$5:$A$8,$F$5:$F$8,""),"")</f>
        <v>30</v>
      </c>
      <c r="K93" s="38" t="str">
        <f aca="false">_xlfn.XLOOKUP($E93,$A$5:$A$8,$G$5:$G$8,"")</f>
        <v>Per pay period</v>
      </c>
      <c r="L93" s="38" t="str">
        <f aca="false">_xlfn.XLOOKUP($E93,$A$5:$A$8,$H$5:$H$8,"")</f>
        <v>Every pay period (ongoing)</v>
      </c>
      <c r="M93" s="43" t="n">
        <f aca="false" t="array" ref="M93:M93">MAX(_xlfn.XLOOKUP($A93,TRIM(SUBSTITUTE('worker file'!$A$2:$A$406,_xlfn.UNICHAR(160)," ")),'worker file'!$M$2:$M$406,0),_xlfn.XLOOKUP($B93,TRIM('pay group &amp; schedule'!$A$2:$A$6),'pay group &amp; schedule'!$D$2:$D$6,0))</f>
        <v>46311</v>
      </c>
      <c r="N93" s="43" t="str">
        <f aca="false" t="array" ref="N93:N93">_xlfn.LET(_xlpm.t,_xlfn.XLOOKUP($A93,TRIM(SUBSTITUTE('worker file'!$A$2:$A$406,_xlfn.UNICHAR(160)," ")),'worker file'!$N$2:$N$406,""),IF(N(_xlpm.t)=0,"",_xlpm.t))</f>
        <v/>
      </c>
    </row>
    <row r="94" customFormat="false" ht="15" hidden="false" customHeight="false" outlineLevel="0" collapsed="false">
      <c r="A94" s="39" t="s">
        <v>128</v>
      </c>
      <c r="B94" s="40" t="str">
        <f aca="false" t="array" ref="B94:B94">_xlfn.XLOOKUP($A94,TRIM(SUBSTITUTE('worker file'!$A$2:$A$406,_xlfn.UNICHAR(160)," ")),'worker file'!$L$2:$L$406,"Not found")</f>
        <v>US Semi-monthly</v>
      </c>
      <c r="C94" s="40" t="str">
        <f aca="false" t="array" ref="C94:C94">_xlfn.XLOOKUP($A94,TRIM(SUBSTITUTE('worker file'!$A$2:$A$406,_xlfn.UNICHAR(160)," ")),'worker file'!$D$2:$D$406,"Not found")</f>
        <v>CA</v>
      </c>
      <c r="D94" s="40" t="str">
        <f aca="false" t="array" ref="D94:D94">_xlfn.XLOOKUP($A94,TRIM(SUBSTITUTE('worker file'!$A$2:$A$406,_xlfn.UNICHAR(160)," ")),'worker file'!$Q$2:$Q$406,"Not found")</f>
        <v>Active</v>
      </c>
      <c r="E94" s="39" t="s">
        <v>626</v>
      </c>
      <c r="F94" s="38" t="str">
        <f aca="false">_xlfn.XLOOKUP($E94,$A$5:$A$8,$B$5:$B$8,"")</f>
        <v>Medical (Health) – Employee</v>
      </c>
      <c r="G94" s="38" t="str">
        <f aca="false">_xlfn.XLOOKUP($E94,$A$5:$A$8,$D$5:$D$8,"")</f>
        <v>Pre-tax Section 125 (exempt from FIT/SIT/FICA)</v>
      </c>
      <c r="H94" s="38" t="str">
        <f aca="false">_xlfn.XLOOKUP($E94,$A$5:$A$8,$E$5:$E$8,"")</f>
        <v>Flat</v>
      </c>
      <c r="I94" s="44" t="str">
        <f aca="false">IF($H94="Percent",_xlfn.XLOOKUP($E94,$A$5:$A$8,$F$5:$F$8,""),"")</f>
        <v/>
      </c>
      <c r="J94" s="42" t="n">
        <f aca="false">IF($H94="Flat",_xlfn.XLOOKUP($E94,$A$5:$A$8,$F$5:$F$8,""),"")</f>
        <v>200</v>
      </c>
      <c r="K94" s="38" t="str">
        <f aca="false">_xlfn.XLOOKUP($E94,$A$5:$A$8,$G$5:$G$8,"")</f>
        <v>Per pay period</v>
      </c>
      <c r="L94" s="38" t="str">
        <f aca="false">_xlfn.XLOOKUP($E94,$A$5:$A$8,$H$5:$H$8,"")</f>
        <v>Every pay period (ongoing)</v>
      </c>
      <c r="M94" s="43" t="n">
        <f aca="false" t="array" ref="M94:M94">MAX(_xlfn.XLOOKUP($A94,TRIM(SUBSTITUTE('worker file'!$A$2:$A$406,_xlfn.UNICHAR(160)," ")),'worker file'!$M$2:$M$406,0),_xlfn.XLOOKUP($B94,TRIM('pay group &amp; schedule'!$A$2:$A$6),'pay group &amp; schedule'!$D$2:$D$6,0))</f>
        <v>46311</v>
      </c>
      <c r="N94" s="43" t="str">
        <f aca="false" t="array" ref="N94:N94">_xlfn.LET(_xlpm.t,_xlfn.XLOOKUP($A94,TRIM(SUBSTITUTE('worker file'!$A$2:$A$406,_xlfn.UNICHAR(160)," ")),'worker file'!$N$2:$N$406,""),IF(N(_xlpm.t)=0,"",_xlpm.t))</f>
        <v/>
      </c>
    </row>
    <row r="95" customFormat="false" ht="15" hidden="false" customHeight="false" outlineLevel="0" collapsed="false">
      <c r="A95" s="39" t="s">
        <v>128</v>
      </c>
      <c r="B95" s="40" t="str">
        <f aca="false" t="array" ref="B95:B95">_xlfn.XLOOKUP($A95,TRIM(SUBSTITUTE('worker file'!$A$2:$A$406,_xlfn.UNICHAR(160)," ")),'worker file'!$L$2:$L$406,"Not found")</f>
        <v>US Semi-monthly</v>
      </c>
      <c r="C95" s="40" t="str">
        <f aca="false" t="array" ref="C95:C95">_xlfn.XLOOKUP($A95,TRIM(SUBSTITUTE('worker file'!$A$2:$A$406,_xlfn.UNICHAR(160)," ")),'worker file'!$D$2:$D$406,"Not found")</f>
        <v>CA</v>
      </c>
      <c r="D95" s="40" t="str">
        <f aca="false" t="array" ref="D95:D95">_xlfn.XLOOKUP($A95,TRIM(SUBSTITUTE('worker file'!$A$2:$A$406,_xlfn.UNICHAR(160)," ")),'worker file'!$Q$2:$Q$406,"Not found")</f>
        <v>Active</v>
      </c>
      <c r="E95" s="39" t="s">
        <v>632</v>
      </c>
      <c r="F95" s="38" t="str">
        <f aca="false">_xlfn.XLOOKUP($E95,$A$5:$A$8,$B$5:$B$8,"")</f>
        <v>Dental – Employee</v>
      </c>
      <c r="G95" s="38" t="str">
        <f aca="false">_xlfn.XLOOKUP($E95,$A$5:$A$8,$D$5:$D$8,"")</f>
        <v>Pre-tax Section 125 (exempt from FIT/SIT/FICA)</v>
      </c>
      <c r="H95" s="38" t="str">
        <f aca="false">_xlfn.XLOOKUP($E95,$A$5:$A$8,$E$5:$E$8,"")</f>
        <v>Flat</v>
      </c>
      <c r="I95" s="44" t="str">
        <f aca="false">IF($H95="Percent",_xlfn.XLOOKUP($E95,$A$5:$A$8,$F$5:$F$8,""),"")</f>
        <v/>
      </c>
      <c r="J95" s="42" t="n">
        <f aca="false">IF($H95="Flat",_xlfn.XLOOKUP($E95,$A$5:$A$8,$F$5:$F$8,""),"")</f>
        <v>44</v>
      </c>
      <c r="K95" s="38" t="str">
        <f aca="false">_xlfn.XLOOKUP($E95,$A$5:$A$8,$G$5:$G$8,"")</f>
        <v>Per pay period</v>
      </c>
      <c r="L95" s="38" t="str">
        <f aca="false">_xlfn.XLOOKUP($E95,$A$5:$A$8,$H$5:$H$8,"")</f>
        <v>Every pay period (ongoing)</v>
      </c>
      <c r="M95" s="43" t="n">
        <f aca="false" t="array" ref="M95:M95">MAX(_xlfn.XLOOKUP($A95,TRIM(SUBSTITUTE('worker file'!$A$2:$A$406,_xlfn.UNICHAR(160)," ")),'worker file'!$M$2:$M$406,0),_xlfn.XLOOKUP($B95,TRIM('pay group &amp; schedule'!$A$2:$A$6),'pay group &amp; schedule'!$D$2:$D$6,0))</f>
        <v>46311</v>
      </c>
      <c r="N95" s="43" t="str">
        <f aca="false" t="array" ref="N95:N95">_xlfn.LET(_xlpm.t,_xlfn.XLOOKUP($A95,TRIM(SUBSTITUTE('worker file'!$A$2:$A$406,_xlfn.UNICHAR(160)," ")),'worker file'!$N$2:$N$406,""),IF(N(_xlpm.t)=0,"",_xlpm.t))</f>
        <v/>
      </c>
    </row>
    <row r="96" customFormat="false" ht="15" hidden="false" customHeight="false" outlineLevel="0" collapsed="false">
      <c r="A96" s="39" t="s">
        <v>128</v>
      </c>
      <c r="B96" s="40" t="str">
        <f aca="false" t="array" ref="B96:B96">_xlfn.XLOOKUP($A96,TRIM(SUBSTITUTE('worker file'!$A$2:$A$406,_xlfn.UNICHAR(160)," ")),'worker file'!$L$2:$L$406,"Not found")</f>
        <v>US Semi-monthly</v>
      </c>
      <c r="C96" s="40" t="str">
        <f aca="false" t="array" ref="C96:C96">_xlfn.XLOOKUP($A96,TRIM(SUBSTITUTE('worker file'!$A$2:$A$406,_xlfn.UNICHAR(160)," ")),'worker file'!$D$2:$D$406,"Not found")</f>
        <v>CA</v>
      </c>
      <c r="D96" s="40" t="str">
        <f aca="false" t="array" ref="D96:D96">_xlfn.XLOOKUP($A96,TRIM(SUBSTITUTE('worker file'!$A$2:$A$406,_xlfn.UNICHAR(160)," ")),'worker file'!$Q$2:$Q$406,"Not found")</f>
        <v>Active</v>
      </c>
      <c r="E96" s="39" t="s">
        <v>634</v>
      </c>
      <c r="F96" s="38" t="str">
        <f aca="false">_xlfn.XLOOKUP($E96,$A$5:$A$8,$B$5:$B$8,"")</f>
        <v>Vision – Employee</v>
      </c>
      <c r="G96" s="38" t="str">
        <f aca="false">_xlfn.XLOOKUP($E96,$A$5:$A$8,$D$5:$D$8,"")</f>
        <v>Pre-tax Section 125 (exempt from FIT/SIT/FICA)</v>
      </c>
      <c r="H96" s="38" t="str">
        <f aca="false">_xlfn.XLOOKUP($E96,$A$5:$A$8,$E$5:$E$8,"")</f>
        <v>Flat</v>
      </c>
      <c r="I96" s="44" t="str">
        <f aca="false">IF($H96="Percent",_xlfn.XLOOKUP($E96,$A$5:$A$8,$F$5:$F$8,""),"")</f>
        <v/>
      </c>
      <c r="J96" s="42" t="n">
        <f aca="false">IF($H96="Flat",_xlfn.XLOOKUP($E96,$A$5:$A$8,$F$5:$F$8,""),"")</f>
        <v>30</v>
      </c>
      <c r="K96" s="38" t="str">
        <f aca="false">_xlfn.XLOOKUP($E96,$A$5:$A$8,$G$5:$G$8,"")</f>
        <v>Per pay period</v>
      </c>
      <c r="L96" s="38" t="str">
        <f aca="false">_xlfn.XLOOKUP($E96,$A$5:$A$8,$H$5:$H$8,"")</f>
        <v>Every pay period (ongoing)</v>
      </c>
      <c r="M96" s="43" t="n">
        <f aca="false" t="array" ref="M96:M96">MAX(_xlfn.XLOOKUP($A96,TRIM(SUBSTITUTE('worker file'!$A$2:$A$406,_xlfn.UNICHAR(160)," ")),'worker file'!$M$2:$M$406,0),_xlfn.XLOOKUP($B96,TRIM('pay group &amp; schedule'!$A$2:$A$6),'pay group &amp; schedule'!$D$2:$D$6,0))</f>
        <v>46311</v>
      </c>
      <c r="N96" s="43" t="str">
        <f aca="false" t="array" ref="N96:N96">_xlfn.LET(_xlpm.t,_xlfn.XLOOKUP($A96,TRIM(SUBSTITUTE('worker file'!$A$2:$A$406,_xlfn.UNICHAR(160)," ")),'worker file'!$N$2:$N$406,""),IF(N(_xlpm.t)=0,"",_xlpm.t))</f>
        <v/>
      </c>
    </row>
    <row r="97" customFormat="false" ht="15" hidden="false" customHeight="false" outlineLevel="0" collapsed="false">
      <c r="A97" s="39" t="s">
        <v>129</v>
      </c>
      <c r="B97" s="40" t="str">
        <f aca="false" t="array" ref="B97:B97">_xlfn.XLOOKUP($A97,TRIM(SUBSTITUTE('worker file'!$A$2:$A$406,_xlfn.UNICHAR(160)," ")),'worker file'!$L$2:$L$406,"Not found")</f>
        <v>US Biweekly</v>
      </c>
      <c r="C97" s="40" t="str">
        <f aca="false" t="array" ref="C97:C97">_xlfn.XLOOKUP($A97,TRIM(SUBSTITUTE('worker file'!$A$2:$A$406,_xlfn.UNICHAR(160)," ")),'worker file'!$D$2:$D$406,"Not found")</f>
        <v>CA</v>
      </c>
      <c r="D97" s="40" t="str">
        <f aca="false" t="array" ref="D97:D97">_xlfn.XLOOKUP($A97,TRIM(SUBSTITUTE('worker file'!$A$2:$A$406,_xlfn.UNICHAR(160)," ")),'worker file'!$Q$2:$Q$406,"Not found")</f>
        <v>Active</v>
      </c>
      <c r="E97" s="39" t="s">
        <v>618</v>
      </c>
      <c r="F97" s="38" t="str">
        <f aca="false">_xlfn.XLOOKUP($E97,$A$5:$A$8,$B$5:$B$8,"")</f>
        <v>401(k) Employee Deferral</v>
      </c>
      <c r="G97" s="38" t="str">
        <f aca="false">_xlfn.XLOOKUP($E97,$A$5:$A$8,$D$5:$D$8,"")</f>
        <v>Pre-tax (exempt from FIT/SIT; subject to FICA)</v>
      </c>
      <c r="H97" s="38" t="str">
        <f aca="false">_xlfn.XLOOKUP($E97,$A$5:$A$8,$E$5:$E$8,"")</f>
        <v>Percent</v>
      </c>
      <c r="I97" s="41" t="n">
        <v>0.01</v>
      </c>
      <c r="J97" s="42" t="str">
        <f aca="false">IF($H97="Flat",_xlfn.XLOOKUP($E97,$A$5:$A$8,$F$5:$F$8,""),"")</f>
        <v/>
      </c>
      <c r="K97" s="38" t="str">
        <f aca="false">_xlfn.XLOOKUP($E97,$A$5:$A$8,$G$5:$G$8,"")</f>
        <v>Gross pay</v>
      </c>
      <c r="L97" s="38" t="str">
        <f aca="false">_xlfn.XLOOKUP($E97,$A$5:$A$8,$H$5:$H$8,"")</f>
        <v>Every pay period (ongoing)</v>
      </c>
      <c r="M97" s="43" t="n">
        <f aca="false" t="array" ref="M97:M97">MAX(_xlfn.XLOOKUP($A97,TRIM(SUBSTITUTE('worker file'!$A$2:$A$406,_xlfn.UNICHAR(160)," ")),'worker file'!$M$2:$M$406,0),_xlfn.XLOOKUP($B97,TRIM('pay group &amp; schedule'!$A$2:$A$6),'pay group &amp; schedule'!$D$2:$D$6,0))</f>
        <v>46299</v>
      </c>
      <c r="N97" s="43" t="str">
        <f aca="false" t="array" ref="N97:N97">_xlfn.LET(_xlpm.t,_xlfn.XLOOKUP($A97,TRIM(SUBSTITUTE('worker file'!$A$2:$A$406,_xlfn.UNICHAR(160)," ")),'worker file'!$N$2:$N$406,""),IF(N(_xlpm.t)=0,"",_xlpm.t))</f>
        <v/>
      </c>
    </row>
    <row r="98" customFormat="false" ht="15" hidden="false" customHeight="false" outlineLevel="0" collapsed="false">
      <c r="A98" s="39" t="s">
        <v>129</v>
      </c>
      <c r="B98" s="40" t="str">
        <f aca="false" t="array" ref="B98:B98">_xlfn.XLOOKUP($A98,TRIM(SUBSTITUTE('worker file'!$A$2:$A$406,_xlfn.UNICHAR(160)," ")),'worker file'!$L$2:$L$406,"Not found")</f>
        <v>US Biweekly</v>
      </c>
      <c r="C98" s="40" t="str">
        <f aca="false" t="array" ref="C98:C98">_xlfn.XLOOKUP($A98,TRIM(SUBSTITUTE('worker file'!$A$2:$A$406,_xlfn.UNICHAR(160)," ")),'worker file'!$D$2:$D$406,"Not found")</f>
        <v>CA</v>
      </c>
      <c r="D98" s="40" t="str">
        <f aca="false" t="array" ref="D98:D98">_xlfn.XLOOKUP($A98,TRIM(SUBSTITUTE('worker file'!$A$2:$A$406,_xlfn.UNICHAR(160)," ")),'worker file'!$Q$2:$Q$406,"Not found")</f>
        <v>Active</v>
      </c>
      <c r="E98" s="39" t="s">
        <v>626</v>
      </c>
      <c r="F98" s="38" t="str">
        <f aca="false">_xlfn.XLOOKUP($E98,$A$5:$A$8,$B$5:$B$8,"")</f>
        <v>Medical (Health) – Employee</v>
      </c>
      <c r="G98" s="38" t="str">
        <f aca="false">_xlfn.XLOOKUP($E98,$A$5:$A$8,$D$5:$D$8,"")</f>
        <v>Pre-tax Section 125 (exempt from FIT/SIT/FICA)</v>
      </c>
      <c r="H98" s="38" t="str">
        <f aca="false">_xlfn.XLOOKUP($E98,$A$5:$A$8,$E$5:$E$8,"")</f>
        <v>Flat</v>
      </c>
      <c r="I98" s="44" t="str">
        <f aca="false">IF($H98="Percent",_xlfn.XLOOKUP($E98,$A$5:$A$8,$F$5:$F$8,""),"")</f>
        <v/>
      </c>
      <c r="J98" s="42" t="n">
        <f aca="false">IF($H98="Flat",_xlfn.XLOOKUP($E98,$A$5:$A$8,$F$5:$F$8,""),"")</f>
        <v>200</v>
      </c>
      <c r="K98" s="38" t="str">
        <f aca="false">_xlfn.XLOOKUP($E98,$A$5:$A$8,$G$5:$G$8,"")</f>
        <v>Per pay period</v>
      </c>
      <c r="L98" s="38" t="str">
        <f aca="false">_xlfn.XLOOKUP($E98,$A$5:$A$8,$H$5:$H$8,"")</f>
        <v>Every pay period (ongoing)</v>
      </c>
      <c r="M98" s="43" t="n">
        <f aca="false" t="array" ref="M98:M98">MAX(_xlfn.XLOOKUP($A98,TRIM(SUBSTITUTE('worker file'!$A$2:$A$406,_xlfn.UNICHAR(160)," ")),'worker file'!$M$2:$M$406,0),_xlfn.XLOOKUP($B98,TRIM('pay group &amp; schedule'!$A$2:$A$6),'pay group &amp; schedule'!$D$2:$D$6,0))</f>
        <v>46299</v>
      </c>
      <c r="N98" s="43" t="str">
        <f aca="false" t="array" ref="N98:N98">_xlfn.LET(_xlpm.t,_xlfn.XLOOKUP($A98,TRIM(SUBSTITUTE('worker file'!$A$2:$A$406,_xlfn.UNICHAR(160)," ")),'worker file'!$N$2:$N$406,""),IF(N(_xlpm.t)=0,"",_xlpm.t))</f>
        <v/>
      </c>
    </row>
    <row r="99" customFormat="false" ht="15" hidden="false" customHeight="false" outlineLevel="0" collapsed="false">
      <c r="A99" s="39" t="s">
        <v>129</v>
      </c>
      <c r="B99" s="40" t="str">
        <f aca="false" t="array" ref="B99:B99">_xlfn.XLOOKUP($A99,TRIM(SUBSTITUTE('worker file'!$A$2:$A$406,_xlfn.UNICHAR(160)," ")),'worker file'!$L$2:$L$406,"Not found")</f>
        <v>US Biweekly</v>
      </c>
      <c r="C99" s="40" t="str">
        <f aca="false" t="array" ref="C99:C99">_xlfn.XLOOKUP($A99,TRIM(SUBSTITUTE('worker file'!$A$2:$A$406,_xlfn.UNICHAR(160)," ")),'worker file'!$D$2:$D$406,"Not found")</f>
        <v>CA</v>
      </c>
      <c r="D99" s="40" t="str">
        <f aca="false" t="array" ref="D99:D99">_xlfn.XLOOKUP($A99,TRIM(SUBSTITUTE('worker file'!$A$2:$A$406,_xlfn.UNICHAR(160)," ")),'worker file'!$Q$2:$Q$406,"Not found")</f>
        <v>Active</v>
      </c>
      <c r="E99" s="39" t="s">
        <v>632</v>
      </c>
      <c r="F99" s="38" t="str">
        <f aca="false">_xlfn.XLOOKUP($E99,$A$5:$A$8,$B$5:$B$8,"")</f>
        <v>Dental – Employee</v>
      </c>
      <c r="G99" s="38" t="str">
        <f aca="false">_xlfn.XLOOKUP($E99,$A$5:$A$8,$D$5:$D$8,"")</f>
        <v>Pre-tax Section 125 (exempt from FIT/SIT/FICA)</v>
      </c>
      <c r="H99" s="38" t="str">
        <f aca="false">_xlfn.XLOOKUP($E99,$A$5:$A$8,$E$5:$E$8,"")</f>
        <v>Flat</v>
      </c>
      <c r="I99" s="44" t="str">
        <f aca="false">IF($H99="Percent",_xlfn.XLOOKUP($E99,$A$5:$A$8,$F$5:$F$8,""),"")</f>
        <v/>
      </c>
      <c r="J99" s="42" t="n">
        <f aca="false">IF($H99="Flat",_xlfn.XLOOKUP($E99,$A$5:$A$8,$F$5:$F$8,""),"")</f>
        <v>44</v>
      </c>
      <c r="K99" s="38" t="str">
        <f aca="false">_xlfn.XLOOKUP($E99,$A$5:$A$8,$G$5:$G$8,"")</f>
        <v>Per pay period</v>
      </c>
      <c r="L99" s="38" t="str">
        <f aca="false">_xlfn.XLOOKUP($E99,$A$5:$A$8,$H$5:$H$8,"")</f>
        <v>Every pay period (ongoing)</v>
      </c>
      <c r="M99" s="43" t="n">
        <f aca="false" t="array" ref="M99:M99">MAX(_xlfn.XLOOKUP($A99,TRIM(SUBSTITUTE('worker file'!$A$2:$A$406,_xlfn.UNICHAR(160)," ")),'worker file'!$M$2:$M$406,0),_xlfn.XLOOKUP($B99,TRIM('pay group &amp; schedule'!$A$2:$A$6),'pay group &amp; schedule'!$D$2:$D$6,0))</f>
        <v>46299</v>
      </c>
      <c r="N99" s="43" t="str">
        <f aca="false" t="array" ref="N99:N99">_xlfn.LET(_xlpm.t,_xlfn.XLOOKUP($A99,TRIM(SUBSTITUTE('worker file'!$A$2:$A$406,_xlfn.UNICHAR(160)," ")),'worker file'!$N$2:$N$406,""),IF(N(_xlpm.t)=0,"",_xlpm.t))</f>
        <v/>
      </c>
    </row>
    <row r="100" customFormat="false" ht="15" hidden="false" customHeight="false" outlineLevel="0" collapsed="false">
      <c r="A100" s="39" t="s">
        <v>129</v>
      </c>
      <c r="B100" s="40" t="str">
        <f aca="false" t="array" ref="B100:B100">_xlfn.XLOOKUP($A100,TRIM(SUBSTITUTE('worker file'!$A$2:$A$406,_xlfn.UNICHAR(160)," ")),'worker file'!$L$2:$L$406,"Not found")</f>
        <v>US Biweekly</v>
      </c>
      <c r="C100" s="40" t="str">
        <f aca="false" t="array" ref="C100:C100">_xlfn.XLOOKUP($A100,TRIM(SUBSTITUTE('worker file'!$A$2:$A$406,_xlfn.UNICHAR(160)," ")),'worker file'!$D$2:$D$406,"Not found")</f>
        <v>CA</v>
      </c>
      <c r="D100" s="40" t="str">
        <f aca="false" t="array" ref="D100:D100">_xlfn.XLOOKUP($A100,TRIM(SUBSTITUTE('worker file'!$A$2:$A$406,_xlfn.UNICHAR(160)," ")),'worker file'!$Q$2:$Q$406,"Not found")</f>
        <v>Active</v>
      </c>
      <c r="E100" s="39" t="s">
        <v>634</v>
      </c>
      <c r="F100" s="38" t="str">
        <f aca="false">_xlfn.XLOOKUP($E100,$A$5:$A$8,$B$5:$B$8,"")</f>
        <v>Vision – Employee</v>
      </c>
      <c r="G100" s="38" t="str">
        <f aca="false">_xlfn.XLOOKUP($E100,$A$5:$A$8,$D$5:$D$8,"")</f>
        <v>Pre-tax Section 125 (exempt from FIT/SIT/FICA)</v>
      </c>
      <c r="H100" s="38" t="str">
        <f aca="false">_xlfn.XLOOKUP($E100,$A$5:$A$8,$E$5:$E$8,"")</f>
        <v>Flat</v>
      </c>
      <c r="I100" s="44" t="str">
        <f aca="false">IF($H100="Percent",_xlfn.XLOOKUP($E100,$A$5:$A$8,$F$5:$F$8,""),"")</f>
        <v/>
      </c>
      <c r="J100" s="42" t="n">
        <f aca="false">IF($H100="Flat",_xlfn.XLOOKUP($E100,$A$5:$A$8,$F$5:$F$8,""),"")</f>
        <v>30</v>
      </c>
      <c r="K100" s="38" t="str">
        <f aca="false">_xlfn.XLOOKUP($E100,$A$5:$A$8,$G$5:$G$8,"")</f>
        <v>Per pay period</v>
      </c>
      <c r="L100" s="38" t="str">
        <f aca="false">_xlfn.XLOOKUP($E100,$A$5:$A$8,$H$5:$H$8,"")</f>
        <v>Every pay period (ongoing)</v>
      </c>
      <c r="M100" s="43" t="n">
        <f aca="false" t="array" ref="M100:M100">MAX(_xlfn.XLOOKUP($A100,TRIM(SUBSTITUTE('worker file'!$A$2:$A$406,_xlfn.UNICHAR(160)," ")),'worker file'!$M$2:$M$406,0),_xlfn.XLOOKUP($B100,TRIM('pay group &amp; schedule'!$A$2:$A$6),'pay group &amp; schedule'!$D$2:$D$6,0))</f>
        <v>46299</v>
      </c>
      <c r="N100" s="43" t="str">
        <f aca="false" t="array" ref="N100:N100">_xlfn.LET(_xlpm.t,_xlfn.XLOOKUP($A100,TRIM(SUBSTITUTE('worker file'!$A$2:$A$406,_xlfn.UNICHAR(160)," ")),'worker file'!$N$2:$N$406,""),IF(N(_xlpm.t)=0,"",_xlpm.t))</f>
        <v/>
      </c>
    </row>
    <row r="101" customFormat="false" ht="15" hidden="false" customHeight="false" outlineLevel="0" collapsed="false">
      <c r="A101" s="39" t="s">
        <v>131</v>
      </c>
      <c r="B101" s="40" t="str">
        <f aca="false" t="array" ref="B101:B101">_xlfn.XLOOKUP($A101,TRIM(SUBSTITUTE('worker file'!$A$2:$A$406,_xlfn.UNICHAR(160)," ")),'worker file'!$L$2:$L$406,"Not found")</f>
        <v>US Biweekly</v>
      </c>
      <c r="C101" s="40" t="str">
        <f aca="false" t="array" ref="C101:C101">_xlfn.XLOOKUP($A101,TRIM(SUBSTITUTE('worker file'!$A$2:$A$406,_xlfn.UNICHAR(160)," ")),'worker file'!$D$2:$D$406,"Not found")</f>
        <v>CA</v>
      </c>
      <c r="D101" s="40" t="str">
        <f aca="false" t="array" ref="D101:D101">_xlfn.XLOOKUP($A101,TRIM(SUBSTITUTE('worker file'!$A$2:$A$406,_xlfn.UNICHAR(160)," ")),'worker file'!$Q$2:$Q$406,"Not found")</f>
        <v>Active</v>
      </c>
      <c r="E101" s="39" t="s">
        <v>618</v>
      </c>
      <c r="F101" s="38" t="str">
        <f aca="false">_xlfn.XLOOKUP($E101,$A$5:$A$8,$B$5:$B$8,"")</f>
        <v>401(k) Employee Deferral</v>
      </c>
      <c r="G101" s="38" t="str">
        <f aca="false">_xlfn.XLOOKUP($E101,$A$5:$A$8,$D$5:$D$8,"")</f>
        <v>Pre-tax (exempt from FIT/SIT; subject to FICA)</v>
      </c>
      <c r="H101" s="38" t="str">
        <f aca="false">_xlfn.XLOOKUP($E101,$A$5:$A$8,$E$5:$E$8,"")</f>
        <v>Percent</v>
      </c>
      <c r="I101" s="41" t="n">
        <v>0.06</v>
      </c>
      <c r="J101" s="42" t="str">
        <f aca="false">IF($H101="Flat",_xlfn.XLOOKUP($E101,$A$5:$A$8,$F$5:$F$8,""),"")</f>
        <v/>
      </c>
      <c r="K101" s="38" t="str">
        <f aca="false">_xlfn.XLOOKUP($E101,$A$5:$A$8,$G$5:$G$8,"")</f>
        <v>Gross pay</v>
      </c>
      <c r="L101" s="38" t="str">
        <f aca="false">_xlfn.XLOOKUP($E101,$A$5:$A$8,$H$5:$H$8,"")</f>
        <v>Every pay period (ongoing)</v>
      </c>
      <c r="M101" s="43" t="n">
        <f aca="false" t="array" ref="M101:M101">MAX(_xlfn.XLOOKUP($A101,TRIM(SUBSTITUTE('worker file'!$A$2:$A$406,_xlfn.UNICHAR(160)," ")),'worker file'!$M$2:$M$406,0),_xlfn.XLOOKUP($B101,TRIM('pay group &amp; schedule'!$A$2:$A$6),'pay group &amp; schedule'!$D$2:$D$6,0))</f>
        <v>46299</v>
      </c>
      <c r="N101" s="43" t="str">
        <f aca="false" t="array" ref="N101:N101">_xlfn.LET(_xlpm.t,_xlfn.XLOOKUP($A101,TRIM(SUBSTITUTE('worker file'!$A$2:$A$406,_xlfn.UNICHAR(160)," ")),'worker file'!$N$2:$N$406,""),IF(N(_xlpm.t)=0,"",_xlpm.t))</f>
        <v/>
      </c>
    </row>
    <row r="102" customFormat="false" ht="15" hidden="false" customHeight="false" outlineLevel="0" collapsed="false">
      <c r="A102" s="39" t="s">
        <v>131</v>
      </c>
      <c r="B102" s="40" t="str">
        <f aca="false" t="array" ref="B102:B102">_xlfn.XLOOKUP($A102,TRIM(SUBSTITUTE('worker file'!$A$2:$A$406,_xlfn.UNICHAR(160)," ")),'worker file'!$L$2:$L$406,"Not found")</f>
        <v>US Biweekly</v>
      </c>
      <c r="C102" s="40" t="str">
        <f aca="false" t="array" ref="C102:C102">_xlfn.XLOOKUP($A102,TRIM(SUBSTITUTE('worker file'!$A$2:$A$406,_xlfn.UNICHAR(160)," ")),'worker file'!$D$2:$D$406,"Not found")</f>
        <v>CA</v>
      </c>
      <c r="D102" s="40" t="str">
        <f aca="false" t="array" ref="D102:D102">_xlfn.XLOOKUP($A102,TRIM(SUBSTITUTE('worker file'!$A$2:$A$406,_xlfn.UNICHAR(160)," ")),'worker file'!$Q$2:$Q$406,"Not found")</f>
        <v>Active</v>
      </c>
      <c r="E102" s="39" t="s">
        <v>626</v>
      </c>
      <c r="F102" s="38" t="str">
        <f aca="false">_xlfn.XLOOKUP($E102,$A$5:$A$8,$B$5:$B$8,"")</f>
        <v>Medical (Health) – Employee</v>
      </c>
      <c r="G102" s="38" t="str">
        <f aca="false">_xlfn.XLOOKUP($E102,$A$5:$A$8,$D$5:$D$8,"")</f>
        <v>Pre-tax Section 125 (exempt from FIT/SIT/FICA)</v>
      </c>
      <c r="H102" s="38" t="str">
        <f aca="false">_xlfn.XLOOKUP($E102,$A$5:$A$8,$E$5:$E$8,"")</f>
        <v>Flat</v>
      </c>
      <c r="I102" s="44" t="str">
        <f aca="false">IF($H102="Percent",_xlfn.XLOOKUP($E102,$A$5:$A$8,$F$5:$F$8,""),"")</f>
        <v/>
      </c>
      <c r="J102" s="42" t="n">
        <f aca="false">IF($H102="Flat",_xlfn.XLOOKUP($E102,$A$5:$A$8,$F$5:$F$8,""),"")</f>
        <v>200</v>
      </c>
      <c r="K102" s="38" t="str">
        <f aca="false">_xlfn.XLOOKUP($E102,$A$5:$A$8,$G$5:$G$8,"")</f>
        <v>Per pay period</v>
      </c>
      <c r="L102" s="38" t="str">
        <f aca="false">_xlfn.XLOOKUP($E102,$A$5:$A$8,$H$5:$H$8,"")</f>
        <v>Every pay period (ongoing)</v>
      </c>
      <c r="M102" s="43" t="n">
        <f aca="false" t="array" ref="M102:M102">MAX(_xlfn.XLOOKUP($A102,TRIM(SUBSTITUTE('worker file'!$A$2:$A$406,_xlfn.UNICHAR(160)," ")),'worker file'!$M$2:$M$406,0),_xlfn.XLOOKUP($B102,TRIM('pay group &amp; schedule'!$A$2:$A$6),'pay group &amp; schedule'!$D$2:$D$6,0))</f>
        <v>46299</v>
      </c>
      <c r="N102" s="43" t="str">
        <f aca="false" t="array" ref="N102:N102">_xlfn.LET(_xlpm.t,_xlfn.XLOOKUP($A102,TRIM(SUBSTITUTE('worker file'!$A$2:$A$406,_xlfn.UNICHAR(160)," ")),'worker file'!$N$2:$N$406,""),IF(N(_xlpm.t)=0,"",_xlpm.t))</f>
        <v/>
      </c>
    </row>
    <row r="103" customFormat="false" ht="15" hidden="false" customHeight="false" outlineLevel="0" collapsed="false">
      <c r="A103" s="39" t="s">
        <v>131</v>
      </c>
      <c r="B103" s="40" t="str">
        <f aca="false" t="array" ref="B103:B103">_xlfn.XLOOKUP($A103,TRIM(SUBSTITUTE('worker file'!$A$2:$A$406,_xlfn.UNICHAR(160)," ")),'worker file'!$L$2:$L$406,"Not found")</f>
        <v>US Biweekly</v>
      </c>
      <c r="C103" s="40" t="str">
        <f aca="false" t="array" ref="C103:C103">_xlfn.XLOOKUP($A103,TRIM(SUBSTITUTE('worker file'!$A$2:$A$406,_xlfn.UNICHAR(160)," ")),'worker file'!$D$2:$D$406,"Not found")</f>
        <v>CA</v>
      </c>
      <c r="D103" s="40" t="str">
        <f aca="false" t="array" ref="D103:D103">_xlfn.XLOOKUP($A103,TRIM(SUBSTITUTE('worker file'!$A$2:$A$406,_xlfn.UNICHAR(160)," ")),'worker file'!$Q$2:$Q$406,"Not found")</f>
        <v>Active</v>
      </c>
      <c r="E103" s="39" t="s">
        <v>632</v>
      </c>
      <c r="F103" s="38" t="str">
        <f aca="false">_xlfn.XLOOKUP($E103,$A$5:$A$8,$B$5:$B$8,"")</f>
        <v>Dental – Employee</v>
      </c>
      <c r="G103" s="38" t="str">
        <f aca="false">_xlfn.XLOOKUP($E103,$A$5:$A$8,$D$5:$D$8,"")</f>
        <v>Pre-tax Section 125 (exempt from FIT/SIT/FICA)</v>
      </c>
      <c r="H103" s="38" t="str">
        <f aca="false">_xlfn.XLOOKUP($E103,$A$5:$A$8,$E$5:$E$8,"")</f>
        <v>Flat</v>
      </c>
      <c r="I103" s="44" t="str">
        <f aca="false">IF($H103="Percent",_xlfn.XLOOKUP($E103,$A$5:$A$8,$F$5:$F$8,""),"")</f>
        <v/>
      </c>
      <c r="J103" s="42" t="n">
        <f aca="false">IF($H103="Flat",_xlfn.XLOOKUP($E103,$A$5:$A$8,$F$5:$F$8,""),"")</f>
        <v>44</v>
      </c>
      <c r="K103" s="38" t="str">
        <f aca="false">_xlfn.XLOOKUP($E103,$A$5:$A$8,$G$5:$G$8,"")</f>
        <v>Per pay period</v>
      </c>
      <c r="L103" s="38" t="str">
        <f aca="false">_xlfn.XLOOKUP($E103,$A$5:$A$8,$H$5:$H$8,"")</f>
        <v>Every pay period (ongoing)</v>
      </c>
      <c r="M103" s="43" t="n">
        <f aca="false" t="array" ref="M103:M103">MAX(_xlfn.XLOOKUP($A103,TRIM(SUBSTITUTE('worker file'!$A$2:$A$406,_xlfn.UNICHAR(160)," ")),'worker file'!$M$2:$M$406,0),_xlfn.XLOOKUP($B103,TRIM('pay group &amp; schedule'!$A$2:$A$6),'pay group &amp; schedule'!$D$2:$D$6,0))</f>
        <v>46299</v>
      </c>
      <c r="N103" s="43" t="str">
        <f aca="false" t="array" ref="N103:N103">_xlfn.LET(_xlpm.t,_xlfn.XLOOKUP($A103,TRIM(SUBSTITUTE('worker file'!$A$2:$A$406,_xlfn.UNICHAR(160)," ")),'worker file'!$N$2:$N$406,""),IF(N(_xlpm.t)=0,"",_xlpm.t))</f>
        <v/>
      </c>
    </row>
    <row r="104" customFormat="false" ht="15" hidden="false" customHeight="false" outlineLevel="0" collapsed="false">
      <c r="A104" s="39" t="s">
        <v>131</v>
      </c>
      <c r="B104" s="40" t="str">
        <f aca="false" t="array" ref="B104:B104">_xlfn.XLOOKUP($A104,TRIM(SUBSTITUTE('worker file'!$A$2:$A$406,_xlfn.UNICHAR(160)," ")),'worker file'!$L$2:$L$406,"Not found")</f>
        <v>US Biweekly</v>
      </c>
      <c r="C104" s="40" t="str">
        <f aca="false" t="array" ref="C104:C104">_xlfn.XLOOKUP($A104,TRIM(SUBSTITUTE('worker file'!$A$2:$A$406,_xlfn.UNICHAR(160)," ")),'worker file'!$D$2:$D$406,"Not found")</f>
        <v>CA</v>
      </c>
      <c r="D104" s="40" t="str">
        <f aca="false" t="array" ref="D104:D104">_xlfn.XLOOKUP($A104,TRIM(SUBSTITUTE('worker file'!$A$2:$A$406,_xlfn.UNICHAR(160)," ")),'worker file'!$Q$2:$Q$406,"Not found")</f>
        <v>Active</v>
      </c>
      <c r="E104" s="39" t="s">
        <v>634</v>
      </c>
      <c r="F104" s="38" t="str">
        <f aca="false">_xlfn.XLOOKUP($E104,$A$5:$A$8,$B$5:$B$8,"")</f>
        <v>Vision – Employee</v>
      </c>
      <c r="G104" s="38" t="str">
        <f aca="false">_xlfn.XLOOKUP($E104,$A$5:$A$8,$D$5:$D$8,"")</f>
        <v>Pre-tax Section 125 (exempt from FIT/SIT/FICA)</v>
      </c>
      <c r="H104" s="38" t="str">
        <f aca="false">_xlfn.XLOOKUP($E104,$A$5:$A$8,$E$5:$E$8,"")</f>
        <v>Flat</v>
      </c>
      <c r="I104" s="44" t="str">
        <f aca="false">IF($H104="Percent",_xlfn.XLOOKUP($E104,$A$5:$A$8,$F$5:$F$8,""),"")</f>
        <v/>
      </c>
      <c r="J104" s="42" t="n">
        <f aca="false">IF($H104="Flat",_xlfn.XLOOKUP($E104,$A$5:$A$8,$F$5:$F$8,""),"")</f>
        <v>30</v>
      </c>
      <c r="K104" s="38" t="str">
        <f aca="false">_xlfn.XLOOKUP($E104,$A$5:$A$8,$G$5:$G$8,"")</f>
        <v>Per pay period</v>
      </c>
      <c r="L104" s="38" t="str">
        <f aca="false">_xlfn.XLOOKUP($E104,$A$5:$A$8,$H$5:$H$8,"")</f>
        <v>Every pay period (ongoing)</v>
      </c>
      <c r="M104" s="43" t="n">
        <f aca="false" t="array" ref="M104:M104">MAX(_xlfn.XLOOKUP($A104,TRIM(SUBSTITUTE('worker file'!$A$2:$A$406,_xlfn.UNICHAR(160)," ")),'worker file'!$M$2:$M$406,0),_xlfn.XLOOKUP($B104,TRIM('pay group &amp; schedule'!$A$2:$A$6),'pay group &amp; schedule'!$D$2:$D$6,0))</f>
        <v>46299</v>
      </c>
      <c r="N104" s="43" t="str">
        <f aca="false" t="array" ref="N104:N104">_xlfn.LET(_xlpm.t,_xlfn.XLOOKUP($A104,TRIM(SUBSTITUTE('worker file'!$A$2:$A$406,_xlfn.UNICHAR(160)," ")),'worker file'!$N$2:$N$406,""),IF(N(_xlpm.t)=0,"",_xlpm.t))</f>
        <v/>
      </c>
    </row>
    <row r="105" customFormat="false" ht="15" hidden="false" customHeight="false" outlineLevel="0" collapsed="false">
      <c r="A105" s="39" t="s">
        <v>133</v>
      </c>
      <c r="B105" s="40" t="str">
        <f aca="false" t="array" ref="B105:B105">_xlfn.XLOOKUP($A105,TRIM(SUBSTITUTE('worker file'!$A$2:$A$406,_xlfn.UNICHAR(160)," ")),'worker file'!$L$2:$L$406,"Not found")</f>
        <v>US Semi-monthly</v>
      </c>
      <c r="C105" s="40" t="str">
        <f aca="false" t="array" ref="C105:C105">_xlfn.XLOOKUP($A105,TRIM(SUBSTITUTE('worker file'!$A$2:$A$406,_xlfn.UNICHAR(160)," ")),'worker file'!$D$2:$D$406,"Not found")</f>
        <v>CA</v>
      </c>
      <c r="D105" s="40" t="str">
        <f aca="false" t="array" ref="D105:D105">_xlfn.XLOOKUP($A105,TRIM(SUBSTITUTE('worker file'!$A$2:$A$406,_xlfn.UNICHAR(160)," ")),'worker file'!$Q$2:$Q$406,"Not found")</f>
        <v>Active</v>
      </c>
      <c r="E105" s="39" t="s">
        <v>618</v>
      </c>
      <c r="F105" s="38" t="str">
        <f aca="false">_xlfn.XLOOKUP($E105,$A$5:$A$8,$B$5:$B$8,"")</f>
        <v>401(k) Employee Deferral</v>
      </c>
      <c r="G105" s="38" t="str">
        <f aca="false">_xlfn.XLOOKUP($E105,$A$5:$A$8,$D$5:$D$8,"")</f>
        <v>Pre-tax (exempt from FIT/SIT; subject to FICA)</v>
      </c>
      <c r="H105" s="38" t="str">
        <f aca="false">_xlfn.XLOOKUP($E105,$A$5:$A$8,$E$5:$E$8,"")</f>
        <v>Percent</v>
      </c>
      <c r="I105" s="41" t="n">
        <v>0.03</v>
      </c>
      <c r="J105" s="42" t="str">
        <f aca="false">IF($H105="Flat",_xlfn.XLOOKUP($E105,$A$5:$A$8,$F$5:$F$8,""),"")</f>
        <v/>
      </c>
      <c r="K105" s="38" t="str">
        <f aca="false">_xlfn.XLOOKUP($E105,$A$5:$A$8,$G$5:$G$8,"")</f>
        <v>Gross pay</v>
      </c>
      <c r="L105" s="38" t="str">
        <f aca="false">_xlfn.XLOOKUP($E105,$A$5:$A$8,$H$5:$H$8,"")</f>
        <v>Every pay period (ongoing)</v>
      </c>
      <c r="M105" s="43" t="n">
        <f aca="false" t="array" ref="M105:M105">MAX(_xlfn.XLOOKUP($A105,TRIM(SUBSTITUTE('worker file'!$A$2:$A$406,_xlfn.UNICHAR(160)," ")),'worker file'!$M$2:$M$406,0),_xlfn.XLOOKUP($B105,TRIM('pay group &amp; schedule'!$A$2:$A$6),'pay group &amp; schedule'!$D$2:$D$6,0))</f>
        <v>46311</v>
      </c>
      <c r="N105" s="43" t="str">
        <f aca="false" t="array" ref="N105:N105">_xlfn.LET(_xlpm.t,_xlfn.XLOOKUP($A105,TRIM(SUBSTITUTE('worker file'!$A$2:$A$406,_xlfn.UNICHAR(160)," ")),'worker file'!$N$2:$N$406,""),IF(N(_xlpm.t)=0,"",_xlpm.t))</f>
        <v/>
      </c>
    </row>
    <row r="106" customFormat="false" ht="15" hidden="false" customHeight="false" outlineLevel="0" collapsed="false">
      <c r="A106" s="39" t="s">
        <v>133</v>
      </c>
      <c r="B106" s="40" t="str">
        <f aca="false" t="array" ref="B106:B106">_xlfn.XLOOKUP($A106,TRIM(SUBSTITUTE('worker file'!$A$2:$A$406,_xlfn.UNICHAR(160)," ")),'worker file'!$L$2:$L$406,"Not found")</f>
        <v>US Semi-monthly</v>
      </c>
      <c r="C106" s="40" t="str">
        <f aca="false" t="array" ref="C106:C106">_xlfn.XLOOKUP($A106,TRIM(SUBSTITUTE('worker file'!$A$2:$A$406,_xlfn.UNICHAR(160)," ")),'worker file'!$D$2:$D$406,"Not found")</f>
        <v>CA</v>
      </c>
      <c r="D106" s="40" t="str">
        <f aca="false" t="array" ref="D106:D106">_xlfn.XLOOKUP($A106,TRIM(SUBSTITUTE('worker file'!$A$2:$A$406,_xlfn.UNICHAR(160)," ")),'worker file'!$Q$2:$Q$406,"Not found")</f>
        <v>Active</v>
      </c>
      <c r="E106" s="39" t="s">
        <v>626</v>
      </c>
      <c r="F106" s="38" t="str">
        <f aca="false">_xlfn.XLOOKUP($E106,$A$5:$A$8,$B$5:$B$8,"")</f>
        <v>Medical (Health) – Employee</v>
      </c>
      <c r="G106" s="38" t="str">
        <f aca="false">_xlfn.XLOOKUP($E106,$A$5:$A$8,$D$5:$D$8,"")</f>
        <v>Pre-tax Section 125 (exempt from FIT/SIT/FICA)</v>
      </c>
      <c r="H106" s="38" t="str">
        <f aca="false">_xlfn.XLOOKUP($E106,$A$5:$A$8,$E$5:$E$8,"")</f>
        <v>Flat</v>
      </c>
      <c r="I106" s="44" t="str">
        <f aca="false">IF($H106="Percent",_xlfn.XLOOKUP($E106,$A$5:$A$8,$F$5:$F$8,""),"")</f>
        <v/>
      </c>
      <c r="J106" s="42" t="n">
        <f aca="false">IF($H106="Flat",_xlfn.XLOOKUP($E106,$A$5:$A$8,$F$5:$F$8,""),"")</f>
        <v>200</v>
      </c>
      <c r="K106" s="38" t="str">
        <f aca="false">_xlfn.XLOOKUP($E106,$A$5:$A$8,$G$5:$G$8,"")</f>
        <v>Per pay period</v>
      </c>
      <c r="L106" s="38" t="str">
        <f aca="false">_xlfn.XLOOKUP($E106,$A$5:$A$8,$H$5:$H$8,"")</f>
        <v>Every pay period (ongoing)</v>
      </c>
      <c r="M106" s="43" t="n">
        <f aca="false" t="array" ref="M106:M106">MAX(_xlfn.XLOOKUP($A106,TRIM(SUBSTITUTE('worker file'!$A$2:$A$406,_xlfn.UNICHAR(160)," ")),'worker file'!$M$2:$M$406,0),_xlfn.XLOOKUP($B106,TRIM('pay group &amp; schedule'!$A$2:$A$6),'pay group &amp; schedule'!$D$2:$D$6,0))</f>
        <v>46311</v>
      </c>
      <c r="N106" s="43" t="str">
        <f aca="false" t="array" ref="N106:N106">_xlfn.LET(_xlpm.t,_xlfn.XLOOKUP($A106,TRIM(SUBSTITUTE('worker file'!$A$2:$A$406,_xlfn.UNICHAR(160)," ")),'worker file'!$N$2:$N$406,""),IF(N(_xlpm.t)=0,"",_xlpm.t))</f>
        <v/>
      </c>
    </row>
    <row r="107" customFormat="false" ht="15" hidden="false" customHeight="false" outlineLevel="0" collapsed="false">
      <c r="A107" s="39" t="s">
        <v>133</v>
      </c>
      <c r="B107" s="40" t="str">
        <f aca="false" t="array" ref="B107:B107">_xlfn.XLOOKUP($A107,TRIM(SUBSTITUTE('worker file'!$A$2:$A$406,_xlfn.UNICHAR(160)," ")),'worker file'!$L$2:$L$406,"Not found")</f>
        <v>US Semi-monthly</v>
      </c>
      <c r="C107" s="40" t="str">
        <f aca="false" t="array" ref="C107:C107">_xlfn.XLOOKUP($A107,TRIM(SUBSTITUTE('worker file'!$A$2:$A$406,_xlfn.UNICHAR(160)," ")),'worker file'!$D$2:$D$406,"Not found")</f>
        <v>CA</v>
      </c>
      <c r="D107" s="40" t="str">
        <f aca="false" t="array" ref="D107:D107">_xlfn.XLOOKUP($A107,TRIM(SUBSTITUTE('worker file'!$A$2:$A$406,_xlfn.UNICHAR(160)," ")),'worker file'!$Q$2:$Q$406,"Not found")</f>
        <v>Active</v>
      </c>
      <c r="E107" s="39" t="s">
        <v>632</v>
      </c>
      <c r="F107" s="38" t="str">
        <f aca="false">_xlfn.XLOOKUP($E107,$A$5:$A$8,$B$5:$B$8,"")</f>
        <v>Dental – Employee</v>
      </c>
      <c r="G107" s="38" t="str">
        <f aca="false">_xlfn.XLOOKUP($E107,$A$5:$A$8,$D$5:$D$8,"")</f>
        <v>Pre-tax Section 125 (exempt from FIT/SIT/FICA)</v>
      </c>
      <c r="H107" s="38" t="str">
        <f aca="false">_xlfn.XLOOKUP($E107,$A$5:$A$8,$E$5:$E$8,"")</f>
        <v>Flat</v>
      </c>
      <c r="I107" s="44" t="str">
        <f aca="false">IF($H107="Percent",_xlfn.XLOOKUP($E107,$A$5:$A$8,$F$5:$F$8,""),"")</f>
        <v/>
      </c>
      <c r="J107" s="42" t="n">
        <f aca="false">IF($H107="Flat",_xlfn.XLOOKUP($E107,$A$5:$A$8,$F$5:$F$8,""),"")</f>
        <v>44</v>
      </c>
      <c r="K107" s="38" t="str">
        <f aca="false">_xlfn.XLOOKUP($E107,$A$5:$A$8,$G$5:$G$8,"")</f>
        <v>Per pay period</v>
      </c>
      <c r="L107" s="38" t="str">
        <f aca="false">_xlfn.XLOOKUP($E107,$A$5:$A$8,$H$5:$H$8,"")</f>
        <v>Every pay period (ongoing)</v>
      </c>
      <c r="M107" s="43" t="n">
        <f aca="false" t="array" ref="M107:M107">MAX(_xlfn.XLOOKUP($A107,TRIM(SUBSTITUTE('worker file'!$A$2:$A$406,_xlfn.UNICHAR(160)," ")),'worker file'!$M$2:$M$406,0),_xlfn.XLOOKUP($B107,TRIM('pay group &amp; schedule'!$A$2:$A$6),'pay group &amp; schedule'!$D$2:$D$6,0))</f>
        <v>46311</v>
      </c>
      <c r="N107" s="43" t="str">
        <f aca="false" t="array" ref="N107:N107">_xlfn.LET(_xlpm.t,_xlfn.XLOOKUP($A107,TRIM(SUBSTITUTE('worker file'!$A$2:$A$406,_xlfn.UNICHAR(160)," ")),'worker file'!$N$2:$N$406,""),IF(N(_xlpm.t)=0,"",_xlpm.t))</f>
        <v/>
      </c>
    </row>
    <row r="108" customFormat="false" ht="15" hidden="false" customHeight="false" outlineLevel="0" collapsed="false">
      <c r="A108" s="39" t="s">
        <v>133</v>
      </c>
      <c r="B108" s="40" t="str">
        <f aca="false" t="array" ref="B108:B108">_xlfn.XLOOKUP($A108,TRIM(SUBSTITUTE('worker file'!$A$2:$A$406,_xlfn.UNICHAR(160)," ")),'worker file'!$L$2:$L$406,"Not found")</f>
        <v>US Semi-monthly</v>
      </c>
      <c r="C108" s="40" t="str">
        <f aca="false" t="array" ref="C108:C108">_xlfn.XLOOKUP($A108,TRIM(SUBSTITUTE('worker file'!$A$2:$A$406,_xlfn.UNICHAR(160)," ")),'worker file'!$D$2:$D$406,"Not found")</f>
        <v>CA</v>
      </c>
      <c r="D108" s="40" t="str">
        <f aca="false" t="array" ref="D108:D108">_xlfn.XLOOKUP($A108,TRIM(SUBSTITUTE('worker file'!$A$2:$A$406,_xlfn.UNICHAR(160)," ")),'worker file'!$Q$2:$Q$406,"Not found")</f>
        <v>Active</v>
      </c>
      <c r="E108" s="39" t="s">
        <v>634</v>
      </c>
      <c r="F108" s="38" t="str">
        <f aca="false">_xlfn.XLOOKUP($E108,$A$5:$A$8,$B$5:$B$8,"")</f>
        <v>Vision – Employee</v>
      </c>
      <c r="G108" s="38" t="str">
        <f aca="false">_xlfn.XLOOKUP($E108,$A$5:$A$8,$D$5:$D$8,"")</f>
        <v>Pre-tax Section 125 (exempt from FIT/SIT/FICA)</v>
      </c>
      <c r="H108" s="38" t="str">
        <f aca="false">_xlfn.XLOOKUP($E108,$A$5:$A$8,$E$5:$E$8,"")</f>
        <v>Flat</v>
      </c>
      <c r="I108" s="44" t="str">
        <f aca="false">IF($H108="Percent",_xlfn.XLOOKUP($E108,$A$5:$A$8,$F$5:$F$8,""),"")</f>
        <v/>
      </c>
      <c r="J108" s="42" t="n">
        <f aca="false">IF($H108="Flat",_xlfn.XLOOKUP($E108,$A$5:$A$8,$F$5:$F$8,""),"")</f>
        <v>30</v>
      </c>
      <c r="K108" s="38" t="str">
        <f aca="false">_xlfn.XLOOKUP($E108,$A$5:$A$8,$G$5:$G$8,"")</f>
        <v>Per pay period</v>
      </c>
      <c r="L108" s="38" t="str">
        <f aca="false">_xlfn.XLOOKUP($E108,$A$5:$A$8,$H$5:$H$8,"")</f>
        <v>Every pay period (ongoing)</v>
      </c>
      <c r="M108" s="43" t="n">
        <f aca="false" t="array" ref="M108:M108">MAX(_xlfn.XLOOKUP($A108,TRIM(SUBSTITUTE('worker file'!$A$2:$A$406,_xlfn.UNICHAR(160)," ")),'worker file'!$M$2:$M$406,0),_xlfn.XLOOKUP($B108,TRIM('pay group &amp; schedule'!$A$2:$A$6),'pay group &amp; schedule'!$D$2:$D$6,0))</f>
        <v>46311</v>
      </c>
      <c r="N108" s="43" t="str">
        <f aca="false" t="array" ref="N108:N108">_xlfn.LET(_xlpm.t,_xlfn.XLOOKUP($A108,TRIM(SUBSTITUTE('worker file'!$A$2:$A$406,_xlfn.UNICHAR(160)," ")),'worker file'!$N$2:$N$406,""),IF(N(_xlpm.t)=0,"",_xlpm.t))</f>
        <v/>
      </c>
    </row>
    <row r="109" customFormat="false" ht="15" hidden="false" customHeight="false" outlineLevel="0" collapsed="false">
      <c r="A109" s="39" t="s">
        <v>134</v>
      </c>
      <c r="B109" s="40" t="str">
        <f aca="false" t="array" ref="B109:B109">_xlfn.XLOOKUP($A109,TRIM(SUBSTITUTE('worker file'!$A$2:$A$406,_xlfn.UNICHAR(160)," ")),'worker file'!$L$2:$L$406,"Not found")</f>
        <v>US Biweekly</v>
      </c>
      <c r="C109" s="40" t="str">
        <f aca="false" t="array" ref="C109:C109">_xlfn.XLOOKUP($A109,TRIM(SUBSTITUTE('worker file'!$A$2:$A$406,_xlfn.UNICHAR(160)," ")),'worker file'!$D$2:$D$406,"Not found")</f>
        <v>CA</v>
      </c>
      <c r="D109" s="40" t="str">
        <f aca="false" t="array" ref="D109:D109">_xlfn.XLOOKUP($A109,TRIM(SUBSTITUTE('worker file'!$A$2:$A$406,_xlfn.UNICHAR(160)," ")),'worker file'!$Q$2:$Q$406,"Not found")</f>
        <v>Active</v>
      </c>
      <c r="E109" s="39" t="s">
        <v>618</v>
      </c>
      <c r="F109" s="38" t="str">
        <f aca="false">_xlfn.XLOOKUP($E109,$A$5:$A$8,$B$5:$B$8,"")</f>
        <v>401(k) Employee Deferral</v>
      </c>
      <c r="G109" s="38" t="str">
        <f aca="false">_xlfn.XLOOKUP($E109,$A$5:$A$8,$D$5:$D$8,"")</f>
        <v>Pre-tax (exempt from FIT/SIT; subject to FICA)</v>
      </c>
      <c r="H109" s="38" t="str">
        <f aca="false">_xlfn.XLOOKUP($E109,$A$5:$A$8,$E$5:$E$8,"")</f>
        <v>Percent</v>
      </c>
      <c r="I109" s="41" t="n">
        <v>0</v>
      </c>
      <c r="J109" s="42" t="str">
        <f aca="false">IF($H109="Flat",_xlfn.XLOOKUP($E109,$A$5:$A$8,$F$5:$F$8,""),"")</f>
        <v/>
      </c>
      <c r="K109" s="38" t="str">
        <f aca="false">_xlfn.XLOOKUP($E109,$A$5:$A$8,$G$5:$G$8,"")</f>
        <v>Gross pay</v>
      </c>
      <c r="L109" s="38" t="str">
        <f aca="false">_xlfn.XLOOKUP($E109,$A$5:$A$8,$H$5:$H$8,"")</f>
        <v>Every pay period (ongoing)</v>
      </c>
      <c r="M109" s="43" t="n">
        <f aca="false" t="array" ref="M109:M109">MAX(_xlfn.XLOOKUP($A109,TRIM(SUBSTITUTE('worker file'!$A$2:$A$406,_xlfn.UNICHAR(160)," ")),'worker file'!$M$2:$M$406,0),_xlfn.XLOOKUP($B109,TRIM('pay group &amp; schedule'!$A$2:$A$6),'pay group &amp; schedule'!$D$2:$D$6,0))</f>
        <v>46299</v>
      </c>
      <c r="N109" s="43" t="str">
        <f aca="false" t="array" ref="N109:N109">_xlfn.LET(_xlpm.t,_xlfn.XLOOKUP($A109,TRIM(SUBSTITUTE('worker file'!$A$2:$A$406,_xlfn.UNICHAR(160)," ")),'worker file'!$N$2:$N$406,""),IF(N(_xlpm.t)=0,"",_xlpm.t))</f>
        <v/>
      </c>
    </row>
    <row r="110" customFormat="false" ht="15" hidden="false" customHeight="false" outlineLevel="0" collapsed="false">
      <c r="A110" s="39" t="s">
        <v>134</v>
      </c>
      <c r="B110" s="40" t="str">
        <f aca="false" t="array" ref="B110:B110">_xlfn.XLOOKUP($A110,TRIM(SUBSTITUTE('worker file'!$A$2:$A$406,_xlfn.UNICHAR(160)," ")),'worker file'!$L$2:$L$406,"Not found")</f>
        <v>US Biweekly</v>
      </c>
      <c r="C110" s="40" t="str">
        <f aca="false" t="array" ref="C110:C110">_xlfn.XLOOKUP($A110,TRIM(SUBSTITUTE('worker file'!$A$2:$A$406,_xlfn.UNICHAR(160)," ")),'worker file'!$D$2:$D$406,"Not found")</f>
        <v>CA</v>
      </c>
      <c r="D110" s="40" t="str">
        <f aca="false" t="array" ref="D110:D110">_xlfn.XLOOKUP($A110,TRIM(SUBSTITUTE('worker file'!$A$2:$A$406,_xlfn.UNICHAR(160)," ")),'worker file'!$Q$2:$Q$406,"Not found")</f>
        <v>Active</v>
      </c>
      <c r="E110" s="39" t="s">
        <v>626</v>
      </c>
      <c r="F110" s="38" t="str">
        <f aca="false">_xlfn.XLOOKUP($E110,$A$5:$A$8,$B$5:$B$8,"")</f>
        <v>Medical (Health) – Employee</v>
      </c>
      <c r="G110" s="38" t="str">
        <f aca="false">_xlfn.XLOOKUP($E110,$A$5:$A$8,$D$5:$D$8,"")</f>
        <v>Pre-tax Section 125 (exempt from FIT/SIT/FICA)</v>
      </c>
      <c r="H110" s="38" t="str">
        <f aca="false">_xlfn.XLOOKUP($E110,$A$5:$A$8,$E$5:$E$8,"")</f>
        <v>Flat</v>
      </c>
      <c r="I110" s="44" t="str">
        <f aca="false">IF($H110="Percent",_xlfn.XLOOKUP($E110,$A$5:$A$8,$F$5:$F$8,""),"")</f>
        <v/>
      </c>
      <c r="J110" s="42" t="n">
        <f aca="false">IF($H110="Flat",_xlfn.XLOOKUP($E110,$A$5:$A$8,$F$5:$F$8,""),"")</f>
        <v>200</v>
      </c>
      <c r="K110" s="38" t="str">
        <f aca="false">_xlfn.XLOOKUP($E110,$A$5:$A$8,$G$5:$G$8,"")</f>
        <v>Per pay period</v>
      </c>
      <c r="L110" s="38" t="str">
        <f aca="false">_xlfn.XLOOKUP($E110,$A$5:$A$8,$H$5:$H$8,"")</f>
        <v>Every pay period (ongoing)</v>
      </c>
      <c r="M110" s="43" t="n">
        <f aca="false" t="array" ref="M110:M110">MAX(_xlfn.XLOOKUP($A110,TRIM(SUBSTITUTE('worker file'!$A$2:$A$406,_xlfn.UNICHAR(160)," ")),'worker file'!$M$2:$M$406,0),_xlfn.XLOOKUP($B110,TRIM('pay group &amp; schedule'!$A$2:$A$6),'pay group &amp; schedule'!$D$2:$D$6,0))</f>
        <v>46299</v>
      </c>
      <c r="N110" s="43" t="str">
        <f aca="false" t="array" ref="N110:N110">_xlfn.LET(_xlpm.t,_xlfn.XLOOKUP($A110,TRIM(SUBSTITUTE('worker file'!$A$2:$A$406,_xlfn.UNICHAR(160)," ")),'worker file'!$N$2:$N$406,""),IF(N(_xlpm.t)=0,"",_xlpm.t))</f>
        <v/>
      </c>
    </row>
    <row r="111" customFormat="false" ht="15" hidden="false" customHeight="false" outlineLevel="0" collapsed="false">
      <c r="A111" s="39" t="s">
        <v>134</v>
      </c>
      <c r="B111" s="40" t="str">
        <f aca="false" t="array" ref="B111:B111">_xlfn.XLOOKUP($A111,TRIM(SUBSTITUTE('worker file'!$A$2:$A$406,_xlfn.UNICHAR(160)," ")),'worker file'!$L$2:$L$406,"Not found")</f>
        <v>US Biweekly</v>
      </c>
      <c r="C111" s="40" t="str">
        <f aca="false" t="array" ref="C111:C111">_xlfn.XLOOKUP($A111,TRIM(SUBSTITUTE('worker file'!$A$2:$A$406,_xlfn.UNICHAR(160)," ")),'worker file'!$D$2:$D$406,"Not found")</f>
        <v>CA</v>
      </c>
      <c r="D111" s="40" t="str">
        <f aca="false" t="array" ref="D111:D111">_xlfn.XLOOKUP($A111,TRIM(SUBSTITUTE('worker file'!$A$2:$A$406,_xlfn.UNICHAR(160)," ")),'worker file'!$Q$2:$Q$406,"Not found")</f>
        <v>Active</v>
      </c>
      <c r="E111" s="39" t="s">
        <v>632</v>
      </c>
      <c r="F111" s="38" t="str">
        <f aca="false">_xlfn.XLOOKUP($E111,$A$5:$A$8,$B$5:$B$8,"")</f>
        <v>Dental – Employee</v>
      </c>
      <c r="G111" s="38" t="str">
        <f aca="false">_xlfn.XLOOKUP($E111,$A$5:$A$8,$D$5:$D$8,"")</f>
        <v>Pre-tax Section 125 (exempt from FIT/SIT/FICA)</v>
      </c>
      <c r="H111" s="38" t="str">
        <f aca="false">_xlfn.XLOOKUP($E111,$A$5:$A$8,$E$5:$E$8,"")</f>
        <v>Flat</v>
      </c>
      <c r="I111" s="44" t="str">
        <f aca="false">IF($H111="Percent",_xlfn.XLOOKUP($E111,$A$5:$A$8,$F$5:$F$8,""),"")</f>
        <v/>
      </c>
      <c r="J111" s="42" t="n">
        <f aca="false">IF($H111="Flat",_xlfn.XLOOKUP($E111,$A$5:$A$8,$F$5:$F$8,""),"")</f>
        <v>44</v>
      </c>
      <c r="K111" s="38" t="str">
        <f aca="false">_xlfn.XLOOKUP($E111,$A$5:$A$8,$G$5:$G$8,"")</f>
        <v>Per pay period</v>
      </c>
      <c r="L111" s="38" t="str">
        <f aca="false">_xlfn.XLOOKUP($E111,$A$5:$A$8,$H$5:$H$8,"")</f>
        <v>Every pay period (ongoing)</v>
      </c>
      <c r="M111" s="43" t="n">
        <f aca="false" t="array" ref="M111:M111">MAX(_xlfn.XLOOKUP($A111,TRIM(SUBSTITUTE('worker file'!$A$2:$A$406,_xlfn.UNICHAR(160)," ")),'worker file'!$M$2:$M$406,0),_xlfn.XLOOKUP($B111,TRIM('pay group &amp; schedule'!$A$2:$A$6),'pay group &amp; schedule'!$D$2:$D$6,0))</f>
        <v>46299</v>
      </c>
      <c r="N111" s="43" t="str">
        <f aca="false" t="array" ref="N111:N111">_xlfn.LET(_xlpm.t,_xlfn.XLOOKUP($A111,TRIM(SUBSTITUTE('worker file'!$A$2:$A$406,_xlfn.UNICHAR(160)," ")),'worker file'!$N$2:$N$406,""),IF(N(_xlpm.t)=0,"",_xlpm.t))</f>
        <v/>
      </c>
    </row>
    <row r="112" customFormat="false" ht="15" hidden="false" customHeight="false" outlineLevel="0" collapsed="false">
      <c r="A112" s="39" t="s">
        <v>134</v>
      </c>
      <c r="B112" s="40" t="str">
        <f aca="false" t="array" ref="B112:B112">_xlfn.XLOOKUP($A112,TRIM(SUBSTITUTE('worker file'!$A$2:$A$406,_xlfn.UNICHAR(160)," ")),'worker file'!$L$2:$L$406,"Not found")</f>
        <v>US Biweekly</v>
      </c>
      <c r="C112" s="40" t="str">
        <f aca="false" t="array" ref="C112:C112">_xlfn.XLOOKUP($A112,TRIM(SUBSTITUTE('worker file'!$A$2:$A$406,_xlfn.UNICHAR(160)," ")),'worker file'!$D$2:$D$406,"Not found")</f>
        <v>CA</v>
      </c>
      <c r="D112" s="40" t="str">
        <f aca="false" t="array" ref="D112:D112">_xlfn.XLOOKUP($A112,TRIM(SUBSTITUTE('worker file'!$A$2:$A$406,_xlfn.UNICHAR(160)," ")),'worker file'!$Q$2:$Q$406,"Not found")</f>
        <v>Active</v>
      </c>
      <c r="E112" s="39" t="s">
        <v>634</v>
      </c>
      <c r="F112" s="38" t="str">
        <f aca="false">_xlfn.XLOOKUP($E112,$A$5:$A$8,$B$5:$B$8,"")</f>
        <v>Vision – Employee</v>
      </c>
      <c r="G112" s="38" t="str">
        <f aca="false">_xlfn.XLOOKUP($E112,$A$5:$A$8,$D$5:$D$8,"")</f>
        <v>Pre-tax Section 125 (exempt from FIT/SIT/FICA)</v>
      </c>
      <c r="H112" s="38" t="str">
        <f aca="false">_xlfn.XLOOKUP($E112,$A$5:$A$8,$E$5:$E$8,"")</f>
        <v>Flat</v>
      </c>
      <c r="I112" s="44" t="str">
        <f aca="false">IF($H112="Percent",_xlfn.XLOOKUP($E112,$A$5:$A$8,$F$5:$F$8,""),"")</f>
        <v/>
      </c>
      <c r="J112" s="42" t="n">
        <f aca="false">IF($H112="Flat",_xlfn.XLOOKUP($E112,$A$5:$A$8,$F$5:$F$8,""),"")</f>
        <v>30</v>
      </c>
      <c r="K112" s="38" t="str">
        <f aca="false">_xlfn.XLOOKUP($E112,$A$5:$A$8,$G$5:$G$8,"")</f>
        <v>Per pay period</v>
      </c>
      <c r="L112" s="38" t="str">
        <f aca="false">_xlfn.XLOOKUP($E112,$A$5:$A$8,$H$5:$H$8,"")</f>
        <v>Every pay period (ongoing)</v>
      </c>
      <c r="M112" s="43" t="n">
        <f aca="false" t="array" ref="M112:M112">MAX(_xlfn.XLOOKUP($A112,TRIM(SUBSTITUTE('worker file'!$A$2:$A$406,_xlfn.UNICHAR(160)," ")),'worker file'!$M$2:$M$406,0),_xlfn.XLOOKUP($B112,TRIM('pay group &amp; schedule'!$A$2:$A$6),'pay group &amp; schedule'!$D$2:$D$6,0))</f>
        <v>46299</v>
      </c>
      <c r="N112" s="43" t="str">
        <f aca="false" t="array" ref="N112:N112">_xlfn.LET(_xlpm.t,_xlfn.XLOOKUP($A112,TRIM(SUBSTITUTE('worker file'!$A$2:$A$406,_xlfn.UNICHAR(160)," ")),'worker file'!$N$2:$N$406,""),IF(N(_xlpm.t)=0,"",_xlpm.t))</f>
        <v/>
      </c>
    </row>
    <row r="113" customFormat="false" ht="15" hidden="false" customHeight="false" outlineLevel="0" collapsed="false">
      <c r="A113" s="39" t="s">
        <v>135</v>
      </c>
      <c r="B113" s="40" t="str">
        <f aca="false" t="array" ref="B113:B113">_xlfn.XLOOKUP($A113,TRIM(SUBSTITUTE('worker file'!$A$2:$A$406,_xlfn.UNICHAR(160)," ")),'worker file'!$L$2:$L$406,"Not found")</f>
        <v>US Semi-monthly</v>
      </c>
      <c r="C113" s="40" t="str">
        <f aca="false" t="array" ref="C113:C113">_xlfn.XLOOKUP($A113,TRIM(SUBSTITUTE('worker file'!$A$2:$A$406,_xlfn.UNICHAR(160)," ")),'worker file'!$D$2:$D$406,"Not found")</f>
        <v>CA</v>
      </c>
      <c r="D113" s="40" t="str">
        <f aca="false" t="array" ref="D113:D113">_xlfn.XLOOKUP($A113,TRIM(SUBSTITUTE('worker file'!$A$2:$A$406,_xlfn.UNICHAR(160)," ")),'worker file'!$Q$2:$Q$406,"Not found")</f>
        <v>Active</v>
      </c>
      <c r="E113" s="39" t="s">
        <v>618</v>
      </c>
      <c r="F113" s="38" t="str">
        <f aca="false">_xlfn.XLOOKUP($E113,$A$5:$A$8,$B$5:$B$8,"")</f>
        <v>401(k) Employee Deferral</v>
      </c>
      <c r="G113" s="38" t="str">
        <f aca="false">_xlfn.XLOOKUP($E113,$A$5:$A$8,$D$5:$D$8,"")</f>
        <v>Pre-tax (exempt from FIT/SIT; subject to FICA)</v>
      </c>
      <c r="H113" s="38" t="str">
        <f aca="false">_xlfn.XLOOKUP($E113,$A$5:$A$8,$E$5:$E$8,"")</f>
        <v>Percent</v>
      </c>
      <c r="I113" s="41" t="n">
        <v>0.05</v>
      </c>
      <c r="J113" s="42" t="str">
        <f aca="false">IF($H113="Flat",_xlfn.XLOOKUP($E113,$A$5:$A$8,$F$5:$F$8,""),"")</f>
        <v/>
      </c>
      <c r="K113" s="38" t="str">
        <f aca="false">_xlfn.XLOOKUP($E113,$A$5:$A$8,$G$5:$G$8,"")</f>
        <v>Gross pay</v>
      </c>
      <c r="L113" s="38" t="str">
        <f aca="false">_xlfn.XLOOKUP($E113,$A$5:$A$8,$H$5:$H$8,"")</f>
        <v>Every pay period (ongoing)</v>
      </c>
      <c r="M113" s="43" t="n">
        <f aca="false" t="array" ref="M113:M113">MAX(_xlfn.XLOOKUP($A113,TRIM(SUBSTITUTE('worker file'!$A$2:$A$406,_xlfn.UNICHAR(160)," ")),'worker file'!$M$2:$M$406,0),_xlfn.XLOOKUP($B113,TRIM('pay group &amp; schedule'!$A$2:$A$6),'pay group &amp; schedule'!$D$2:$D$6,0))</f>
        <v>46311</v>
      </c>
      <c r="N113" s="43" t="str">
        <f aca="false" t="array" ref="N113:N113">_xlfn.LET(_xlpm.t,_xlfn.XLOOKUP($A113,TRIM(SUBSTITUTE('worker file'!$A$2:$A$406,_xlfn.UNICHAR(160)," ")),'worker file'!$N$2:$N$406,""),IF(N(_xlpm.t)=0,"",_xlpm.t))</f>
        <v/>
      </c>
    </row>
    <row r="114" customFormat="false" ht="15" hidden="false" customHeight="false" outlineLevel="0" collapsed="false">
      <c r="A114" s="39" t="s">
        <v>135</v>
      </c>
      <c r="B114" s="40" t="str">
        <f aca="false" t="array" ref="B114:B114">_xlfn.XLOOKUP($A114,TRIM(SUBSTITUTE('worker file'!$A$2:$A$406,_xlfn.UNICHAR(160)," ")),'worker file'!$L$2:$L$406,"Not found")</f>
        <v>US Semi-monthly</v>
      </c>
      <c r="C114" s="40" t="str">
        <f aca="false" t="array" ref="C114:C114">_xlfn.XLOOKUP($A114,TRIM(SUBSTITUTE('worker file'!$A$2:$A$406,_xlfn.UNICHAR(160)," ")),'worker file'!$D$2:$D$406,"Not found")</f>
        <v>CA</v>
      </c>
      <c r="D114" s="40" t="str">
        <f aca="false" t="array" ref="D114:D114">_xlfn.XLOOKUP($A114,TRIM(SUBSTITUTE('worker file'!$A$2:$A$406,_xlfn.UNICHAR(160)," ")),'worker file'!$Q$2:$Q$406,"Not found")</f>
        <v>Active</v>
      </c>
      <c r="E114" s="39" t="s">
        <v>626</v>
      </c>
      <c r="F114" s="38" t="str">
        <f aca="false">_xlfn.XLOOKUP($E114,$A$5:$A$8,$B$5:$B$8,"")</f>
        <v>Medical (Health) – Employee</v>
      </c>
      <c r="G114" s="38" t="str">
        <f aca="false">_xlfn.XLOOKUP($E114,$A$5:$A$8,$D$5:$D$8,"")</f>
        <v>Pre-tax Section 125 (exempt from FIT/SIT/FICA)</v>
      </c>
      <c r="H114" s="38" t="str">
        <f aca="false">_xlfn.XLOOKUP($E114,$A$5:$A$8,$E$5:$E$8,"")</f>
        <v>Flat</v>
      </c>
      <c r="I114" s="44" t="str">
        <f aca="false">IF($H114="Percent",_xlfn.XLOOKUP($E114,$A$5:$A$8,$F$5:$F$8,""),"")</f>
        <v/>
      </c>
      <c r="J114" s="42" t="n">
        <f aca="false">IF($H114="Flat",_xlfn.XLOOKUP($E114,$A$5:$A$8,$F$5:$F$8,""),"")</f>
        <v>200</v>
      </c>
      <c r="K114" s="38" t="str">
        <f aca="false">_xlfn.XLOOKUP($E114,$A$5:$A$8,$G$5:$G$8,"")</f>
        <v>Per pay period</v>
      </c>
      <c r="L114" s="38" t="str">
        <f aca="false">_xlfn.XLOOKUP($E114,$A$5:$A$8,$H$5:$H$8,"")</f>
        <v>Every pay period (ongoing)</v>
      </c>
      <c r="M114" s="43" t="n">
        <f aca="false" t="array" ref="M114:M114">MAX(_xlfn.XLOOKUP($A114,TRIM(SUBSTITUTE('worker file'!$A$2:$A$406,_xlfn.UNICHAR(160)," ")),'worker file'!$M$2:$M$406,0),_xlfn.XLOOKUP($B114,TRIM('pay group &amp; schedule'!$A$2:$A$6),'pay group &amp; schedule'!$D$2:$D$6,0))</f>
        <v>46311</v>
      </c>
      <c r="N114" s="43" t="str">
        <f aca="false" t="array" ref="N114:N114">_xlfn.LET(_xlpm.t,_xlfn.XLOOKUP($A114,TRIM(SUBSTITUTE('worker file'!$A$2:$A$406,_xlfn.UNICHAR(160)," ")),'worker file'!$N$2:$N$406,""),IF(N(_xlpm.t)=0,"",_xlpm.t))</f>
        <v/>
      </c>
    </row>
    <row r="115" customFormat="false" ht="15" hidden="false" customHeight="false" outlineLevel="0" collapsed="false">
      <c r="A115" s="39" t="s">
        <v>135</v>
      </c>
      <c r="B115" s="40" t="str">
        <f aca="false" t="array" ref="B115:B115">_xlfn.XLOOKUP($A115,TRIM(SUBSTITUTE('worker file'!$A$2:$A$406,_xlfn.UNICHAR(160)," ")),'worker file'!$L$2:$L$406,"Not found")</f>
        <v>US Semi-monthly</v>
      </c>
      <c r="C115" s="40" t="str">
        <f aca="false" t="array" ref="C115:C115">_xlfn.XLOOKUP($A115,TRIM(SUBSTITUTE('worker file'!$A$2:$A$406,_xlfn.UNICHAR(160)," ")),'worker file'!$D$2:$D$406,"Not found")</f>
        <v>CA</v>
      </c>
      <c r="D115" s="40" t="str">
        <f aca="false" t="array" ref="D115:D115">_xlfn.XLOOKUP($A115,TRIM(SUBSTITUTE('worker file'!$A$2:$A$406,_xlfn.UNICHAR(160)," ")),'worker file'!$Q$2:$Q$406,"Not found")</f>
        <v>Active</v>
      </c>
      <c r="E115" s="39" t="s">
        <v>632</v>
      </c>
      <c r="F115" s="38" t="str">
        <f aca="false">_xlfn.XLOOKUP($E115,$A$5:$A$8,$B$5:$B$8,"")</f>
        <v>Dental – Employee</v>
      </c>
      <c r="G115" s="38" t="str">
        <f aca="false">_xlfn.XLOOKUP($E115,$A$5:$A$8,$D$5:$D$8,"")</f>
        <v>Pre-tax Section 125 (exempt from FIT/SIT/FICA)</v>
      </c>
      <c r="H115" s="38" t="str">
        <f aca="false">_xlfn.XLOOKUP($E115,$A$5:$A$8,$E$5:$E$8,"")</f>
        <v>Flat</v>
      </c>
      <c r="I115" s="44" t="str">
        <f aca="false">IF($H115="Percent",_xlfn.XLOOKUP($E115,$A$5:$A$8,$F$5:$F$8,""),"")</f>
        <v/>
      </c>
      <c r="J115" s="42" t="n">
        <f aca="false">IF($H115="Flat",_xlfn.XLOOKUP($E115,$A$5:$A$8,$F$5:$F$8,""),"")</f>
        <v>44</v>
      </c>
      <c r="K115" s="38" t="str">
        <f aca="false">_xlfn.XLOOKUP($E115,$A$5:$A$8,$G$5:$G$8,"")</f>
        <v>Per pay period</v>
      </c>
      <c r="L115" s="38" t="str">
        <f aca="false">_xlfn.XLOOKUP($E115,$A$5:$A$8,$H$5:$H$8,"")</f>
        <v>Every pay period (ongoing)</v>
      </c>
      <c r="M115" s="43" t="n">
        <f aca="false" t="array" ref="M115:M115">MAX(_xlfn.XLOOKUP($A115,TRIM(SUBSTITUTE('worker file'!$A$2:$A$406,_xlfn.UNICHAR(160)," ")),'worker file'!$M$2:$M$406,0),_xlfn.XLOOKUP($B115,TRIM('pay group &amp; schedule'!$A$2:$A$6),'pay group &amp; schedule'!$D$2:$D$6,0))</f>
        <v>46311</v>
      </c>
      <c r="N115" s="43" t="str">
        <f aca="false" t="array" ref="N115:N115">_xlfn.LET(_xlpm.t,_xlfn.XLOOKUP($A115,TRIM(SUBSTITUTE('worker file'!$A$2:$A$406,_xlfn.UNICHAR(160)," ")),'worker file'!$N$2:$N$406,""),IF(N(_xlpm.t)=0,"",_xlpm.t))</f>
        <v/>
      </c>
    </row>
    <row r="116" customFormat="false" ht="15" hidden="false" customHeight="false" outlineLevel="0" collapsed="false">
      <c r="A116" s="39" t="s">
        <v>135</v>
      </c>
      <c r="B116" s="40" t="str">
        <f aca="false" t="array" ref="B116:B116">_xlfn.XLOOKUP($A116,TRIM(SUBSTITUTE('worker file'!$A$2:$A$406,_xlfn.UNICHAR(160)," ")),'worker file'!$L$2:$L$406,"Not found")</f>
        <v>US Semi-monthly</v>
      </c>
      <c r="C116" s="40" t="str">
        <f aca="false" t="array" ref="C116:C116">_xlfn.XLOOKUP($A116,TRIM(SUBSTITUTE('worker file'!$A$2:$A$406,_xlfn.UNICHAR(160)," ")),'worker file'!$D$2:$D$406,"Not found")</f>
        <v>CA</v>
      </c>
      <c r="D116" s="40" t="str">
        <f aca="false" t="array" ref="D116:D116">_xlfn.XLOOKUP($A116,TRIM(SUBSTITUTE('worker file'!$A$2:$A$406,_xlfn.UNICHAR(160)," ")),'worker file'!$Q$2:$Q$406,"Not found")</f>
        <v>Active</v>
      </c>
      <c r="E116" s="39" t="s">
        <v>634</v>
      </c>
      <c r="F116" s="38" t="str">
        <f aca="false">_xlfn.XLOOKUP($E116,$A$5:$A$8,$B$5:$B$8,"")</f>
        <v>Vision – Employee</v>
      </c>
      <c r="G116" s="38" t="str">
        <f aca="false">_xlfn.XLOOKUP($E116,$A$5:$A$8,$D$5:$D$8,"")</f>
        <v>Pre-tax Section 125 (exempt from FIT/SIT/FICA)</v>
      </c>
      <c r="H116" s="38" t="str">
        <f aca="false">_xlfn.XLOOKUP($E116,$A$5:$A$8,$E$5:$E$8,"")</f>
        <v>Flat</v>
      </c>
      <c r="I116" s="44" t="str">
        <f aca="false">IF($H116="Percent",_xlfn.XLOOKUP($E116,$A$5:$A$8,$F$5:$F$8,""),"")</f>
        <v/>
      </c>
      <c r="J116" s="42" t="n">
        <f aca="false">IF($H116="Flat",_xlfn.XLOOKUP($E116,$A$5:$A$8,$F$5:$F$8,""),"")</f>
        <v>30</v>
      </c>
      <c r="K116" s="38" t="str">
        <f aca="false">_xlfn.XLOOKUP($E116,$A$5:$A$8,$G$5:$G$8,"")</f>
        <v>Per pay period</v>
      </c>
      <c r="L116" s="38" t="str">
        <f aca="false">_xlfn.XLOOKUP($E116,$A$5:$A$8,$H$5:$H$8,"")</f>
        <v>Every pay period (ongoing)</v>
      </c>
      <c r="M116" s="43" t="n">
        <f aca="false" t="array" ref="M116:M116">MAX(_xlfn.XLOOKUP($A116,TRIM(SUBSTITUTE('worker file'!$A$2:$A$406,_xlfn.UNICHAR(160)," ")),'worker file'!$M$2:$M$406,0),_xlfn.XLOOKUP($B116,TRIM('pay group &amp; schedule'!$A$2:$A$6),'pay group &amp; schedule'!$D$2:$D$6,0))</f>
        <v>46311</v>
      </c>
      <c r="N116" s="43" t="str">
        <f aca="false" t="array" ref="N116:N116">_xlfn.LET(_xlpm.t,_xlfn.XLOOKUP($A116,TRIM(SUBSTITUTE('worker file'!$A$2:$A$406,_xlfn.UNICHAR(160)," ")),'worker file'!$N$2:$N$406,""),IF(N(_xlpm.t)=0,"",_xlpm.t))</f>
        <v/>
      </c>
    </row>
    <row r="117" customFormat="false" ht="15" hidden="false" customHeight="false" outlineLevel="0" collapsed="false">
      <c r="A117" s="39" t="s">
        <v>136</v>
      </c>
      <c r="B117" s="40" t="str">
        <f aca="false" t="array" ref="B117:B117">_xlfn.XLOOKUP($A117,TRIM(SUBSTITUTE('worker file'!$A$2:$A$406,_xlfn.UNICHAR(160)," ")),'worker file'!$L$2:$L$406,"Not found")</f>
        <v>US Semi-monthly</v>
      </c>
      <c r="C117" s="40" t="str">
        <f aca="false" t="array" ref="C117:C117">_xlfn.XLOOKUP($A117,TRIM(SUBSTITUTE('worker file'!$A$2:$A$406,_xlfn.UNICHAR(160)," ")),'worker file'!$D$2:$D$406,"Not found")</f>
        <v>CA</v>
      </c>
      <c r="D117" s="40" t="str">
        <f aca="false" t="array" ref="D117:D117">_xlfn.XLOOKUP($A117,TRIM(SUBSTITUTE('worker file'!$A$2:$A$406,_xlfn.UNICHAR(160)," ")),'worker file'!$Q$2:$Q$406,"Not found")</f>
        <v>Active</v>
      </c>
      <c r="E117" s="39" t="s">
        <v>618</v>
      </c>
      <c r="F117" s="38" t="str">
        <f aca="false">_xlfn.XLOOKUP($E117,$A$5:$A$8,$B$5:$B$8,"")</f>
        <v>401(k) Employee Deferral</v>
      </c>
      <c r="G117" s="38" t="str">
        <f aca="false">_xlfn.XLOOKUP($E117,$A$5:$A$8,$D$5:$D$8,"")</f>
        <v>Pre-tax (exempt from FIT/SIT; subject to FICA)</v>
      </c>
      <c r="H117" s="38" t="str">
        <f aca="false">_xlfn.XLOOKUP($E117,$A$5:$A$8,$E$5:$E$8,"")</f>
        <v>Percent</v>
      </c>
      <c r="I117" s="41" t="n">
        <v>0.02</v>
      </c>
      <c r="J117" s="42" t="str">
        <f aca="false">IF($H117="Flat",_xlfn.XLOOKUP($E117,$A$5:$A$8,$F$5:$F$8,""),"")</f>
        <v/>
      </c>
      <c r="K117" s="38" t="str">
        <f aca="false">_xlfn.XLOOKUP($E117,$A$5:$A$8,$G$5:$G$8,"")</f>
        <v>Gross pay</v>
      </c>
      <c r="L117" s="38" t="str">
        <f aca="false">_xlfn.XLOOKUP($E117,$A$5:$A$8,$H$5:$H$8,"")</f>
        <v>Every pay period (ongoing)</v>
      </c>
      <c r="M117" s="43" t="n">
        <f aca="false" t="array" ref="M117:M117">MAX(_xlfn.XLOOKUP($A117,TRIM(SUBSTITUTE('worker file'!$A$2:$A$406,_xlfn.UNICHAR(160)," ")),'worker file'!$M$2:$M$406,0),_xlfn.XLOOKUP($B117,TRIM('pay group &amp; schedule'!$A$2:$A$6),'pay group &amp; schedule'!$D$2:$D$6,0))</f>
        <v>46311</v>
      </c>
      <c r="N117" s="43" t="str">
        <f aca="false" t="array" ref="N117:N117">_xlfn.LET(_xlpm.t,_xlfn.XLOOKUP($A117,TRIM(SUBSTITUTE('worker file'!$A$2:$A$406,_xlfn.UNICHAR(160)," ")),'worker file'!$N$2:$N$406,""),IF(N(_xlpm.t)=0,"",_xlpm.t))</f>
        <v/>
      </c>
    </row>
    <row r="118" customFormat="false" ht="15" hidden="false" customHeight="false" outlineLevel="0" collapsed="false">
      <c r="A118" s="39" t="s">
        <v>136</v>
      </c>
      <c r="B118" s="40" t="str">
        <f aca="false" t="array" ref="B118:B118">_xlfn.XLOOKUP($A118,TRIM(SUBSTITUTE('worker file'!$A$2:$A$406,_xlfn.UNICHAR(160)," ")),'worker file'!$L$2:$L$406,"Not found")</f>
        <v>US Semi-monthly</v>
      </c>
      <c r="C118" s="40" t="str">
        <f aca="false" t="array" ref="C118:C118">_xlfn.XLOOKUP($A118,TRIM(SUBSTITUTE('worker file'!$A$2:$A$406,_xlfn.UNICHAR(160)," ")),'worker file'!$D$2:$D$406,"Not found")</f>
        <v>CA</v>
      </c>
      <c r="D118" s="40" t="str">
        <f aca="false" t="array" ref="D118:D118">_xlfn.XLOOKUP($A118,TRIM(SUBSTITUTE('worker file'!$A$2:$A$406,_xlfn.UNICHAR(160)," ")),'worker file'!$Q$2:$Q$406,"Not found")</f>
        <v>Active</v>
      </c>
      <c r="E118" s="39" t="s">
        <v>626</v>
      </c>
      <c r="F118" s="38" t="str">
        <f aca="false">_xlfn.XLOOKUP($E118,$A$5:$A$8,$B$5:$B$8,"")</f>
        <v>Medical (Health) – Employee</v>
      </c>
      <c r="G118" s="38" t="str">
        <f aca="false">_xlfn.XLOOKUP($E118,$A$5:$A$8,$D$5:$D$8,"")</f>
        <v>Pre-tax Section 125 (exempt from FIT/SIT/FICA)</v>
      </c>
      <c r="H118" s="38" t="str">
        <f aca="false">_xlfn.XLOOKUP($E118,$A$5:$A$8,$E$5:$E$8,"")</f>
        <v>Flat</v>
      </c>
      <c r="I118" s="44" t="str">
        <f aca="false">IF($H118="Percent",_xlfn.XLOOKUP($E118,$A$5:$A$8,$F$5:$F$8,""),"")</f>
        <v/>
      </c>
      <c r="J118" s="42" t="n">
        <f aca="false">IF($H118="Flat",_xlfn.XLOOKUP($E118,$A$5:$A$8,$F$5:$F$8,""),"")</f>
        <v>200</v>
      </c>
      <c r="K118" s="38" t="str">
        <f aca="false">_xlfn.XLOOKUP($E118,$A$5:$A$8,$G$5:$G$8,"")</f>
        <v>Per pay period</v>
      </c>
      <c r="L118" s="38" t="str">
        <f aca="false">_xlfn.XLOOKUP($E118,$A$5:$A$8,$H$5:$H$8,"")</f>
        <v>Every pay period (ongoing)</v>
      </c>
      <c r="M118" s="43" t="n">
        <f aca="false" t="array" ref="M118:M118">MAX(_xlfn.XLOOKUP($A118,TRIM(SUBSTITUTE('worker file'!$A$2:$A$406,_xlfn.UNICHAR(160)," ")),'worker file'!$M$2:$M$406,0),_xlfn.XLOOKUP($B118,TRIM('pay group &amp; schedule'!$A$2:$A$6),'pay group &amp; schedule'!$D$2:$D$6,0))</f>
        <v>46311</v>
      </c>
      <c r="N118" s="43" t="str">
        <f aca="false" t="array" ref="N118:N118">_xlfn.LET(_xlpm.t,_xlfn.XLOOKUP($A118,TRIM(SUBSTITUTE('worker file'!$A$2:$A$406,_xlfn.UNICHAR(160)," ")),'worker file'!$N$2:$N$406,""),IF(N(_xlpm.t)=0,"",_xlpm.t))</f>
        <v/>
      </c>
    </row>
    <row r="119" customFormat="false" ht="15" hidden="false" customHeight="false" outlineLevel="0" collapsed="false">
      <c r="A119" s="39" t="s">
        <v>136</v>
      </c>
      <c r="B119" s="40" t="str">
        <f aca="false" t="array" ref="B119:B119">_xlfn.XLOOKUP($A119,TRIM(SUBSTITUTE('worker file'!$A$2:$A$406,_xlfn.UNICHAR(160)," ")),'worker file'!$L$2:$L$406,"Not found")</f>
        <v>US Semi-monthly</v>
      </c>
      <c r="C119" s="40" t="str">
        <f aca="false" t="array" ref="C119:C119">_xlfn.XLOOKUP($A119,TRIM(SUBSTITUTE('worker file'!$A$2:$A$406,_xlfn.UNICHAR(160)," ")),'worker file'!$D$2:$D$406,"Not found")</f>
        <v>CA</v>
      </c>
      <c r="D119" s="40" t="str">
        <f aca="false" t="array" ref="D119:D119">_xlfn.XLOOKUP($A119,TRIM(SUBSTITUTE('worker file'!$A$2:$A$406,_xlfn.UNICHAR(160)," ")),'worker file'!$Q$2:$Q$406,"Not found")</f>
        <v>Active</v>
      </c>
      <c r="E119" s="39" t="s">
        <v>632</v>
      </c>
      <c r="F119" s="38" t="str">
        <f aca="false">_xlfn.XLOOKUP($E119,$A$5:$A$8,$B$5:$B$8,"")</f>
        <v>Dental – Employee</v>
      </c>
      <c r="G119" s="38" t="str">
        <f aca="false">_xlfn.XLOOKUP($E119,$A$5:$A$8,$D$5:$D$8,"")</f>
        <v>Pre-tax Section 125 (exempt from FIT/SIT/FICA)</v>
      </c>
      <c r="H119" s="38" t="str">
        <f aca="false">_xlfn.XLOOKUP($E119,$A$5:$A$8,$E$5:$E$8,"")</f>
        <v>Flat</v>
      </c>
      <c r="I119" s="44" t="str">
        <f aca="false">IF($H119="Percent",_xlfn.XLOOKUP($E119,$A$5:$A$8,$F$5:$F$8,""),"")</f>
        <v/>
      </c>
      <c r="J119" s="42" t="n">
        <f aca="false">IF($H119="Flat",_xlfn.XLOOKUP($E119,$A$5:$A$8,$F$5:$F$8,""),"")</f>
        <v>44</v>
      </c>
      <c r="K119" s="38" t="str">
        <f aca="false">_xlfn.XLOOKUP($E119,$A$5:$A$8,$G$5:$G$8,"")</f>
        <v>Per pay period</v>
      </c>
      <c r="L119" s="38" t="str">
        <f aca="false">_xlfn.XLOOKUP($E119,$A$5:$A$8,$H$5:$H$8,"")</f>
        <v>Every pay period (ongoing)</v>
      </c>
      <c r="M119" s="43" t="n">
        <f aca="false" t="array" ref="M119:M119">MAX(_xlfn.XLOOKUP($A119,TRIM(SUBSTITUTE('worker file'!$A$2:$A$406,_xlfn.UNICHAR(160)," ")),'worker file'!$M$2:$M$406,0),_xlfn.XLOOKUP($B119,TRIM('pay group &amp; schedule'!$A$2:$A$6),'pay group &amp; schedule'!$D$2:$D$6,0))</f>
        <v>46311</v>
      </c>
      <c r="N119" s="43" t="str">
        <f aca="false" t="array" ref="N119:N119">_xlfn.LET(_xlpm.t,_xlfn.XLOOKUP($A119,TRIM(SUBSTITUTE('worker file'!$A$2:$A$406,_xlfn.UNICHAR(160)," ")),'worker file'!$N$2:$N$406,""),IF(N(_xlpm.t)=0,"",_xlpm.t))</f>
        <v/>
      </c>
    </row>
    <row r="120" customFormat="false" ht="15" hidden="false" customHeight="false" outlineLevel="0" collapsed="false">
      <c r="A120" s="39" t="s">
        <v>136</v>
      </c>
      <c r="B120" s="40" t="str">
        <f aca="false" t="array" ref="B120:B120">_xlfn.XLOOKUP($A120,TRIM(SUBSTITUTE('worker file'!$A$2:$A$406,_xlfn.UNICHAR(160)," ")),'worker file'!$L$2:$L$406,"Not found")</f>
        <v>US Semi-monthly</v>
      </c>
      <c r="C120" s="40" t="str">
        <f aca="false" t="array" ref="C120:C120">_xlfn.XLOOKUP($A120,TRIM(SUBSTITUTE('worker file'!$A$2:$A$406,_xlfn.UNICHAR(160)," ")),'worker file'!$D$2:$D$406,"Not found")</f>
        <v>CA</v>
      </c>
      <c r="D120" s="40" t="str">
        <f aca="false" t="array" ref="D120:D120">_xlfn.XLOOKUP($A120,TRIM(SUBSTITUTE('worker file'!$A$2:$A$406,_xlfn.UNICHAR(160)," ")),'worker file'!$Q$2:$Q$406,"Not found")</f>
        <v>Active</v>
      </c>
      <c r="E120" s="39" t="s">
        <v>634</v>
      </c>
      <c r="F120" s="38" t="str">
        <f aca="false">_xlfn.XLOOKUP($E120,$A$5:$A$8,$B$5:$B$8,"")</f>
        <v>Vision – Employee</v>
      </c>
      <c r="G120" s="38" t="str">
        <f aca="false">_xlfn.XLOOKUP($E120,$A$5:$A$8,$D$5:$D$8,"")</f>
        <v>Pre-tax Section 125 (exempt from FIT/SIT/FICA)</v>
      </c>
      <c r="H120" s="38" t="str">
        <f aca="false">_xlfn.XLOOKUP($E120,$A$5:$A$8,$E$5:$E$8,"")</f>
        <v>Flat</v>
      </c>
      <c r="I120" s="44" t="str">
        <f aca="false">IF($H120="Percent",_xlfn.XLOOKUP($E120,$A$5:$A$8,$F$5:$F$8,""),"")</f>
        <v/>
      </c>
      <c r="J120" s="42" t="n">
        <f aca="false">IF($H120="Flat",_xlfn.XLOOKUP($E120,$A$5:$A$8,$F$5:$F$8,""),"")</f>
        <v>30</v>
      </c>
      <c r="K120" s="38" t="str">
        <f aca="false">_xlfn.XLOOKUP($E120,$A$5:$A$8,$G$5:$G$8,"")</f>
        <v>Per pay period</v>
      </c>
      <c r="L120" s="38" t="str">
        <f aca="false">_xlfn.XLOOKUP($E120,$A$5:$A$8,$H$5:$H$8,"")</f>
        <v>Every pay period (ongoing)</v>
      </c>
      <c r="M120" s="43" t="n">
        <f aca="false" t="array" ref="M120:M120">MAX(_xlfn.XLOOKUP($A120,TRIM(SUBSTITUTE('worker file'!$A$2:$A$406,_xlfn.UNICHAR(160)," ")),'worker file'!$M$2:$M$406,0),_xlfn.XLOOKUP($B120,TRIM('pay group &amp; schedule'!$A$2:$A$6),'pay group &amp; schedule'!$D$2:$D$6,0))</f>
        <v>46311</v>
      </c>
      <c r="N120" s="43" t="str">
        <f aca="false" t="array" ref="N120:N120">_xlfn.LET(_xlpm.t,_xlfn.XLOOKUP($A120,TRIM(SUBSTITUTE('worker file'!$A$2:$A$406,_xlfn.UNICHAR(160)," ")),'worker file'!$N$2:$N$406,""),IF(N(_xlpm.t)=0,"",_xlpm.t))</f>
        <v/>
      </c>
    </row>
    <row r="121" customFormat="false" ht="15" hidden="false" customHeight="false" outlineLevel="0" collapsed="false">
      <c r="A121" s="39" t="s">
        <v>137</v>
      </c>
      <c r="B121" s="40" t="str">
        <f aca="false" t="array" ref="B121:B121">_xlfn.XLOOKUP($A121,TRIM(SUBSTITUTE('worker file'!$A$2:$A$406,_xlfn.UNICHAR(160)," ")),'worker file'!$L$2:$L$406,"Not found")</f>
        <v>US Biweekly</v>
      </c>
      <c r="C121" s="40" t="str">
        <f aca="false" t="array" ref="C121:C121">_xlfn.XLOOKUP($A121,TRIM(SUBSTITUTE('worker file'!$A$2:$A$406,_xlfn.UNICHAR(160)," ")),'worker file'!$D$2:$D$406,"Not found")</f>
        <v>CA</v>
      </c>
      <c r="D121" s="40" t="str">
        <f aca="false" t="array" ref="D121:D121">_xlfn.XLOOKUP($A121,TRIM(SUBSTITUTE('worker file'!$A$2:$A$406,_xlfn.UNICHAR(160)," ")),'worker file'!$Q$2:$Q$406,"Not found")</f>
        <v>Termination pending</v>
      </c>
      <c r="E121" s="39" t="s">
        <v>618</v>
      </c>
      <c r="F121" s="38" t="str">
        <f aca="false">_xlfn.XLOOKUP($E121,$A$5:$A$8,$B$5:$B$8,"")</f>
        <v>401(k) Employee Deferral</v>
      </c>
      <c r="G121" s="38" t="str">
        <f aca="false">_xlfn.XLOOKUP($E121,$A$5:$A$8,$D$5:$D$8,"")</f>
        <v>Pre-tax (exempt from FIT/SIT; subject to FICA)</v>
      </c>
      <c r="H121" s="38" t="str">
        <f aca="false">_xlfn.XLOOKUP($E121,$A$5:$A$8,$E$5:$E$8,"")</f>
        <v>Percent</v>
      </c>
      <c r="I121" s="41" t="n">
        <v>0.07</v>
      </c>
      <c r="J121" s="42" t="str">
        <f aca="false">IF($H121="Flat",_xlfn.XLOOKUP($E121,$A$5:$A$8,$F$5:$F$8,""),"")</f>
        <v/>
      </c>
      <c r="K121" s="38" t="str">
        <f aca="false">_xlfn.XLOOKUP($E121,$A$5:$A$8,$G$5:$G$8,"")</f>
        <v>Gross pay</v>
      </c>
      <c r="L121" s="38" t="str">
        <f aca="false">_xlfn.XLOOKUP($E121,$A$5:$A$8,$H$5:$H$8,"")</f>
        <v>Every pay period (ongoing)</v>
      </c>
      <c r="M121" s="43" t="n">
        <f aca="false" t="array" ref="M121:M121">MAX(_xlfn.XLOOKUP($A121,TRIM(SUBSTITUTE('worker file'!$A$2:$A$406,_xlfn.UNICHAR(160)," ")),'worker file'!$M$2:$M$406,0),_xlfn.XLOOKUP($B121,TRIM('pay group &amp; schedule'!$A$2:$A$6),'pay group &amp; schedule'!$D$2:$D$6,0))</f>
        <v>46299</v>
      </c>
      <c r="N121" s="43" t="n">
        <f aca="false" t="array" ref="N121:N121">_xlfn.LET(_xlpm.t,_xlfn.XLOOKUP($A121,TRIM(SUBSTITUTE('worker file'!$A$2:$A$406,_xlfn.UNICHAR(160)," ")),'worker file'!$N$2:$N$406,""),IF(N(_xlpm.t)=0,"",_xlpm.t))</f>
        <v>46308</v>
      </c>
      <c r="O121" s="0" t="s">
        <v>644</v>
      </c>
    </row>
    <row r="122" customFormat="false" ht="15" hidden="false" customHeight="false" outlineLevel="0" collapsed="false">
      <c r="A122" s="39" t="s">
        <v>137</v>
      </c>
      <c r="B122" s="40" t="str">
        <f aca="false" t="array" ref="B122:B122">_xlfn.XLOOKUP($A122,TRIM(SUBSTITUTE('worker file'!$A$2:$A$406,_xlfn.UNICHAR(160)," ")),'worker file'!$L$2:$L$406,"Not found")</f>
        <v>US Biweekly</v>
      </c>
      <c r="C122" s="40" t="str">
        <f aca="false" t="array" ref="C122:C122">_xlfn.XLOOKUP($A122,TRIM(SUBSTITUTE('worker file'!$A$2:$A$406,_xlfn.UNICHAR(160)," ")),'worker file'!$D$2:$D$406,"Not found")</f>
        <v>CA</v>
      </c>
      <c r="D122" s="40" t="str">
        <f aca="false" t="array" ref="D122:D122">_xlfn.XLOOKUP($A122,TRIM(SUBSTITUTE('worker file'!$A$2:$A$406,_xlfn.UNICHAR(160)," ")),'worker file'!$Q$2:$Q$406,"Not found")</f>
        <v>Termination pending</v>
      </c>
      <c r="E122" s="39" t="s">
        <v>626</v>
      </c>
      <c r="F122" s="38" t="str">
        <f aca="false">_xlfn.XLOOKUP($E122,$A$5:$A$8,$B$5:$B$8,"")</f>
        <v>Medical (Health) – Employee</v>
      </c>
      <c r="G122" s="38" t="str">
        <f aca="false">_xlfn.XLOOKUP($E122,$A$5:$A$8,$D$5:$D$8,"")</f>
        <v>Pre-tax Section 125 (exempt from FIT/SIT/FICA)</v>
      </c>
      <c r="H122" s="38" t="str">
        <f aca="false">_xlfn.XLOOKUP($E122,$A$5:$A$8,$E$5:$E$8,"")</f>
        <v>Flat</v>
      </c>
      <c r="I122" s="44" t="str">
        <f aca="false">IF($H122="Percent",_xlfn.XLOOKUP($E122,$A$5:$A$8,$F$5:$F$8,""),"")</f>
        <v/>
      </c>
      <c r="J122" s="42" t="n">
        <f aca="false">IF($H122="Flat",_xlfn.XLOOKUP($E122,$A$5:$A$8,$F$5:$F$8,""),"")</f>
        <v>200</v>
      </c>
      <c r="K122" s="38" t="str">
        <f aca="false">_xlfn.XLOOKUP($E122,$A$5:$A$8,$G$5:$G$8,"")</f>
        <v>Per pay period</v>
      </c>
      <c r="L122" s="38" t="str">
        <f aca="false">_xlfn.XLOOKUP($E122,$A$5:$A$8,$H$5:$H$8,"")</f>
        <v>Every pay period (ongoing)</v>
      </c>
      <c r="M122" s="43" t="n">
        <f aca="false" t="array" ref="M122:M122">MAX(_xlfn.XLOOKUP($A122,TRIM(SUBSTITUTE('worker file'!$A$2:$A$406,_xlfn.UNICHAR(160)," ")),'worker file'!$M$2:$M$406,0),_xlfn.XLOOKUP($B122,TRIM('pay group &amp; schedule'!$A$2:$A$6),'pay group &amp; schedule'!$D$2:$D$6,0))</f>
        <v>46299</v>
      </c>
      <c r="N122" s="43" t="n">
        <f aca="false" t="array" ref="N122:N122">_xlfn.LET(_xlpm.t,_xlfn.XLOOKUP($A122,TRIM(SUBSTITUTE('worker file'!$A$2:$A$406,_xlfn.UNICHAR(160)," ")),'worker file'!$N$2:$N$406,""),IF(N(_xlpm.t)=0,"",_xlpm.t))</f>
        <v>46308</v>
      </c>
      <c r="O122" s="0" t="s">
        <v>644</v>
      </c>
    </row>
    <row r="123" customFormat="false" ht="15" hidden="false" customHeight="false" outlineLevel="0" collapsed="false">
      <c r="A123" s="39" t="s">
        <v>137</v>
      </c>
      <c r="B123" s="40" t="str">
        <f aca="false" t="array" ref="B123:B123">_xlfn.XLOOKUP($A123,TRIM(SUBSTITUTE('worker file'!$A$2:$A$406,_xlfn.UNICHAR(160)," ")),'worker file'!$L$2:$L$406,"Not found")</f>
        <v>US Biweekly</v>
      </c>
      <c r="C123" s="40" t="str">
        <f aca="false" t="array" ref="C123:C123">_xlfn.XLOOKUP($A123,TRIM(SUBSTITUTE('worker file'!$A$2:$A$406,_xlfn.UNICHAR(160)," ")),'worker file'!$D$2:$D$406,"Not found")</f>
        <v>CA</v>
      </c>
      <c r="D123" s="40" t="str">
        <f aca="false" t="array" ref="D123:D123">_xlfn.XLOOKUP($A123,TRIM(SUBSTITUTE('worker file'!$A$2:$A$406,_xlfn.UNICHAR(160)," ")),'worker file'!$Q$2:$Q$406,"Not found")</f>
        <v>Termination pending</v>
      </c>
      <c r="E123" s="39" t="s">
        <v>632</v>
      </c>
      <c r="F123" s="38" t="str">
        <f aca="false">_xlfn.XLOOKUP($E123,$A$5:$A$8,$B$5:$B$8,"")</f>
        <v>Dental – Employee</v>
      </c>
      <c r="G123" s="38" t="str">
        <f aca="false">_xlfn.XLOOKUP($E123,$A$5:$A$8,$D$5:$D$8,"")</f>
        <v>Pre-tax Section 125 (exempt from FIT/SIT/FICA)</v>
      </c>
      <c r="H123" s="38" t="str">
        <f aca="false">_xlfn.XLOOKUP($E123,$A$5:$A$8,$E$5:$E$8,"")</f>
        <v>Flat</v>
      </c>
      <c r="I123" s="44" t="str">
        <f aca="false">IF($H123="Percent",_xlfn.XLOOKUP($E123,$A$5:$A$8,$F$5:$F$8,""),"")</f>
        <v/>
      </c>
      <c r="J123" s="42" t="n">
        <f aca="false">IF($H123="Flat",_xlfn.XLOOKUP($E123,$A$5:$A$8,$F$5:$F$8,""),"")</f>
        <v>44</v>
      </c>
      <c r="K123" s="38" t="str">
        <f aca="false">_xlfn.XLOOKUP($E123,$A$5:$A$8,$G$5:$G$8,"")</f>
        <v>Per pay period</v>
      </c>
      <c r="L123" s="38" t="str">
        <f aca="false">_xlfn.XLOOKUP($E123,$A$5:$A$8,$H$5:$H$8,"")</f>
        <v>Every pay period (ongoing)</v>
      </c>
      <c r="M123" s="43" t="n">
        <f aca="false" t="array" ref="M123:M123">MAX(_xlfn.XLOOKUP($A123,TRIM(SUBSTITUTE('worker file'!$A$2:$A$406,_xlfn.UNICHAR(160)," ")),'worker file'!$M$2:$M$406,0),_xlfn.XLOOKUP($B123,TRIM('pay group &amp; schedule'!$A$2:$A$6),'pay group &amp; schedule'!$D$2:$D$6,0))</f>
        <v>46299</v>
      </c>
      <c r="N123" s="43" t="n">
        <f aca="false" t="array" ref="N123:N123">_xlfn.LET(_xlpm.t,_xlfn.XLOOKUP($A123,TRIM(SUBSTITUTE('worker file'!$A$2:$A$406,_xlfn.UNICHAR(160)," ")),'worker file'!$N$2:$N$406,""),IF(N(_xlpm.t)=0,"",_xlpm.t))</f>
        <v>46308</v>
      </c>
      <c r="O123" s="0" t="s">
        <v>644</v>
      </c>
    </row>
    <row r="124" customFormat="false" ht="15" hidden="false" customHeight="false" outlineLevel="0" collapsed="false">
      <c r="A124" s="39" t="s">
        <v>137</v>
      </c>
      <c r="B124" s="40" t="str">
        <f aca="false" t="array" ref="B124:B124">_xlfn.XLOOKUP($A124,TRIM(SUBSTITUTE('worker file'!$A$2:$A$406,_xlfn.UNICHAR(160)," ")),'worker file'!$L$2:$L$406,"Not found")</f>
        <v>US Biweekly</v>
      </c>
      <c r="C124" s="40" t="str">
        <f aca="false" t="array" ref="C124:C124">_xlfn.XLOOKUP($A124,TRIM(SUBSTITUTE('worker file'!$A$2:$A$406,_xlfn.UNICHAR(160)," ")),'worker file'!$D$2:$D$406,"Not found")</f>
        <v>CA</v>
      </c>
      <c r="D124" s="40" t="str">
        <f aca="false" t="array" ref="D124:D124">_xlfn.XLOOKUP($A124,TRIM(SUBSTITUTE('worker file'!$A$2:$A$406,_xlfn.UNICHAR(160)," ")),'worker file'!$Q$2:$Q$406,"Not found")</f>
        <v>Termination pending</v>
      </c>
      <c r="E124" s="39" t="s">
        <v>634</v>
      </c>
      <c r="F124" s="38" t="str">
        <f aca="false">_xlfn.XLOOKUP($E124,$A$5:$A$8,$B$5:$B$8,"")</f>
        <v>Vision – Employee</v>
      </c>
      <c r="G124" s="38" t="str">
        <f aca="false">_xlfn.XLOOKUP($E124,$A$5:$A$8,$D$5:$D$8,"")</f>
        <v>Pre-tax Section 125 (exempt from FIT/SIT/FICA)</v>
      </c>
      <c r="H124" s="38" t="str">
        <f aca="false">_xlfn.XLOOKUP($E124,$A$5:$A$8,$E$5:$E$8,"")</f>
        <v>Flat</v>
      </c>
      <c r="I124" s="44" t="str">
        <f aca="false">IF($H124="Percent",_xlfn.XLOOKUP($E124,$A$5:$A$8,$F$5:$F$8,""),"")</f>
        <v/>
      </c>
      <c r="J124" s="42" t="n">
        <f aca="false">IF($H124="Flat",_xlfn.XLOOKUP($E124,$A$5:$A$8,$F$5:$F$8,""),"")</f>
        <v>30</v>
      </c>
      <c r="K124" s="38" t="str">
        <f aca="false">_xlfn.XLOOKUP($E124,$A$5:$A$8,$G$5:$G$8,"")</f>
        <v>Per pay period</v>
      </c>
      <c r="L124" s="38" t="str">
        <f aca="false">_xlfn.XLOOKUP($E124,$A$5:$A$8,$H$5:$H$8,"")</f>
        <v>Every pay period (ongoing)</v>
      </c>
      <c r="M124" s="43" t="n">
        <f aca="false" t="array" ref="M124:M124">MAX(_xlfn.XLOOKUP($A124,TRIM(SUBSTITUTE('worker file'!$A$2:$A$406,_xlfn.UNICHAR(160)," ")),'worker file'!$M$2:$M$406,0),_xlfn.XLOOKUP($B124,TRIM('pay group &amp; schedule'!$A$2:$A$6),'pay group &amp; schedule'!$D$2:$D$6,0))</f>
        <v>46299</v>
      </c>
      <c r="N124" s="43" t="n">
        <f aca="false" t="array" ref="N124:N124">_xlfn.LET(_xlpm.t,_xlfn.XLOOKUP($A124,TRIM(SUBSTITUTE('worker file'!$A$2:$A$406,_xlfn.UNICHAR(160)," ")),'worker file'!$N$2:$N$406,""),IF(N(_xlpm.t)=0,"",_xlpm.t))</f>
        <v>46308</v>
      </c>
      <c r="O124" s="0" t="s">
        <v>644</v>
      </c>
    </row>
    <row r="125" customFormat="false" ht="15" hidden="false" customHeight="false" outlineLevel="0" collapsed="false">
      <c r="A125" s="39" t="s">
        <v>139</v>
      </c>
      <c r="B125" s="40" t="str">
        <f aca="false" t="array" ref="B125:B125">_xlfn.XLOOKUP($A125,TRIM(SUBSTITUTE('worker file'!$A$2:$A$406,_xlfn.UNICHAR(160)," ")),'worker file'!$L$2:$L$406,"Not found")</f>
        <v>US Biweekly</v>
      </c>
      <c r="C125" s="40" t="str">
        <f aca="false" t="array" ref="C125:C125">_xlfn.XLOOKUP($A125,TRIM(SUBSTITUTE('worker file'!$A$2:$A$406,_xlfn.UNICHAR(160)," ")),'worker file'!$D$2:$D$406,"Not found")</f>
        <v>CA</v>
      </c>
      <c r="D125" s="40" t="str">
        <f aca="false" t="array" ref="D125:D125">_xlfn.XLOOKUP($A125,TRIM(SUBSTITUTE('worker file'!$A$2:$A$406,_xlfn.UNICHAR(160)," ")),'worker file'!$Q$2:$Q$406,"Not found")</f>
        <v>Termination pending</v>
      </c>
      <c r="E125" s="39" t="s">
        <v>618</v>
      </c>
      <c r="F125" s="38" t="str">
        <f aca="false">_xlfn.XLOOKUP($E125,$A$5:$A$8,$B$5:$B$8,"")</f>
        <v>401(k) Employee Deferral</v>
      </c>
      <c r="G125" s="38" t="str">
        <f aca="false">_xlfn.XLOOKUP($E125,$A$5:$A$8,$D$5:$D$8,"")</f>
        <v>Pre-tax (exempt from FIT/SIT; subject to FICA)</v>
      </c>
      <c r="H125" s="38" t="str">
        <f aca="false">_xlfn.XLOOKUP($E125,$A$5:$A$8,$E$5:$E$8,"")</f>
        <v>Percent</v>
      </c>
      <c r="I125" s="41" t="n">
        <v>0.04</v>
      </c>
      <c r="J125" s="42" t="str">
        <f aca="false">IF($H125="Flat",_xlfn.XLOOKUP($E125,$A$5:$A$8,$F$5:$F$8,""),"")</f>
        <v/>
      </c>
      <c r="K125" s="38" t="str">
        <f aca="false">_xlfn.XLOOKUP($E125,$A$5:$A$8,$G$5:$G$8,"")</f>
        <v>Gross pay</v>
      </c>
      <c r="L125" s="38" t="str">
        <f aca="false">_xlfn.XLOOKUP($E125,$A$5:$A$8,$H$5:$H$8,"")</f>
        <v>Every pay period (ongoing)</v>
      </c>
      <c r="M125" s="43" t="n">
        <f aca="false" t="array" ref="M125:M125">MAX(_xlfn.XLOOKUP($A125,TRIM(SUBSTITUTE('worker file'!$A$2:$A$406,_xlfn.UNICHAR(160)," ")),'worker file'!$M$2:$M$406,0),_xlfn.XLOOKUP($B125,TRIM('pay group &amp; schedule'!$A$2:$A$6),'pay group &amp; schedule'!$D$2:$D$6,0))</f>
        <v>46299</v>
      </c>
      <c r="N125" s="43" t="n">
        <f aca="false" t="array" ref="N125:N125">_xlfn.LET(_xlpm.t,_xlfn.XLOOKUP($A125,TRIM(SUBSTITUTE('worker file'!$A$2:$A$406,_xlfn.UNICHAR(160)," ")),'worker file'!$N$2:$N$406,""),IF(N(_xlpm.t)=0,"",_xlpm.t))</f>
        <v>46312</v>
      </c>
      <c r="O125" s="0" t="s">
        <v>644</v>
      </c>
    </row>
    <row r="126" customFormat="false" ht="15" hidden="false" customHeight="false" outlineLevel="0" collapsed="false">
      <c r="A126" s="39" t="s">
        <v>139</v>
      </c>
      <c r="B126" s="40" t="str">
        <f aca="false" t="array" ref="B126:B126">_xlfn.XLOOKUP($A126,TRIM(SUBSTITUTE('worker file'!$A$2:$A$406,_xlfn.UNICHAR(160)," ")),'worker file'!$L$2:$L$406,"Not found")</f>
        <v>US Biweekly</v>
      </c>
      <c r="C126" s="40" t="str">
        <f aca="false" t="array" ref="C126:C126">_xlfn.XLOOKUP($A126,TRIM(SUBSTITUTE('worker file'!$A$2:$A$406,_xlfn.UNICHAR(160)," ")),'worker file'!$D$2:$D$406,"Not found")</f>
        <v>CA</v>
      </c>
      <c r="D126" s="40" t="str">
        <f aca="false" t="array" ref="D126:D126">_xlfn.XLOOKUP($A126,TRIM(SUBSTITUTE('worker file'!$A$2:$A$406,_xlfn.UNICHAR(160)," ")),'worker file'!$Q$2:$Q$406,"Not found")</f>
        <v>Termination pending</v>
      </c>
      <c r="E126" s="39" t="s">
        <v>626</v>
      </c>
      <c r="F126" s="38" t="str">
        <f aca="false">_xlfn.XLOOKUP($E126,$A$5:$A$8,$B$5:$B$8,"")</f>
        <v>Medical (Health) – Employee</v>
      </c>
      <c r="G126" s="38" t="str">
        <f aca="false">_xlfn.XLOOKUP($E126,$A$5:$A$8,$D$5:$D$8,"")</f>
        <v>Pre-tax Section 125 (exempt from FIT/SIT/FICA)</v>
      </c>
      <c r="H126" s="38" t="str">
        <f aca="false">_xlfn.XLOOKUP($E126,$A$5:$A$8,$E$5:$E$8,"")</f>
        <v>Flat</v>
      </c>
      <c r="I126" s="44" t="str">
        <f aca="false">IF($H126="Percent",_xlfn.XLOOKUP($E126,$A$5:$A$8,$F$5:$F$8,""),"")</f>
        <v/>
      </c>
      <c r="J126" s="42" t="n">
        <f aca="false">IF($H126="Flat",_xlfn.XLOOKUP($E126,$A$5:$A$8,$F$5:$F$8,""),"")</f>
        <v>200</v>
      </c>
      <c r="K126" s="38" t="str">
        <f aca="false">_xlfn.XLOOKUP($E126,$A$5:$A$8,$G$5:$G$8,"")</f>
        <v>Per pay period</v>
      </c>
      <c r="L126" s="38" t="str">
        <f aca="false">_xlfn.XLOOKUP($E126,$A$5:$A$8,$H$5:$H$8,"")</f>
        <v>Every pay period (ongoing)</v>
      </c>
      <c r="M126" s="43" t="n">
        <f aca="false" t="array" ref="M126:M126">MAX(_xlfn.XLOOKUP($A126,TRIM(SUBSTITUTE('worker file'!$A$2:$A$406,_xlfn.UNICHAR(160)," ")),'worker file'!$M$2:$M$406,0),_xlfn.XLOOKUP($B126,TRIM('pay group &amp; schedule'!$A$2:$A$6),'pay group &amp; schedule'!$D$2:$D$6,0))</f>
        <v>46299</v>
      </c>
      <c r="N126" s="43" t="n">
        <f aca="false" t="array" ref="N126:N126">_xlfn.LET(_xlpm.t,_xlfn.XLOOKUP($A126,TRIM(SUBSTITUTE('worker file'!$A$2:$A$406,_xlfn.UNICHAR(160)," ")),'worker file'!$N$2:$N$406,""),IF(N(_xlpm.t)=0,"",_xlpm.t))</f>
        <v>46312</v>
      </c>
      <c r="O126" s="0" t="s">
        <v>644</v>
      </c>
    </row>
    <row r="127" customFormat="false" ht="15" hidden="false" customHeight="false" outlineLevel="0" collapsed="false">
      <c r="A127" s="39" t="s">
        <v>139</v>
      </c>
      <c r="B127" s="40" t="str">
        <f aca="false" t="array" ref="B127:B127">_xlfn.XLOOKUP($A127,TRIM(SUBSTITUTE('worker file'!$A$2:$A$406,_xlfn.UNICHAR(160)," ")),'worker file'!$L$2:$L$406,"Not found")</f>
        <v>US Biweekly</v>
      </c>
      <c r="C127" s="40" t="str">
        <f aca="false" t="array" ref="C127:C127">_xlfn.XLOOKUP($A127,TRIM(SUBSTITUTE('worker file'!$A$2:$A$406,_xlfn.UNICHAR(160)," ")),'worker file'!$D$2:$D$406,"Not found")</f>
        <v>CA</v>
      </c>
      <c r="D127" s="40" t="str">
        <f aca="false" t="array" ref="D127:D127">_xlfn.XLOOKUP($A127,TRIM(SUBSTITUTE('worker file'!$A$2:$A$406,_xlfn.UNICHAR(160)," ")),'worker file'!$Q$2:$Q$406,"Not found")</f>
        <v>Termination pending</v>
      </c>
      <c r="E127" s="39" t="s">
        <v>632</v>
      </c>
      <c r="F127" s="38" t="str">
        <f aca="false">_xlfn.XLOOKUP($E127,$A$5:$A$8,$B$5:$B$8,"")</f>
        <v>Dental – Employee</v>
      </c>
      <c r="G127" s="38" t="str">
        <f aca="false">_xlfn.XLOOKUP($E127,$A$5:$A$8,$D$5:$D$8,"")</f>
        <v>Pre-tax Section 125 (exempt from FIT/SIT/FICA)</v>
      </c>
      <c r="H127" s="38" t="str">
        <f aca="false">_xlfn.XLOOKUP($E127,$A$5:$A$8,$E$5:$E$8,"")</f>
        <v>Flat</v>
      </c>
      <c r="I127" s="44" t="str">
        <f aca="false">IF($H127="Percent",_xlfn.XLOOKUP($E127,$A$5:$A$8,$F$5:$F$8,""),"")</f>
        <v/>
      </c>
      <c r="J127" s="42" t="n">
        <f aca="false">IF($H127="Flat",_xlfn.XLOOKUP($E127,$A$5:$A$8,$F$5:$F$8,""),"")</f>
        <v>44</v>
      </c>
      <c r="K127" s="38" t="str">
        <f aca="false">_xlfn.XLOOKUP($E127,$A$5:$A$8,$G$5:$G$8,"")</f>
        <v>Per pay period</v>
      </c>
      <c r="L127" s="38" t="str">
        <f aca="false">_xlfn.XLOOKUP($E127,$A$5:$A$8,$H$5:$H$8,"")</f>
        <v>Every pay period (ongoing)</v>
      </c>
      <c r="M127" s="43" t="n">
        <f aca="false" t="array" ref="M127:M127">MAX(_xlfn.XLOOKUP($A127,TRIM(SUBSTITUTE('worker file'!$A$2:$A$406,_xlfn.UNICHAR(160)," ")),'worker file'!$M$2:$M$406,0),_xlfn.XLOOKUP($B127,TRIM('pay group &amp; schedule'!$A$2:$A$6),'pay group &amp; schedule'!$D$2:$D$6,0))</f>
        <v>46299</v>
      </c>
      <c r="N127" s="43" t="n">
        <f aca="false" t="array" ref="N127:N127">_xlfn.LET(_xlpm.t,_xlfn.XLOOKUP($A127,TRIM(SUBSTITUTE('worker file'!$A$2:$A$406,_xlfn.UNICHAR(160)," ")),'worker file'!$N$2:$N$406,""),IF(N(_xlpm.t)=0,"",_xlpm.t))</f>
        <v>46312</v>
      </c>
      <c r="O127" s="0" t="s">
        <v>644</v>
      </c>
    </row>
    <row r="128" customFormat="false" ht="15" hidden="false" customHeight="false" outlineLevel="0" collapsed="false">
      <c r="A128" s="39" t="s">
        <v>139</v>
      </c>
      <c r="B128" s="40" t="str">
        <f aca="false" t="array" ref="B128:B128">_xlfn.XLOOKUP($A128,TRIM(SUBSTITUTE('worker file'!$A$2:$A$406,_xlfn.UNICHAR(160)," ")),'worker file'!$L$2:$L$406,"Not found")</f>
        <v>US Biweekly</v>
      </c>
      <c r="C128" s="40" t="str">
        <f aca="false" t="array" ref="C128:C128">_xlfn.XLOOKUP($A128,TRIM(SUBSTITUTE('worker file'!$A$2:$A$406,_xlfn.UNICHAR(160)," ")),'worker file'!$D$2:$D$406,"Not found")</f>
        <v>CA</v>
      </c>
      <c r="D128" s="40" t="str">
        <f aca="false" t="array" ref="D128:D128">_xlfn.XLOOKUP($A128,TRIM(SUBSTITUTE('worker file'!$A$2:$A$406,_xlfn.UNICHAR(160)," ")),'worker file'!$Q$2:$Q$406,"Not found")</f>
        <v>Termination pending</v>
      </c>
      <c r="E128" s="39" t="s">
        <v>634</v>
      </c>
      <c r="F128" s="38" t="str">
        <f aca="false">_xlfn.XLOOKUP($E128,$A$5:$A$8,$B$5:$B$8,"")</f>
        <v>Vision – Employee</v>
      </c>
      <c r="G128" s="38" t="str">
        <f aca="false">_xlfn.XLOOKUP($E128,$A$5:$A$8,$D$5:$D$8,"")</f>
        <v>Pre-tax Section 125 (exempt from FIT/SIT/FICA)</v>
      </c>
      <c r="H128" s="38" t="str">
        <f aca="false">_xlfn.XLOOKUP($E128,$A$5:$A$8,$E$5:$E$8,"")</f>
        <v>Flat</v>
      </c>
      <c r="I128" s="44" t="str">
        <f aca="false">IF($H128="Percent",_xlfn.XLOOKUP($E128,$A$5:$A$8,$F$5:$F$8,""),"")</f>
        <v/>
      </c>
      <c r="J128" s="42" t="n">
        <f aca="false">IF($H128="Flat",_xlfn.XLOOKUP($E128,$A$5:$A$8,$F$5:$F$8,""),"")</f>
        <v>30</v>
      </c>
      <c r="K128" s="38" t="str">
        <f aca="false">_xlfn.XLOOKUP($E128,$A$5:$A$8,$G$5:$G$8,"")</f>
        <v>Per pay period</v>
      </c>
      <c r="L128" s="38" t="str">
        <f aca="false">_xlfn.XLOOKUP($E128,$A$5:$A$8,$H$5:$H$8,"")</f>
        <v>Every pay period (ongoing)</v>
      </c>
      <c r="M128" s="43" t="n">
        <f aca="false" t="array" ref="M128:M128">MAX(_xlfn.XLOOKUP($A128,TRIM(SUBSTITUTE('worker file'!$A$2:$A$406,_xlfn.UNICHAR(160)," ")),'worker file'!$M$2:$M$406,0),_xlfn.XLOOKUP($B128,TRIM('pay group &amp; schedule'!$A$2:$A$6),'pay group &amp; schedule'!$D$2:$D$6,0))</f>
        <v>46299</v>
      </c>
      <c r="N128" s="43" t="n">
        <f aca="false" t="array" ref="N128:N128">_xlfn.LET(_xlpm.t,_xlfn.XLOOKUP($A128,TRIM(SUBSTITUTE('worker file'!$A$2:$A$406,_xlfn.UNICHAR(160)," ")),'worker file'!$N$2:$N$406,""),IF(N(_xlpm.t)=0,"",_xlpm.t))</f>
        <v>46312</v>
      </c>
      <c r="O128" s="0" t="s">
        <v>644</v>
      </c>
    </row>
    <row r="129" customFormat="false" ht="15" hidden="false" customHeight="false" outlineLevel="0" collapsed="false">
      <c r="A129" s="39" t="s">
        <v>143</v>
      </c>
      <c r="B129" s="40" t="str">
        <f aca="false" t="array" ref="B129:B129">_xlfn.XLOOKUP($A129,TRIM(SUBSTITUTE('worker file'!$A$2:$A$406,_xlfn.UNICHAR(160)," ")),'worker file'!$L$2:$L$406,"Not found")</f>
        <v>US Semi-monthly</v>
      </c>
      <c r="C129" s="40" t="str">
        <f aca="false" t="array" ref="C129:C129">_xlfn.XLOOKUP($A129,TRIM(SUBSTITUTE('worker file'!$A$2:$A$406,_xlfn.UNICHAR(160)," ")),'worker file'!$D$2:$D$406,"Not found")</f>
        <v>CA</v>
      </c>
      <c r="D129" s="40" t="str">
        <f aca="false" t="array" ref="D129:D129">_xlfn.XLOOKUP($A129,TRIM(SUBSTITUTE('worker file'!$A$2:$A$406,_xlfn.UNICHAR(160)," ")),'worker file'!$Q$2:$Q$406,"Not found")</f>
        <v>Active</v>
      </c>
      <c r="E129" s="39" t="s">
        <v>618</v>
      </c>
      <c r="F129" s="38" t="str">
        <f aca="false">_xlfn.XLOOKUP($E129,$A$5:$A$8,$B$5:$B$8,"")</f>
        <v>401(k) Employee Deferral</v>
      </c>
      <c r="G129" s="38" t="str">
        <f aca="false">_xlfn.XLOOKUP($E129,$A$5:$A$8,$D$5:$D$8,"")</f>
        <v>Pre-tax (exempt from FIT/SIT; subject to FICA)</v>
      </c>
      <c r="H129" s="38" t="str">
        <f aca="false">_xlfn.XLOOKUP($E129,$A$5:$A$8,$E$5:$E$8,"")</f>
        <v>Percent</v>
      </c>
      <c r="I129" s="41" t="n">
        <v>0.01</v>
      </c>
      <c r="J129" s="42" t="str">
        <f aca="false">IF($H129="Flat",_xlfn.XLOOKUP($E129,$A$5:$A$8,$F$5:$F$8,""),"")</f>
        <v/>
      </c>
      <c r="K129" s="38" t="str">
        <f aca="false">_xlfn.XLOOKUP($E129,$A$5:$A$8,$G$5:$G$8,"")</f>
        <v>Gross pay</v>
      </c>
      <c r="L129" s="38" t="str">
        <f aca="false">_xlfn.XLOOKUP($E129,$A$5:$A$8,$H$5:$H$8,"")</f>
        <v>Every pay period (ongoing)</v>
      </c>
      <c r="M129" s="43" t="n">
        <f aca="false" t="array" ref="M129:M129">MAX(_xlfn.XLOOKUP($A129,TRIM(SUBSTITUTE('worker file'!$A$2:$A$406,_xlfn.UNICHAR(160)," ")),'worker file'!$M$2:$M$406,0),_xlfn.XLOOKUP($B129,TRIM('pay group &amp; schedule'!$A$2:$A$6),'pay group &amp; schedule'!$D$2:$D$6,0))</f>
        <v>46311</v>
      </c>
      <c r="N129" s="43" t="str">
        <f aca="false" t="array" ref="N129:N129">_xlfn.LET(_xlpm.t,_xlfn.XLOOKUP($A129,TRIM(SUBSTITUTE('worker file'!$A$2:$A$406,_xlfn.UNICHAR(160)," ")),'worker file'!$N$2:$N$406,""),IF(N(_xlpm.t)=0,"",_xlpm.t))</f>
        <v/>
      </c>
    </row>
    <row r="130" customFormat="false" ht="15" hidden="false" customHeight="false" outlineLevel="0" collapsed="false">
      <c r="A130" s="39" t="s">
        <v>143</v>
      </c>
      <c r="B130" s="40" t="str">
        <f aca="false" t="array" ref="B130:B130">_xlfn.XLOOKUP($A130,TRIM(SUBSTITUTE('worker file'!$A$2:$A$406,_xlfn.UNICHAR(160)," ")),'worker file'!$L$2:$L$406,"Not found")</f>
        <v>US Semi-monthly</v>
      </c>
      <c r="C130" s="40" t="str">
        <f aca="false" t="array" ref="C130:C130">_xlfn.XLOOKUP($A130,TRIM(SUBSTITUTE('worker file'!$A$2:$A$406,_xlfn.UNICHAR(160)," ")),'worker file'!$D$2:$D$406,"Not found")</f>
        <v>CA</v>
      </c>
      <c r="D130" s="40" t="str">
        <f aca="false" t="array" ref="D130:D130">_xlfn.XLOOKUP($A130,TRIM(SUBSTITUTE('worker file'!$A$2:$A$406,_xlfn.UNICHAR(160)," ")),'worker file'!$Q$2:$Q$406,"Not found")</f>
        <v>Active</v>
      </c>
      <c r="E130" s="39" t="s">
        <v>626</v>
      </c>
      <c r="F130" s="38" t="str">
        <f aca="false">_xlfn.XLOOKUP($E130,$A$5:$A$8,$B$5:$B$8,"")</f>
        <v>Medical (Health) – Employee</v>
      </c>
      <c r="G130" s="38" t="str">
        <f aca="false">_xlfn.XLOOKUP($E130,$A$5:$A$8,$D$5:$D$8,"")</f>
        <v>Pre-tax Section 125 (exempt from FIT/SIT/FICA)</v>
      </c>
      <c r="H130" s="38" t="str">
        <f aca="false">_xlfn.XLOOKUP($E130,$A$5:$A$8,$E$5:$E$8,"")</f>
        <v>Flat</v>
      </c>
      <c r="I130" s="44" t="str">
        <f aca="false">IF($H130="Percent",_xlfn.XLOOKUP($E130,$A$5:$A$8,$F$5:$F$8,""),"")</f>
        <v/>
      </c>
      <c r="J130" s="42" t="n">
        <f aca="false">IF($H130="Flat",_xlfn.XLOOKUP($E130,$A$5:$A$8,$F$5:$F$8,""),"")</f>
        <v>200</v>
      </c>
      <c r="K130" s="38" t="str">
        <f aca="false">_xlfn.XLOOKUP($E130,$A$5:$A$8,$G$5:$G$8,"")</f>
        <v>Per pay period</v>
      </c>
      <c r="L130" s="38" t="str">
        <f aca="false">_xlfn.XLOOKUP($E130,$A$5:$A$8,$H$5:$H$8,"")</f>
        <v>Every pay period (ongoing)</v>
      </c>
      <c r="M130" s="43" t="n">
        <f aca="false" t="array" ref="M130:M130">MAX(_xlfn.XLOOKUP($A130,TRIM(SUBSTITUTE('worker file'!$A$2:$A$406,_xlfn.UNICHAR(160)," ")),'worker file'!$M$2:$M$406,0),_xlfn.XLOOKUP($B130,TRIM('pay group &amp; schedule'!$A$2:$A$6),'pay group &amp; schedule'!$D$2:$D$6,0))</f>
        <v>46311</v>
      </c>
      <c r="N130" s="43" t="str">
        <f aca="false" t="array" ref="N130:N130">_xlfn.LET(_xlpm.t,_xlfn.XLOOKUP($A130,TRIM(SUBSTITUTE('worker file'!$A$2:$A$406,_xlfn.UNICHAR(160)," ")),'worker file'!$N$2:$N$406,""),IF(N(_xlpm.t)=0,"",_xlpm.t))</f>
        <v/>
      </c>
    </row>
    <row r="131" customFormat="false" ht="15" hidden="false" customHeight="false" outlineLevel="0" collapsed="false">
      <c r="A131" s="39" t="s">
        <v>143</v>
      </c>
      <c r="B131" s="40" t="str">
        <f aca="false" t="array" ref="B131:B131">_xlfn.XLOOKUP($A131,TRIM(SUBSTITUTE('worker file'!$A$2:$A$406,_xlfn.UNICHAR(160)," ")),'worker file'!$L$2:$L$406,"Not found")</f>
        <v>US Semi-monthly</v>
      </c>
      <c r="C131" s="40" t="str">
        <f aca="false" t="array" ref="C131:C131">_xlfn.XLOOKUP($A131,TRIM(SUBSTITUTE('worker file'!$A$2:$A$406,_xlfn.UNICHAR(160)," ")),'worker file'!$D$2:$D$406,"Not found")</f>
        <v>CA</v>
      </c>
      <c r="D131" s="40" t="str">
        <f aca="false" t="array" ref="D131:D131">_xlfn.XLOOKUP($A131,TRIM(SUBSTITUTE('worker file'!$A$2:$A$406,_xlfn.UNICHAR(160)," ")),'worker file'!$Q$2:$Q$406,"Not found")</f>
        <v>Active</v>
      </c>
      <c r="E131" s="39" t="s">
        <v>632</v>
      </c>
      <c r="F131" s="38" t="str">
        <f aca="false">_xlfn.XLOOKUP($E131,$A$5:$A$8,$B$5:$B$8,"")</f>
        <v>Dental – Employee</v>
      </c>
      <c r="G131" s="38" t="str">
        <f aca="false">_xlfn.XLOOKUP($E131,$A$5:$A$8,$D$5:$D$8,"")</f>
        <v>Pre-tax Section 125 (exempt from FIT/SIT/FICA)</v>
      </c>
      <c r="H131" s="38" t="str">
        <f aca="false">_xlfn.XLOOKUP($E131,$A$5:$A$8,$E$5:$E$8,"")</f>
        <v>Flat</v>
      </c>
      <c r="I131" s="44" t="str">
        <f aca="false">IF($H131="Percent",_xlfn.XLOOKUP($E131,$A$5:$A$8,$F$5:$F$8,""),"")</f>
        <v/>
      </c>
      <c r="J131" s="42" t="n">
        <f aca="false">IF($H131="Flat",_xlfn.XLOOKUP($E131,$A$5:$A$8,$F$5:$F$8,""),"")</f>
        <v>44</v>
      </c>
      <c r="K131" s="38" t="str">
        <f aca="false">_xlfn.XLOOKUP($E131,$A$5:$A$8,$G$5:$G$8,"")</f>
        <v>Per pay period</v>
      </c>
      <c r="L131" s="38" t="str">
        <f aca="false">_xlfn.XLOOKUP($E131,$A$5:$A$8,$H$5:$H$8,"")</f>
        <v>Every pay period (ongoing)</v>
      </c>
      <c r="M131" s="43" t="n">
        <f aca="false" t="array" ref="M131:M131">MAX(_xlfn.XLOOKUP($A131,TRIM(SUBSTITUTE('worker file'!$A$2:$A$406,_xlfn.UNICHAR(160)," ")),'worker file'!$M$2:$M$406,0),_xlfn.XLOOKUP($B131,TRIM('pay group &amp; schedule'!$A$2:$A$6),'pay group &amp; schedule'!$D$2:$D$6,0))</f>
        <v>46311</v>
      </c>
      <c r="N131" s="43" t="str">
        <f aca="false" t="array" ref="N131:N131">_xlfn.LET(_xlpm.t,_xlfn.XLOOKUP($A131,TRIM(SUBSTITUTE('worker file'!$A$2:$A$406,_xlfn.UNICHAR(160)," ")),'worker file'!$N$2:$N$406,""),IF(N(_xlpm.t)=0,"",_xlpm.t))</f>
        <v/>
      </c>
    </row>
    <row r="132" customFormat="false" ht="15" hidden="false" customHeight="false" outlineLevel="0" collapsed="false">
      <c r="A132" s="39" t="s">
        <v>143</v>
      </c>
      <c r="B132" s="40" t="str">
        <f aca="false" t="array" ref="B132:B132">_xlfn.XLOOKUP($A132,TRIM(SUBSTITUTE('worker file'!$A$2:$A$406,_xlfn.UNICHAR(160)," ")),'worker file'!$L$2:$L$406,"Not found")</f>
        <v>US Semi-monthly</v>
      </c>
      <c r="C132" s="40" t="str">
        <f aca="false" t="array" ref="C132:C132">_xlfn.XLOOKUP($A132,TRIM(SUBSTITUTE('worker file'!$A$2:$A$406,_xlfn.UNICHAR(160)," ")),'worker file'!$D$2:$D$406,"Not found")</f>
        <v>CA</v>
      </c>
      <c r="D132" s="40" t="str">
        <f aca="false" t="array" ref="D132:D132">_xlfn.XLOOKUP($A132,TRIM(SUBSTITUTE('worker file'!$A$2:$A$406,_xlfn.UNICHAR(160)," ")),'worker file'!$Q$2:$Q$406,"Not found")</f>
        <v>Active</v>
      </c>
      <c r="E132" s="39" t="s">
        <v>634</v>
      </c>
      <c r="F132" s="38" t="str">
        <f aca="false">_xlfn.XLOOKUP($E132,$A$5:$A$8,$B$5:$B$8,"")</f>
        <v>Vision – Employee</v>
      </c>
      <c r="G132" s="38" t="str">
        <f aca="false">_xlfn.XLOOKUP($E132,$A$5:$A$8,$D$5:$D$8,"")</f>
        <v>Pre-tax Section 125 (exempt from FIT/SIT/FICA)</v>
      </c>
      <c r="H132" s="38" t="str">
        <f aca="false">_xlfn.XLOOKUP($E132,$A$5:$A$8,$E$5:$E$8,"")</f>
        <v>Flat</v>
      </c>
      <c r="I132" s="44" t="str">
        <f aca="false">IF($H132="Percent",_xlfn.XLOOKUP($E132,$A$5:$A$8,$F$5:$F$8,""),"")</f>
        <v/>
      </c>
      <c r="J132" s="42" t="n">
        <f aca="false">IF($H132="Flat",_xlfn.XLOOKUP($E132,$A$5:$A$8,$F$5:$F$8,""),"")</f>
        <v>30</v>
      </c>
      <c r="K132" s="38" t="str">
        <f aca="false">_xlfn.XLOOKUP($E132,$A$5:$A$8,$G$5:$G$8,"")</f>
        <v>Per pay period</v>
      </c>
      <c r="L132" s="38" t="str">
        <f aca="false">_xlfn.XLOOKUP($E132,$A$5:$A$8,$H$5:$H$8,"")</f>
        <v>Every pay period (ongoing)</v>
      </c>
      <c r="M132" s="43" t="n">
        <f aca="false" t="array" ref="M132:M132">MAX(_xlfn.XLOOKUP($A132,TRIM(SUBSTITUTE('worker file'!$A$2:$A$406,_xlfn.UNICHAR(160)," ")),'worker file'!$M$2:$M$406,0),_xlfn.XLOOKUP($B132,TRIM('pay group &amp; schedule'!$A$2:$A$6),'pay group &amp; schedule'!$D$2:$D$6,0))</f>
        <v>46311</v>
      </c>
      <c r="N132" s="43" t="str">
        <f aca="false" t="array" ref="N132:N132">_xlfn.LET(_xlpm.t,_xlfn.XLOOKUP($A132,TRIM(SUBSTITUTE('worker file'!$A$2:$A$406,_xlfn.UNICHAR(160)," ")),'worker file'!$N$2:$N$406,""),IF(N(_xlpm.t)=0,"",_xlpm.t))</f>
        <v/>
      </c>
    </row>
    <row r="133" customFormat="false" ht="15" hidden="false" customHeight="false" outlineLevel="0" collapsed="false">
      <c r="A133" s="39" t="s">
        <v>144</v>
      </c>
      <c r="B133" s="40" t="str">
        <f aca="false" t="array" ref="B133:B133">_xlfn.XLOOKUP($A133,TRIM(SUBSTITUTE('worker file'!$A$2:$A$406,_xlfn.UNICHAR(160)," ")),'worker file'!$L$2:$L$406,"Not found")</f>
        <v>US Semi-monthly</v>
      </c>
      <c r="C133" s="40" t="str">
        <f aca="false" t="array" ref="C133:C133">_xlfn.XLOOKUP($A133,TRIM(SUBSTITUTE('worker file'!$A$2:$A$406,_xlfn.UNICHAR(160)," ")),'worker file'!$D$2:$D$406,"Not found")</f>
        <v>CA</v>
      </c>
      <c r="D133" s="40" t="str">
        <f aca="false" t="array" ref="D133:D133">_xlfn.XLOOKUP($A133,TRIM(SUBSTITUTE('worker file'!$A$2:$A$406,_xlfn.UNICHAR(160)," ")),'worker file'!$Q$2:$Q$406,"Not found")</f>
        <v>On Leave(unpaid)</v>
      </c>
      <c r="E133" s="39" t="s">
        <v>626</v>
      </c>
      <c r="F133" s="38" t="str">
        <f aca="false">_xlfn.XLOOKUP($E133,$A$5:$A$8,$B$5:$B$8,"")</f>
        <v>Medical (Health) – Employee</v>
      </c>
      <c r="G133" s="38" t="str">
        <f aca="false">_xlfn.XLOOKUP($E133,$A$5:$A$8,$D$5:$D$8,"")</f>
        <v>Pre-tax Section 125 (exempt from FIT/SIT/FICA)</v>
      </c>
      <c r="H133" s="38" t="str">
        <f aca="false">_xlfn.XLOOKUP($E133,$A$5:$A$8,$E$5:$E$8,"")</f>
        <v>Flat</v>
      </c>
      <c r="I133" s="44" t="str">
        <f aca="false">IF($H133="Percent",_xlfn.XLOOKUP($E133,$A$5:$A$8,$F$5:$F$8,""),"")</f>
        <v/>
      </c>
      <c r="J133" s="42" t="n">
        <f aca="false">IF($H133="Flat",_xlfn.XLOOKUP($E133,$A$5:$A$8,$F$5:$F$8,""),"")</f>
        <v>200</v>
      </c>
      <c r="K133" s="38" t="str">
        <f aca="false">_xlfn.XLOOKUP($E133,$A$5:$A$8,$G$5:$G$8,"")</f>
        <v>Per pay period</v>
      </c>
      <c r="L133" s="38" t="str">
        <f aca="false">_xlfn.XLOOKUP($E133,$A$5:$A$8,$H$5:$H$8,"")</f>
        <v>Every pay period (ongoing)</v>
      </c>
      <c r="M133" s="43" t="n">
        <f aca="false" t="array" ref="M133:M133">MAX(_xlfn.XLOOKUP($A133,TRIM(SUBSTITUTE('worker file'!$A$2:$A$406,_xlfn.UNICHAR(160)," ")),'worker file'!$M$2:$M$406,0),_xlfn.XLOOKUP($B133,TRIM('pay group &amp; schedule'!$A$2:$A$6),'pay group &amp; schedule'!$D$2:$D$6,0))</f>
        <v>46311</v>
      </c>
      <c r="N133" s="43" t="str">
        <f aca="false" t="array" ref="N133:N133">_xlfn.LET(_xlpm.t,_xlfn.XLOOKUP($A133,TRIM(SUBSTITUTE('worker file'!$A$2:$A$406,_xlfn.UNICHAR(160)," ")),'worker file'!$N$2:$N$406,""),IF(N(_xlpm.t)=0,"",_xlpm.t))</f>
        <v/>
      </c>
      <c r="O133" s="0" t="s">
        <v>646</v>
      </c>
    </row>
    <row r="134" customFormat="false" ht="15" hidden="false" customHeight="false" outlineLevel="0" collapsed="false">
      <c r="A134" s="39" t="s">
        <v>144</v>
      </c>
      <c r="B134" s="40" t="str">
        <f aca="false" t="array" ref="B134:B134">_xlfn.XLOOKUP($A134,TRIM(SUBSTITUTE('worker file'!$A$2:$A$406,_xlfn.UNICHAR(160)," ")),'worker file'!$L$2:$L$406,"Not found")</f>
        <v>US Semi-monthly</v>
      </c>
      <c r="C134" s="40" t="str">
        <f aca="false" t="array" ref="C134:C134">_xlfn.XLOOKUP($A134,TRIM(SUBSTITUTE('worker file'!$A$2:$A$406,_xlfn.UNICHAR(160)," ")),'worker file'!$D$2:$D$406,"Not found")</f>
        <v>CA</v>
      </c>
      <c r="D134" s="40" t="str">
        <f aca="false" t="array" ref="D134:D134">_xlfn.XLOOKUP($A134,TRIM(SUBSTITUTE('worker file'!$A$2:$A$406,_xlfn.UNICHAR(160)," ")),'worker file'!$Q$2:$Q$406,"Not found")</f>
        <v>On Leave(unpaid)</v>
      </c>
      <c r="E134" s="39" t="s">
        <v>632</v>
      </c>
      <c r="F134" s="38" t="str">
        <f aca="false">_xlfn.XLOOKUP($E134,$A$5:$A$8,$B$5:$B$8,"")</f>
        <v>Dental – Employee</v>
      </c>
      <c r="G134" s="38" t="str">
        <f aca="false">_xlfn.XLOOKUP($E134,$A$5:$A$8,$D$5:$D$8,"")</f>
        <v>Pre-tax Section 125 (exempt from FIT/SIT/FICA)</v>
      </c>
      <c r="H134" s="38" t="str">
        <f aca="false">_xlfn.XLOOKUP($E134,$A$5:$A$8,$E$5:$E$8,"")</f>
        <v>Flat</v>
      </c>
      <c r="I134" s="44" t="str">
        <f aca="false">IF($H134="Percent",_xlfn.XLOOKUP($E134,$A$5:$A$8,$F$5:$F$8,""),"")</f>
        <v/>
      </c>
      <c r="J134" s="42" t="n">
        <f aca="false">IF($H134="Flat",_xlfn.XLOOKUP($E134,$A$5:$A$8,$F$5:$F$8,""),"")</f>
        <v>44</v>
      </c>
      <c r="K134" s="38" t="str">
        <f aca="false">_xlfn.XLOOKUP($E134,$A$5:$A$8,$G$5:$G$8,"")</f>
        <v>Per pay period</v>
      </c>
      <c r="L134" s="38" t="str">
        <f aca="false">_xlfn.XLOOKUP($E134,$A$5:$A$8,$H$5:$H$8,"")</f>
        <v>Every pay period (ongoing)</v>
      </c>
      <c r="M134" s="43" t="n">
        <f aca="false" t="array" ref="M134:M134">MAX(_xlfn.XLOOKUP($A134,TRIM(SUBSTITUTE('worker file'!$A$2:$A$406,_xlfn.UNICHAR(160)," ")),'worker file'!$M$2:$M$406,0),_xlfn.XLOOKUP($B134,TRIM('pay group &amp; schedule'!$A$2:$A$6),'pay group &amp; schedule'!$D$2:$D$6,0))</f>
        <v>46311</v>
      </c>
      <c r="N134" s="43" t="str">
        <f aca="false" t="array" ref="N134:N134">_xlfn.LET(_xlpm.t,_xlfn.XLOOKUP($A134,TRIM(SUBSTITUTE('worker file'!$A$2:$A$406,_xlfn.UNICHAR(160)," ")),'worker file'!$N$2:$N$406,""),IF(N(_xlpm.t)=0,"",_xlpm.t))</f>
        <v/>
      </c>
      <c r="O134" s="0" t="s">
        <v>646</v>
      </c>
    </row>
    <row r="135" customFormat="false" ht="15" hidden="false" customHeight="false" outlineLevel="0" collapsed="false">
      <c r="A135" s="39" t="s">
        <v>144</v>
      </c>
      <c r="B135" s="40" t="str">
        <f aca="false" t="array" ref="B135:B135">_xlfn.XLOOKUP($A135,TRIM(SUBSTITUTE('worker file'!$A$2:$A$406,_xlfn.UNICHAR(160)," ")),'worker file'!$L$2:$L$406,"Not found")</f>
        <v>US Semi-monthly</v>
      </c>
      <c r="C135" s="40" t="str">
        <f aca="false" t="array" ref="C135:C135">_xlfn.XLOOKUP($A135,TRIM(SUBSTITUTE('worker file'!$A$2:$A$406,_xlfn.UNICHAR(160)," ")),'worker file'!$D$2:$D$406,"Not found")</f>
        <v>CA</v>
      </c>
      <c r="D135" s="40" t="str">
        <f aca="false" t="array" ref="D135:D135">_xlfn.XLOOKUP($A135,TRIM(SUBSTITUTE('worker file'!$A$2:$A$406,_xlfn.UNICHAR(160)," ")),'worker file'!$Q$2:$Q$406,"Not found")</f>
        <v>On Leave(unpaid)</v>
      </c>
      <c r="E135" s="39" t="s">
        <v>634</v>
      </c>
      <c r="F135" s="38" t="str">
        <f aca="false">_xlfn.XLOOKUP($E135,$A$5:$A$8,$B$5:$B$8,"")</f>
        <v>Vision – Employee</v>
      </c>
      <c r="G135" s="38" t="str">
        <f aca="false">_xlfn.XLOOKUP($E135,$A$5:$A$8,$D$5:$D$8,"")</f>
        <v>Pre-tax Section 125 (exempt from FIT/SIT/FICA)</v>
      </c>
      <c r="H135" s="38" t="str">
        <f aca="false">_xlfn.XLOOKUP($E135,$A$5:$A$8,$E$5:$E$8,"")</f>
        <v>Flat</v>
      </c>
      <c r="I135" s="44" t="str">
        <f aca="false">IF($H135="Percent",_xlfn.XLOOKUP($E135,$A$5:$A$8,$F$5:$F$8,""),"")</f>
        <v/>
      </c>
      <c r="J135" s="42" t="n">
        <f aca="false">IF($H135="Flat",_xlfn.XLOOKUP($E135,$A$5:$A$8,$F$5:$F$8,""),"")</f>
        <v>30</v>
      </c>
      <c r="K135" s="38" t="str">
        <f aca="false">_xlfn.XLOOKUP($E135,$A$5:$A$8,$G$5:$G$8,"")</f>
        <v>Per pay period</v>
      </c>
      <c r="L135" s="38" t="str">
        <f aca="false">_xlfn.XLOOKUP($E135,$A$5:$A$8,$H$5:$H$8,"")</f>
        <v>Every pay period (ongoing)</v>
      </c>
      <c r="M135" s="43" t="n">
        <f aca="false" t="array" ref="M135:M135">MAX(_xlfn.XLOOKUP($A135,TRIM(SUBSTITUTE('worker file'!$A$2:$A$406,_xlfn.UNICHAR(160)," ")),'worker file'!$M$2:$M$406,0),_xlfn.XLOOKUP($B135,TRIM('pay group &amp; schedule'!$A$2:$A$6),'pay group &amp; schedule'!$D$2:$D$6,0))</f>
        <v>46311</v>
      </c>
      <c r="N135" s="43" t="str">
        <f aca="false" t="array" ref="N135:N135">_xlfn.LET(_xlpm.t,_xlfn.XLOOKUP($A135,TRIM(SUBSTITUTE('worker file'!$A$2:$A$406,_xlfn.UNICHAR(160)," ")),'worker file'!$N$2:$N$406,""),IF(N(_xlpm.t)=0,"",_xlpm.t))</f>
        <v/>
      </c>
      <c r="O135" s="0" t="s">
        <v>646</v>
      </c>
    </row>
    <row r="136" customFormat="false" ht="15" hidden="false" customHeight="false" outlineLevel="0" collapsed="false">
      <c r="A136" s="39" t="s">
        <v>145</v>
      </c>
      <c r="B136" s="40" t="str">
        <f aca="false" t="array" ref="B136:B136">_xlfn.XLOOKUP($A136,TRIM(SUBSTITUTE('worker file'!$A$2:$A$406,_xlfn.UNICHAR(160)," ")),'worker file'!$L$2:$L$406,"Not found")</f>
        <v>US Semi-monthly</v>
      </c>
      <c r="C136" s="40" t="str">
        <f aca="false" t="array" ref="C136:C136">_xlfn.XLOOKUP($A136,TRIM(SUBSTITUTE('worker file'!$A$2:$A$406,_xlfn.UNICHAR(160)," ")),'worker file'!$D$2:$D$406,"Not found")</f>
        <v>WA</v>
      </c>
      <c r="D136" s="40" t="str">
        <f aca="false" t="array" ref="D136:D136">_xlfn.XLOOKUP($A136,TRIM(SUBSTITUTE('worker file'!$A$2:$A$406,_xlfn.UNICHAR(160)," ")),'worker file'!$Q$2:$Q$406,"Not found")</f>
        <v>Active</v>
      </c>
      <c r="E136" s="39" t="s">
        <v>618</v>
      </c>
      <c r="F136" s="38" t="str">
        <f aca="false">_xlfn.XLOOKUP($E136,$A$5:$A$8,$B$5:$B$8,"")</f>
        <v>401(k) Employee Deferral</v>
      </c>
      <c r="G136" s="38" t="str">
        <f aca="false">_xlfn.XLOOKUP($E136,$A$5:$A$8,$D$5:$D$8,"")</f>
        <v>Pre-tax (exempt from FIT/SIT; subject to FICA)</v>
      </c>
      <c r="H136" s="38" t="str">
        <f aca="false">_xlfn.XLOOKUP($E136,$A$5:$A$8,$E$5:$E$8,"")</f>
        <v>Percent</v>
      </c>
      <c r="I136" s="41" t="n">
        <v>0.03</v>
      </c>
      <c r="J136" s="42" t="str">
        <f aca="false">IF($H136="Flat",_xlfn.XLOOKUP($E136,$A$5:$A$8,$F$5:$F$8,""),"")</f>
        <v/>
      </c>
      <c r="K136" s="38" t="str">
        <f aca="false">_xlfn.XLOOKUP($E136,$A$5:$A$8,$G$5:$G$8,"")</f>
        <v>Gross pay</v>
      </c>
      <c r="L136" s="38" t="str">
        <f aca="false">_xlfn.XLOOKUP($E136,$A$5:$A$8,$H$5:$H$8,"")</f>
        <v>Every pay period (ongoing)</v>
      </c>
      <c r="M136" s="43" t="n">
        <f aca="false" t="array" ref="M136:M136">MAX(_xlfn.XLOOKUP($A136,TRIM(SUBSTITUTE('worker file'!$A$2:$A$406,_xlfn.UNICHAR(160)," ")),'worker file'!$M$2:$M$406,0),_xlfn.XLOOKUP($B136,TRIM('pay group &amp; schedule'!$A$2:$A$6),'pay group &amp; schedule'!$D$2:$D$6,0))</f>
        <v>46311</v>
      </c>
      <c r="N136" s="43" t="str">
        <f aca="false" t="array" ref="N136:N136">_xlfn.LET(_xlpm.t,_xlfn.XLOOKUP($A136,TRIM(SUBSTITUTE('worker file'!$A$2:$A$406,_xlfn.UNICHAR(160)," ")),'worker file'!$N$2:$N$406,""),IF(N(_xlpm.t)=0,"",_xlpm.t))</f>
        <v/>
      </c>
    </row>
    <row r="137" customFormat="false" ht="15" hidden="false" customHeight="false" outlineLevel="0" collapsed="false">
      <c r="A137" s="39" t="s">
        <v>145</v>
      </c>
      <c r="B137" s="40" t="str">
        <f aca="false" t="array" ref="B137:B137">_xlfn.XLOOKUP($A137,TRIM(SUBSTITUTE('worker file'!$A$2:$A$406,_xlfn.UNICHAR(160)," ")),'worker file'!$L$2:$L$406,"Not found")</f>
        <v>US Semi-monthly</v>
      </c>
      <c r="C137" s="40" t="str">
        <f aca="false" t="array" ref="C137:C137">_xlfn.XLOOKUP($A137,TRIM(SUBSTITUTE('worker file'!$A$2:$A$406,_xlfn.UNICHAR(160)," ")),'worker file'!$D$2:$D$406,"Not found")</f>
        <v>WA</v>
      </c>
      <c r="D137" s="40" t="str">
        <f aca="false" t="array" ref="D137:D137">_xlfn.XLOOKUP($A137,TRIM(SUBSTITUTE('worker file'!$A$2:$A$406,_xlfn.UNICHAR(160)," ")),'worker file'!$Q$2:$Q$406,"Not found")</f>
        <v>Active</v>
      </c>
      <c r="E137" s="39" t="s">
        <v>626</v>
      </c>
      <c r="F137" s="38" t="str">
        <f aca="false">_xlfn.XLOOKUP($E137,$A$5:$A$8,$B$5:$B$8,"")</f>
        <v>Medical (Health) – Employee</v>
      </c>
      <c r="G137" s="38" t="str">
        <f aca="false">_xlfn.XLOOKUP($E137,$A$5:$A$8,$D$5:$D$8,"")</f>
        <v>Pre-tax Section 125 (exempt from FIT/SIT/FICA)</v>
      </c>
      <c r="H137" s="38" t="str">
        <f aca="false">_xlfn.XLOOKUP($E137,$A$5:$A$8,$E$5:$E$8,"")</f>
        <v>Flat</v>
      </c>
      <c r="I137" s="44" t="str">
        <f aca="false">IF($H137="Percent",_xlfn.XLOOKUP($E137,$A$5:$A$8,$F$5:$F$8,""),"")</f>
        <v/>
      </c>
      <c r="J137" s="42" t="n">
        <f aca="false">IF($H137="Flat",_xlfn.XLOOKUP($E137,$A$5:$A$8,$F$5:$F$8,""),"")</f>
        <v>200</v>
      </c>
      <c r="K137" s="38" t="str">
        <f aca="false">_xlfn.XLOOKUP($E137,$A$5:$A$8,$G$5:$G$8,"")</f>
        <v>Per pay period</v>
      </c>
      <c r="L137" s="38" t="str">
        <f aca="false">_xlfn.XLOOKUP($E137,$A$5:$A$8,$H$5:$H$8,"")</f>
        <v>Every pay period (ongoing)</v>
      </c>
      <c r="M137" s="43" t="n">
        <f aca="false" t="array" ref="M137:M137">MAX(_xlfn.XLOOKUP($A137,TRIM(SUBSTITUTE('worker file'!$A$2:$A$406,_xlfn.UNICHAR(160)," ")),'worker file'!$M$2:$M$406,0),_xlfn.XLOOKUP($B137,TRIM('pay group &amp; schedule'!$A$2:$A$6),'pay group &amp; schedule'!$D$2:$D$6,0))</f>
        <v>46311</v>
      </c>
      <c r="N137" s="43" t="str">
        <f aca="false" t="array" ref="N137:N137">_xlfn.LET(_xlpm.t,_xlfn.XLOOKUP($A137,TRIM(SUBSTITUTE('worker file'!$A$2:$A$406,_xlfn.UNICHAR(160)," ")),'worker file'!$N$2:$N$406,""),IF(N(_xlpm.t)=0,"",_xlpm.t))</f>
        <v/>
      </c>
    </row>
    <row r="138" customFormat="false" ht="15" hidden="false" customHeight="false" outlineLevel="0" collapsed="false">
      <c r="A138" s="39" t="s">
        <v>145</v>
      </c>
      <c r="B138" s="40" t="str">
        <f aca="false" t="array" ref="B138:B138">_xlfn.XLOOKUP($A138,TRIM(SUBSTITUTE('worker file'!$A$2:$A$406,_xlfn.UNICHAR(160)," ")),'worker file'!$L$2:$L$406,"Not found")</f>
        <v>US Semi-monthly</v>
      </c>
      <c r="C138" s="40" t="str">
        <f aca="false" t="array" ref="C138:C138">_xlfn.XLOOKUP($A138,TRIM(SUBSTITUTE('worker file'!$A$2:$A$406,_xlfn.UNICHAR(160)," ")),'worker file'!$D$2:$D$406,"Not found")</f>
        <v>WA</v>
      </c>
      <c r="D138" s="40" t="str">
        <f aca="false" t="array" ref="D138:D138">_xlfn.XLOOKUP($A138,TRIM(SUBSTITUTE('worker file'!$A$2:$A$406,_xlfn.UNICHAR(160)," ")),'worker file'!$Q$2:$Q$406,"Not found")</f>
        <v>Active</v>
      </c>
      <c r="E138" s="39" t="s">
        <v>632</v>
      </c>
      <c r="F138" s="38" t="str">
        <f aca="false">_xlfn.XLOOKUP($E138,$A$5:$A$8,$B$5:$B$8,"")</f>
        <v>Dental – Employee</v>
      </c>
      <c r="G138" s="38" t="str">
        <f aca="false">_xlfn.XLOOKUP($E138,$A$5:$A$8,$D$5:$D$8,"")</f>
        <v>Pre-tax Section 125 (exempt from FIT/SIT/FICA)</v>
      </c>
      <c r="H138" s="38" t="str">
        <f aca="false">_xlfn.XLOOKUP($E138,$A$5:$A$8,$E$5:$E$8,"")</f>
        <v>Flat</v>
      </c>
      <c r="I138" s="44" t="str">
        <f aca="false">IF($H138="Percent",_xlfn.XLOOKUP($E138,$A$5:$A$8,$F$5:$F$8,""),"")</f>
        <v/>
      </c>
      <c r="J138" s="42" t="n">
        <f aca="false">IF($H138="Flat",_xlfn.XLOOKUP($E138,$A$5:$A$8,$F$5:$F$8,""),"")</f>
        <v>44</v>
      </c>
      <c r="K138" s="38" t="str">
        <f aca="false">_xlfn.XLOOKUP($E138,$A$5:$A$8,$G$5:$G$8,"")</f>
        <v>Per pay period</v>
      </c>
      <c r="L138" s="38" t="str">
        <f aca="false">_xlfn.XLOOKUP($E138,$A$5:$A$8,$H$5:$H$8,"")</f>
        <v>Every pay period (ongoing)</v>
      </c>
      <c r="M138" s="43" t="n">
        <f aca="false" t="array" ref="M138:M138">MAX(_xlfn.XLOOKUP($A138,TRIM(SUBSTITUTE('worker file'!$A$2:$A$406,_xlfn.UNICHAR(160)," ")),'worker file'!$M$2:$M$406,0),_xlfn.XLOOKUP($B138,TRIM('pay group &amp; schedule'!$A$2:$A$6),'pay group &amp; schedule'!$D$2:$D$6,0))</f>
        <v>46311</v>
      </c>
      <c r="N138" s="43" t="str">
        <f aca="false" t="array" ref="N138:N138">_xlfn.LET(_xlpm.t,_xlfn.XLOOKUP($A138,TRIM(SUBSTITUTE('worker file'!$A$2:$A$406,_xlfn.UNICHAR(160)," ")),'worker file'!$N$2:$N$406,""),IF(N(_xlpm.t)=0,"",_xlpm.t))</f>
        <v/>
      </c>
    </row>
    <row r="139" customFormat="false" ht="15" hidden="false" customHeight="false" outlineLevel="0" collapsed="false">
      <c r="A139" s="39" t="s">
        <v>145</v>
      </c>
      <c r="B139" s="40" t="str">
        <f aca="false" t="array" ref="B139:B139">_xlfn.XLOOKUP($A139,TRIM(SUBSTITUTE('worker file'!$A$2:$A$406,_xlfn.UNICHAR(160)," ")),'worker file'!$L$2:$L$406,"Not found")</f>
        <v>US Semi-monthly</v>
      </c>
      <c r="C139" s="40" t="str">
        <f aca="false" t="array" ref="C139:C139">_xlfn.XLOOKUP($A139,TRIM(SUBSTITUTE('worker file'!$A$2:$A$406,_xlfn.UNICHAR(160)," ")),'worker file'!$D$2:$D$406,"Not found")</f>
        <v>WA</v>
      </c>
      <c r="D139" s="40" t="str">
        <f aca="false" t="array" ref="D139:D139">_xlfn.XLOOKUP($A139,TRIM(SUBSTITUTE('worker file'!$A$2:$A$406,_xlfn.UNICHAR(160)," ")),'worker file'!$Q$2:$Q$406,"Not found")</f>
        <v>Active</v>
      </c>
      <c r="E139" s="39" t="s">
        <v>634</v>
      </c>
      <c r="F139" s="38" t="str">
        <f aca="false">_xlfn.XLOOKUP($E139,$A$5:$A$8,$B$5:$B$8,"")</f>
        <v>Vision – Employee</v>
      </c>
      <c r="G139" s="38" t="str">
        <f aca="false">_xlfn.XLOOKUP($E139,$A$5:$A$8,$D$5:$D$8,"")</f>
        <v>Pre-tax Section 125 (exempt from FIT/SIT/FICA)</v>
      </c>
      <c r="H139" s="38" t="str">
        <f aca="false">_xlfn.XLOOKUP($E139,$A$5:$A$8,$E$5:$E$8,"")</f>
        <v>Flat</v>
      </c>
      <c r="I139" s="44" t="str">
        <f aca="false">IF($H139="Percent",_xlfn.XLOOKUP($E139,$A$5:$A$8,$F$5:$F$8,""),"")</f>
        <v/>
      </c>
      <c r="J139" s="42" t="n">
        <f aca="false">IF($H139="Flat",_xlfn.XLOOKUP($E139,$A$5:$A$8,$F$5:$F$8,""),"")</f>
        <v>30</v>
      </c>
      <c r="K139" s="38" t="str">
        <f aca="false">_xlfn.XLOOKUP($E139,$A$5:$A$8,$G$5:$G$8,"")</f>
        <v>Per pay period</v>
      </c>
      <c r="L139" s="38" t="str">
        <f aca="false">_xlfn.XLOOKUP($E139,$A$5:$A$8,$H$5:$H$8,"")</f>
        <v>Every pay period (ongoing)</v>
      </c>
      <c r="M139" s="43" t="n">
        <f aca="false" t="array" ref="M139:M139">MAX(_xlfn.XLOOKUP($A139,TRIM(SUBSTITUTE('worker file'!$A$2:$A$406,_xlfn.UNICHAR(160)," ")),'worker file'!$M$2:$M$406,0),_xlfn.XLOOKUP($B139,TRIM('pay group &amp; schedule'!$A$2:$A$6),'pay group &amp; schedule'!$D$2:$D$6,0))</f>
        <v>46311</v>
      </c>
      <c r="N139" s="43" t="str">
        <f aca="false" t="array" ref="N139:N139">_xlfn.LET(_xlpm.t,_xlfn.XLOOKUP($A139,TRIM(SUBSTITUTE('worker file'!$A$2:$A$406,_xlfn.UNICHAR(160)," ")),'worker file'!$N$2:$N$406,""),IF(N(_xlpm.t)=0,"",_xlpm.t))</f>
        <v/>
      </c>
    </row>
    <row r="140" customFormat="false" ht="15" hidden="false" customHeight="false" outlineLevel="0" collapsed="false">
      <c r="A140" s="39" t="s">
        <v>146</v>
      </c>
      <c r="B140" s="40" t="str">
        <f aca="false" t="array" ref="B140:B140">_xlfn.XLOOKUP($A140,TRIM(SUBSTITUTE('worker file'!$A$2:$A$406,_xlfn.UNICHAR(160)," ")),'worker file'!$L$2:$L$406,"Not found")</f>
        <v>US Semi-monthly</v>
      </c>
      <c r="C140" s="40" t="str">
        <f aca="false" t="array" ref="C140:C140">_xlfn.XLOOKUP($A140,TRIM(SUBSTITUTE('worker file'!$A$2:$A$406,_xlfn.UNICHAR(160)," ")),'worker file'!$D$2:$D$406,"Not found")</f>
        <v>WA</v>
      </c>
      <c r="D140" s="40" t="str">
        <f aca="false" t="array" ref="D140:D140">_xlfn.XLOOKUP($A140,TRIM(SUBSTITUTE('worker file'!$A$2:$A$406,_xlfn.UNICHAR(160)," ")),'worker file'!$Q$2:$Q$406,"Not found")</f>
        <v>Active</v>
      </c>
      <c r="E140" s="39" t="s">
        <v>618</v>
      </c>
      <c r="F140" s="38" t="str">
        <f aca="false">_xlfn.XLOOKUP($E140,$A$5:$A$8,$B$5:$B$8,"")</f>
        <v>401(k) Employee Deferral</v>
      </c>
      <c r="G140" s="38" t="str">
        <f aca="false">_xlfn.XLOOKUP($E140,$A$5:$A$8,$D$5:$D$8,"")</f>
        <v>Pre-tax (exempt from FIT/SIT; subject to FICA)</v>
      </c>
      <c r="H140" s="38" t="str">
        <f aca="false">_xlfn.XLOOKUP($E140,$A$5:$A$8,$E$5:$E$8,"")</f>
        <v>Percent</v>
      </c>
      <c r="I140" s="41" t="n">
        <v>0</v>
      </c>
      <c r="J140" s="42" t="str">
        <f aca="false">IF($H140="Flat",_xlfn.XLOOKUP($E140,$A$5:$A$8,$F$5:$F$8,""),"")</f>
        <v/>
      </c>
      <c r="K140" s="38" t="str">
        <f aca="false">_xlfn.XLOOKUP($E140,$A$5:$A$8,$G$5:$G$8,"")</f>
        <v>Gross pay</v>
      </c>
      <c r="L140" s="38" t="str">
        <f aca="false">_xlfn.XLOOKUP($E140,$A$5:$A$8,$H$5:$H$8,"")</f>
        <v>Every pay period (ongoing)</v>
      </c>
      <c r="M140" s="43" t="n">
        <f aca="false" t="array" ref="M140:M140">MAX(_xlfn.XLOOKUP($A140,TRIM(SUBSTITUTE('worker file'!$A$2:$A$406,_xlfn.UNICHAR(160)," ")),'worker file'!$M$2:$M$406,0),_xlfn.XLOOKUP($B140,TRIM('pay group &amp; schedule'!$A$2:$A$6),'pay group &amp; schedule'!$D$2:$D$6,0))</f>
        <v>46311</v>
      </c>
      <c r="N140" s="43" t="str">
        <f aca="false" t="array" ref="N140:N140">_xlfn.LET(_xlpm.t,_xlfn.XLOOKUP($A140,TRIM(SUBSTITUTE('worker file'!$A$2:$A$406,_xlfn.UNICHAR(160)," ")),'worker file'!$N$2:$N$406,""),IF(N(_xlpm.t)=0,"",_xlpm.t))</f>
        <v/>
      </c>
    </row>
    <row r="141" customFormat="false" ht="15" hidden="false" customHeight="false" outlineLevel="0" collapsed="false">
      <c r="A141" s="39" t="s">
        <v>146</v>
      </c>
      <c r="B141" s="40" t="str">
        <f aca="false" t="array" ref="B141:B141">_xlfn.XLOOKUP($A141,TRIM(SUBSTITUTE('worker file'!$A$2:$A$406,_xlfn.UNICHAR(160)," ")),'worker file'!$L$2:$L$406,"Not found")</f>
        <v>US Semi-monthly</v>
      </c>
      <c r="C141" s="40" t="str">
        <f aca="false" t="array" ref="C141:C141">_xlfn.XLOOKUP($A141,TRIM(SUBSTITUTE('worker file'!$A$2:$A$406,_xlfn.UNICHAR(160)," ")),'worker file'!$D$2:$D$406,"Not found")</f>
        <v>WA</v>
      </c>
      <c r="D141" s="40" t="str">
        <f aca="false" t="array" ref="D141:D141">_xlfn.XLOOKUP($A141,TRIM(SUBSTITUTE('worker file'!$A$2:$A$406,_xlfn.UNICHAR(160)," ")),'worker file'!$Q$2:$Q$406,"Not found")</f>
        <v>Active</v>
      </c>
      <c r="E141" s="39" t="s">
        <v>626</v>
      </c>
      <c r="F141" s="38" t="str">
        <f aca="false">_xlfn.XLOOKUP($E141,$A$5:$A$8,$B$5:$B$8,"")</f>
        <v>Medical (Health) – Employee</v>
      </c>
      <c r="G141" s="38" t="str">
        <f aca="false">_xlfn.XLOOKUP($E141,$A$5:$A$8,$D$5:$D$8,"")</f>
        <v>Pre-tax Section 125 (exempt from FIT/SIT/FICA)</v>
      </c>
      <c r="H141" s="38" t="str">
        <f aca="false">_xlfn.XLOOKUP($E141,$A$5:$A$8,$E$5:$E$8,"")</f>
        <v>Flat</v>
      </c>
      <c r="I141" s="44" t="str">
        <f aca="false">IF($H141="Percent",_xlfn.XLOOKUP($E141,$A$5:$A$8,$F$5:$F$8,""),"")</f>
        <v/>
      </c>
      <c r="J141" s="42" t="n">
        <f aca="false">IF($H141="Flat",_xlfn.XLOOKUP($E141,$A$5:$A$8,$F$5:$F$8,""),"")</f>
        <v>200</v>
      </c>
      <c r="K141" s="38" t="str">
        <f aca="false">_xlfn.XLOOKUP($E141,$A$5:$A$8,$G$5:$G$8,"")</f>
        <v>Per pay period</v>
      </c>
      <c r="L141" s="38" t="str">
        <f aca="false">_xlfn.XLOOKUP($E141,$A$5:$A$8,$H$5:$H$8,"")</f>
        <v>Every pay period (ongoing)</v>
      </c>
      <c r="M141" s="43" t="n">
        <f aca="false" t="array" ref="M141:M141">MAX(_xlfn.XLOOKUP($A141,TRIM(SUBSTITUTE('worker file'!$A$2:$A$406,_xlfn.UNICHAR(160)," ")),'worker file'!$M$2:$M$406,0),_xlfn.XLOOKUP($B141,TRIM('pay group &amp; schedule'!$A$2:$A$6),'pay group &amp; schedule'!$D$2:$D$6,0))</f>
        <v>46311</v>
      </c>
      <c r="N141" s="43" t="str">
        <f aca="false" t="array" ref="N141:N141">_xlfn.LET(_xlpm.t,_xlfn.XLOOKUP($A141,TRIM(SUBSTITUTE('worker file'!$A$2:$A$406,_xlfn.UNICHAR(160)," ")),'worker file'!$N$2:$N$406,""),IF(N(_xlpm.t)=0,"",_xlpm.t))</f>
        <v/>
      </c>
    </row>
    <row r="142" customFormat="false" ht="15" hidden="false" customHeight="false" outlineLevel="0" collapsed="false">
      <c r="A142" s="39" t="s">
        <v>146</v>
      </c>
      <c r="B142" s="40" t="str">
        <f aca="false" t="array" ref="B142:B142">_xlfn.XLOOKUP($A142,TRIM(SUBSTITUTE('worker file'!$A$2:$A$406,_xlfn.UNICHAR(160)," ")),'worker file'!$L$2:$L$406,"Not found")</f>
        <v>US Semi-monthly</v>
      </c>
      <c r="C142" s="40" t="str">
        <f aca="false" t="array" ref="C142:C142">_xlfn.XLOOKUP($A142,TRIM(SUBSTITUTE('worker file'!$A$2:$A$406,_xlfn.UNICHAR(160)," ")),'worker file'!$D$2:$D$406,"Not found")</f>
        <v>WA</v>
      </c>
      <c r="D142" s="40" t="str">
        <f aca="false" t="array" ref="D142:D142">_xlfn.XLOOKUP($A142,TRIM(SUBSTITUTE('worker file'!$A$2:$A$406,_xlfn.UNICHAR(160)," ")),'worker file'!$Q$2:$Q$406,"Not found")</f>
        <v>Active</v>
      </c>
      <c r="E142" s="39" t="s">
        <v>632</v>
      </c>
      <c r="F142" s="38" t="str">
        <f aca="false">_xlfn.XLOOKUP($E142,$A$5:$A$8,$B$5:$B$8,"")</f>
        <v>Dental – Employee</v>
      </c>
      <c r="G142" s="38" t="str">
        <f aca="false">_xlfn.XLOOKUP($E142,$A$5:$A$8,$D$5:$D$8,"")</f>
        <v>Pre-tax Section 125 (exempt from FIT/SIT/FICA)</v>
      </c>
      <c r="H142" s="38" t="str">
        <f aca="false">_xlfn.XLOOKUP($E142,$A$5:$A$8,$E$5:$E$8,"")</f>
        <v>Flat</v>
      </c>
      <c r="I142" s="44" t="str">
        <f aca="false">IF($H142="Percent",_xlfn.XLOOKUP($E142,$A$5:$A$8,$F$5:$F$8,""),"")</f>
        <v/>
      </c>
      <c r="J142" s="42" t="n">
        <f aca="false">IF($H142="Flat",_xlfn.XLOOKUP($E142,$A$5:$A$8,$F$5:$F$8,""),"")</f>
        <v>44</v>
      </c>
      <c r="K142" s="38" t="str">
        <f aca="false">_xlfn.XLOOKUP($E142,$A$5:$A$8,$G$5:$G$8,"")</f>
        <v>Per pay period</v>
      </c>
      <c r="L142" s="38" t="str">
        <f aca="false">_xlfn.XLOOKUP($E142,$A$5:$A$8,$H$5:$H$8,"")</f>
        <v>Every pay period (ongoing)</v>
      </c>
      <c r="M142" s="43" t="n">
        <f aca="false" t="array" ref="M142:M142">MAX(_xlfn.XLOOKUP($A142,TRIM(SUBSTITUTE('worker file'!$A$2:$A$406,_xlfn.UNICHAR(160)," ")),'worker file'!$M$2:$M$406,0),_xlfn.XLOOKUP($B142,TRIM('pay group &amp; schedule'!$A$2:$A$6),'pay group &amp; schedule'!$D$2:$D$6,0))</f>
        <v>46311</v>
      </c>
      <c r="N142" s="43" t="str">
        <f aca="false" t="array" ref="N142:N142">_xlfn.LET(_xlpm.t,_xlfn.XLOOKUP($A142,TRIM(SUBSTITUTE('worker file'!$A$2:$A$406,_xlfn.UNICHAR(160)," ")),'worker file'!$N$2:$N$406,""),IF(N(_xlpm.t)=0,"",_xlpm.t))</f>
        <v/>
      </c>
    </row>
    <row r="143" customFormat="false" ht="15" hidden="false" customHeight="false" outlineLevel="0" collapsed="false">
      <c r="A143" s="39" t="s">
        <v>146</v>
      </c>
      <c r="B143" s="40" t="str">
        <f aca="false" t="array" ref="B143:B143">_xlfn.XLOOKUP($A143,TRIM(SUBSTITUTE('worker file'!$A$2:$A$406,_xlfn.UNICHAR(160)," ")),'worker file'!$L$2:$L$406,"Not found")</f>
        <v>US Semi-monthly</v>
      </c>
      <c r="C143" s="40" t="str">
        <f aca="false" t="array" ref="C143:C143">_xlfn.XLOOKUP($A143,TRIM(SUBSTITUTE('worker file'!$A$2:$A$406,_xlfn.UNICHAR(160)," ")),'worker file'!$D$2:$D$406,"Not found")</f>
        <v>WA</v>
      </c>
      <c r="D143" s="40" t="str">
        <f aca="false" t="array" ref="D143:D143">_xlfn.XLOOKUP($A143,TRIM(SUBSTITUTE('worker file'!$A$2:$A$406,_xlfn.UNICHAR(160)," ")),'worker file'!$Q$2:$Q$406,"Not found")</f>
        <v>Active</v>
      </c>
      <c r="E143" s="39" t="s">
        <v>634</v>
      </c>
      <c r="F143" s="38" t="str">
        <f aca="false">_xlfn.XLOOKUP($E143,$A$5:$A$8,$B$5:$B$8,"")</f>
        <v>Vision – Employee</v>
      </c>
      <c r="G143" s="38" t="str">
        <f aca="false">_xlfn.XLOOKUP($E143,$A$5:$A$8,$D$5:$D$8,"")</f>
        <v>Pre-tax Section 125 (exempt from FIT/SIT/FICA)</v>
      </c>
      <c r="H143" s="38" t="str">
        <f aca="false">_xlfn.XLOOKUP($E143,$A$5:$A$8,$E$5:$E$8,"")</f>
        <v>Flat</v>
      </c>
      <c r="I143" s="44" t="str">
        <f aca="false">IF($H143="Percent",_xlfn.XLOOKUP($E143,$A$5:$A$8,$F$5:$F$8,""),"")</f>
        <v/>
      </c>
      <c r="J143" s="42" t="n">
        <f aca="false">IF($H143="Flat",_xlfn.XLOOKUP($E143,$A$5:$A$8,$F$5:$F$8,""),"")</f>
        <v>30</v>
      </c>
      <c r="K143" s="38" t="str">
        <f aca="false">_xlfn.XLOOKUP($E143,$A$5:$A$8,$G$5:$G$8,"")</f>
        <v>Per pay period</v>
      </c>
      <c r="L143" s="38" t="str">
        <f aca="false">_xlfn.XLOOKUP($E143,$A$5:$A$8,$H$5:$H$8,"")</f>
        <v>Every pay period (ongoing)</v>
      </c>
      <c r="M143" s="43" t="n">
        <f aca="false" t="array" ref="M143:M143">MAX(_xlfn.XLOOKUP($A143,TRIM(SUBSTITUTE('worker file'!$A$2:$A$406,_xlfn.UNICHAR(160)," ")),'worker file'!$M$2:$M$406,0),_xlfn.XLOOKUP($B143,TRIM('pay group &amp; schedule'!$A$2:$A$6),'pay group &amp; schedule'!$D$2:$D$6,0))</f>
        <v>46311</v>
      </c>
      <c r="N143" s="43" t="str">
        <f aca="false" t="array" ref="N143:N143">_xlfn.LET(_xlpm.t,_xlfn.XLOOKUP($A143,TRIM(SUBSTITUTE('worker file'!$A$2:$A$406,_xlfn.UNICHAR(160)," ")),'worker file'!$N$2:$N$406,""),IF(N(_xlpm.t)=0,"",_xlpm.t))</f>
        <v/>
      </c>
    </row>
    <row r="144" customFormat="false" ht="15" hidden="false" customHeight="false" outlineLevel="0" collapsed="false">
      <c r="A144" s="39" t="s">
        <v>147</v>
      </c>
      <c r="B144" s="40" t="str">
        <f aca="false" t="array" ref="B144:B144">_xlfn.XLOOKUP($A144,TRIM(SUBSTITUTE('worker file'!$A$2:$A$406,_xlfn.UNICHAR(160)," ")),'worker file'!$L$2:$L$406,"Not found")</f>
        <v>US Biweekly</v>
      </c>
      <c r="C144" s="40" t="str">
        <f aca="false" t="array" ref="C144:C144">_xlfn.XLOOKUP($A144,TRIM(SUBSTITUTE('worker file'!$A$2:$A$406,_xlfn.UNICHAR(160)," ")),'worker file'!$D$2:$D$406,"Not found")</f>
        <v>CA</v>
      </c>
      <c r="D144" s="40" t="str">
        <f aca="false" t="array" ref="D144:D144">_xlfn.XLOOKUP($A144,TRIM(SUBSTITUTE('worker file'!$A$2:$A$406,_xlfn.UNICHAR(160)," ")),'worker file'!$Q$2:$Q$406,"Not found")</f>
        <v>Active</v>
      </c>
      <c r="E144" s="39" t="s">
        <v>618</v>
      </c>
      <c r="F144" s="38" t="str">
        <f aca="false">_xlfn.XLOOKUP($E144,$A$5:$A$8,$B$5:$B$8,"")</f>
        <v>401(k) Employee Deferral</v>
      </c>
      <c r="G144" s="38" t="str">
        <f aca="false">_xlfn.XLOOKUP($E144,$A$5:$A$8,$D$5:$D$8,"")</f>
        <v>Pre-tax (exempt from FIT/SIT; subject to FICA)</v>
      </c>
      <c r="H144" s="38" t="str">
        <f aca="false">_xlfn.XLOOKUP($E144,$A$5:$A$8,$E$5:$E$8,"")</f>
        <v>Percent</v>
      </c>
      <c r="I144" s="41" t="n">
        <v>0.05</v>
      </c>
      <c r="J144" s="42" t="str">
        <f aca="false">IF($H144="Flat",_xlfn.XLOOKUP($E144,$A$5:$A$8,$F$5:$F$8,""),"")</f>
        <v/>
      </c>
      <c r="K144" s="38" t="str">
        <f aca="false">_xlfn.XLOOKUP($E144,$A$5:$A$8,$G$5:$G$8,"")</f>
        <v>Gross pay</v>
      </c>
      <c r="L144" s="38" t="str">
        <f aca="false">_xlfn.XLOOKUP($E144,$A$5:$A$8,$H$5:$H$8,"")</f>
        <v>Every pay period (ongoing)</v>
      </c>
      <c r="M144" s="43" t="n">
        <f aca="false" t="array" ref="M144:M144">MAX(_xlfn.XLOOKUP($A144,TRIM(SUBSTITUTE('worker file'!$A$2:$A$406,_xlfn.UNICHAR(160)," ")),'worker file'!$M$2:$M$406,0),_xlfn.XLOOKUP($B144,TRIM('pay group &amp; schedule'!$A$2:$A$6),'pay group &amp; schedule'!$D$2:$D$6,0))</f>
        <v>46299</v>
      </c>
      <c r="N144" s="43" t="str">
        <f aca="false" t="array" ref="N144:N144">_xlfn.LET(_xlpm.t,_xlfn.XLOOKUP($A144,TRIM(SUBSTITUTE('worker file'!$A$2:$A$406,_xlfn.UNICHAR(160)," ")),'worker file'!$N$2:$N$406,""),IF(N(_xlpm.t)=0,"",_xlpm.t))</f>
        <v/>
      </c>
    </row>
    <row r="145" customFormat="false" ht="15" hidden="false" customHeight="false" outlineLevel="0" collapsed="false">
      <c r="A145" s="39" t="s">
        <v>147</v>
      </c>
      <c r="B145" s="40" t="str">
        <f aca="false" t="array" ref="B145:B145">_xlfn.XLOOKUP($A145,TRIM(SUBSTITUTE('worker file'!$A$2:$A$406,_xlfn.UNICHAR(160)," ")),'worker file'!$L$2:$L$406,"Not found")</f>
        <v>US Biweekly</v>
      </c>
      <c r="C145" s="40" t="str">
        <f aca="false" t="array" ref="C145:C145">_xlfn.XLOOKUP($A145,TRIM(SUBSTITUTE('worker file'!$A$2:$A$406,_xlfn.UNICHAR(160)," ")),'worker file'!$D$2:$D$406,"Not found")</f>
        <v>CA</v>
      </c>
      <c r="D145" s="40" t="str">
        <f aca="false" t="array" ref="D145:D145">_xlfn.XLOOKUP($A145,TRIM(SUBSTITUTE('worker file'!$A$2:$A$406,_xlfn.UNICHAR(160)," ")),'worker file'!$Q$2:$Q$406,"Not found")</f>
        <v>Active</v>
      </c>
      <c r="E145" s="39" t="s">
        <v>626</v>
      </c>
      <c r="F145" s="38" t="str">
        <f aca="false">_xlfn.XLOOKUP($E145,$A$5:$A$8,$B$5:$B$8,"")</f>
        <v>Medical (Health) – Employee</v>
      </c>
      <c r="G145" s="38" t="str">
        <f aca="false">_xlfn.XLOOKUP($E145,$A$5:$A$8,$D$5:$D$8,"")</f>
        <v>Pre-tax Section 125 (exempt from FIT/SIT/FICA)</v>
      </c>
      <c r="H145" s="38" t="str">
        <f aca="false">_xlfn.XLOOKUP($E145,$A$5:$A$8,$E$5:$E$8,"")</f>
        <v>Flat</v>
      </c>
      <c r="I145" s="44" t="str">
        <f aca="false">IF($H145="Percent",_xlfn.XLOOKUP($E145,$A$5:$A$8,$F$5:$F$8,""),"")</f>
        <v/>
      </c>
      <c r="J145" s="42" t="n">
        <f aca="false">IF($H145="Flat",_xlfn.XLOOKUP($E145,$A$5:$A$8,$F$5:$F$8,""),"")</f>
        <v>200</v>
      </c>
      <c r="K145" s="38" t="str">
        <f aca="false">_xlfn.XLOOKUP($E145,$A$5:$A$8,$G$5:$G$8,"")</f>
        <v>Per pay period</v>
      </c>
      <c r="L145" s="38" t="str">
        <f aca="false">_xlfn.XLOOKUP($E145,$A$5:$A$8,$H$5:$H$8,"")</f>
        <v>Every pay period (ongoing)</v>
      </c>
      <c r="M145" s="43" t="n">
        <f aca="false" t="array" ref="M145:M145">MAX(_xlfn.XLOOKUP($A145,TRIM(SUBSTITUTE('worker file'!$A$2:$A$406,_xlfn.UNICHAR(160)," ")),'worker file'!$M$2:$M$406,0),_xlfn.XLOOKUP($B145,TRIM('pay group &amp; schedule'!$A$2:$A$6),'pay group &amp; schedule'!$D$2:$D$6,0))</f>
        <v>46299</v>
      </c>
      <c r="N145" s="43" t="str">
        <f aca="false" t="array" ref="N145:N145">_xlfn.LET(_xlpm.t,_xlfn.XLOOKUP($A145,TRIM(SUBSTITUTE('worker file'!$A$2:$A$406,_xlfn.UNICHAR(160)," ")),'worker file'!$N$2:$N$406,""),IF(N(_xlpm.t)=0,"",_xlpm.t))</f>
        <v/>
      </c>
    </row>
    <row r="146" customFormat="false" ht="15" hidden="false" customHeight="false" outlineLevel="0" collapsed="false">
      <c r="A146" s="39" t="s">
        <v>147</v>
      </c>
      <c r="B146" s="40" t="str">
        <f aca="false" t="array" ref="B146:B146">_xlfn.XLOOKUP($A146,TRIM(SUBSTITUTE('worker file'!$A$2:$A$406,_xlfn.UNICHAR(160)," ")),'worker file'!$L$2:$L$406,"Not found")</f>
        <v>US Biweekly</v>
      </c>
      <c r="C146" s="40" t="str">
        <f aca="false" t="array" ref="C146:C146">_xlfn.XLOOKUP($A146,TRIM(SUBSTITUTE('worker file'!$A$2:$A$406,_xlfn.UNICHAR(160)," ")),'worker file'!$D$2:$D$406,"Not found")</f>
        <v>CA</v>
      </c>
      <c r="D146" s="40" t="str">
        <f aca="false" t="array" ref="D146:D146">_xlfn.XLOOKUP($A146,TRIM(SUBSTITUTE('worker file'!$A$2:$A$406,_xlfn.UNICHAR(160)," ")),'worker file'!$Q$2:$Q$406,"Not found")</f>
        <v>Active</v>
      </c>
      <c r="E146" s="39" t="s">
        <v>632</v>
      </c>
      <c r="F146" s="38" t="str">
        <f aca="false">_xlfn.XLOOKUP($E146,$A$5:$A$8,$B$5:$B$8,"")</f>
        <v>Dental – Employee</v>
      </c>
      <c r="G146" s="38" t="str">
        <f aca="false">_xlfn.XLOOKUP($E146,$A$5:$A$8,$D$5:$D$8,"")</f>
        <v>Pre-tax Section 125 (exempt from FIT/SIT/FICA)</v>
      </c>
      <c r="H146" s="38" t="str">
        <f aca="false">_xlfn.XLOOKUP($E146,$A$5:$A$8,$E$5:$E$8,"")</f>
        <v>Flat</v>
      </c>
      <c r="I146" s="44" t="str">
        <f aca="false">IF($H146="Percent",_xlfn.XLOOKUP($E146,$A$5:$A$8,$F$5:$F$8,""),"")</f>
        <v/>
      </c>
      <c r="J146" s="42" t="n">
        <f aca="false">IF($H146="Flat",_xlfn.XLOOKUP($E146,$A$5:$A$8,$F$5:$F$8,""),"")</f>
        <v>44</v>
      </c>
      <c r="K146" s="38" t="str">
        <f aca="false">_xlfn.XLOOKUP($E146,$A$5:$A$8,$G$5:$G$8,"")</f>
        <v>Per pay period</v>
      </c>
      <c r="L146" s="38" t="str">
        <f aca="false">_xlfn.XLOOKUP($E146,$A$5:$A$8,$H$5:$H$8,"")</f>
        <v>Every pay period (ongoing)</v>
      </c>
      <c r="M146" s="43" t="n">
        <f aca="false" t="array" ref="M146:M146">MAX(_xlfn.XLOOKUP($A146,TRIM(SUBSTITUTE('worker file'!$A$2:$A$406,_xlfn.UNICHAR(160)," ")),'worker file'!$M$2:$M$406,0),_xlfn.XLOOKUP($B146,TRIM('pay group &amp; schedule'!$A$2:$A$6),'pay group &amp; schedule'!$D$2:$D$6,0))</f>
        <v>46299</v>
      </c>
      <c r="N146" s="43" t="str">
        <f aca="false" t="array" ref="N146:N146">_xlfn.LET(_xlpm.t,_xlfn.XLOOKUP($A146,TRIM(SUBSTITUTE('worker file'!$A$2:$A$406,_xlfn.UNICHAR(160)," ")),'worker file'!$N$2:$N$406,""),IF(N(_xlpm.t)=0,"",_xlpm.t))</f>
        <v/>
      </c>
    </row>
    <row r="147" customFormat="false" ht="15" hidden="false" customHeight="false" outlineLevel="0" collapsed="false">
      <c r="A147" s="39" t="s">
        <v>147</v>
      </c>
      <c r="B147" s="40" t="str">
        <f aca="false" t="array" ref="B147:B147">_xlfn.XLOOKUP($A147,TRIM(SUBSTITUTE('worker file'!$A$2:$A$406,_xlfn.UNICHAR(160)," ")),'worker file'!$L$2:$L$406,"Not found")</f>
        <v>US Biweekly</v>
      </c>
      <c r="C147" s="40" t="str">
        <f aca="false" t="array" ref="C147:C147">_xlfn.XLOOKUP($A147,TRIM(SUBSTITUTE('worker file'!$A$2:$A$406,_xlfn.UNICHAR(160)," ")),'worker file'!$D$2:$D$406,"Not found")</f>
        <v>CA</v>
      </c>
      <c r="D147" s="40" t="str">
        <f aca="false" t="array" ref="D147:D147">_xlfn.XLOOKUP($A147,TRIM(SUBSTITUTE('worker file'!$A$2:$A$406,_xlfn.UNICHAR(160)," ")),'worker file'!$Q$2:$Q$406,"Not found")</f>
        <v>Active</v>
      </c>
      <c r="E147" s="39" t="s">
        <v>634</v>
      </c>
      <c r="F147" s="38" t="str">
        <f aca="false">_xlfn.XLOOKUP($E147,$A$5:$A$8,$B$5:$B$8,"")</f>
        <v>Vision – Employee</v>
      </c>
      <c r="G147" s="38" t="str">
        <f aca="false">_xlfn.XLOOKUP($E147,$A$5:$A$8,$D$5:$D$8,"")</f>
        <v>Pre-tax Section 125 (exempt from FIT/SIT/FICA)</v>
      </c>
      <c r="H147" s="38" t="str">
        <f aca="false">_xlfn.XLOOKUP($E147,$A$5:$A$8,$E$5:$E$8,"")</f>
        <v>Flat</v>
      </c>
      <c r="I147" s="44" t="str">
        <f aca="false">IF($H147="Percent",_xlfn.XLOOKUP($E147,$A$5:$A$8,$F$5:$F$8,""),"")</f>
        <v/>
      </c>
      <c r="J147" s="42" t="n">
        <f aca="false">IF($H147="Flat",_xlfn.XLOOKUP($E147,$A$5:$A$8,$F$5:$F$8,""),"")</f>
        <v>30</v>
      </c>
      <c r="K147" s="38" t="str">
        <f aca="false">_xlfn.XLOOKUP($E147,$A$5:$A$8,$G$5:$G$8,"")</f>
        <v>Per pay period</v>
      </c>
      <c r="L147" s="38" t="str">
        <f aca="false">_xlfn.XLOOKUP($E147,$A$5:$A$8,$H$5:$H$8,"")</f>
        <v>Every pay period (ongoing)</v>
      </c>
      <c r="M147" s="43" t="n">
        <f aca="false" t="array" ref="M147:M147">MAX(_xlfn.XLOOKUP($A147,TRIM(SUBSTITUTE('worker file'!$A$2:$A$406,_xlfn.UNICHAR(160)," ")),'worker file'!$M$2:$M$406,0),_xlfn.XLOOKUP($B147,TRIM('pay group &amp; schedule'!$A$2:$A$6),'pay group &amp; schedule'!$D$2:$D$6,0))</f>
        <v>46299</v>
      </c>
      <c r="N147" s="43" t="str">
        <f aca="false" t="array" ref="N147:N147">_xlfn.LET(_xlpm.t,_xlfn.XLOOKUP($A147,TRIM(SUBSTITUTE('worker file'!$A$2:$A$406,_xlfn.UNICHAR(160)," ")),'worker file'!$N$2:$N$406,""),IF(N(_xlpm.t)=0,"",_xlpm.t))</f>
        <v/>
      </c>
    </row>
    <row r="148" customFormat="false" ht="15" hidden="false" customHeight="false" outlineLevel="0" collapsed="false">
      <c r="A148" s="39" t="s">
        <v>148</v>
      </c>
      <c r="B148" s="40" t="str">
        <f aca="false" t="array" ref="B148:B148">_xlfn.XLOOKUP($A148,TRIM(SUBSTITUTE('worker file'!$A$2:$A$406,_xlfn.UNICHAR(160)," ")),'worker file'!$L$2:$L$406,"Not found")</f>
        <v>US Semi-monthly</v>
      </c>
      <c r="C148" s="40" t="str">
        <f aca="false" t="array" ref="C148:C148">_xlfn.XLOOKUP($A148,TRIM(SUBSTITUTE('worker file'!$A$2:$A$406,_xlfn.UNICHAR(160)," ")),'worker file'!$D$2:$D$406,"Not found")</f>
        <v>CA</v>
      </c>
      <c r="D148" s="40" t="str">
        <f aca="false" t="array" ref="D148:D148">_xlfn.XLOOKUP($A148,TRIM(SUBSTITUTE('worker file'!$A$2:$A$406,_xlfn.UNICHAR(160)," ")),'worker file'!$Q$2:$Q$406,"Not found")</f>
        <v>Active</v>
      </c>
      <c r="E148" s="39" t="s">
        <v>618</v>
      </c>
      <c r="F148" s="38" t="str">
        <f aca="false">_xlfn.XLOOKUP($E148,$A$5:$A$8,$B$5:$B$8,"")</f>
        <v>401(k) Employee Deferral</v>
      </c>
      <c r="G148" s="38" t="str">
        <f aca="false">_xlfn.XLOOKUP($E148,$A$5:$A$8,$D$5:$D$8,"")</f>
        <v>Pre-tax (exempt from FIT/SIT; subject to FICA)</v>
      </c>
      <c r="H148" s="38" t="str">
        <f aca="false">_xlfn.XLOOKUP($E148,$A$5:$A$8,$E$5:$E$8,"")</f>
        <v>Percent</v>
      </c>
      <c r="I148" s="41" t="n">
        <v>0.02</v>
      </c>
      <c r="J148" s="42" t="str">
        <f aca="false">IF($H148="Flat",_xlfn.XLOOKUP($E148,$A$5:$A$8,$F$5:$F$8,""),"")</f>
        <v/>
      </c>
      <c r="K148" s="38" t="str">
        <f aca="false">_xlfn.XLOOKUP($E148,$A$5:$A$8,$G$5:$G$8,"")</f>
        <v>Gross pay</v>
      </c>
      <c r="L148" s="38" t="str">
        <f aca="false">_xlfn.XLOOKUP($E148,$A$5:$A$8,$H$5:$H$8,"")</f>
        <v>Every pay period (ongoing)</v>
      </c>
      <c r="M148" s="43" t="n">
        <f aca="false" t="array" ref="M148:M148">MAX(_xlfn.XLOOKUP($A148,TRIM(SUBSTITUTE('worker file'!$A$2:$A$406,_xlfn.UNICHAR(160)," ")),'worker file'!$M$2:$M$406,0),_xlfn.XLOOKUP($B148,TRIM('pay group &amp; schedule'!$A$2:$A$6),'pay group &amp; schedule'!$D$2:$D$6,0))</f>
        <v>46311</v>
      </c>
      <c r="N148" s="43" t="str">
        <f aca="false" t="array" ref="N148:N148">_xlfn.LET(_xlpm.t,_xlfn.XLOOKUP($A148,TRIM(SUBSTITUTE('worker file'!$A$2:$A$406,_xlfn.UNICHAR(160)," ")),'worker file'!$N$2:$N$406,""),IF(N(_xlpm.t)=0,"",_xlpm.t))</f>
        <v/>
      </c>
    </row>
    <row r="149" customFormat="false" ht="15" hidden="false" customHeight="false" outlineLevel="0" collapsed="false">
      <c r="A149" s="39" t="s">
        <v>148</v>
      </c>
      <c r="B149" s="40" t="str">
        <f aca="false" t="array" ref="B149:B149">_xlfn.XLOOKUP($A149,TRIM(SUBSTITUTE('worker file'!$A$2:$A$406,_xlfn.UNICHAR(160)," ")),'worker file'!$L$2:$L$406,"Not found")</f>
        <v>US Semi-monthly</v>
      </c>
      <c r="C149" s="40" t="str">
        <f aca="false" t="array" ref="C149:C149">_xlfn.XLOOKUP($A149,TRIM(SUBSTITUTE('worker file'!$A$2:$A$406,_xlfn.UNICHAR(160)," ")),'worker file'!$D$2:$D$406,"Not found")</f>
        <v>CA</v>
      </c>
      <c r="D149" s="40" t="str">
        <f aca="false" t="array" ref="D149:D149">_xlfn.XLOOKUP($A149,TRIM(SUBSTITUTE('worker file'!$A$2:$A$406,_xlfn.UNICHAR(160)," ")),'worker file'!$Q$2:$Q$406,"Not found")</f>
        <v>Active</v>
      </c>
      <c r="E149" s="39" t="s">
        <v>626</v>
      </c>
      <c r="F149" s="38" t="str">
        <f aca="false">_xlfn.XLOOKUP($E149,$A$5:$A$8,$B$5:$B$8,"")</f>
        <v>Medical (Health) – Employee</v>
      </c>
      <c r="G149" s="38" t="str">
        <f aca="false">_xlfn.XLOOKUP($E149,$A$5:$A$8,$D$5:$D$8,"")</f>
        <v>Pre-tax Section 125 (exempt from FIT/SIT/FICA)</v>
      </c>
      <c r="H149" s="38" t="str">
        <f aca="false">_xlfn.XLOOKUP($E149,$A$5:$A$8,$E$5:$E$8,"")</f>
        <v>Flat</v>
      </c>
      <c r="I149" s="44" t="str">
        <f aca="false">IF($H149="Percent",_xlfn.XLOOKUP($E149,$A$5:$A$8,$F$5:$F$8,""),"")</f>
        <v/>
      </c>
      <c r="J149" s="42" t="n">
        <f aca="false">IF($H149="Flat",_xlfn.XLOOKUP($E149,$A$5:$A$8,$F$5:$F$8,""),"")</f>
        <v>200</v>
      </c>
      <c r="K149" s="38" t="str">
        <f aca="false">_xlfn.XLOOKUP($E149,$A$5:$A$8,$G$5:$G$8,"")</f>
        <v>Per pay period</v>
      </c>
      <c r="L149" s="38" t="str">
        <f aca="false">_xlfn.XLOOKUP($E149,$A$5:$A$8,$H$5:$H$8,"")</f>
        <v>Every pay period (ongoing)</v>
      </c>
      <c r="M149" s="43" t="n">
        <f aca="false" t="array" ref="M149:M149">MAX(_xlfn.XLOOKUP($A149,TRIM(SUBSTITUTE('worker file'!$A$2:$A$406,_xlfn.UNICHAR(160)," ")),'worker file'!$M$2:$M$406,0),_xlfn.XLOOKUP($B149,TRIM('pay group &amp; schedule'!$A$2:$A$6),'pay group &amp; schedule'!$D$2:$D$6,0))</f>
        <v>46311</v>
      </c>
      <c r="N149" s="43" t="str">
        <f aca="false" t="array" ref="N149:N149">_xlfn.LET(_xlpm.t,_xlfn.XLOOKUP($A149,TRIM(SUBSTITUTE('worker file'!$A$2:$A$406,_xlfn.UNICHAR(160)," ")),'worker file'!$N$2:$N$406,""),IF(N(_xlpm.t)=0,"",_xlpm.t))</f>
        <v/>
      </c>
    </row>
    <row r="150" customFormat="false" ht="15" hidden="false" customHeight="false" outlineLevel="0" collapsed="false">
      <c r="A150" s="39" t="s">
        <v>148</v>
      </c>
      <c r="B150" s="40" t="str">
        <f aca="false" t="array" ref="B150:B150">_xlfn.XLOOKUP($A150,TRIM(SUBSTITUTE('worker file'!$A$2:$A$406,_xlfn.UNICHAR(160)," ")),'worker file'!$L$2:$L$406,"Not found")</f>
        <v>US Semi-monthly</v>
      </c>
      <c r="C150" s="40" t="str">
        <f aca="false" t="array" ref="C150:C150">_xlfn.XLOOKUP($A150,TRIM(SUBSTITUTE('worker file'!$A$2:$A$406,_xlfn.UNICHAR(160)," ")),'worker file'!$D$2:$D$406,"Not found")</f>
        <v>CA</v>
      </c>
      <c r="D150" s="40" t="str">
        <f aca="false" t="array" ref="D150:D150">_xlfn.XLOOKUP($A150,TRIM(SUBSTITUTE('worker file'!$A$2:$A$406,_xlfn.UNICHAR(160)," ")),'worker file'!$Q$2:$Q$406,"Not found")</f>
        <v>Active</v>
      </c>
      <c r="E150" s="39" t="s">
        <v>632</v>
      </c>
      <c r="F150" s="38" t="str">
        <f aca="false">_xlfn.XLOOKUP($E150,$A$5:$A$8,$B$5:$B$8,"")</f>
        <v>Dental – Employee</v>
      </c>
      <c r="G150" s="38" t="str">
        <f aca="false">_xlfn.XLOOKUP($E150,$A$5:$A$8,$D$5:$D$8,"")</f>
        <v>Pre-tax Section 125 (exempt from FIT/SIT/FICA)</v>
      </c>
      <c r="H150" s="38" t="str">
        <f aca="false">_xlfn.XLOOKUP($E150,$A$5:$A$8,$E$5:$E$8,"")</f>
        <v>Flat</v>
      </c>
      <c r="I150" s="44" t="str">
        <f aca="false">IF($H150="Percent",_xlfn.XLOOKUP($E150,$A$5:$A$8,$F$5:$F$8,""),"")</f>
        <v/>
      </c>
      <c r="J150" s="42" t="n">
        <f aca="false">IF($H150="Flat",_xlfn.XLOOKUP($E150,$A$5:$A$8,$F$5:$F$8,""),"")</f>
        <v>44</v>
      </c>
      <c r="K150" s="38" t="str">
        <f aca="false">_xlfn.XLOOKUP($E150,$A$5:$A$8,$G$5:$G$8,"")</f>
        <v>Per pay period</v>
      </c>
      <c r="L150" s="38" t="str">
        <f aca="false">_xlfn.XLOOKUP($E150,$A$5:$A$8,$H$5:$H$8,"")</f>
        <v>Every pay period (ongoing)</v>
      </c>
      <c r="M150" s="43" t="n">
        <f aca="false" t="array" ref="M150:M150">MAX(_xlfn.XLOOKUP($A150,TRIM(SUBSTITUTE('worker file'!$A$2:$A$406,_xlfn.UNICHAR(160)," ")),'worker file'!$M$2:$M$406,0),_xlfn.XLOOKUP($B150,TRIM('pay group &amp; schedule'!$A$2:$A$6),'pay group &amp; schedule'!$D$2:$D$6,0))</f>
        <v>46311</v>
      </c>
      <c r="N150" s="43" t="str">
        <f aca="false" t="array" ref="N150:N150">_xlfn.LET(_xlpm.t,_xlfn.XLOOKUP($A150,TRIM(SUBSTITUTE('worker file'!$A$2:$A$406,_xlfn.UNICHAR(160)," ")),'worker file'!$N$2:$N$406,""),IF(N(_xlpm.t)=0,"",_xlpm.t))</f>
        <v/>
      </c>
    </row>
    <row r="151" customFormat="false" ht="15" hidden="false" customHeight="false" outlineLevel="0" collapsed="false">
      <c r="A151" s="39" t="s">
        <v>148</v>
      </c>
      <c r="B151" s="40" t="str">
        <f aca="false" t="array" ref="B151:B151">_xlfn.XLOOKUP($A151,TRIM(SUBSTITUTE('worker file'!$A$2:$A$406,_xlfn.UNICHAR(160)," ")),'worker file'!$L$2:$L$406,"Not found")</f>
        <v>US Semi-monthly</v>
      </c>
      <c r="C151" s="40" t="str">
        <f aca="false" t="array" ref="C151:C151">_xlfn.XLOOKUP($A151,TRIM(SUBSTITUTE('worker file'!$A$2:$A$406,_xlfn.UNICHAR(160)," ")),'worker file'!$D$2:$D$406,"Not found")</f>
        <v>CA</v>
      </c>
      <c r="D151" s="40" t="str">
        <f aca="false" t="array" ref="D151:D151">_xlfn.XLOOKUP($A151,TRIM(SUBSTITUTE('worker file'!$A$2:$A$406,_xlfn.UNICHAR(160)," ")),'worker file'!$Q$2:$Q$406,"Not found")</f>
        <v>Active</v>
      </c>
      <c r="E151" s="39" t="s">
        <v>634</v>
      </c>
      <c r="F151" s="38" t="str">
        <f aca="false">_xlfn.XLOOKUP($E151,$A$5:$A$8,$B$5:$B$8,"")</f>
        <v>Vision – Employee</v>
      </c>
      <c r="G151" s="38" t="str">
        <f aca="false">_xlfn.XLOOKUP($E151,$A$5:$A$8,$D$5:$D$8,"")</f>
        <v>Pre-tax Section 125 (exempt from FIT/SIT/FICA)</v>
      </c>
      <c r="H151" s="38" t="str">
        <f aca="false">_xlfn.XLOOKUP($E151,$A$5:$A$8,$E$5:$E$8,"")</f>
        <v>Flat</v>
      </c>
      <c r="I151" s="44" t="str">
        <f aca="false">IF($H151="Percent",_xlfn.XLOOKUP($E151,$A$5:$A$8,$F$5:$F$8,""),"")</f>
        <v/>
      </c>
      <c r="J151" s="42" t="n">
        <f aca="false">IF($H151="Flat",_xlfn.XLOOKUP($E151,$A$5:$A$8,$F$5:$F$8,""),"")</f>
        <v>30</v>
      </c>
      <c r="K151" s="38" t="str">
        <f aca="false">_xlfn.XLOOKUP($E151,$A$5:$A$8,$G$5:$G$8,"")</f>
        <v>Per pay period</v>
      </c>
      <c r="L151" s="38" t="str">
        <f aca="false">_xlfn.XLOOKUP($E151,$A$5:$A$8,$H$5:$H$8,"")</f>
        <v>Every pay period (ongoing)</v>
      </c>
      <c r="M151" s="43" t="n">
        <f aca="false" t="array" ref="M151:M151">MAX(_xlfn.XLOOKUP($A151,TRIM(SUBSTITUTE('worker file'!$A$2:$A$406,_xlfn.UNICHAR(160)," ")),'worker file'!$M$2:$M$406,0),_xlfn.XLOOKUP($B151,TRIM('pay group &amp; schedule'!$A$2:$A$6),'pay group &amp; schedule'!$D$2:$D$6,0))</f>
        <v>46311</v>
      </c>
      <c r="N151" s="43" t="str">
        <f aca="false" t="array" ref="N151:N151">_xlfn.LET(_xlpm.t,_xlfn.XLOOKUP($A151,TRIM(SUBSTITUTE('worker file'!$A$2:$A$406,_xlfn.UNICHAR(160)," ")),'worker file'!$N$2:$N$406,""),IF(N(_xlpm.t)=0,"",_xlpm.t))</f>
        <v/>
      </c>
    </row>
    <row r="152" customFormat="false" ht="15" hidden="false" customHeight="false" outlineLevel="0" collapsed="false">
      <c r="A152" s="39" t="s">
        <v>150</v>
      </c>
      <c r="B152" s="40" t="str">
        <f aca="false" t="array" ref="B152:B152">_xlfn.XLOOKUP($A152,TRIM(SUBSTITUTE('worker file'!$A$2:$A$406,_xlfn.UNICHAR(160)," ")),'worker file'!$L$2:$L$406,"Not found")</f>
        <v>US Biweekly</v>
      </c>
      <c r="C152" s="40" t="str">
        <f aca="false" t="array" ref="C152:C152">_xlfn.XLOOKUP($A152,TRIM(SUBSTITUTE('worker file'!$A$2:$A$406,_xlfn.UNICHAR(160)," ")),'worker file'!$D$2:$D$406,"Not found")</f>
        <v>TX</v>
      </c>
      <c r="D152" s="40" t="str">
        <f aca="false" t="array" ref="D152:D152">_xlfn.XLOOKUP($A152,TRIM(SUBSTITUTE('worker file'!$A$2:$A$406,_xlfn.UNICHAR(160)," ")),'worker file'!$Q$2:$Q$406,"Not found")</f>
        <v>Active</v>
      </c>
      <c r="E152" s="39" t="s">
        <v>618</v>
      </c>
      <c r="F152" s="38" t="str">
        <f aca="false">_xlfn.XLOOKUP($E152,$A$5:$A$8,$B$5:$B$8,"")</f>
        <v>401(k) Employee Deferral</v>
      </c>
      <c r="G152" s="38" t="str">
        <f aca="false">_xlfn.XLOOKUP($E152,$A$5:$A$8,$D$5:$D$8,"")</f>
        <v>Pre-tax (exempt from FIT/SIT; subject to FICA)</v>
      </c>
      <c r="H152" s="38" t="str">
        <f aca="false">_xlfn.XLOOKUP($E152,$A$5:$A$8,$E$5:$E$8,"")</f>
        <v>Percent</v>
      </c>
      <c r="I152" s="41" t="n">
        <v>0.07</v>
      </c>
      <c r="J152" s="42" t="str">
        <f aca="false">IF($H152="Flat",_xlfn.XLOOKUP($E152,$A$5:$A$8,$F$5:$F$8,""),"")</f>
        <v/>
      </c>
      <c r="K152" s="38" t="str">
        <f aca="false">_xlfn.XLOOKUP($E152,$A$5:$A$8,$G$5:$G$8,"")</f>
        <v>Gross pay</v>
      </c>
      <c r="L152" s="38" t="str">
        <f aca="false">_xlfn.XLOOKUP($E152,$A$5:$A$8,$H$5:$H$8,"")</f>
        <v>Every pay period (ongoing)</v>
      </c>
      <c r="M152" s="43" t="n">
        <f aca="false" t="array" ref="M152:M152">MAX(_xlfn.XLOOKUP($A152,TRIM(SUBSTITUTE('worker file'!$A$2:$A$406,_xlfn.UNICHAR(160)," ")),'worker file'!$M$2:$M$406,0),_xlfn.XLOOKUP($B152,TRIM('pay group &amp; schedule'!$A$2:$A$6),'pay group &amp; schedule'!$D$2:$D$6,0))</f>
        <v>46299</v>
      </c>
      <c r="N152" s="43" t="str">
        <f aca="false" t="array" ref="N152:N152">_xlfn.LET(_xlpm.t,_xlfn.XLOOKUP($A152,TRIM(SUBSTITUTE('worker file'!$A$2:$A$406,_xlfn.UNICHAR(160)," ")),'worker file'!$N$2:$N$406,""),IF(N(_xlpm.t)=0,"",_xlpm.t))</f>
        <v/>
      </c>
    </row>
    <row r="153" customFormat="false" ht="15" hidden="false" customHeight="false" outlineLevel="0" collapsed="false">
      <c r="A153" s="39" t="s">
        <v>150</v>
      </c>
      <c r="B153" s="40" t="str">
        <f aca="false" t="array" ref="B153:B153">_xlfn.XLOOKUP($A153,TRIM(SUBSTITUTE('worker file'!$A$2:$A$406,_xlfn.UNICHAR(160)," ")),'worker file'!$L$2:$L$406,"Not found")</f>
        <v>US Biweekly</v>
      </c>
      <c r="C153" s="40" t="str">
        <f aca="false" t="array" ref="C153:C153">_xlfn.XLOOKUP($A153,TRIM(SUBSTITUTE('worker file'!$A$2:$A$406,_xlfn.UNICHAR(160)," ")),'worker file'!$D$2:$D$406,"Not found")</f>
        <v>TX</v>
      </c>
      <c r="D153" s="40" t="str">
        <f aca="false" t="array" ref="D153:D153">_xlfn.XLOOKUP($A153,TRIM(SUBSTITUTE('worker file'!$A$2:$A$406,_xlfn.UNICHAR(160)," ")),'worker file'!$Q$2:$Q$406,"Not found")</f>
        <v>Active</v>
      </c>
      <c r="E153" s="39" t="s">
        <v>626</v>
      </c>
      <c r="F153" s="38" t="str">
        <f aca="false">_xlfn.XLOOKUP($E153,$A$5:$A$8,$B$5:$B$8,"")</f>
        <v>Medical (Health) – Employee</v>
      </c>
      <c r="G153" s="38" t="str">
        <f aca="false">_xlfn.XLOOKUP($E153,$A$5:$A$8,$D$5:$D$8,"")</f>
        <v>Pre-tax Section 125 (exempt from FIT/SIT/FICA)</v>
      </c>
      <c r="H153" s="38" t="str">
        <f aca="false">_xlfn.XLOOKUP($E153,$A$5:$A$8,$E$5:$E$8,"")</f>
        <v>Flat</v>
      </c>
      <c r="I153" s="44" t="str">
        <f aca="false">IF($H153="Percent",_xlfn.XLOOKUP($E153,$A$5:$A$8,$F$5:$F$8,""),"")</f>
        <v/>
      </c>
      <c r="J153" s="42" t="n">
        <f aca="false">IF($H153="Flat",_xlfn.XLOOKUP($E153,$A$5:$A$8,$F$5:$F$8,""),"")</f>
        <v>200</v>
      </c>
      <c r="K153" s="38" t="str">
        <f aca="false">_xlfn.XLOOKUP($E153,$A$5:$A$8,$G$5:$G$8,"")</f>
        <v>Per pay period</v>
      </c>
      <c r="L153" s="38" t="str">
        <f aca="false">_xlfn.XLOOKUP($E153,$A$5:$A$8,$H$5:$H$8,"")</f>
        <v>Every pay period (ongoing)</v>
      </c>
      <c r="M153" s="43" t="n">
        <f aca="false" t="array" ref="M153:M153">MAX(_xlfn.XLOOKUP($A153,TRIM(SUBSTITUTE('worker file'!$A$2:$A$406,_xlfn.UNICHAR(160)," ")),'worker file'!$M$2:$M$406,0),_xlfn.XLOOKUP($B153,TRIM('pay group &amp; schedule'!$A$2:$A$6),'pay group &amp; schedule'!$D$2:$D$6,0))</f>
        <v>46299</v>
      </c>
      <c r="N153" s="43" t="str">
        <f aca="false" t="array" ref="N153:N153">_xlfn.LET(_xlpm.t,_xlfn.XLOOKUP($A153,TRIM(SUBSTITUTE('worker file'!$A$2:$A$406,_xlfn.UNICHAR(160)," ")),'worker file'!$N$2:$N$406,""),IF(N(_xlpm.t)=0,"",_xlpm.t))</f>
        <v/>
      </c>
    </row>
    <row r="154" customFormat="false" ht="15" hidden="false" customHeight="false" outlineLevel="0" collapsed="false">
      <c r="A154" s="39" t="s">
        <v>150</v>
      </c>
      <c r="B154" s="40" t="str">
        <f aca="false" t="array" ref="B154:B154">_xlfn.XLOOKUP($A154,TRIM(SUBSTITUTE('worker file'!$A$2:$A$406,_xlfn.UNICHAR(160)," ")),'worker file'!$L$2:$L$406,"Not found")</f>
        <v>US Biweekly</v>
      </c>
      <c r="C154" s="40" t="str">
        <f aca="false" t="array" ref="C154:C154">_xlfn.XLOOKUP($A154,TRIM(SUBSTITUTE('worker file'!$A$2:$A$406,_xlfn.UNICHAR(160)," ")),'worker file'!$D$2:$D$406,"Not found")</f>
        <v>TX</v>
      </c>
      <c r="D154" s="40" t="str">
        <f aca="false" t="array" ref="D154:D154">_xlfn.XLOOKUP($A154,TRIM(SUBSTITUTE('worker file'!$A$2:$A$406,_xlfn.UNICHAR(160)," ")),'worker file'!$Q$2:$Q$406,"Not found")</f>
        <v>Active</v>
      </c>
      <c r="E154" s="39" t="s">
        <v>632</v>
      </c>
      <c r="F154" s="38" t="str">
        <f aca="false">_xlfn.XLOOKUP($E154,$A$5:$A$8,$B$5:$B$8,"")</f>
        <v>Dental – Employee</v>
      </c>
      <c r="G154" s="38" t="str">
        <f aca="false">_xlfn.XLOOKUP($E154,$A$5:$A$8,$D$5:$D$8,"")</f>
        <v>Pre-tax Section 125 (exempt from FIT/SIT/FICA)</v>
      </c>
      <c r="H154" s="38" t="str">
        <f aca="false">_xlfn.XLOOKUP($E154,$A$5:$A$8,$E$5:$E$8,"")</f>
        <v>Flat</v>
      </c>
      <c r="I154" s="44" t="str">
        <f aca="false">IF($H154="Percent",_xlfn.XLOOKUP($E154,$A$5:$A$8,$F$5:$F$8,""),"")</f>
        <v/>
      </c>
      <c r="J154" s="42" t="n">
        <f aca="false">IF($H154="Flat",_xlfn.XLOOKUP($E154,$A$5:$A$8,$F$5:$F$8,""),"")</f>
        <v>44</v>
      </c>
      <c r="K154" s="38" t="str">
        <f aca="false">_xlfn.XLOOKUP($E154,$A$5:$A$8,$G$5:$G$8,"")</f>
        <v>Per pay period</v>
      </c>
      <c r="L154" s="38" t="str">
        <f aca="false">_xlfn.XLOOKUP($E154,$A$5:$A$8,$H$5:$H$8,"")</f>
        <v>Every pay period (ongoing)</v>
      </c>
      <c r="M154" s="43" t="n">
        <f aca="false" t="array" ref="M154:M154">MAX(_xlfn.XLOOKUP($A154,TRIM(SUBSTITUTE('worker file'!$A$2:$A$406,_xlfn.UNICHAR(160)," ")),'worker file'!$M$2:$M$406,0),_xlfn.XLOOKUP($B154,TRIM('pay group &amp; schedule'!$A$2:$A$6),'pay group &amp; schedule'!$D$2:$D$6,0))</f>
        <v>46299</v>
      </c>
      <c r="N154" s="43" t="str">
        <f aca="false" t="array" ref="N154:N154">_xlfn.LET(_xlpm.t,_xlfn.XLOOKUP($A154,TRIM(SUBSTITUTE('worker file'!$A$2:$A$406,_xlfn.UNICHAR(160)," ")),'worker file'!$N$2:$N$406,""),IF(N(_xlpm.t)=0,"",_xlpm.t))</f>
        <v/>
      </c>
    </row>
    <row r="155" customFormat="false" ht="15" hidden="false" customHeight="false" outlineLevel="0" collapsed="false">
      <c r="A155" s="39" t="s">
        <v>150</v>
      </c>
      <c r="B155" s="40" t="str">
        <f aca="false" t="array" ref="B155:B155">_xlfn.XLOOKUP($A155,TRIM(SUBSTITUTE('worker file'!$A$2:$A$406,_xlfn.UNICHAR(160)," ")),'worker file'!$L$2:$L$406,"Not found")</f>
        <v>US Biweekly</v>
      </c>
      <c r="C155" s="40" t="str">
        <f aca="false" t="array" ref="C155:C155">_xlfn.XLOOKUP($A155,TRIM(SUBSTITUTE('worker file'!$A$2:$A$406,_xlfn.UNICHAR(160)," ")),'worker file'!$D$2:$D$406,"Not found")</f>
        <v>TX</v>
      </c>
      <c r="D155" s="40" t="str">
        <f aca="false" t="array" ref="D155:D155">_xlfn.XLOOKUP($A155,TRIM(SUBSTITUTE('worker file'!$A$2:$A$406,_xlfn.UNICHAR(160)," ")),'worker file'!$Q$2:$Q$406,"Not found")</f>
        <v>Active</v>
      </c>
      <c r="E155" s="39" t="s">
        <v>634</v>
      </c>
      <c r="F155" s="38" t="str">
        <f aca="false">_xlfn.XLOOKUP($E155,$A$5:$A$8,$B$5:$B$8,"")</f>
        <v>Vision – Employee</v>
      </c>
      <c r="G155" s="38" t="str">
        <f aca="false">_xlfn.XLOOKUP($E155,$A$5:$A$8,$D$5:$D$8,"")</f>
        <v>Pre-tax Section 125 (exempt from FIT/SIT/FICA)</v>
      </c>
      <c r="H155" s="38" t="str">
        <f aca="false">_xlfn.XLOOKUP($E155,$A$5:$A$8,$E$5:$E$8,"")</f>
        <v>Flat</v>
      </c>
      <c r="I155" s="44" t="str">
        <f aca="false">IF($H155="Percent",_xlfn.XLOOKUP($E155,$A$5:$A$8,$F$5:$F$8,""),"")</f>
        <v/>
      </c>
      <c r="J155" s="42" t="n">
        <f aca="false">IF($H155="Flat",_xlfn.XLOOKUP($E155,$A$5:$A$8,$F$5:$F$8,""),"")</f>
        <v>30</v>
      </c>
      <c r="K155" s="38" t="str">
        <f aca="false">_xlfn.XLOOKUP($E155,$A$5:$A$8,$G$5:$G$8,"")</f>
        <v>Per pay period</v>
      </c>
      <c r="L155" s="38" t="str">
        <f aca="false">_xlfn.XLOOKUP($E155,$A$5:$A$8,$H$5:$H$8,"")</f>
        <v>Every pay period (ongoing)</v>
      </c>
      <c r="M155" s="43" t="n">
        <f aca="false" t="array" ref="M155:M155">MAX(_xlfn.XLOOKUP($A155,TRIM(SUBSTITUTE('worker file'!$A$2:$A$406,_xlfn.UNICHAR(160)," ")),'worker file'!$M$2:$M$406,0),_xlfn.XLOOKUP($B155,TRIM('pay group &amp; schedule'!$A$2:$A$6),'pay group &amp; schedule'!$D$2:$D$6,0))</f>
        <v>46299</v>
      </c>
      <c r="N155" s="43" t="str">
        <f aca="false" t="array" ref="N155:N155">_xlfn.LET(_xlpm.t,_xlfn.XLOOKUP($A155,TRIM(SUBSTITUTE('worker file'!$A$2:$A$406,_xlfn.UNICHAR(160)," ")),'worker file'!$N$2:$N$406,""),IF(N(_xlpm.t)=0,"",_xlpm.t))</f>
        <v/>
      </c>
    </row>
    <row r="156" customFormat="false" ht="15" hidden="false" customHeight="false" outlineLevel="0" collapsed="false">
      <c r="A156" s="39" t="s">
        <v>152</v>
      </c>
      <c r="B156" s="40" t="str">
        <f aca="false" t="array" ref="B156:B156">_xlfn.XLOOKUP($A156,TRIM(SUBSTITUTE('worker file'!$A$2:$A$406,_xlfn.UNICHAR(160)," ")),'worker file'!$L$2:$L$406,"Not found")</f>
        <v>US Semi-monthly</v>
      </c>
      <c r="C156" s="40" t="str">
        <f aca="false" t="array" ref="C156:C156">_xlfn.XLOOKUP($A156,TRIM(SUBSTITUTE('worker file'!$A$2:$A$406,_xlfn.UNICHAR(160)," ")),'worker file'!$D$2:$D$406,"Not found")</f>
        <v>CA</v>
      </c>
      <c r="D156" s="40" t="str">
        <f aca="false" t="array" ref="D156:D156">_xlfn.XLOOKUP($A156,TRIM(SUBSTITUTE('worker file'!$A$2:$A$406,_xlfn.UNICHAR(160)," ")),'worker file'!$Q$2:$Q$406,"Not found")</f>
        <v>Active</v>
      </c>
      <c r="E156" s="39" t="s">
        <v>618</v>
      </c>
      <c r="F156" s="38" t="str">
        <f aca="false">_xlfn.XLOOKUP($E156,$A$5:$A$8,$B$5:$B$8,"")</f>
        <v>401(k) Employee Deferral</v>
      </c>
      <c r="G156" s="38" t="str">
        <f aca="false">_xlfn.XLOOKUP($E156,$A$5:$A$8,$D$5:$D$8,"")</f>
        <v>Pre-tax (exempt from FIT/SIT; subject to FICA)</v>
      </c>
      <c r="H156" s="38" t="str">
        <f aca="false">_xlfn.XLOOKUP($E156,$A$5:$A$8,$E$5:$E$8,"")</f>
        <v>Percent</v>
      </c>
      <c r="I156" s="41" t="n">
        <v>0.04</v>
      </c>
      <c r="J156" s="42" t="str">
        <f aca="false">IF($H156="Flat",_xlfn.XLOOKUP($E156,$A$5:$A$8,$F$5:$F$8,""),"")</f>
        <v/>
      </c>
      <c r="K156" s="38" t="str">
        <f aca="false">_xlfn.XLOOKUP($E156,$A$5:$A$8,$G$5:$G$8,"")</f>
        <v>Gross pay</v>
      </c>
      <c r="L156" s="38" t="str">
        <f aca="false">_xlfn.XLOOKUP($E156,$A$5:$A$8,$H$5:$H$8,"")</f>
        <v>Every pay period (ongoing)</v>
      </c>
      <c r="M156" s="43" t="n">
        <f aca="false" t="array" ref="M156:M156">MAX(_xlfn.XLOOKUP($A156,TRIM(SUBSTITUTE('worker file'!$A$2:$A$406,_xlfn.UNICHAR(160)," ")),'worker file'!$M$2:$M$406,0),_xlfn.XLOOKUP($B156,TRIM('pay group &amp; schedule'!$A$2:$A$6),'pay group &amp; schedule'!$D$2:$D$6,0))</f>
        <v>46311</v>
      </c>
      <c r="N156" s="43" t="str">
        <f aca="false" t="array" ref="N156:N156">_xlfn.LET(_xlpm.t,_xlfn.XLOOKUP($A156,TRIM(SUBSTITUTE('worker file'!$A$2:$A$406,_xlfn.UNICHAR(160)," ")),'worker file'!$N$2:$N$406,""),IF(N(_xlpm.t)=0,"",_xlpm.t))</f>
        <v/>
      </c>
    </row>
    <row r="157" customFormat="false" ht="15" hidden="false" customHeight="false" outlineLevel="0" collapsed="false">
      <c r="A157" s="39" t="s">
        <v>152</v>
      </c>
      <c r="B157" s="40" t="str">
        <f aca="false" t="array" ref="B157:B157">_xlfn.XLOOKUP($A157,TRIM(SUBSTITUTE('worker file'!$A$2:$A$406,_xlfn.UNICHAR(160)," ")),'worker file'!$L$2:$L$406,"Not found")</f>
        <v>US Semi-monthly</v>
      </c>
      <c r="C157" s="40" t="str">
        <f aca="false" t="array" ref="C157:C157">_xlfn.XLOOKUP($A157,TRIM(SUBSTITUTE('worker file'!$A$2:$A$406,_xlfn.UNICHAR(160)," ")),'worker file'!$D$2:$D$406,"Not found")</f>
        <v>CA</v>
      </c>
      <c r="D157" s="40" t="str">
        <f aca="false" t="array" ref="D157:D157">_xlfn.XLOOKUP($A157,TRIM(SUBSTITUTE('worker file'!$A$2:$A$406,_xlfn.UNICHAR(160)," ")),'worker file'!$Q$2:$Q$406,"Not found")</f>
        <v>Active</v>
      </c>
      <c r="E157" s="39" t="s">
        <v>626</v>
      </c>
      <c r="F157" s="38" t="str">
        <f aca="false">_xlfn.XLOOKUP($E157,$A$5:$A$8,$B$5:$B$8,"")</f>
        <v>Medical (Health) – Employee</v>
      </c>
      <c r="G157" s="38" t="str">
        <f aca="false">_xlfn.XLOOKUP($E157,$A$5:$A$8,$D$5:$D$8,"")</f>
        <v>Pre-tax Section 125 (exempt from FIT/SIT/FICA)</v>
      </c>
      <c r="H157" s="38" t="str">
        <f aca="false">_xlfn.XLOOKUP($E157,$A$5:$A$8,$E$5:$E$8,"")</f>
        <v>Flat</v>
      </c>
      <c r="I157" s="44" t="str">
        <f aca="false">IF($H157="Percent",_xlfn.XLOOKUP($E157,$A$5:$A$8,$F$5:$F$8,""),"")</f>
        <v/>
      </c>
      <c r="J157" s="42" t="n">
        <f aca="false">IF($H157="Flat",_xlfn.XLOOKUP($E157,$A$5:$A$8,$F$5:$F$8,""),"")</f>
        <v>200</v>
      </c>
      <c r="K157" s="38" t="str">
        <f aca="false">_xlfn.XLOOKUP($E157,$A$5:$A$8,$G$5:$G$8,"")</f>
        <v>Per pay period</v>
      </c>
      <c r="L157" s="38" t="str">
        <f aca="false">_xlfn.XLOOKUP($E157,$A$5:$A$8,$H$5:$H$8,"")</f>
        <v>Every pay period (ongoing)</v>
      </c>
      <c r="M157" s="43" t="n">
        <f aca="false" t="array" ref="M157:M157">MAX(_xlfn.XLOOKUP($A157,TRIM(SUBSTITUTE('worker file'!$A$2:$A$406,_xlfn.UNICHAR(160)," ")),'worker file'!$M$2:$M$406,0),_xlfn.XLOOKUP($B157,TRIM('pay group &amp; schedule'!$A$2:$A$6),'pay group &amp; schedule'!$D$2:$D$6,0))</f>
        <v>46311</v>
      </c>
      <c r="N157" s="43" t="str">
        <f aca="false" t="array" ref="N157:N157">_xlfn.LET(_xlpm.t,_xlfn.XLOOKUP($A157,TRIM(SUBSTITUTE('worker file'!$A$2:$A$406,_xlfn.UNICHAR(160)," ")),'worker file'!$N$2:$N$406,""),IF(N(_xlpm.t)=0,"",_xlpm.t))</f>
        <v/>
      </c>
    </row>
    <row r="158" customFormat="false" ht="15" hidden="false" customHeight="false" outlineLevel="0" collapsed="false">
      <c r="A158" s="39" t="s">
        <v>152</v>
      </c>
      <c r="B158" s="40" t="str">
        <f aca="false" t="array" ref="B158:B158">_xlfn.XLOOKUP($A158,TRIM(SUBSTITUTE('worker file'!$A$2:$A$406,_xlfn.UNICHAR(160)," ")),'worker file'!$L$2:$L$406,"Not found")</f>
        <v>US Semi-monthly</v>
      </c>
      <c r="C158" s="40" t="str">
        <f aca="false" t="array" ref="C158:C158">_xlfn.XLOOKUP($A158,TRIM(SUBSTITUTE('worker file'!$A$2:$A$406,_xlfn.UNICHAR(160)," ")),'worker file'!$D$2:$D$406,"Not found")</f>
        <v>CA</v>
      </c>
      <c r="D158" s="40" t="str">
        <f aca="false" t="array" ref="D158:D158">_xlfn.XLOOKUP($A158,TRIM(SUBSTITUTE('worker file'!$A$2:$A$406,_xlfn.UNICHAR(160)," ")),'worker file'!$Q$2:$Q$406,"Not found")</f>
        <v>Active</v>
      </c>
      <c r="E158" s="39" t="s">
        <v>632</v>
      </c>
      <c r="F158" s="38" t="str">
        <f aca="false">_xlfn.XLOOKUP($E158,$A$5:$A$8,$B$5:$B$8,"")</f>
        <v>Dental – Employee</v>
      </c>
      <c r="G158" s="38" t="str">
        <f aca="false">_xlfn.XLOOKUP($E158,$A$5:$A$8,$D$5:$D$8,"")</f>
        <v>Pre-tax Section 125 (exempt from FIT/SIT/FICA)</v>
      </c>
      <c r="H158" s="38" t="str">
        <f aca="false">_xlfn.XLOOKUP($E158,$A$5:$A$8,$E$5:$E$8,"")</f>
        <v>Flat</v>
      </c>
      <c r="I158" s="44" t="str">
        <f aca="false">IF($H158="Percent",_xlfn.XLOOKUP($E158,$A$5:$A$8,$F$5:$F$8,""),"")</f>
        <v/>
      </c>
      <c r="J158" s="42" t="n">
        <f aca="false">IF($H158="Flat",_xlfn.XLOOKUP($E158,$A$5:$A$8,$F$5:$F$8,""),"")</f>
        <v>44</v>
      </c>
      <c r="K158" s="38" t="str">
        <f aca="false">_xlfn.XLOOKUP($E158,$A$5:$A$8,$G$5:$G$8,"")</f>
        <v>Per pay period</v>
      </c>
      <c r="L158" s="38" t="str">
        <f aca="false">_xlfn.XLOOKUP($E158,$A$5:$A$8,$H$5:$H$8,"")</f>
        <v>Every pay period (ongoing)</v>
      </c>
      <c r="M158" s="43" t="n">
        <f aca="false" t="array" ref="M158:M158">MAX(_xlfn.XLOOKUP($A158,TRIM(SUBSTITUTE('worker file'!$A$2:$A$406,_xlfn.UNICHAR(160)," ")),'worker file'!$M$2:$M$406,0),_xlfn.XLOOKUP($B158,TRIM('pay group &amp; schedule'!$A$2:$A$6),'pay group &amp; schedule'!$D$2:$D$6,0))</f>
        <v>46311</v>
      </c>
      <c r="N158" s="43" t="str">
        <f aca="false" t="array" ref="N158:N158">_xlfn.LET(_xlpm.t,_xlfn.XLOOKUP($A158,TRIM(SUBSTITUTE('worker file'!$A$2:$A$406,_xlfn.UNICHAR(160)," ")),'worker file'!$N$2:$N$406,""),IF(N(_xlpm.t)=0,"",_xlpm.t))</f>
        <v/>
      </c>
    </row>
    <row r="159" customFormat="false" ht="15" hidden="false" customHeight="false" outlineLevel="0" collapsed="false">
      <c r="A159" s="39" t="s">
        <v>152</v>
      </c>
      <c r="B159" s="40" t="str">
        <f aca="false" t="array" ref="B159:B159">_xlfn.XLOOKUP($A159,TRIM(SUBSTITUTE('worker file'!$A$2:$A$406,_xlfn.UNICHAR(160)," ")),'worker file'!$L$2:$L$406,"Not found")</f>
        <v>US Semi-monthly</v>
      </c>
      <c r="C159" s="40" t="str">
        <f aca="false" t="array" ref="C159:C159">_xlfn.XLOOKUP($A159,TRIM(SUBSTITUTE('worker file'!$A$2:$A$406,_xlfn.UNICHAR(160)," ")),'worker file'!$D$2:$D$406,"Not found")</f>
        <v>CA</v>
      </c>
      <c r="D159" s="40" t="str">
        <f aca="false" t="array" ref="D159:D159">_xlfn.XLOOKUP($A159,TRIM(SUBSTITUTE('worker file'!$A$2:$A$406,_xlfn.UNICHAR(160)," ")),'worker file'!$Q$2:$Q$406,"Not found")</f>
        <v>Active</v>
      </c>
      <c r="E159" s="39" t="s">
        <v>634</v>
      </c>
      <c r="F159" s="38" t="str">
        <f aca="false">_xlfn.XLOOKUP($E159,$A$5:$A$8,$B$5:$B$8,"")</f>
        <v>Vision – Employee</v>
      </c>
      <c r="G159" s="38" t="str">
        <f aca="false">_xlfn.XLOOKUP($E159,$A$5:$A$8,$D$5:$D$8,"")</f>
        <v>Pre-tax Section 125 (exempt from FIT/SIT/FICA)</v>
      </c>
      <c r="H159" s="38" t="str">
        <f aca="false">_xlfn.XLOOKUP($E159,$A$5:$A$8,$E$5:$E$8,"")</f>
        <v>Flat</v>
      </c>
      <c r="I159" s="44" t="str">
        <f aca="false">IF($H159="Percent",_xlfn.XLOOKUP($E159,$A$5:$A$8,$F$5:$F$8,""),"")</f>
        <v/>
      </c>
      <c r="J159" s="42" t="n">
        <f aca="false">IF($H159="Flat",_xlfn.XLOOKUP($E159,$A$5:$A$8,$F$5:$F$8,""),"")</f>
        <v>30</v>
      </c>
      <c r="K159" s="38" t="str">
        <f aca="false">_xlfn.XLOOKUP($E159,$A$5:$A$8,$G$5:$G$8,"")</f>
        <v>Per pay period</v>
      </c>
      <c r="L159" s="38" t="str">
        <f aca="false">_xlfn.XLOOKUP($E159,$A$5:$A$8,$H$5:$H$8,"")</f>
        <v>Every pay period (ongoing)</v>
      </c>
      <c r="M159" s="43" t="n">
        <f aca="false" t="array" ref="M159:M159">MAX(_xlfn.XLOOKUP($A159,TRIM(SUBSTITUTE('worker file'!$A$2:$A$406,_xlfn.UNICHAR(160)," ")),'worker file'!$M$2:$M$406,0),_xlfn.XLOOKUP($B159,TRIM('pay group &amp; schedule'!$A$2:$A$6),'pay group &amp; schedule'!$D$2:$D$6,0))</f>
        <v>46311</v>
      </c>
      <c r="N159" s="43" t="str">
        <f aca="false" t="array" ref="N159:N159">_xlfn.LET(_xlpm.t,_xlfn.XLOOKUP($A159,TRIM(SUBSTITUTE('worker file'!$A$2:$A$406,_xlfn.UNICHAR(160)," ")),'worker file'!$N$2:$N$406,""),IF(N(_xlpm.t)=0,"",_xlpm.t))</f>
        <v/>
      </c>
    </row>
    <row r="160" customFormat="false" ht="15" hidden="false" customHeight="false" outlineLevel="0" collapsed="false">
      <c r="A160" s="39" t="s">
        <v>153</v>
      </c>
      <c r="B160" s="40" t="str">
        <f aca="false" t="array" ref="B160:B160">_xlfn.XLOOKUP($A160,TRIM(SUBSTITUTE('worker file'!$A$2:$A$406,_xlfn.UNICHAR(160)," ")),'worker file'!$L$2:$L$406,"Not found")</f>
        <v>US Semi-monthly</v>
      </c>
      <c r="C160" s="40" t="str">
        <f aca="false" t="array" ref="C160:C160">_xlfn.XLOOKUP($A160,TRIM(SUBSTITUTE('worker file'!$A$2:$A$406,_xlfn.UNICHAR(160)," ")),'worker file'!$D$2:$D$406,"Not found")</f>
        <v>MA</v>
      </c>
      <c r="D160" s="40" t="str">
        <f aca="false" t="array" ref="D160:D160">_xlfn.XLOOKUP($A160,TRIM(SUBSTITUTE('worker file'!$A$2:$A$406,_xlfn.UNICHAR(160)," ")),'worker file'!$Q$2:$Q$406,"Not found")</f>
        <v>Active</v>
      </c>
      <c r="E160" s="39" t="s">
        <v>618</v>
      </c>
      <c r="F160" s="38" t="str">
        <f aca="false">_xlfn.XLOOKUP($E160,$A$5:$A$8,$B$5:$B$8,"")</f>
        <v>401(k) Employee Deferral</v>
      </c>
      <c r="G160" s="38" t="str">
        <f aca="false">_xlfn.XLOOKUP($E160,$A$5:$A$8,$D$5:$D$8,"")</f>
        <v>Pre-tax (exempt from FIT/SIT; subject to FICA)</v>
      </c>
      <c r="H160" s="38" t="str">
        <f aca="false">_xlfn.XLOOKUP($E160,$A$5:$A$8,$E$5:$E$8,"")</f>
        <v>Percent</v>
      </c>
      <c r="I160" s="41" t="n">
        <v>0.01</v>
      </c>
      <c r="J160" s="42" t="str">
        <f aca="false">IF($H160="Flat",_xlfn.XLOOKUP($E160,$A$5:$A$8,$F$5:$F$8,""),"")</f>
        <v/>
      </c>
      <c r="K160" s="38" t="str">
        <f aca="false">_xlfn.XLOOKUP($E160,$A$5:$A$8,$G$5:$G$8,"")</f>
        <v>Gross pay</v>
      </c>
      <c r="L160" s="38" t="str">
        <f aca="false">_xlfn.XLOOKUP($E160,$A$5:$A$8,$H$5:$H$8,"")</f>
        <v>Every pay period (ongoing)</v>
      </c>
      <c r="M160" s="43" t="n">
        <f aca="false" t="array" ref="M160:M160">MAX(_xlfn.XLOOKUP($A160,TRIM(SUBSTITUTE('worker file'!$A$2:$A$406,_xlfn.UNICHAR(160)," ")),'worker file'!$M$2:$M$406,0),_xlfn.XLOOKUP($B160,TRIM('pay group &amp; schedule'!$A$2:$A$6),'pay group &amp; schedule'!$D$2:$D$6,0))</f>
        <v>46311</v>
      </c>
      <c r="N160" s="43" t="str">
        <f aca="false" t="array" ref="N160:N160">_xlfn.LET(_xlpm.t,_xlfn.XLOOKUP($A160,TRIM(SUBSTITUTE('worker file'!$A$2:$A$406,_xlfn.UNICHAR(160)," ")),'worker file'!$N$2:$N$406,""),IF(N(_xlpm.t)=0,"",_xlpm.t))</f>
        <v/>
      </c>
    </row>
    <row r="161" customFormat="false" ht="15" hidden="false" customHeight="false" outlineLevel="0" collapsed="false">
      <c r="A161" s="39" t="s">
        <v>153</v>
      </c>
      <c r="B161" s="40" t="str">
        <f aca="false" t="array" ref="B161:B161">_xlfn.XLOOKUP($A161,TRIM(SUBSTITUTE('worker file'!$A$2:$A$406,_xlfn.UNICHAR(160)," ")),'worker file'!$L$2:$L$406,"Not found")</f>
        <v>US Semi-monthly</v>
      </c>
      <c r="C161" s="40" t="str">
        <f aca="false" t="array" ref="C161:C161">_xlfn.XLOOKUP($A161,TRIM(SUBSTITUTE('worker file'!$A$2:$A$406,_xlfn.UNICHAR(160)," ")),'worker file'!$D$2:$D$406,"Not found")</f>
        <v>MA</v>
      </c>
      <c r="D161" s="40" t="str">
        <f aca="false" t="array" ref="D161:D161">_xlfn.XLOOKUP($A161,TRIM(SUBSTITUTE('worker file'!$A$2:$A$406,_xlfn.UNICHAR(160)," ")),'worker file'!$Q$2:$Q$406,"Not found")</f>
        <v>Active</v>
      </c>
      <c r="E161" s="39" t="s">
        <v>626</v>
      </c>
      <c r="F161" s="38" t="str">
        <f aca="false">_xlfn.XLOOKUP($E161,$A$5:$A$8,$B$5:$B$8,"")</f>
        <v>Medical (Health) – Employee</v>
      </c>
      <c r="G161" s="38" t="str">
        <f aca="false">_xlfn.XLOOKUP($E161,$A$5:$A$8,$D$5:$D$8,"")</f>
        <v>Pre-tax Section 125 (exempt from FIT/SIT/FICA)</v>
      </c>
      <c r="H161" s="38" t="str">
        <f aca="false">_xlfn.XLOOKUP($E161,$A$5:$A$8,$E$5:$E$8,"")</f>
        <v>Flat</v>
      </c>
      <c r="I161" s="44" t="str">
        <f aca="false">IF($H161="Percent",_xlfn.XLOOKUP($E161,$A$5:$A$8,$F$5:$F$8,""),"")</f>
        <v/>
      </c>
      <c r="J161" s="42" t="n">
        <f aca="false">IF($H161="Flat",_xlfn.XLOOKUP($E161,$A$5:$A$8,$F$5:$F$8,""),"")</f>
        <v>200</v>
      </c>
      <c r="K161" s="38" t="str">
        <f aca="false">_xlfn.XLOOKUP($E161,$A$5:$A$8,$G$5:$G$8,"")</f>
        <v>Per pay period</v>
      </c>
      <c r="L161" s="38" t="str">
        <f aca="false">_xlfn.XLOOKUP($E161,$A$5:$A$8,$H$5:$H$8,"")</f>
        <v>Every pay period (ongoing)</v>
      </c>
      <c r="M161" s="43" t="n">
        <f aca="false" t="array" ref="M161:M161">MAX(_xlfn.XLOOKUP($A161,TRIM(SUBSTITUTE('worker file'!$A$2:$A$406,_xlfn.UNICHAR(160)," ")),'worker file'!$M$2:$M$406,0),_xlfn.XLOOKUP($B161,TRIM('pay group &amp; schedule'!$A$2:$A$6),'pay group &amp; schedule'!$D$2:$D$6,0))</f>
        <v>46311</v>
      </c>
      <c r="N161" s="43" t="str">
        <f aca="false" t="array" ref="N161:N161">_xlfn.LET(_xlpm.t,_xlfn.XLOOKUP($A161,TRIM(SUBSTITUTE('worker file'!$A$2:$A$406,_xlfn.UNICHAR(160)," ")),'worker file'!$N$2:$N$406,""),IF(N(_xlpm.t)=0,"",_xlpm.t))</f>
        <v/>
      </c>
    </row>
    <row r="162" customFormat="false" ht="15" hidden="false" customHeight="false" outlineLevel="0" collapsed="false">
      <c r="A162" s="39" t="s">
        <v>153</v>
      </c>
      <c r="B162" s="40" t="str">
        <f aca="false" t="array" ref="B162:B162">_xlfn.XLOOKUP($A162,TRIM(SUBSTITUTE('worker file'!$A$2:$A$406,_xlfn.UNICHAR(160)," ")),'worker file'!$L$2:$L$406,"Not found")</f>
        <v>US Semi-monthly</v>
      </c>
      <c r="C162" s="40" t="str">
        <f aca="false" t="array" ref="C162:C162">_xlfn.XLOOKUP($A162,TRIM(SUBSTITUTE('worker file'!$A$2:$A$406,_xlfn.UNICHAR(160)," ")),'worker file'!$D$2:$D$406,"Not found")</f>
        <v>MA</v>
      </c>
      <c r="D162" s="40" t="str">
        <f aca="false" t="array" ref="D162:D162">_xlfn.XLOOKUP($A162,TRIM(SUBSTITUTE('worker file'!$A$2:$A$406,_xlfn.UNICHAR(160)," ")),'worker file'!$Q$2:$Q$406,"Not found")</f>
        <v>Active</v>
      </c>
      <c r="E162" s="39" t="s">
        <v>632</v>
      </c>
      <c r="F162" s="38" t="str">
        <f aca="false">_xlfn.XLOOKUP($E162,$A$5:$A$8,$B$5:$B$8,"")</f>
        <v>Dental – Employee</v>
      </c>
      <c r="G162" s="38" t="str">
        <f aca="false">_xlfn.XLOOKUP($E162,$A$5:$A$8,$D$5:$D$8,"")</f>
        <v>Pre-tax Section 125 (exempt from FIT/SIT/FICA)</v>
      </c>
      <c r="H162" s="38" t="str">
        <f aca="false">_xlfn.XLOOKUP($E162,$A$5:$A$8,$E$5:$E$8,"")</f>
        <v>Flat</v>
      </c>
      <c r="I162" s="44" t="str">
        <f aca="false">IF($H162="Percent",_xlfn.XLOOKUP($E162,$A$5:$A$8,$F$5:$F$8,""),"")</f>
        <v/>
      </c>
      <c r="J162" s="42" t="n">
        <f aca="false">IF($H162="Flat",_xlfn.XLOOKUP($E162,$A$5:$A$8,$F$5:$F$8,""),"")</f>
        <v>44</v>
      </c>
      <c r="K162" s="38" t="str">
        <f aca="false">_xlfn.XLOOKUP($E162,$A$5:$A$8,$G$5:$G$8,"")</f>
        <v>Per pay period</v>
      </c>
      <c r="L162" s="38" t="str">
        <f aca="false">_xlfn.XLOOKUP($E162,$A$5:$A$8,$H$5:$H$8,"")</f>
        <v>Every pay period (ongoing)</v>
      </c>
      <c r="M162" s="43" t="n">
        <f aca="false" t="array" ref="M162:M162">MAX(_xlfn.XLOOKUP($A162,TRIM(SUBSTITUTE('worker file'!$A$2:$A$406,_xlfn.UNICHAR(160)," ")),'worker file'!$M$2:$M$406,0),_xlfn.XLOOKUP($B162,TRIM('pay group &amp; schedule'!$A$2:$A$6),'pay group &amp; schedule'!$D$2:$D$6,0))</f>
        <v>46311</v>
      </c>
      <c r="N162" s="43" t="str">
        <f aca="false" t="array" ref="N162:N162">_xlfn.LET(_xlpm.t,_xlfn.XLOOKUP($A162,TRIM(SUBSTITUTE('worker file'!$A$2:$A$406,_xlfn.UNICHAR(160)," ")),'worker file'!$N$2:$N$406,""),IF(N(_xlpm.t)=0,"",_xlpm.t))</f>
        <v/>
      </c>
    </row>
    <row r="163" customFormat="false" ht="15" hidden="false" customHeight="false" outlineLevel="0" collapsed="false">
      <c r="A163" s="39" t="s">
        <v>153</v>
      </c>
      <c r="B163" s="40" t="str">
        <f aca="false" t="array" ref="B163:B163">_xlfn.XLOOKUP($A163,TRIM(SUBSTITUTE('worker file'!$A$2:$A$406,_xlfn.UNICHAR(160)," ")),'worker file'!$L$2:$L$406,"Not found")</f>
        <v>US Semi-monthly</v>
      </c>
      <c r="C163" s="40" t="str">
        <f aca="false" t="array" ref="C163:C163">_xlfn.XLOOKUP($A163,TRIM(SUBSTITUTE('worker file'!$A$2:$A$406,_xlfn.UNICHAR(160)," ")),'worker file'!$D$2:$D$406,"Not found")</f>
        <v>MA</v>
      </c>
      <c r="D163" s="40" t="str">
        <f aca="false" t="array" ref="D163:D163">_xlfn.XLOOKUP($A163,TRIM(SUBSTITUTE('worker file'!$A$2:$A$406,_xlfn.UNICHAR(160)," ")),'worker file'!$Q$2:$Q$406,"Not found")</f>
        <v>Active</v>
      </c>
      <c r="E163" s="39" t="s">
        <v>634</v>
      </c>
      <c r="F163" s="38" t="str">
        <f aca="false">_xlfn.XLOOKUP($E163,$A$5:$A$8,$B$5:$B$8,"")</f>
        <v>Vision – Employee</v>
      </c>
      <c r="G163" s="38" t="str">
        <f aca="false">_xlfn.XLOOKUP($E163,$A$5:$A$8,$D$5:$D$8,"")</f>
        <v>Pre-tax Section 125 (exempt from FIT/SIT/FICA)</v>
      </c>
      <c r="H163" s="38" t="str">
        <f aca="false">_xlfn.XLOOKUP($E163,$A$5:$A$8,$E$5:$E$8,"")</f>
        <v>Flat</v>
      </c>
      <c r="I163" s="44" t="str">
        <f aca="false">IF($H163="Percent",_xlfn.XLOOKUP($E163,$A$5:$A$8,$F$5:$F$8,""),"")</f>
        <v/>
      </c>
      <c r="J163" s="42" t="n">
        <f aca="false">IF($H163="Flat",_xlfn.XLOOKUP($E163,$A$5:$A$8,$F$5:$F$8,""),"")</f>
        <v>30</v>
      </c>
      <c r="K163" s="38" t="str">
        <f aca="false">_xlfn.XLOOKUP($E163,$A$5:$A$8,$G$5:$G$8,"")</f>
        <v>Per pay period</v>
      </c>
      <c r="L163" s="38" t="str">
        <f aca="false">_xlfn.XLOOKUP($E163,$A$5:$A$8,$H$5:$H$8,"")</f>
        <v>Every pay period (ongoing)</v>
      </c>
      <c r="M163" s="43" t="n">
        <f aca="false" t="array" ref="M163:M163">MAX(_xlfn.XLOOKUP($A163,TRIM(SUBSTITUTE('worker file'!$A$2:$A$406,_xlfn.UNICHAR(160)," ")),'worker file'!$M$2:$M$406,0),_xlfn.XLOOKUP($B163,TRIM('pay group &amp; schedule'!$A$2:$A$6),'pay group &amp; schedule'!$D$2:$D$6,0))</f>
        <v>46311</v>
      </c>
      <c r="N163" s="43" t="str">
        <f aca="false" t="array" ref="N163:N163">_xlfn.LET(_xlpm.t,_xlfn.XLOOKUP($A163,TRIM(SUBSTITUTE('worker file'!$A$2:$A$406,_xlfn.UNICHAR(160)," ")),'worker file'!$N$2:$N$406,""),IF(N(_xlpm.t)=0,"",_xlpm.t))</f>
        <v/>
      </c>
    </row>
    <row r="164" customFormat="false" ht="15" hidden="false" customHeight="false" outlineLevel="0" collapsed="false">
      <c r="A164" s="39" t="s">
        <v>155</v>
      </c>
      <c r="B164" s="40" t="str">
        <f aca="false" t="array" ref="B164:B164">_xlfn.XLOOKUP($A164,TRIM(SUBSTITUTE('worker file'!$A$2:$A$406,_xlfn.UNICHAR(160)," ")),'worker file'!$L$2:$L$406,"Not found")</f>
        <v>US Semi-monthly</v>
      </c>
      <c r="C164" s="40" t="str">
        <f aca="false" t="array" ref="C164:C164">_xlfn.XLOOKUP($A164,TRIM(SUBSTITUTE('worker file'!$A$2:$A$406,_xlfn.UNICHAR(160)," ")),'worker file'!$D$2:$D$406,"Not found")</f>
        <v>WA</v>
      </c>
      <c r="D164" s="40" t="str">
        <f aca="false" t="array" ref="D164:D164">_xlfn.XLOOKUP($A164,TRIM(SUBSTITUTE('worker file'!$A$2:$A$406,_xlfn.UNICHAR(160)," ")),'worker file'!$Q$2:$Q$406,"Not found")</f>
        <v>Active</v>
      </c>
      <c r="E164" s="39" t="s">
        <v>618</v>
      </c>
      <c r="F164" s="38" t="str">
        <f aca="false">_xlfn.XLOOKUP($E164,$A$5:$A$8,$B$5:$B$8,"")</f>
        <v>401(k) Employee Deferral</v>
      </c>
      <c r="G164" s="38" t="str">
        <f aca="false">_xlfn.XLOOKUP($E164,$A$5:$A$8,$D$5:$D$8,"")</f>
        <v>Pre-tax (exempt from FIT/SIT; subject to FICA)</v>
      </c>
      <c r="H164" s="38" t="str">
        <f aca="false">_xlfn.XLOOKUP($E164,$A$5:$A$8,$E$5:$E$8,"")</f>
        <v>Percent</v>
      </c>
      <c r="I164" s="41" t="n">
        <v>0.06</v>
      </c>
      <c r="J164" s="42" t="str">
        <f aca="false">IF($H164="Flat",_xlfn.XLOOKUP($E164,$A$5:$A$8,$F$5:$F$8,""),"")</f>
        <v/>
      </c>
      <c r="K164" s="38" t="str">
        <f aca="false">_xlfn.XLOOKUP($E164,$A$5:$A$8,$G$5:$G$8,"")</f>
        <v>Gross pay</v>
      </c>
      <c r="L164" s="38" t="str">
        <f aca="false">_xlfn.XLOOKUP($E164,$A$5:$A$8,$H$5:$H$8,"")</f>
        <v>Every pay period (ongoing)</v>
      </c>
      <c r="M164" s="43" t="n">
        <f aca="false" t="array" ref="M164:M164">MAX(_xlfn.XLOOKUP($A164,TRIM(SUBSTITUTE('worker file'!$A$2:$A$406,_xlfn.UNICHAR(160)," ")),'worker file'!$M$2:$M$406,0),_xlfn.XLOOKUP($B164,TRIM('pay group &amp; schedule'!$A$2:$A$6),'pay group &amp; schedule'!$D$2:$D$6,0))</f>
        <v>46311</v>
      </c>
      <c r="N164" s="43" t="str">
        <f aca="false" t="array" ref="N164:N164">_xlfn.LET(_xlpm.t,_xlfn.XLOOKUP($A164,TRIM(SUBSTITUTE('worker file'!$A$2:$A$406,_xlfn.UNICHAR(160)," ")),'worker file'!$N$2:$N$406,""),IF(N(_xlpm.t)=0,"",_xlpm.t))</f>
        <v/>
      </c>
    </row>
    <row r="165" customFormat="false" ht="15" hidden="false" customHeight="false" outlineLevel="0" collapsed="false">
      <c r="A165" s="39" t="s">
        <v>155</v>
      </c>
      <c r="B165" s="40" t="str">
        <f aca="false" t="array" ref="B165:B165">_xlfn.XLOOKUP($A165,TRIM(SUBSTITUTE('worker file'!$A$2:$A$406,_xlfn.UNICHAR(160)," ")),'worker file'!$L$2:$L$406,"Not found")</f>
        <v>US Semi-monthly</v>
      </c>
      <c r="C165" s="40" t="str">
        <f aca="false" t="array" ref="C165:C165">_xlfn.XLOOKUP($A165,TRIM(SUBSTITUTE('worker file'!$A$2:$A$406,_xlfn.UNICHAR(160)," ")),'worker file'!$D$2:$D$406,"Not found")</f>
        <v>WA</v>
      </c>
      <c r="D165" s="40" t="str">
        <f aca="false" t="array" ref="D165:D165">_xlfn.XLOOKUP($A165,TRIM(SUBSTITUTE('worker file'!$A$2:$A$406,_xlfn.UNICHAR(160)," ")),'worker file'!$Q$2:$Q$406,"Not found")</f>
        <v>Active</v>
      </c>
      <c r="E165" s="39" t="s">
        <v>626</v>
      </c>
      <c r="F165" s="38" t="str">
        <f aca="false">_xlfn.XLOOKUP($E165,$A$5:$A$8,$B$5:$B$8,"")</f>
        <v>Medical (Health) – Employee</v>
      </c>
      <c r="G165" s="38" t="str">
        <f aca="false">_xlfn.XLOOKUP($E165,$A$5:$A$8,$D$5:$D$8,"")</f>
        <v>Pre-tax Section 125 (exempt from FIT/SIT/FICA)</v>
      </c>
      <c r="H165" s="38" t="str">
        <f aca="false">_xlfn.XLOOKUP($E165,$A$5:$A$8,$E$5:$E$8,"")</f>
        <v>Flat</v>
      </c>
      <c r="I165" s="44" t="str">
        <f aca="false">IF($H165="Percent",_xlfn.XLOOKUP($E165,$A$5:$A$8,$F$5:$F$8,""),"")</f>
        <v/>
      </c>
      <c r="J165" s="42" t="n">
        <f aca="false">IF($H165="Flat",_xlfn.XLOOKUP($E165,$A$5:$A$8,$F$5:$F$8,""),"")</f>
        <v>200</v>
      </c>
      <c r="K165" s="38" t="str">
        <f aca="false">_xlfn.XLOOKUP($E165,$A$5:$A$8,$G$5:$G$8,"")</f>
        <v>Per pay period</v>
      </c>
      <c r="L165" s="38" t="str">
        <f aca="false">_xlfn.XLOOKUP($E165,$A$5:$A$8,$H$5:$H$8,"")</f>
        <v>Every pay period (ongoing)</v>
      </c>
      <c r="M165" s="43" t="n">
        <f aca="false" t="array" ref="M165:M165">MAX(_xlfn.XLOOKUP($A165,TRIM(SUBSTITUTE('worker file'!$A$2:$A$406,_xlfn.UNICHAR(160)," ")),'worker file'!$M$2:$M$406,0),_xlfn.XLOOKUP($B165,TRIM('pay group &amp; schedule'!$A$2:$A$6),'pay group &amp; schedule'!$D$2:$D$6,0))</f>
        <v>46311</v>
      </c>
      <c r="N165" s="43" t="str">
        <f aca="false" t="array" ref="N165:N165">_xlfn.LET(_xlpm.t,_xlfn.XLOOKUP($A165,TRIM(SUBSTITUTE('worker file'!$A$2:$A$406,_xlfn.UNICHAR(160)," ")),'worker file'!$N$2:$N$406,""),IF(N(_xlpm.t)=0,"",_xlpm.t))</f>
        <v/>
      </c>
    </row>
    <row r="166" customFormat="false" ht="15" hidden="false" customHeight="false" outlineLevel="0" collapsed="false">
      <c r="A166" s="39" t="s">
        <v>155</v>
      </c>
      <c r="B166" s="40" t="str">
        <f aca="false" t="array" ref="B166:B166">_xlfn.XLOOKUP($A166,TRIM(SUBSTITUTE('worker file'!$A$2:$A$406,_xlfn.UNICHAR(160)," ")),'worker file'!$L$2:$L$406,"Not found")</f>
        <v>US Semi-monthly</v>
      </c>
      <c r="C166" s="40" t="str">
        <f aca="false" t="array" ref="C166:C166">_xlfn.XLOOKUP($A166,TRIM(SUBSTITUTE('worker file'!$A$2:$A$406,_xlfn.UNICHAR(160)," ")),'worker file'!$D$2:$D$406,"Not found")</f>
        <v>WA</v>
      </c>
      <c r="D166" s="40" t="str">
        <f aca="false" t="array" ref="D166:D166">_xlfn.XLOOKUP($A166,TRIM(SUBSTITUTE('worker file'!$A$2:$A$406,_xlfn.UNICHAR(160)," ")),'worker file'!$Q$2:$Q$406,"Not found")</f>
        <v>Active</v>
      </c>
      <c r="E166" s="39" t="s">
        <v>632</v>
      </c>
      <c r="F166" s="38" t="str">
        <f aca="false">_xlfn.XLOOKUP($E166,$A$5:$A$8,$B$5:$B$8,"")</f>
        <v>Dental – Employee</v>
      </c>
      <c r="G166" s="38" t="str">
        <f aca="false">_xlfn.XLOOKUP($E166,$A$5:$A$8,$D$5:$D$8,"")</f>
        <v>Pre-tax Section 125 (exempt from FIT/SIT/FICA)</v>
      </c>
      <c r="H166" s="38" t="str">
        <f aca="false">_xlfn.XLOOKUP($E166,$A$5:$A$8,$E$5:$E$8,"")</f>
        <v>Flat</v>
      </c>
      <c r="I166" s="44" t="str">
        <f aca="false">IF($H166="Percent",_xlfn.XLOOKUP($E166,$A$5:$A$8,$F$5:$F$8,""),"")</f>
        <v/>
      </c>
      <c r="J166" s="42" t="n">
        <f aca="false">IF($H166="Flat",_xlfn.XLOOKUP($E166,$A$5:$A$8,$F$5:$F$8,""),"")</f>
        <v>44</v>
      </c>
      <c r="K166" s="38" t="str">
        <f aca="false">_xlfn.XLOOKUP($E166,$A$5:$A$8,$G$5:$G$8,"")</f>
        <v>Per pay period</v>
      </c>
      <c r="L166" s="38" t="str">
        <f aca="false">_xlfn.XLOOKUP($E166,$A$5:$A$8,$H$5:$H$8,"")</f>
        <v>Every pay period (ongoing)</v>
      </c>
      <c r="M166" s="43" t="n">
        <f aca="false" t="array" ref="M166:M166">MAX(_xlfn.XLOOKUP($A166,TRIM(SUBSTITUTE('worker file'!$A$2:$A$406,_xlfn.UNICHAR(160)," ")),'worker file'!$M$2:$M$406,0),_xlfn.XLOOKUP($B166,TRIM('pay group &amp; schedule'!$A$2:$A$6),'pay group &amp; schedule'!$D$2:$D$6,0))</f>
        <v>46311</v>
      </c>
      <c r="N166" s="43" t="str">
        <f aca="false" t="array" ref="N166:N166">_xlfn.LET(_xlpm.t,_xlfn.XLOOKUP($A166,TRIM(SUBSTITUTE('worker file'!$A$2:$A$406,_xlfn.UNICHAR(160)," ")),'worker file'!$N$2:$N$406,""),IF(N(_xlpm.t)=0,"",_xlpm.t))</f>
        <v/>
      </c>
    </row>
    <row r="167" customFormat="false" ht="15" hidden="false" customHeight="false" outlineLevel="0" collapsed="false">
      <c r="A167" s="39" t="s">
        <v>155</v>
      </c>
      <c r="B167" s="40" t="str">
        <f aca="false" t="array" ref="B167:B167">_xlfn.XLOOKUP($A167,TRIM(SUBSTITUTE('worker file'!$A$2:$A$406,_xlfn.UNICHAR(160)," ")),'worker file'!$L$2:$L$406,"Not found")</f>
        <v>US Semi-monthly</v>
      </c>
      <c r="C167" s="40" t="str">
        <f aca="false" t="array" ref="C167:C167">_xlfn.XLOOKUP($A167,TRIM(SUBSTITUTE('worker file'!$A$2:$A$406,_xlfn.UNICHAR(160)," ")),'worker file'!$D$2:$D$406,"Not found")</f>
        <v>WA</v>
      </c>
      <c r="D167" s="40" t="str">
        <f aca="false" t="array" ref="D167:D167">_xlfn.XLOOKUP($A167,TRIM(SUBSTITUTE('worker file'!$A$2:$A$406,_xlfn.UNICHAR(160)," ")),'worker file'!$Q$2:$Q$406,"Not found")</f>
        <v>Active</v>
      </c>
      <c r="E167" s="39" t="s">
        <v>634</v>
      </c>
      <c r="F167" s="38" t="str">
        <f aca="false">_xlfn.XLOOKUP($E167,$A$5:$A$8,$B$5:$B$8,"")</f>
        <v>Vision – Employee</v>
      </c>
      <c r="G167" s="38" t="str">
        <f aca="false">_xlfn.XLOOKUP($E167,$A$5:$A$8,$D$5:$D$8,"")</f>
        <v>Pre-tax Section 125 (exempt from FIT/SIT/FICA)</v>
      </c>
      <c r="H167" s="38" t="str">
        <f aca="false">_xlfn.XLOOKUP($E167,$A$5:$A$8,$E$5:$E$8,"")</f>
        <v>Flat</v>
      </c>
      <c r="I167" s="44" t="str">
        <f aca="false">IF($H167="Percent",_xlfn.XLOOKUP($E167,$A$5:$A$8,$F$5:$F$8,""),"")</f>
        <v/>
      </c>
      <c r="J167" s="42" t="n">
        <f aca="false">IF($H167="Flat",_xlfn.XLOOKUP($E167,$A$5:$A$8,$F$5:$F$8,""),"")</f>
        <v>30</v>
      </c>
      <c r="K167" s="38" t="str">
        <f aca="false">_xlfn.XLOOKUP($E167,$A$5:$A$8,$G$5:$G$8,"")</f>
        <v>Per pay period</v>
      </c>
      <c r="L167" s="38" t="str">
        <f aca="false">_xlfn.XLOOKUP($E167,$A$5:$A$8,$H$5:$H$8,"")</f>
        <v>Every pay period (ongoing)</v>
      </c>
      <c r="M167" s="43" t="n">
        <f aca="false" t="array" ref="M167:M167">MAX(_xlfn.XLOOKUP($A167,TRIM(SUBSTITUTE('worker file'!$A$2:$A$406,_xlfn.UNICHAR(160)," ")),'worker file'!$M$2:$M$406,0),_xlfn.XLOOKUP($B167,TRIM('pay group &amp; schedule'!$A$2:$A$6),'pay group &amp; schedule'!$D$2:$D$6,0))</f>
        <v>46311</v>
      </c>
      <c r="N167" s="43" t="str">
        <f aca="false" t="array" ref="N167:N167">_xlfn.LET(_xlpm.t,_xlfn.XLOOKUP($A167,TRIM(SUBSTITUTE('worker file'!$A$2:$A$406,_xlfn.UNICHAR(160)," ")),'worker file'!$N$2:$N$406,""),IF(N(_xlpm.t)=0,"",_xlpm.t))</f>
        <v/>
      </c>
    </row>
    <row r="168" customFormat="false" ht="15" hidden="false" customHeight="false" outlineLevel="0" collapsed="false">
      <c r="A168" s="39" t="s">
        <v>157</v>
      </c>
      <c r="B168" s="40" t="str">
        <f aca="false" t="array" ref="B168:B168">_xlfn.XLOOKUP($A168,TRIM(SUBSTITUTE('worker file'!$A$2:$A$406,_xlfn.UNICHAR(160)," ")),'worker file'!$L$2:$L$406,"Not found")</f>
        <v>US Biweekly</v>
      </c>
      <c r="C168" s="40" t="str">
        <f aca="false" t="array" ref="C168:C168">_xlfn.XLOOKUP($A168,TRIM(SUBSTITUTE('worker file'!$A$2:$A$406,_xlfn.UNICHAR(160)," ")),'worker file'!$D$2:$D$406,"Not found")</f>
        <v>CA</v>
      </c>
      <c r="D168" s="40" t="str">
        <f aca="false" t="array" ref="D168:D168">_xlfn.XLOOKUP($A168,TRIM(SUBSTITUTE('worker file'!$A$2:$A$406,_xlfn.UNICHAR(160)," ")),'worker file'!$Q$2:$Q$406,"Not found")</f>
        <v>Active</v>
      </c>
      <c r="E168" s="39" t="s">
        <v>618</v>
      </c>
      <c r="F168" s="38" t="str">
        <f aca="false">_xlfn.XLOOKUP($E168,$A$5:$A$8,$B$5:$B$8,"")</f>
        <v>401(k) Employee Deferral</v>
      </c>
      <c r="G168" s="38" t="str">
        <f aca="false">_xlfn.XLOOKUP($E168,$A$5:$A$8,$D$5:$D$8,"")</f>
        <v>Pre-tax (exempt from FIT/SIT; subject to FICA)</v>
      </c>
      <c r="H168" s="38" t="str">
        <f aca="false">_xlfn.XLOOKUP($E168,$A$5:$A$8,$E$5:$E$8,"")</f>
        <v>Percent</v>
      </c>
      <c r="I168" s="41" t="n">
        <v>0.03</v>
      </c>
      <c r="J168" s="42" t="str">
        <f aca="false">IF($H168="Flat",_xlfn.XLOOKUP($E168,$A$5:$A$8,$F$5:$F$8,""),"")</f>
        <v/>
      </c>
      <c r="K168" s="38" t="str">
        <f aca="false">_xlfn.XLOOKUP($E168,$A$5:$A$8,$G$5:$G$8,"")</f>
        <v>Gross pay</v>
      </c>
      <c r="L168" s="38" t="str">
        <f aca="false">_xlfn.XLOOKUP($E168,$A$5:$A$8,$H$5:$H$8,"")</f>
        <v>Every pay period (ongoing)</v>
      </c>
      <c r="M168" s="43" t="n">
        <f aca="false" t="array" ref="M168:M168">MAX(_xlfn.XLOOKUP($A168,TRIM(SUBSTITUTE('worker file'!$A$2:$A$406,_xlfn.UNICHAR(160)," ")),'worker file'!$M$2:$M$406,0),_xlfn.XLOOKUP($B168,TRIM('pay group &amp; schedule'!$A$2:$A$6),'pay group &amp; schedule'!$D$2:$D$6,0))</f>
        <v>46299</v>
      </c>
      <c r="N168" s="43" t="str">
        <f aca="false" t="array" ref="N168:N168">_xlfn.LET(_xlpm.t,_xlfn.XLOOKUP($A168,TRIM(SUBSTITUTE('worker file'!$A$2:$A$406,_xlfn.UNICHAR(160)," ")),'worker file'!$N$2:$N$406,""),IF(N(_xlpm.t)=0,"",_xlpm.t))</f>
        <v/>
      </c>
    </row>
    <row r="169" customFormat="false" ht="15" hidden="false" customHeight="false" outlineLevel="0" collapsed="false">
      <c r="A169" s="39" t="s">
        <v>157</v>
      </c>
      <c r="B169" s="40" t="str">
        <f aca="false" t="array" ref="B169:B169">_xlfn.XLOOKUP($A169,TRIM(SUBSTITUTE('worker file'!$A$2:$A$406,_xlfn.UNICHAR(160)," ")),'worker file'!$L$2:$L$406,"Not found")</f>
        <v>US Biweekly</v>
      </c>
      <c r="C169" s="40" t="str">
        <f aca="false" t="array" ref="C169:C169">_xlfn.XLOOKUP($A169,TRIM(SUBSTITUTE('worker file'!$A$2:$A$406,_xlfn.UNICHAR(160)," ")),'worker file'!$D$2:$D$406,"Not found")</f>
        <v>CA</v>
      </c>
      <c r="D169" s="40" t="str">
        <f aca="false" t="array" ref="D169:D169">_xlfn.XLOOKUP($A169,TRIM(SUBSTITUTE('worker file'!$A$2:$A$406,_xlfn.UNICHAR(160)," ")),'worker file'!$Q$2:$Q$406,"Not found")</f>
        <v>Active</v>
      </c>
      <c r="E169" s="39" t="s">
        <v>626</v>
      </c>
      <c r="F169" s="38" t="str">
        <f aca="false">_xlfn.XLOOKUP($E169,$A$5:$A$8,$B$5:$B$8,"")</f>
        <v>Medical (Health) – Employee</v>
      </c>
      <c r="G169" s="38" t="str">
        <f aca="false">_xlfn.XLOOKUP($E169,$A$5:$A$8,$D$5:$D$8,"")</f>
        <v>Pre-tax Section 125 (exempt from FIT/SIT/FICA)</v>
      </c>
      <c r="H169" s="38" t="str">
        <f aca="false">_xlfn.XLOOKUP($E169,$A$5:$A$8,$E$5:$E$8,"")</f>
        <v>Flat</v>
      </c>
      <c r="I169" s="44" t="str">
        <f aca="false">IF($H169="Percent",_xlfn.XLOOKUP($E169,$A$5:$A$8,$F$5:$F$8,""),"")</f>
        <v/>
      </c>
      <c r="J169" s="42" t="n">
        <f aca="false">IF($H169="Flat",_xlfn.XLOOKUP($E169,$A$5:$A$8,$F$5:$F$8,""),"")</f>
        <v>200</v>
      </c>
      <c r="K169" s="38" t="str">
        <f aca="false">_xlfn.XLOOKUP($E169,$A$5:$A$8,$G$5:$G$8,"")</f>
        <v>Per pay period</v>
      </c>
      <c r="L169" s="38" t="str">
        <f aca="false">_xlfn.XLOOKUP($E169,$A$5:$A$8,$H$5:$H$8,"")</f>
        <v>Every pay period (ongoing)</v>
      </c>
      <c r="M169" s="43" t="n">
        <f aca="false" t="array" ref="M169:M169">MAX(_xlfn.XLOOKUP($A169,TRIM(SUBSTITUTE('worker file'!$A$2:$A$406,_xlfn.UNICHAR(160)," ")),'worker file'!$M$2:$M$406,0),_xlfn.XLOOKUP($B169,TRIM('pay group &amp; schedule'!$A$2:$A$6),'pay group &amp; schedule'!$D$2:$D$6,0))</f>
        <v>46299</v>
      </c>
      <c r="N169" s="43" t="str">
        <f aca="false" t="array" ref="N169:N169">_xlfn.LET(_xlpm.t,_xlfn.XLOOKUP($A169,TRIM(SUBSTITUTE('worker file'!$A$2:$A$406,_xlfn.UNICHAR(160)," ")),'worker file'!$N$2:$N$406,""),IF(N(_xlpm.t)=0,"",_xlpm.t))</f>
        <v/>
      </c>
    </row>
    <row r="170" customFormat="false" ht="15" hidden="false" customHeight="false" outlineLevel="0" collapsed="false">
      <c r="A170" s="39" t="s">
        <v>157</v>
      </c>
      <c r="B170" s="40" t="str">
        <f aca="false" t="array" ref="B170:B170">_xlfn.XLOOKUP($A170,TRIM(SUBSTITUTE('worker file'!$A$2:$A$406,_xlfn.UNICHAR(160)," ")),'worker file'!$L$2:$L$406,"Not found")</f>
        <v>US Biweekly</v>
      </c>
      <c r="C170" s="40" t="str">
        <f aca="false" t="array" ref="C170:C170">_xlfn.XLOOKUP($A170,TRIM(SUBSTITUTE('worker file'!$A$2:$A$406,_xlfn.UNICHAR(160)," ")),'worker file'!$D$2:$D$406,"Not found")</f>
        <v>CA</v>
      </c>
      <c r="D170" s="40" t="str">
        <f aca="false" t="array" ref="D170:D170">_xlfn.XLOOKUP($A170,TRIM(SUBSTITUTE('worker file'!$A$2:$A$406,_xlfn.UNICHAR(160)," ")),'worker file'!$Q$2:$Q$406,"Not found")</f>
        <v>Active</v>
      </c>
      <c r="E170" s="39" t="s">
        <v>632</v>
      </c>
      <c r="F170" s="38" t="str">
        <f aca="false">_xlfn.XLOOKUP($E170,$A$5:$A$8,$B$5:$B$8,"")</f>
        <v>Dental – Employee</v>
      </c>
      <c r="G170" s="38" t="str">
        <f aca="false">_xlfn.XLOOKUP($E170,$A$5:$A$8,$D$5:$D$8,"")</f>
        <v>Pre-tax Section 125 (exempt from FIT/SIT/FICA)</v>
      </c>
      <c r="H170" s="38" t="str">
        <f aca="false">_xlfn.XLOOKUP($E170,$A$5:$A$8,$E$5:$E$8,"")</f>
        <v>Flat</v>
      </c>
      <c r="I170" s="44" t="str">
        <f aca="false">IF($H170="Percent",_xlfn.XLOOKUP($E170,$A$5:$A$8,$F$5:$F$8,""),"")</f>
        <v/>
      </c>
      <c r="J170" s="42" t="n">
        <f aca="false">IF($H170="Flat",_xlfn.XLOOKUP($E170,$A$5:$A$8,$F$5:$F$8,""),"")</f>
        <v>44</v>
      </c>
      <c r="K170" s="38" t="str">
        <f aca="false">_xlfn.XLOOKUP($E170,$A$5:$A$8,$G$5:$G$8,"")</f>
        <v>Per pay period</v>
      </c>
      <c r="L170" s="38" t="str">
        <f aca="false">_xlfn.XLOOKUP($E170,$A$5:$A$8,$H$5:$H$8,"")</f>
        <v>Every pay period (ongoing)</v>
      </c>
      <c r="M170" s="43" t="n">
        <f aca="false" t="array" ref="M170:M170">MAX(_xlfn.XLOOKUP($A170,TRIM(SUBSTITUTE('worker file'!$A$2:$A$406,_xlfn.UNICHAR(160)," ")),'worker file'!$M$2:$M$406,0),_xlfn.XLOOKUP($B170,TRIM('pay group &amp; schedule'!$A$2:$A$6),'pay group &amp; schedule'!$D$2:$D$6,0))</f>
        <v>46299</v>
      </c>
      <c r="N170" s="43" t="str">
        <f aca="false" t="array" ref="N170:N170">_xlfn.LET(_xlpm.t,_xlfn.XLOOKUP($A170,TRIM(SUBSTITUTE('worker file'!$A$2:$A$406,_xlfn.UNICHAR(160)," ")),'worker file'!$N$2:$N$406,""),IF(N(_xlpm.t)=0,"",_xlpm.t))</f>
        <v/>
      </c>
    </row>
    <row r="171" customFormat="false" ht="15" hidden="false" customHeight="false" outlineLevel="0" collapsed="false">
      <c r="A171" s="39" t="s">
        <v>157</v>
      </c>
      <c r="B171" s="40" t="str">
        <f aca="false" t="array" ref="B171:B171">_xlfn.XLOOKUP($A171,TRIM(SUBSTITUTE('worker file'!$A$2:$A$406,_xlfn.UNICHAR(160)," ")),'worker file'!$L$2:$L$406,"Not found")</f>
        <v>US Biweekly</v>
      </c>
      <c r="C171" s="40" t="str">
        <f aca="false" t="array" ref="C171:C171">_xlfn.XLOOKUP($A171,TRIM(SUBSTITUTE('worker file'!$A$2:$A$406,_xlfn.UNICHAR(160)," ")),'worker file'!$D$2:$D$406,"Not found")</f>
        <v>CA</v>
      </c>
      <c r="D171" s="40" t="str">
        <f aca="false" t="array" ref="D171:D171">_xlfn.XLOOKUP($A171,TRIM(SUBSTITUTE('worker file'!$A$2:$A$406,_xlfn.UNICHAR(160)," ")),'worker file'!$Q$2:$Q$406,"Not found")</f>
        <v>Active</v>
      </c>
      <c r="E171" s="39" t="s">
        <v>634</v>
      </c>
      <c r="F171" s="38" t="str">
        <f aca="false">_xlfn.XLOOKUP($E171,$A$5:$A$8,$B$5:$B$8,"")</f>
        <v>Vision – Employee</v>
      </c>
      <c r="G171" s="38" t="str">
        <f aca="false">_xlfn.XLOOKUP($E171,$A$5:$A$8,$D$5:$D$8,"")</f>
        <v>Pre-tax Section 125 (exempt from FIT/SIT/FICA)</v>
      </c>
      <c r="H171" s="38" t="str">
        <f aca="false">_xlfn.XLOOKUP($E171,$A$5:$A$8,$E$5:$E$8,"")</f>
        <v>Flat</v>
      </c>
      <c r="I171" s="44" t="str">
        <f aca="false">IF($H171="Percent",_xlfn.XLOOKUP($E171,$A$5:$A$8,$F$5:$F$8,""),"")</f>
        <v/>
      </c>
      <c r="J171" s="42" t="n">
        <f aca="false">IF($H171="Flat",_xlfn.XLOOKUP($E171,$A$5:$A$8,$F$5:$F$8,""),"")</f>
        <v>30</v>
      </c>
      <c r="K171" s="38" t="str">
        <f aca="false">_xlfn.XLOOKUP($E171,$A$5:$A$8,$G$5:$G$8,"")</f>
        <v>Per pay period</v>
      </c>
      <c r="L171" s="38" t="str">
        <f aca="false">_xlfn.XLOOKUP($E171,$A$5:$A$8,$H$5:$H$8,"")</f>
        <v>Every pay period (ongoing)</v>
      </c>
      <c r="M171" s="43" t="n">
        <f aca="false" t="array" ref="M171:M171">MAX(_xlfn.XLOOKUP($A171,TRIM(SUBSTITUTE('worker file'!$A$2:$A$406,_xlfn.UNICHAR(160)," ")),'worker file'!$M$2:$M$406,0),_xlfn.XLOOKUP($B171,TRIM('pay group &amp; schedule'!$A$2:$A$6),'pay group &amp; schedule'!$D$2:$D$6,0))</f>
        <v>46299</v>
      </c>
      <c r="N171" s="43" t="str">
        <f aca="false" t="array" ref="N171:N171">_xlfn.LET(_xlpm.t,_xlfn.XLOOKUP($A171,TRIM(SUBSTITUTE('worker file'!$A$2:$A$406,_xlfn.UNICHAR(160)," ")),'worker file'!$N$2:$N$406,""),IF(N(_xlpm.t)=0,"",_xlpm.t))</f>
        <v/>
      </c>
    </row>
    <row r="172" customFormat="false" ht="15" hidden="false" customHeight="false" outlineLevel="0" collapsed="false">
      <c r="A172" s="39" t="s">
        <v>158</v>
      </c>
      <c r="B172" s="40" t="str">
        <f aca="false" t="array" ref="B172:B172">_xlfn.XLOOKUP($A172,TRIM(SUBSTITUTE('worker file'!$A$2:$A$406,_xlfn.UNICHAR(160)," ")),'worker file'!$L$2:$L$406,"Not found")</f>
        <v>US Semi-monthly</v>
      </c>
      <c r="C172" s="40" t="str">
        <f aca="false" t="array" ref="C172:C172">_xlfn.XLOOKUP($A172,TRIM(SUBSTITUTE('worker file'!$A$2:$A$406,_xlfn.UNICHAR(160)," ")),'worker file'!$D$2:$D$406,"Not found")</f>
        <v>MA</v>
      </c>
      <c r="D172" s="40" t="str">
        <f aca="false" t="array" ref="D172:D172">_xlfn.XLOOKUP($A172,TRIM(SUBSTITUTE('worker file'!$A$2:$A$406,_xlfn.UNICHAR(160)," ")),'worker file'!$Q$2:$Q$406,"Not found")</f>
        <v>Active</v>
      </c>
      <c r="E172" s="39" t="s">
        <v>626</v>
      </c>
      <c r="F172" s="38" t="str">
        <f aca="false">_xlfn.XLOOKUP($E172,$A$5:$A$8,$B$5:$B$8,"")</f>
        <v>Medical (Health) – Employee</v>
      </c>
      <c r="G172" s="38" t="str">
        <f aca="false">_xlfn.XLOOKUP($E172,$A$5:$A$8,$D$5:$D$8,"")</f>
        <v>Pre-tax Section 125 (exempt from FIT/SIT/FICA)</v>
      </c>
      <c r="H172" s="38" t="str">
        <f aca="false">_xlfn.XLOOKUP($E172,$A$5:$A$8,$E$5:$E$8,"")</f>
        <v>Flat</v>
      </c>
      <c r="I172" s="44" t="str">
        <f aca="false">IF($H172="Percent",_xlfn.XLOOKUP($E172,$A$5:$A$8,$F$5:$F$8,""),"")</f>
        <v/>
      </c>
      <c r="J172" s="42" t="n">
        <f aca="false">IF($H172="Flat",_xlfn.XLOOKUP($E172,$A$5:$A$8,$F$5:$F$8,""),"")</f>
        <v>200</v>
      </c>
      <c r="K172" s="38" t="str">
        <f aca="false">_xlfn.XLOOKUP($E172,$A$5:$A$8,$G$5:$G$8,"")</f>
        <v>Per pay period</v>
      </c>
      <c r="L172" s="38" t="str">
        <f aca="false">_xlfn.XLOOKUP($E172,$A$5:$A$8,$H$5:$H$8,"")</f>
        <v>Every pay period (ongoing)</v>
      </c>
      <c r="M172" s="43" t="n">
        <f aca="false" t="array" ref="M172:M172">MAX(_xlfn.XLOOKUP($A172,TRIM(SUBSTITUTE('worker file'!$A$2:$A$406,_xlfn.UNICHAR(160)," ")),'worker file'!$M$2:$M$406,0),_xlfn.XLOOKUP($B172,TRIM('pay group &amp; schedule'!$A$2:$A$6),'pay group &amp; schedule'!$D$2:$D$6,0))</f>
        <v>46311</v>
      </c>
      <c r="N172" s="43" t="str">
        <f aca="false" t="array" ref="N172:N172">_xlfn.LET(_xlpm.t,_xlfn.XLOOKUP($A172,TRIM(SUBSTITUTE('worker file'!$A$2:$A$406,_xlfn.UNICHAR(160)," ")),'worker file'!$N$2:$N$406,""),IF(N(_xlpm.t)=0,"",_xlpm.t))</f>
        <v/>
      </c>
    </row>
    <row r="173" customFormat="false" ht="15" hidden="false" customHeight="false" outlineLevel="0" collapsed="false">
      <c r="A173" s="39" t="s">
        <v>158</v>
      </c>
      <c r="B173" s="40" t="str">
        <f aca="false" t="array" ref="B173:B173">_xlfn.XLOOKUP($A173,TRIM(SUBSTITUTE('worker file'!$A$2:$A$406,_xlfn.UNICHAR(160)," ")),'worker file'!$L$2:$L$406,"Not found")</f>
        <v>US Semi-monthly</v>
      </c>
      <c r="C173" s="40" t="str">
        <f aca="false" t="array" ref="C173:C173">_xlfn.XLOOKUP($A173,TRIM(SUBSTITUTE('worker file'!$A$2:$A$406,_xlfn.UNICHAR(160)," ")),'worker file'!$D$2:$D$406,"Not found")</f>
        <v>MA</v>
      </c>
      <c r="D173" s="40" t="str">
        <f aca="false" t="array" ref="D173:D173">_xlfn.XLOOKUP($A173,TRIM(SUBSTITUTE('worker file'!$A$2:$A$406,_xlfn.UNICHAR(160)," ")),'worker file'!$Q$2:$Q$406,"Not found")</f>
        <v>Active</v>
      </c>
      <c r="E173" s="39" t="s">
        <v>632</v>
      </c>
      <c r="F173" s="38" t="str">
        <f aca="false">_xlfn.XLOOKUP($E173,$A$5:$A$8,$B$5:$B$8,"")</f>
        <v>Dental – Employee</v>
      </c>
      <c r="G173" s="38" t="str">
        <f aca="false">_xlfn.XLOOKUP($E173,$A$5:$A$8,$D$5:$D$8,"")</f>
        <v>Pre-tax Section 125 (exempt from FIT/SIT/FICA)</v>
      </c>
      <c r="H173" s="38" t="str">
        <f aca="false">_xlfn.XLOOKUP($E173,$A$5:$A$8,$E$5:$E$8,"")</f>
        <v>Flat</v>
      </c>
      <c r="I173" s="44" t="str">
        <f aca="false">IF($H173="Percent",_xlfn.XLOOKUP($E173,$A$5:$A$8,$F$5:$F$8,""),"")</f>
        <v/>
      </c>
      <c r="J173" s="42" t="n">
        <f aca="false">IF($H173="Flat",_xlfn.XLOOKUP($E173,$A$5:$A$8,$F$5:$F$8,""),"")</f>
        <v>44</v>
      </c>
      <c r="K173" s="38" t="str">
        <f aca="false">_xlfn.XLOOKUP($E173,$A$5:$A$8,$G$5:$G$8,"")</f>
        <v>Per pay period</v>
      </c>
      <c r="L173" s="38" t="str">
        <f aca="false">_xlfn.XLOOKUP($E173,$A$5:$A$8,$H$5:$H$8,"")</f>
        <v>Every pay period (ongoing)</v>
      </c>
      <c r="M173" s="43" t="n">
        <f aca="false" t="array" ref="M173:M173">MAX(_xlfn.XLOOKUP($A173,TRIM(SUBSTITUTE('worker file'!$A$2:$A$406,_xlfn.UNICHAR(160)," ")),'worker file'!$M$2:$M$406,0),_xlfn.XLOOKUP($B173,TRIM('pay group &amp; schedule'!$A$2:$A$6),'pay group &amp; schedule'!$D$2:$D$6,0))</f>
        <v>46311</v>
      </c>
      <c r="N173" s="43" t="str">
        <f aca="false" t="array" ref="N173:N173">_xlfn.LET(_xlpm.t,_xlfn.XLOOKUP($A173,TRIM(SUBSTITUTE('worker file'!$A$2:$A$406,_xlfn.UNICHAR(160)," ")),'worker file'!$N$2:$N$406,""),IF(N(_xlpm.t)=0,"",_xlpm.t))</f>
        <v/>
      </c>
    </row>
    <row r="174" customFormat="false" ht="15" hidden="false" customHeight="false" outlineLevel="0" collapsed="false">
      <c r="A174" s="39" t="s">
        <v>158</v>
      </c>
      <c r="B174" s="40" t="str">
        <f aca="false" t="array" ref="B174:B174">_xlfn.XLOOKUP($A174,TRIM(SUBSTITUTE('worker file'!$A$2:$A$406,_xlfn.UNICHAR(160)," ")),'worker file'!$L$2:$L$406,"Not found")</f>
        <v>US Semi-monthly</v>
      </c>
      <c r="C174" s="40" t="str">
        <f aca="false" t="array" ref="C174:C174">_xlfn.XLOOKUP($A174,TRIM(SUBSTITUTE('worker file'!$A$2:$A$406,_xlfn.UNICHAR(160)," ")),'worker file'!$D$2:$D$406,"Not found")</f>
        <v>MA</v>
      </c>
      <c r="D174" s="40" t="str">
        <f aca="false" t="array" ref="D174:D174">_xlfn.XLOOKUP($A174,TRIM(SUBSTITUTE('worker file'!$A$2:$A$406,_xlfn.UNICHAR(160)," ")),'worker file'!$Q$2:$Q$406,"Not found")</f>
        <v>Active</v>
      </c>
      <c r="E174" s="39" t="s">
        <v>634</v>
      </c>
      <c r="F174" s="38" t="str">
        <f aca="false">_xlfn.XLOOKUP($E174,$A$5:$A$8,$B$5:$B$8,"")</f>
        <v>Vision – Employee</v>
      </c>
      <c r="G174" s="38" t="str">
        <f aca="false">_xlfn.XLOOKUP($E174,$A$5:$A$8,$D$5:$D$8,"")</f>
        <v>Pre-tax Section 125 (exempt from FIT/SIT/FICA)</v>
      </c>
      <c r="H174" s="38" t="str">
        <f aca="false">_xlfn.XLOOKUP($E174,$A$5:$A$8,$E$5:$E$8,"")</f>
        <v>Flat</v>
      </c>
      <c r="I174" s="44" t="str">
        <f aca="false">IF($H174="Percent",_xlfn.XLOOKUP($E174,$A$5:$A$8,$F$5:$F$8,""),"")</f>
        <v/>
      </c>
      <c r="J174" s="42" t="n">
        <f aca="false">IF($H174="Flat",_xlfn.XLOOKUP($E174,$A$5:$A$8,$F$5:$F$8,""),"")</f>
        <v>30</v>
      </c>
      <c r="K174" s="38" t="str">
        <f aca="false">_xlfn.XLOOKUP($E174,$A$5:$A$8,$G$5:$G$8,"")</f>
        <v>Per pay period</v>
      </c>
      <c r="L174" s="38" t="str">
        <f aca="false">_xlfn.XLOOKUP($E174,$A$5:$A$8,$H$5:$H$8,"")</f>
        <v>Every pay period (ongoing)</v>
      </c>
      <c r="M174" s="43" t="n">
        <f aca="false" t="array" ref="M174:M174">MAX(_xlfn.XLOOKUP($A174,TRIM(SUBSTITUTE('worker file'!$A$2:$A$406,_xlfn.UNICHAR(160)," ")),'worker file'!$M$2:$M$406,0),_xlfn.XLOOKUP($B174,TRIM('pay group &amp; schedule'!$A$2:$A$6),'pay group &amp; schedule'!$D$2:$D$6,0))</f>
        <v>46311</v>
      </c>
      <c r="N174" s="43" t="str">
        <f aca="false" t="array" ref="N174:N174">_xlfn.LET(_xlpm.t,_xlfn.XLOOKUP($A174,TRIM(SUBSTITUTE('worker file'!$A$2:$A$406,_xlfn.UNICHAR(160)," ")),'worker file'!$N$2:$N$406,""),IF(N(_xlpm.t)=0,"",_xlpm.t))</f>
        <v/>
      </c>
    </row>
    <row r="175" customFormat="false" ht="15" hidden="false" customHeight="false" outlineLevel="0" collapsed="false">
      <c r="A175" s="39" t="s">
        <v>159</v>
      </c>
      <c r="B175" s="40" t="str">
        <f aca="false" t="array" ref="B175:B175">_xlfn.XLOOKUP($A175,TRIM(SUBSTITUTE('worker file'!$A$2:$A$406,_xlfn.UNICHAR(160)," ")),'worker file'!$L$2:$L$406,"Not found")</f>
        <v>US Semi-monthly</v>
      </c>
      <c r="C175" s="40" t="str">
        <f aca="false" t="array" ref="C175:C175">_xlfn.XLOOKUP($A175,TRIM(SUBSTITUTE('worker file'!$A$2:$A$406,_xlfn.UNICHAR(160)," ")),'worker file'!$D$2:$D$406,"Not found")</f>
        <v>CA</v>
      </c>
      <c r="D175" s="40" t="str">
        <f aca="false" t="array" ref="D175:D175">_xlfn.XLOOKUP($A175,TRIM(SUBSTITUTE('worker file'!$A$2:$A$406,_xlfn.UNICHAR(160)," ")),'worker file'!$Q$2:$Q$406,"Not found")</f>
        <v>Active</v>
      </c>
      <c r="E175" s="39" t="s">
        <v>618</v>
      </c>
      <c r="F175" s="38" t="str">
        <f aca="false">_xlfn.XLOOKUP($E175,$A$5:$A$8,$B$5:$B$8,"")</f>
        <v>401(k) Employee Deferral</v>
      </c>
      <c r="G175" s="38" t="str">
        <f aca="false">_xlfn.XLOOKUP($E175,$A$5:$A$8,$D$5:$D$8,"")</f>
        <v>Pre-tax (exempt from FIT/SIT; subject to FICA)</v>
      </c>
      <c r="H175" s="38" t="str">
        <f aca="false">_xlfn.XLOOKUP($E175,$A$5:$A$8,$E$5:$E$8,"")</f>
        <v>Percent</v>
      </c>
      <c r="I175" s="41" t="n">
        <v>0.05</v>
      </c>
      <c r="J175" s="42" t="str">
        <f aca="false">IF($H175="Flat",_xlfn.XLOOKUP($E175,$A$5:$A$8,$F$5:$F$8,""),"")</f>
        <v/>
      </c>
      <c r="K175" s="38" t="str">
        <f aca="false">_xlfn.XLOOKUP($E175,$A$5:$A$8,$G$5:$G$8,"")</f>
        <v>Gross pay</v>
      </c>
      <c r="L175" s="38" t="str">
        <f aca="false">_xlfn.XLOOKUP($E175,$A$5:$A$8,$H$5:$H$8,"")</f>
        <v>Every pay period (ongoing)</v>
      </c>
      <c r="M175" s="43" t="n">
        <f aca="false" t="array" ref="M175:M175">MAX(_xlfn.XLOOKUP($A175,TRIM(SUBSTITUTE('worker file'!$A$2:$A$406,_xlfn.UNICHAR(160)," ")),'worker file'!$M$2:$M$406,0),_xlfn.XLOOKUP($B175,TRIM('pay group &amp; schedule'!$A$2:$A$6),'pay group &amp; schedule'!$D$2:$D$6,0))</f>
        <v>46311</v>
      </c>
      <c r="N175" s="43" t="str">
        <f aca="false" t="array" ref="N175:N175">_xlfn.LET(_xlpm.t,_xlfn.XLOOKUP($A175,TRIM(SUBSTITUTE('worker file'!$A$2:$A$406,_xlfn.UNICHAR(160)," ")),'worker file'!$N$2:$N$406,""),IF(N(_xlpm.t)=0,"",_xlpm.t))</f>
        <v/>
      </c>
    </row>
    <row r="176" customFormat="false" ht="15" hidden="false" customHeight="false" outlineLevel="0" collapsed="false">
      <c r="A176" s="39" t="s">
        <v>159</v>
      </c>
      <c r="B176" s="40" t="str">
        <f aca="false" t="array" ref="B176:B176">_xlfn.XLOOKUP($A176,TRIM(SUBSTITUTE('worker file'!$A$2:$A$406,_xlfn.UNICHAR(160)," ")),'worker file'!$L$2:$L$406,"Not found")</f>
        <v>US Semi-monthly</v>
      </c>
      <c r="C176" s="40" t="str">
        <f aca="false" t="array" ref="C176:C176">_xlfn.XLOOKUP($A176,TRIM(SUBSTITUTE('worker file'!$A$2:$A$406,_xlfn.UNICHAR(160)," ")),'worker file'!$D$2:$D$406,"Not found")</f>
        <v>CA</v>
      </c>
      <c r="D176" s="40" t="str">
        <f aca="false" t="array" ref="D176:D176">_xlfn.XLOOKUP($A176,TRIM(SUBSTITUTE('worker file'!$A$2:$A$406,_xlfn.UNICHAR(160)," ")),'worker file'!$Q$2:$Q$406,"Not found")</f>
        <v>Active</v>
      </c>
      <c r="E176" s="39" t="s">
        <v>626</v>
      </c>
      <c r="F176" s="38" t="str">
        <f aca="false">_xlfn.XLOOKUP($E176,$A$5:$A$8,$B$5:$B$8,"")</f>
        <v>Medical (Health) – Employee</v>
      </c>
      <c r="G176" s="38" t="str">
        <f aca="false">_xlfn.XLOOKUP($E176,$A$5:$A$8,$D$5:$D$8,"")</f>
        <v>Pre-tax Section 125 (exempt from FIT/SIT/FICA)</v>
      </c>
      <c r="H176" s="38" t="str">
        <f aca="false">_xlfn.XLOOKUP($E176,$A$5:$A$8,$E$5:$E$8,"")</f>
        <v>Flat</v>
      </c>
      <c r="I176" s="44" t="str">
        <f aca="false">IF($H176="Percent",_xlfn.XLOOKUP($E176,$A$5:$A$8,$F$5:$F$8,""),"")</f>
        <v/>
      </c>
      <c r="J176" s="42" t="n">
        <f aca="false">IF($H176="Flat",_xlfn.XLOOKUP($E176,$A$5:$A$8,$F$5:$F$8,""),"")</f>
        <v>200</v>
      </c>
      <c r="K176" s="38" t="str">
        <f aca="false">_xlfn.XLOOKUP($E176,$A$5:$A$8,$G$5:$G$8,"")</f>
        <v>Per pay period</v>
      </c>
      <c r="L176" s="38" t="str">
        <f aca="false">_xlfn.XLOOKUP($E176,$A$5:$A$8,$H$5:$H$8,"")</f>
        <v>Every pay period (ongoing)</v>
      </c>
      <c r="M176" s="43" t="n">
        <f aca="false" t="array" ref="M176:M176">MAX(_xlfn.XLOOKUP($A176,TRIM(SUBSTITUTE('worker file'!$A$2:$A$406,_xlfn.UNICHAR(160)," ")),'worker file'!$M$2:$M$406,0),_xlfn.XLOOKUP($B176,TRIM('pay group &amp; schedule'!$A$2:$A$6),'pay group &amp; schedule'!$D$2:$D$6,0))</f>
        <v>46311</v>
      </c>
      <c r="N176" s="43" t="str">
        <f aca="false" t="array" ref="N176:N176">_xlfn.LET(_xlpm.t,_xlfn.XLOOKUP($A176,TRIM(SUBSTITUTE('worker file'!$A$2:$A$406,_xlfn.UNICHAR(160)," ")),'worker file'!$N$2:$N$406,""),IF(N(_xlpm.t)=0,"",_xlpm.t))</f>
        <v/>
      </c>
    </row>
    <row r="177" customFormat="false" ht="15" hidden="false" customHeight="false" outlineLevel="0" collapsed="false">
      <c r="A177" s="39" t="s">
        <v>159</v>
      </c>
      <c r="B177" s="40" t="str">
        <f aca="false" t="array" ref="B177:B177">_xlfn.XLOOKUP($A177,TRIM(SUBSTITUTE('worker file'!$A$2:$A$406,_xlfn.UNICHAR(160)," ")),'worker file'!$L$2:$L$406,"Not found")</f>
        <v>US Semi-monthly</v>
      </c>
      <c r="C177" s="40" t="str">
        <f aca="false" t="array" ref="C177:C177">_xlfn.XLOOKUP($A177,TRIM(SUBSTITUTE('worker file'!$A$2:$A$406,_xlfn.UNICHAR(160)," ")),'worker file'!$D$2:$D$406,"Not found")</f>
        <v>CA</v>
      </c>
      <c r="D177" s="40" t="str">
        <f aca="false" t="array" ref="D177:D177">_xlfn.XLOOKUP($A177,TRIM(SUBSTITUTE('worker file'!$A$2:$A$406,_xlfn.UNICHAR(160)," ")),'worker file'!$Q$2:$Q$406,"Not found")</f>
        <v>Active</v>
      </c>
      <c r="E177" s="39" t="s">
        <v>632</v>
      </c>
      <c r="F177" s="38" t="str">
        <f aca="false">_xlfn.XLOOKUP($E177,$A$5:$A$8,$B$5:$B$8,"")</f>
        <v>Dental – Employee</v>
      </c>
      <c r="G177" s="38" t="str">
        <f aca="false">_xlfn.XLOOKUP($E177,$A$5:$A$8,$D$5:$D$8,"")</f>
        <v>Pre-tax Section 125 (exempt from FIT/SIT/FICA)</v>
      </c>
      <c r="H177" s="38" t="str">
        <f aca="false">_xlfn.XLOOKUP($E177,$A$5:$A$8,$E$5:$E$8,"")</f>
        <v>Flat</v>
      </c>
      <c r="I177" s="44" t="str">
        <f aca="false">IF($H177="Percent",_xlfn.XLOOKUP($E177,$A$5:$A$8,$F$5:$F$8,""),"")</f>
        <v/>
      </c>
      <c r="J177" s="42" t="n">
        <f aca="false">IF($H177="Flat",_xlfn.XLOOKUP($E177,$A$5:$A$8,$F$5:$F$8,""),"")</f>
        <v>44</v>
      </c>
      <c r="K177" s="38" t="str">
        <f aca="false">_xlfn.XLOOKUP($E177,$A$5:$A$8,$G$5:$G$8,"")</f>
        <v>Per pay period</v>
      </c>
      <c r="L177" s="38" t="str">
        <f aca="false">_xlfn.XLOOKUP($E177,$A$5:$A$8,$H$5:$H$8,"")</f>
        <v>Every pay period (ongoing)</v>
      </c>
      <c r="M177" s="43" t="n">
        <f aca="false" t="array" ref="M177:M177">MAX(_xlfn.XLOOKUP($A177,TRIM(SUBSTITUTE('worker file'!$A$2:$A$406,_xlfn.UNICHAR(160)," ")),'worker file'!$M$2:$M$406,0),_xlfn.XLOOKUP($B177,TRIM('pay group &amp; schedule'!$A$2:$A$6),'pay group &amp; schedule'!$D$2:$D$6,0))</f>
        <v>46311</v>
      </c>
      <c r="N177" s="43" t="str">
        <f aca="false" t="array" ref="N177:N177">_xlfn.LET(_xlpm.t,_xlfn.XLOOKUP($A177,TRIM(SUBSTITUTE('worker file'!$A$2:$A$406,_xlfn.UNICHAR(160)," ")),'worker file'!$N$2:$N$406,""),IF(N(_xlpm.t)=0,"",_xlpm.t))</f>
        <v/>
      </c>
    </row>
    <row r="178" customFormat="false" ht="15" hidden="false" customHeight="false" outlineLevel="0" collapsed="false">
      <c r="A178" s="39" t="s">
        <v>159</v>
      </c>
      <c r="B178" s="40" t="str">
        <f aca="false" t="array" ref="B178:B178">_xlfn.XLOOKUP($A178,TRIM(SUBSTITUTE('worker file'!$A$2:$A$406,_xlfn.UNICHAR(160)," ")),'worker file'!$L$2:$L$406,"Not found")</f>
        <v>US Semi-monthly</v>
      </c>
      <c r="C178" s="40" t="str">
        <f aca="false" t="array" ref="C178:C178">_xlfn.XLOOKUP($A178,TRIM(SUBSTITUTE('worker file'!$A$2:$A$406,_xlfn.UNICHAR(160)," ")),'worker file'!$D$2:$D$406,"Not found")</f>
        <v>CA</v>
      </c>
      <c r="D178" s="40" t="str">
        <f aca="false" t="array" ref="D178:D178">_xlfn.XLOOKUP($A178,TRIM(SUBSTITUTE('worker file'!$A$2:$A$406,_xlfn.UNICHAR(160)," ")),'worker file'!$Q$2:$Q$406,"Not found")</f>
        <v>Active</v>
      </c>
      <c r="E178" s="39" t="s">
        <v>634</v>
      </c>
      <c r="F178" s="38" t="str">
        <f aca="false">_xlfn.XLOOKUP($E178,$A$5:$A$8,$B$5:$B$8,"")</f>
        <v>Vision – Employee</v>
      </c>
      <c r="G178" s="38" t="str">
        <f aca="false">_xlfn.XLOOKUP($E178,$A$5:$A$8,$D$5:$D$8,"")</f>
        <v>Pre-tax Section 125 (exempt from FIT/SIT/FICA)</v>
      </c>
      <c r="H178" s="38" t="str">
        <f aca="false">_xlfn.XLOOKUP($E178,$A$5:$A$8,$E$5:$E$8,"")</f>
        <v>Flat</v>
      </c>
      <c r="I178" s="44" t="str">
        <f aca="false">IF($H178="Percent",_xlfn.XLOOKUP($E178,$A$5:$A$8,$F$5:$F$8,""),"")</f>
        <v/>
      </c>
      <c r="J178" s="42" t="n">
        <f aca="false">IF($H178="Flat",_xlfn.XLOOKUP($E178,$A$5:$A$8,$F$5:$F$8,""),"")</f>
        <v>30</v>
      </c>
      <c r="K178" s="38" t="str">
        <f aca="false">_xlfn.XLOOKUP($E178,$A$5:$A$8,$G$5:$G$8,"")</f>
        <v>Per pay period</v>
      </c>
      <c r="L178" s="38" t="str">
        <f aca="false">_xlfn.XLOOKUP($E178,$A$5:$A$8,$H$5:$H$8,"")</f>
        <v>Every pay period (ongoing)</v>
      </c>
      <c r="M178" s="43" t="n">
        <f aca="false" t="array" ref="M178:M178">MAX(_xlfn.XLOOKUP($A178,TRIM(SUBSTITUTE('worker file'!$A$2:$A$406,_xlfn.UNICHAR(160)," ")),'worker file'!$M$2:$M$406,0),_xlfn.XLOOKUP($B178,TRIM('pay group &amp; schedule'!$A$2:$A$6),'pay group &amp; schedule'!$D$2:$D$6,0))</f>
        <v>46311</v>
      </c>
      <c r="N178" s="43" t="str">
        <f aca="false" t="array" ref="N178:N178">_xlfn.LET(_xlpm.t,_xlfn.XLOOKUP($A178,TRIM(SUBSTITUTE('worker file'!$A$2:$A$406,_xlfn.UNICHAR(160)," ")),'worker file'!$N$2:$N$406,""),IF(N(_xlpm.t)=0,"",_xlpm.t))</f>
        <v/>
      </c>
    </row>
    <row r="179" customFormat="false" ht="15" hidden="false" customHeight="false" outlineLevel="0" collapsed="false">
      <c r="A179" s="39" t="s">
        <v>160</v>
      </c>
      <c r="B179" s="40" t="str">
        <f aca="false" t="array" ref="B179:B179">_xlfn.XLOOKUP($A179,TRIM(SUBSTITUTE('worker file'!$A$2:$A$406,_xlfn.UNICHAR(160)," ")),'worker file'!$L$2:$L$406,"Not found")</f>
        <v>US Semi-monthly</v>
      </c>
      <c r="C179" s="40" t="str">
        <f aca="false" t="array" ref="C179:C179">_xlfn.XLOOKUP($A179,TRIM(SUBSTITUTE('worker file'!$A$2:$A$406,_xlfn.UNICHAR(160)," ")),'worker file'!$D$2:$D$406,"Not found")</f>
        <v>CA</v>
      </c>
      <c r="D179" s="40" t="str">
        <f aca="false" t="array" ref="D179:D179">_xlfn.XLOOKUP($A179,TRIM(SUBSTITUTE('worker file'!$A$2:$A$406,_xlfn.UNICHAR(160)," ")),'worker file'!$Q$2:$Q$406,"Not found")</f>
        <v>Active</v>
      </c>
      <c r="E179" s="39" t="s">
        <v>618</v>
      </c>
      <c r="F179" s="38" t="str">
        <f aca="false">_xlfn.XLOOKUP($E179,$A$5:$A$8,$B$5:$B$8,"")</f>
        <v>401(k) Employee Deferral</v>
      </c>
      <c r="G179" s="38" t="str">
        <f aca="false">_xlfn.XLOOKUP($E179,$A$5:$A$8,$D$5:$D$8,"")</f>
        <v>Pre-tax (exempt from FIT/SIT; subject to FICA)</v>
      </c>
      <c r="H179" s="38" t="str">
        <f aca="false">_xlfn.XLOOKUP($E179,$A$5:$A$8,$E$5:$E$8,"")</f>
        <v>Percent</v>
      </c>
      <c r="I179" s="41" t="n">
        <v>0.02</v>
      </c>
      <c r="J179" s="42" t="str">
        <f aca="false">IF($H179="Flat",_xlfn.XLOOKUP($E179,$A$5:$A$8,$F$5:$F$8,""),"")</f>
        <v/>
      </c>
      <c r="K179" s="38" t="str">
        <f aca="false">_xlfn.XLOOKUP($E179,$A$5:$A$8,$G$5:$G$8,"")</f>
        <v>Gross pay</v>
      </c>
      <c r="L179" s="38" t="str">
        <f aca="false">_xlfn.XLOOKUP($E179,$A$5:$A$8,$H$5:$H$8,"")</f>
        <v>Every pay period (ongoing)</v>
      </c>
      <c r="M179" s="43" t="n">
        <f aca="false" t="array" ref="M179:M179">MAX(_xlfn.XLOOKUP($A179,TRIM(SUBSTITUTE('worker file'!$A$2:$A$406,_xlfn.UNICHAR(160)," ")),'worker file'!$M$2:$M$406,0),_xlfn.XLOOKUP($B179,TRIM('pay group &amp; schedule'!$A$2:$A$6),'pay group &amp; schedule'!$D$2:$D$6,0))</f>
        <v>46311</v>
      </c>
      <c r="N179" s="43" t="str">
        <f aca="false" t="array" ref="N179:N179">_xlfn.LET(_xlpm.t,_xlfn.XLOOKUP($A179,TRIM(SUBSTITUTE('worker file'!$A$2:$A$406,_xlfn.UNICHAR(160)," ")),'worker file'!$N$2:$N$406,""),IF(N(_xlpm.t)=0,"",_xlpm.t))</f>
        <v/>
      </c>
    </row>
    <row r="180" customFormat="false" ht="15" hidden="false" customHeight="false" outlineLevel="0" collapsed="false">
      <c r="A180" s="39" t="s">
        <v>160</v>
      </c>
      <c r="B180" s="40" t="str">
        <f aca="false" t="array" ref="B180:B180">_xlfn.XLOOKUP($A180,TRIM(SUBSTITUTE('worker file'!$A$2:$A$406,_xlfn.UNICHAR(160)," ")),'worker file'!$L$2:$L$406,"Not found")</f>
        <v>US Semi-monthly</v>
      </c>
      <c r="C180" s="40" t="str">
        <f aca="false" t="array" ref="C180:C180">_xlfn.XLOOKUP($A180,TRIM(SUBSTITUTE('worker file'!$A$2:$A$406,_xlfn.UNICHAR(160)," ")),'worker file'!$D$2:$D$406,"Not found")</f>
        <v>CA</v>
      </c>
      <c r="D180" s="40" t="str">
        <f aca="false" t="array" ref="D180:D180">_xlfn.XLOOKUP($A180,TRIM(SUBSTITUTE('worker file'!$A$2:$A$406,_xlfn.UNICHAR(160)," ")),'worker file'!$Q$2:$Q$406,"Not found")</f>
        <v>Active</v>
      </c>
      <c r="E180" s="39" t="s">
        <v>626</v>
      </c>
      <c r="F180" s="38" t="str">
        <f aca="false">_xlfn.XLOOKUP($E180,$A$5:$A$8,$B$5:$B$8,"")</f>
        <v>Medical (Health) – Employee</v>
      </c>
      <c r="G180" s="38" t="str">
        <f aca="false">_xlfn.XLOOKUP($E180,$A$5:$A$8,$D$5:$D$8,"")</f>
        <v>Pre-tax Section 125 (exempt from FIT/SIT/FICA)</v>
      </c>
      <c r="H180" s="38" t="str">
        <f aca="false">_xlfn.XLOOKUP($E180,$A$5:$A$8,$E$5:$E$8,"")</f>
        <v>Flat</v>
      </c>
      <c r="I180" s="44" t="str">
        <f aca="false">IF($H180="Percent",_xlfn.XLOOKUP($E180,$A$5:$A$8,$F$5:$F$8,""),"")</f>
        <v/>
      </c>
      <c r="J180" s="42" t="n">
        <f aca="false">IF($H180="Flat",_xlfn.XLOOKUP($E180,$A$5:$A$8,$F$5:$F$8,""),"")</f>
        <v>200</v>
      </c>
      <c r="K180" s="38" t="str">
        <f aca="false">_xlfn.XLOOKUP($E180,$A$5:$A$8,$G$5:$G$8,"")</f>
        <v>Per pay period</v>
      </c>
      <c r="L180" s="38" t="str">
        <f aca="false">_xlfn.XLOOKUP($E180,$A$5:$A$8,$H$5:$H$8,"")</f>
        <v>Every pay period (ongoing)</v>
      </c>
      <c r="M180" s="43" t="n">
        <f aca="false" t="array" ref="M180:M180">MAX(_xlfn.XLOOKUP($A180,TRIM(SUBSTITUTE('worker file'!$A$2:$A$406,_xlfn.UNICHAR(160)," ")),'worker file'!$M$2:$M$406,0),_xlfn.XLOOKUP($B180,TRIM('pay group &amp; schedule'!$A$2:$A$6),'pay group &amp; schedule'!$D$2:$D$6,0))</f>
        <v>46311</v>
      </c>
      <c r="N180" s="43" t="str">
        <f aca="false" t="array" ref="N180:N180">_xlfn.LET(_xlpm.t,_xlfn.XLOOKUP($A180,TRIM(SUBSTITUTE('worker file'!$A$2:$A$406,_xlfn.UNICHAR(160)," ")),'worker file'!$N$2:$N$406,""),IF(N(_xlpm.t)=0,"",_xlpm.t))</f>
        <v/>
      </c>
    </row>
    <row r="181" customFormat="false" ht="15" hidden="false" customHeight="false" outlineLevel="0" collapsed="false">
      <c r="A181" s="39" t="s">
        <v>160</v>
      </c>
      <c r="B181" s="40" t="str">
        <f aca="false" t="array" ref="B181:B181">_xlfn.XLOOKUP($A181,TRIM(SUBSTITUTE('worker file'!$A$2:$A$406,_xlfn.UNICHAR(160)," ")),'worker file'!$L$2:$L$406,"Not found")</f>
        <v>US Semi-monthly</v>
      </c>
      <c r="C181" s="40" t="str">
        <f aca="false" t="array" ref="C181:C181">_xlfn.XLOOKUP($A181,TRIM(SUBSTITUTE('worker file'!$A$2:$A$406,_xlfn.UNICHAR(160)," ")),'worker file'!$D$2:$D$406,"Not found")</f>
        <v>CA</v>
      </c>
      <c r="D181" s="40" t="str">
        <f aca="false" t="array" ref="D181:D181">_xlfn.XLOOKUP($A181,TRIM(SUBSTITUTE('worker file'!$A$2:$A$406,_xlfn.UNICHAR(160)," ")),'worker file'!$Q$2:$Q$406,"Not found")</f>
        <v>Active</v>
      </c>
      <c r="E181" s="39" t="s">
        <v>632</v>
      </c>
      <c r="F181" s="38" t="str">
        <f aca="false">_xlfn.XLOOKUP($E181,$A$5:$A$8,$B$5:$B$8,"")</f>
        <v>Dental – Employee</v>
      </c>
      <c r="G181" s="38" t="str">
        <f aca="false">_xlfn.XLOOKUP($E181,$A$5:$A$8,$D$5:$D$8,"")</f>
        <v>Pre-tax Section 125 (exempt from FIT/SIT/FICA)</v>
      </c>
      <c r="H181" s="38" t="str">
        <f aca="false">_xlfn.XLOOKUP($E181,$A$5:$A$8,$E$5:$E$8,"")</f>
        <v>Flat</v>
      </c>
      <c r="I181" s="44" t="str">
        <f aca="false">IF($H181="Percent",_xlfn.XLOOKUP($E181,$A$5:$A$8,$F$5:$F$8,""),"")</f>
        <v/>
      </c>
      <c r="J181" s="42" t="n">
        <f aca="false">IF($H181="Flat",_xlfn.XLOOKUP($E181,$A$5:$A$8,$F$5:$F$8,""),"")</f>
        <v>44</v>
      </c>
      <c r="K181" s="38" t="str">
        <f aca="false">_xlfn.XLOOKUP($E181,$A$5:$A$8,$G$5:$G$8,"")</f>
        <v>Per pay period</v>
      </c>
      <c r="L181" s="38" t="str">
        <f aca="false">_xlfn.XLOOKUP($E181,$A$5:$A$8,$H$5:$H$8,"")</f>
        <v>Every pay period (ongoing)</v>
      </c>
      <c r="M181" s="43" t="n">
        <f aca="false" t="array" ref="M181:M181">MAX(_xlfn.XLOOKUP($A181,TRIM(SUBSTITUTE('worker file'!$A$2:$A$406,_xlfn.UNICHAR(160)," ")),'worker file'!$M$2:$M$406,0),_xlfn.XLOOKUP($B181,TRIM('pay group &amp; schedule'!$A$2:$A$6),'pay group &amp; schedule'!$D$2:$D$6,0))</f>
        <v>46311</v>
      </c>
      <c r="N181" s="43" t="str">
        <f aca="false" t="array" ref="N181:N181">_xlfn.LET(_xlpm.t,_xlfn.XLOOKUP($A181,TRIM(SUBSTITUTE('worker file'!$A$2:$A$406,_xlfn.UNICHAR(160)," ")),'worker file'!$N$2:$N$406,""),IF(N(_xlpm.t)=0,"",_xlpm.t))</f>
        <v/>
      </c>
    </row>
    <row r="182" customFormat="false" ht="15" hidden="false" customHeight="false" outlineLevel="0" collapsed="false">
      <c r="A182" s="39" t="s">
        <v>160</v>
      </c>
      <c r="B182" s="40" t="str">
        <f aca="false" t="array" ref="B182:B182">_xlfn.XLOOKUP($A182,TRIM(SUBSTITUTE('worker file'!$A$2:$A$406,_xlfn.UNICHAR(160)," ")),'worker file'!$L$2:$L$406,"Not found")</f>
        <v>US Semi-monthly</v>
      </c>
      <c r="C182" s="40" t="str">
        <f aca="false" t="array" ref="C182:C182">_xlfn.XLOOKUP($A182,TRIM(SUBSTITUTE('worker file'!$A$2:$A$406,_xlfn.UNICHAR(160)," ")),'worker file'!$D$2:$D$406,"Not found")</f>
        <v>CA</v>
      </c>
      <c r="D182" s="40" t="str">
        <f aca="false" t="array" ref="D182:D182">_xlfn.XLOOKUP($A182,TRIM(SUBSTITUTE('worker file'!$A$2:$A$406,_xlfn.UNICHAR(160)," ")),'worker file'!$Q$2:$Q$406,"Not found")</f>
        <v>Active</v>
      </c>
      <c r="E182" s="39" t="s">
        <v>634</v>
      </c>
      <c r="F182" s="38" t="str">
        <f aca="false">_xlfn.XLOOKUP($E182,$A$5:$A$8,$B$5:$B$8,"")</f>
        <v>Vision – Employee</v>
      </c>
      <c r="G182" s="38" t="str">
        <f aca="false">_xlfn.XLOOKUP($E182,$A$5:$A$8,$D$5:$D$8,"")</f>
        <v>Pre-tax Section 125 (exempt from FIT/SIT/FICA)</v>
      </c>
      <c r="H182" s="38" t="str">
        <f aca="false">_xlfn.XLOOKUP($E182,$A$5:$A$8,$E$5:$E$8,"")</f>
        <v>Flat</v>
      </c>
      <c r="I182" s="44" t="str">
        <f aca="false">IF($H182="Percent",_xlfn.XLOOKUP($E182,$A$5:$A$8,$F$5:$F$8,""),"")</f>
        <v/>
      </c>
      <c r="J182" s="42" t="n">
        <f aca="false">IF($H182="Flat",_xlfn.XLOOKUP($E182,$A$5:$A$8,$F$5:$F$8,""),"")</f>
        <v>30</v>
      </c>
      <c r="K182" s="38" t="str">
        <f aca="false">_xlfn.XLOOKUP($E182,$A$5:$A$8,$G$5:$G$8,"")</f>
        <v>Per pay period</v>
      </c>
      <c r="L182" s="38" t="str">
        <f aca="false">_xlfn.XLOOKUP($E182,$A$5:$A$8,$H$5:$H$8,"")</f>
        <v>Every pay period (ongoing)</v>
      </c>
      <c r="M182" s="43" t="n">
        <f aca="false" t="array" ref="M182:M182">MAX(_xlfn.XLOOKUP($A182,TRIM(SUBSTITUTE('worker file'!$A$2:$A$406,_xlfn.UNICHAR(160)," ")),'worker file'!$M$2:$M$406,0),_xlfn.XLOOKUP($B182,TRIM('pay group &amp; schedule'!$A$2:$A$6),'pay group &amp; schedule'!$D$2:$D$6,0))</f>
        <v>46311</v>
      </c>
      <c r="N182" s="43" t="str">
        <f aca="false" t="array" ref="N182:N182">_xlfn.LET(_xlpm.t,_xlfn.XLOOKUP($A182,TRIM(SUBSTITUTE('worker file'!$A$2:$A$406,_xlfn.UNICHAR(160)," ")),'worker file'!$N$2:$N$406,""),IF(N(_xlpm.t)=0,"",_xlpm.t))</f>
        <v/>
      </c>
    </row>
    <row r="183" customFormat="false" ht="15" hidden="false" customHeight="false" outlineLevel="0" collapsed="false">
      <c r="A183" s="39" t="s">
        <v>161</v>
      </c>
      <c r="B183" s="40" t="str">
        <f aca="false" t="array" ref="B183:B183">_xlfn.XLOOKUP($A183,TRIM(SUBSTITUTE('worker file'!$A$2:$A$406,_xlfn.UNICHAR(160)," ")),'worker file'!$L$2:$L$406,"Not found")</f>
        <v>US Semi-monthly</v>
      </c>
      <c r="C183" s="40" t="str">
        <f aca="false" t="array" ref="C183:C183">_xlfn.XLOOKUP($A183,TRIM(SUBSTITUTE('worker file'!$A$2:$A$406,_xlfn.UNICHAR(160)," ")),'worker file'!$D$2:$D$406,"Not found")</f>
        <v>CA</v>
      </c>
      <c r="D183" s="40" t="str">
        <f aca="false" t="array" ref="D183:D183">_xlfn.XLOOKUP($A183,TRIM(SUBSTITUTE('worker file'!$A$2:$A$406,_xlfn.UNICHAR(160)," ")),'worker file'!$Q$2:$Q$406,"Not found")</f>
        <v>Active</v>
      </c>
      <c r="E183" s="39" t="s">
        <v>618</v>
      </c>
      <c r="F183" s="38" t="str">
        <f aca="false">_xlfn.XLOOKUP($E183,$A$5:$A$8,$B$5:$B$8,"")</f>
        <v>401(k) Employee Deferral</v>
      </c>
      <c r="G183" s="38" t="str">
        <f aca="false">_xlfn.XLOOKUP($E183,$A$5:$A$8,$D$5:$D$8,"")</f>
        <v>Pre-tax (exempt from FIT/SIT; subject to FICA)</v>
      </c>
      <c r="H183" s="38" t="str">
        <f aca="false">_xlfn.XLOOKUP($E183,$A$5:$A$8,$E$5:$E$8,"")</f>
        <v>Percent</v>
      </c>
      <c r="I183" s="41" t="n">
        <v>0.07</v>
      </c>
      <c r="J183" s="42" t="str">
        <f aca="false">IF($H183="Flat",_xlfn.XLOOKUP($E183,$A$5:$A$8,$F$5:$F$8,""),"")</f>
        <v/>
      </c>
      <c r="K183" s="38" t="str">
        <f aca="false">_xlfn.XLOOKUP($E183,$A$5:$A$8,$G$5:$G$8,"")</f>
        <v>Gross pay</v>
      </c>
      <c r="L183" s="38" t="str">
        <f aca="false">_xlfn.XLOOKUP($E183,$A$5:$A$8,$H$5:$H$8,"")</f>
        <v>Every pay period (ongoing)</v>
      </c>
      <c r="M183" s="43" t="n">
        <f aca="false" t="array" ref="M183:M183">MAX(_xlfn.XLOOKUP($A183,TRIM(SUBSTITUTE('worker file'!$A$2:$A$406,_xlfn.UNICHAR(160)," ")),'worker file'!$M$2:$M$406,0),_xlfn.XLOOKUP($B183,TRIM('pay group &amp; schedule'!$A$2:$A$6),'pay group &amp; schedule'!$D$2:$D$6,0))</f>
        <v>46311</v>
      </c>
      <c r="N183" s="43" t="str">
        <f aca="false" t="array" ref="N183:N183">_xlfn.LET(_xlpm.t,_xlfn.XLOOKUP($A183,TRIM(SUBSTITUTE('worker file'!$A$2:$A$406,_xlfn.UNICHAR(160)," ")),'worker file'!$N$2:$N$406,""),IF(N(_xlpm.t)=0,"",_xlpm.t))</f>
        <v/>
      </c>
    </row>
    <row r="184" customFormat="false" ht="15" hidden="false" customHeight="false" outlineLevel="0" collapsed="false">
      <c r="A184" s="39" t="s">
        <v>161</v>
      </c>
      <c r="B184" s="40" t="str">
        <f aca="false" t="array" ref="B184:B184">_xlfn.XLOOKUP($A184,TRIM(SUBSTITUTE('worker file'!$A$2:$A$406,_xlfn.UNICHAR(160)," ")),'worker file'!$L$2:$L$406,"Not found")</f>
        <v>US Semi-monthly</v>
      </c>
      <c r="C184" s="40" t="str">
        <f aca="false" t="array" ref="C184:C184">_xlfn.XLOOKUP($A184,TRIM(SUBSTITUTE('worker file'!$A$2:$A$406,_xlfn.UNICHAR(160)," ")),'worker file'!$D$2:$D$406,"Not found")</f>
        <v>CA</v>
      </c>
      <c r="D184" s="40" t="str">
        <f aca="false" t="array" ref="D184:D184">_xlfn.XLOOKUP($A184,TRIM(SUBSTITUTE('worker file'!$A$2:$A$406,_xlfn.UNICHAR(160)," ")),'worker file'!$Q$2:$Q$406,"Not found")</f>
        <v>Active</v>
      </c>
      <c r="E184" s="39" t="s">
        <v>626</v>
      </c>
      <c r="F184" s="38" t="str">
        <f aca="false">_xlfn.XLOOKUP($E184,$A$5:$A$8,$B$5:$B$8,"")</f>
        <v>Medical (Health) – Employee</v>
      </c>
      <c r="G184" s="38" t="str">
        <f aca="false">_xlfn.XLOOKUP($E184,$A$5:$A$8,$D$5:$D$8,"")</f>
        <v>Pre-tax Section 125 (exempt from FIT/SIT/FICA)</v>
      </c>
      <c r="H184" s="38" t="str">
        <f aca="false">_xlfn.XLOOKUP($E184,$A$5:$A$8,$E$5:$E$8,"")</f>
        <v>Flat</v>
      </c>
      <c r="I184" s="44" t="str">
        <f aca="false">IF($H184="Percent",_xlfn.XLOOKUP($E184,$A$5:$A$8,$F$5:$F$8,""),"")</f>
        <v/>
      </c>
      <c r="J184" s="42" t="n">
        <f aca="false">IF($H184="Flat",_xlfn.XLOOKUP($E184,$A$5:$A$8,$F$5:$F$8,""),"")</f>
        <v>200</v>
      </c>
      <c r="K184" s="38" t="str">
        <f aca="false">_xlfn.XLOOKUP($E184,$A$5:$A$8,$G$5:$G$8,"")</f>
        <v>Per pay period</v>
      </c>
      <c r="L184" s="38" t="str">
        <f aca="false">_xlfn.XLOOKUP($E184,$A$5:$A$8,$H$5:$H$8,"")</f>
        <v>Every pay period (ongoing)</v>
      </c>
      <c r="M184" s="43" t="n">
        <f aca="false" t="array" ref="M184:M184">MAX(_xlfn.XLOOKUP($A184,TRIM(SUBSTITUTE('worker file'!$A$2:$A$406,_xlfn.UNICHAR(160)," ")),'worker file'!$M$2:$M$406,0),_xlfn.XLOOKUP($B184,TRIM('pay group &amp; schedule'!$A$2:$A$6),'pay group &amp; schedule'!$D$2:$D$6,0))</f>
        <v>46311</v>
      </c>
      <c r="N184" s="43" t="str">
        <f aca="false" t="array" ref="N184:N184">_xlfn.LET(_xlpm.t,_xlfn.XLOOKUP($A184,TRIM(SUBSTITUTE('worker file'!$A$2:$A$406,_xlfn.UNICHAR(160)," ")),'worker file'!$N$2:$N$406,""),IF(N(_xlpm.t)=0,"",_xlpm.t))</f>
        <v/>
      </c>
    </row>
    <row r="185" customFormat="false" ht="15" hidden="false" customHeight="false" outlineLevel="0" collapsed="false">
      <c r="A185" s="39" t="s">
        <v>161</v>
      </c>
      <c r="B185" s="40" t="str">
        <f aca="false" t="array" ref="B185:B185">_xlfn.XLOOKUP($A185,TRIM(SUBSTITUTE('worker file'!$A$2:$A$406,_xlfn.UNICHAR(160)," ")),'worker file'!$L$2:$L$406,"Not found")</f>
        <v>US Semi-monthly</v>
      </c>
      <c r="C185" s="40" t="str">
        <f aca="false" t="array" ref="C185:C185">_xlfn.XLOOKUP($A185,TRIM(SUBSTITUTE('worker file'!$A$2:$A$406,_xlfn.UNICHAR(160)," ")),'worker file'!$D$2:$D$406,"Not found")</f>
        <v>CA</v>
      </c>
      <c r="D185" s="40" t="str">
        <f aca="false" t="array" ref="D185:D185">_xlfn.XLOOKUP($A185,TRIM(SUBSTITUTE('worker file'!$A$2:$A$406,_xlfn.UNICHAR(160)," ")),'worker file'!$Q$2:$Q$406,"Not found")</f>
        <v>Active</v>
      </c>
      <c r="E185" s="39" t="s">
        <v>632</v>
      </c>
      <c r="F185" s="38" t="str">
        <f aca="false">_xlfn.XLOOKUP($E185,$A$5:$A$8,$B$5:$B$8,"")</f>
        <v>Dental – Employee</v>
      </c>
      <c r="G185" s="38" t="str">
        <f aca="false">_xlfn.XLOOKUP($E185,$A$5:$A$8,$D$5:$D$8,"")</f>
        <v>Pre-tax Section 125 (exempt from FIT/SIT/FICA)</v>
      </c>
      <c r="H185" s="38" t="str">
        <f aca="false">_xlfn.XLOOKUP($E185,$A$5:$A$8,$E$5:$E$8,"")</f>
        <v>Flat</v>
      </c>
      <c r="I185" s="44" t="str">
        <f aca="false">IF($H185="Percent",_xlfn.XLOOKUP($E185,$A$5:$A$8,$F$5:$F$8,""),"")</f>
        <v/>
      </c>
      <c r="J185" s="42" t="n">
        <f aca="false">IF($H185="Flat",_xlfn.XLOOKUP($E185,$A$5:$A$8,$F$5:$F$8,""),"")</f>
        <v>44</v>
      </c>
      <c r="K185" s="38" t="str">
        <f aca="false">_xlfn.XLOOKUP($E185,$A$5:$A$8,$G$5:$G$8,"")</f>
        <v>Per pay period</v>
      </c>
      <c r="L185" s="38" t="str">
        <f aca="false">_xlfn.XLOOKUP($E185,$A$5:$A$8,$H$5:$H$8,"")</f>
        <v>Every pay period (ongoing)</v>
      </c>
      <c r="M185" s="43" t="n">
        <f aca="false" t="array" ref="M185:M185">MAX(_xlfn.XLOOKUP($A185,TRIM(SUBSTITUTE('worker file'!$A$2:$A$406,_xlfn.UNICHAR(160)," ")),'worker file'!$M$2:$M$406,0),_xlfn.XLOOKUP($B185,TRIM('pay group &amp; schedule'!$A$2:$A$6),'pay group &amp; schedule'!$D$2:$D$6,0))</f>
        <v>46311</v>
      </c>
      <c r="N185" s="43" t="str">
        <f aca="false" t="array" ref="N185:N185">_xlfn.LET(_xlpm.t,_xlfn.XLOOKUP($A185,TRIM(SUBSTITUTE('worker file'!$A$2:$A$406,_xlfn.UNICHAR(160)," ")),'worker file'!$N$2:$N$406,""),IF(N(_xlpm.t)=0,"",_xlpm.t))</f>
        <v/>
      </c>
    </row>
    <row r="186" customFormat="false" ht="15" hidden="false" customHeight="false" outlineLevel="0" collapsed="false">
      <c r="A186" s="39" t="s">
        <v>161</v>
      </c>
      <c r="B186" s="40" t="str">
        <f aca="false" t="array" ref="B186:B186">_xlfn.XLOOKUP($A186,TRIM(SUBSTITUTE('worker file'!$A$2:$A$406,_xlfn.UNICHAR(160)," ")),'worker file'!$L$2:$L$406,"Not found")</f>
        <v>US Semi-monthly</v>
      </c>
      <c r="C186" s="40" t="str">
        <f aca="false" t="array" ref="C186:C186">_xlfn.XLOOKUP($A186,TRIM(SUBSTITUTE('worker file'!$A$2:$A$406,_xlfn.UNICHAR(160)," ")),'worker file'!$D$2:$D$406,"Not found")</f>
        <v>CA</v>
      </c>
      <c r="D186" s="40" t="str">
        <f aca="false" t="array" ref="D186:D186">_xlfn.XLOOKUP($A186,TRIM(SUBSTITUTE('worker file'!$A$2:$A$406,_xlfn.UNICHAR(160)," ")),'worker file'!$Q$2:$Q$406,"Not found")</f>
        <v>Active</v>
      </c>
      <c r="E186" s="39" t="s">
        <v>634</v>
      </c>
      <c r="F186" s="38" t="str">
        <f aca="false">_xlfn.XLOOKUP($E186,$A$5:$A$8,$B$5:$B$8,"")</f>
        <v>Vision – Employee</v>
      </c>
      <c r="G186" s="38" t="str">
        <f aca="false">_xlfn.XLOOKUP($E186,$A$5:$A$8,$D$5:$D$8,"")</f>
        <v>Pre-tax Section 125 (exempt from FIT/SIT/FICA)</v>
      </c>
      <c r="H186" s="38" t="str">
        <f aca="false">_xlfn.XLOOKUP($E186,$A$5:$A$8,$E$5:$E$8,"")</f>
        <v>Flat</v>
      </c>
      <c r="I186" s="44" t="str">
        <f aca="false">IF($H186="Percent",_xlfn.XLOOKUP($E186,$A$5:$A$8,$F$5:$F$8,""),"")</f>
        <v/>
      </c>
      <c r="J186" s="42" t="n">
        <f aca="false">IF($H186="Flat",_xlfn.XLOOKUP($E186,$A$5:$A$8,$F$5:$F$8,""),"")</f>
        <v>30</v>
      </c>
      <c r="K186" s="38" t="str">
        <f aca="false">_xlfn.XLOOKUP($E186,$A$5:$A$8,$G$5:$G$8,"")</f>
        <v>Per pay period</v>
      </c>
      <c r="L186" s="38" t="str">
        <f aca="false">_xlfn.XLOOKUP($E186,$A$5:$A$8,$H$5:$H$8,"")</f>
        <v>Every pay period (ongoing)</v>
      </c>
      <c r="M186" s="43" t="n">
        <f aca="false" t="array" ref="M186:M186">MAX(_xlfn.XLOOKUP($A186,TRIM(SUBSTITUTE('worker file'!$A$2:$A$406,_xlfn.UNICHAR(160)," ")),'worker file'!$M$2:$M$406,0),_xlfn.XLOOKUP($B186,TRIM('pay group &amp; schedule'!$A$2:$A$6),'pay group &amp; schedule'!$D$2:$D$6,0))</f>
        <v>46311</v>
      </c>
      <c r="N186" s="43" t="str">
        <f aca="false" t="array" ref="N186:N186">_xlfn.LET(_xlpm.t,_xlfn.XLOOKUP($A186,TRIM(SUBSTITUTE('worker file'!$A$2:$A$406,_xlfn.UNICHAR(160)," ")),'worker file'!$N$2:$N$406,""),IF(N(_xlpm.t)=0,"",_xlpm.t))</f>
        <v/>
      </c>
    </row>
    <row r="187" customFormat="false" ht="15" hidden="false" customHeight="false" outlineLevel="0" collapsed="false">
      <c r="A187" s="39" t="s">
        <v>162</v>
      </c>
      <c r="B187" s="40" t="str">
        <f aca="false" t="array" ref="B187:B187">_xlfn.XLOOKUP($A187,TRIM(SUBSTITUTE('worker file'!$A$2:$A$406,_xlfn.UNICHAR(160)," ")),'worker file'!$L$2:$L$406,"Not found")</f>
        <v>US Semi-monthly</v>
      </c>
      <c r="C187" s="40" t="str">
        <f aca="false" t="array" ref="C187:C187">_xlfn.XLOOKUP($A187,TRIM(SUBSTITUTE('worker file'!$A$2:$A$406,_xlfn.UNICHAR(160)," ")),'worker file'!$D$2:$D$406,"Not found")</f>
        <v>MA</v>
      </c>
      <c r="D187" s="40" t="str">
        <f aca="false" t="array" ref="D187:D187">_xlfn.XLOOKUP($A187,TRIM(SUBSTITUTE('worker file'!$A$2:$A$406,_xlfn.UNICHAR(160)," ")),'worker file'!$Q$2:$Q$406,"Not found")</f>
        <v>Active</v>
      </c>
      <c r="E187" s="39" t="s">
        <v>618</v>
      </c>
      <c r="F187" s="38" t="str">
        <f aca="false">_xlfn.XLOOKUP($E187,$A$5:$A$8,$B$5:$B$8,"")</f>
        <v>401(k) Employee Deferral</v>
      </c>
      <c r="G187" s="38" t="str">
        <f aca="false">_xlfn.XLOOKUP($E187,$A$5:$A$8,$D$5:$D$8,"")</f>
        <v>Pre-tax (exempt from FIT/SIT; subject to FICA)</v>
      </c>
      <c r="H187" s="38" t="str">
        <f aca="false">_xlfn.XLOOKUP($E187,$A$5:$A$8,$E$5:$E$8,"")</f>
        <v>Percent</v>
      </c>
      <c r="I187" s="41" t="n">
        <v>0.04</v>
      </c>
      <c r="J187" s="42" t="str">
        <f aca="false">IF($H187="Flat",_xlfn.XLOOKUP($E187,$A$5:$A$8,$F$5:$F$8,""),"")</f>
        <v/>
      </c>
      <c r="K187" s="38" t="str">
        <f aca="false">_xlfn.XLOOKUP($E187,$A$5:$A$8,$G$5:$G$8,"")</f>
        <v>Gross pay</v>
      </c>
      <c r="L187" s="38" t="str">
        <f aca="false">_xlfn.XLOOKUP($E187,$A$5:$A$8,$H$5:$H$8,"")</f>
        <v>Every pay period (ongoing)</v>
      </c>
      <c r="M187" s="43" t="n">
        <f aca="false" t="array" ref="M187:M187">MAX(_xlfn.XLOOKUP($A187,TRIM(SUBSTITUTE('worker file'!$A$2:$A$406,_xlfn.UNICHAR(160)," ")),'worker file'!$M$2:$M$406,0),_xlfn.XLOOKUP($B187,TRIM('pay group &amp; schedule'!$A$2:$A$6),'pay group &amp; schedule'!$D$2:$D$6,0))</f>
        <v>46311</v>
      </c>
      <c r="N187" s="43" t="str">
        <f aca="false" t="array" ref="N187:N187">_xlfn.LET(_xlpm.t,_xlfn.XLOOKUP($A187,TRIM(SUBSTITUTE('worker file'!$A$2:$A$406,_xlfn.UNICHAR(160)," ")),'worker file'!$N$2:$N$406,""),IF(N(_xlpm.t)=0,"",_xlpm.t))</f>
        <v/>
      </c>
    </row>
    <row r="188" customFormat="false" ht="15" hidden="false" customHeight="false" outlineLevel="0" collapsed="false">
      <c r="A188" s="39" t="s">
        <v>162</v>
      </c>
      <c r="B188" s="40" t="str">
        <f aca="false" t="array" ref="B188:B188">_xlfn.XLOOKUP($A188,TRIM(SUBSTITUTE('worker file'!$A$2:$A$406,_xlfn.UNICHAR(160)," ")),'worker file'!$L$2:$L$406,"Not found")</f>
        <v>US Semi-monthly</v>
      </c>
      <c r="C188" s="40" t="str">
        <f aca="false" t="array" ref="C188:C188">_xlfn.XLOOKUP($A188,TRIM(SUBSTITUTE('worker file'!$A$2:$A$406,_xlfn.UNICHAR(160)," ")),'worker file'!$D$2:$D$406,"Not found")</f>
        <v>MA</v>
      </c>
      <c r="D188" s="40" t="str">
        <f aca="false" t="array" ref="D188:D188">_xlfn.XLOOKUP($A188,TRIM(SUBSTITUTE('worker file'!$A$2:$A$406,_xlfn.UNICHAR(160)," ")),'worker file'!$Q$2:$Q$406,"Not found")</f>
        <v>Active</v>
      </c>
      <c r="E188" s="39" t="s">
        <v>626</v>
      </c>
      <c r="F188" s="38" t="str">
        <f aca="false">_xlfn.XLOOKUP($E188,$A$5:$A$8,$B$5:$B$8,"")</f>
        <v>Medical (Health) – Employee</v>
      </c>
      <c r="G188" s="38" t="str">
        <f aca="false">_xlfn.XLOOKUP($E188,$A$5:$A$8,$D$5:$D$8,"")</f>
        <v>Pre-tax Section 125 (exempt from FIT/SIT/FICA)</v>
      </c>
      <c r="H188" s="38" t="str">
        <f aca="false">_xlfn.XLOOKUP($E188,$A$5:$A$8,$E$5:$E$8,"")</f>
        <v>Flat</v>
      </c>
      <c r="I188" s="44" t="str">
        <f aca="false">IF($H188="Percent",_xlfn.XLOOKUP($E188,$A$5:$A$8,$F$5:$F$8,""),"")</f>
        <v/>
      </c>
      <c r="J188" s="42" t="n">
        <f aca="false">IF($H188="Flat",_xlfn.XLOOKUP($E188,$A$5:$A$8,$F$5:$F$8,""),"")</f>
        <v>200</v>
      </c>
      <c r="K188" s="38" t="str">
        <f aca="false">_xlfn.XLOOKUP($E188,$A$5:$A$8,$G$5:$G$8,"")</f>
        <v>Per pay period</v>
      </c>
      <c r="L188" s="38" t="str">
        <f aca="false">_xlfn.XLOOKUP($E188,$A$5:$A$8,$H$5:$H$8,"")</f>
        <v>Every pay period (ongoing)</v>
      </c>
      <c r="M188" s="43" t="n">
        <f aca="false" t="array" ref="M188:M188">MAX(_xlfn.XLOOKUP($A188,TRIM(SUBSTITUTE('worker file'!$A$2:$A$406,_xlfn.UNICHAR(160)," ")),'worker file'!$M$2:$M$406,0),_xlfn.XLOOKUP($B188,TRIM('pay group &amp; schedule'!$A$2:$A$6),'pay group &amp; schedule'!$D$2:$D$6,0))</f>
        <v>46311</v>
      </c>
      <c r="N188" s="43" t="str">
        <f aca="false" t="array" ref="N188:N188">_xlfn.LET(_xlpm.t,_xlfn.XLOOKUP($A188,TRIM(SUBSTITUTE('worker file'!$A$2:$A$406,_xlfn.UNICHAR(160)," ")),'worker file'!$N$2:$N$406,""),IF(N(_xlpm.t)=0,"",_xlpm.t))</f>
        <v/>
      </c>
    </row>
    <row r="189" customFormat="false" ht="15" hidden="false" customHeight="false" outlineLevel="0" collapsed="false">
      <c r="A189" s="39" t="s">
        <v>162</v>
      </c>
      <c r="B189" s="40" t="str">
        <f aca="false" t="array" ref="B189:B189">_xlfn.XLOOKUP($A189,TRIM(SUBSTITUTE('worker file'!$A$2:$A$406,_xlfn.UNICHAR(160)," ")),'worker file'!$L$2:$L$406,"Not found")</f>
        <v>US Semi-monthly</v>
      </c>
      <c r="C189" s="40" t="str">
        <f aca="false" t="array" ref="C189:C189">_xlfn.XLOOKUP($A189,TRIM(SUBSTITUTE('worker file'!$A$2:$A$406,_xlfn.UNICHAR(160)," ")),'worker file'!$D$2:$D$406,"Not found")</f>
        <v>MA</v>
      </c>
      <c r="D189" s="40" t="str">
        <f aca="false" t="array" ref="D189:D189">_xlfn.XLOOKUP($A189,TRIM(SUBSTITUTE('worker file'!$A$2:$A$406,_xlfn.UNICHAR(160)," ")),'worker file'!$Q$2:$Q$406,"Not found")</f>
        <v>Active</v>
      </c>
      <c r="E189" s="39" t="s">
        <v>632</v>
      </c>
      <c r="F189" s="38" t="str">
        <f aca="false">_xlfn.XLOOKUP($E189,$A$5:$A$8,$B$5:$B$8,"")</f>
        <v>Dental – Employee</v>
      </c>
      <c r="G189" s="38" t="str">
        <f aca="false">_xlfn.XLOOKUP($E189,$A$5:$A$8,$D$5:$D$8,"")</f>
        <v>Pre-tax Section 125 (exempt from FIT/SIT/FICA)</v>
      </c>
      <c r="H189" s="38" t="str">
        <f aca="false">_xlfn.XLOOKUP($E189,$A$5:$A$8,$E$5:$E$8,"")</f>
        <v>Flat</v>
      </c>
      <c r="I189" s="44" t="str">
        <f aca="false">IF($H189="Percent",_xlfn.XLOOKUP($E189,$A$5:$A$8,$F$5:$F$8,""),"")</f>
        <v/>
      </c>
      <c r="J189" s="42" t="n">
        <f aca="false">IF($H189="Flat",_xlfn.XLOOKUP($E189,$A$5:$A$8,$F$5:$F$8,""),"")</f>
        <v>44</v>
      </c>
      <c r="K189" s="38" t="str">
        <f aca="false">_xlfn.XLOOKUP($E189,$A$5:$A$8,$G$5:$G$8,"")</f>
        <v>Per pay period</v>
      </c>
      <c r="L189" s="38" t="str">
        <f aca="false">_xlfn.XLOOKUP($E189,$A$5:$A$8,$H$5:$H$8,"")</f>
        <v>Every pay period (ongoing)</v>
      </c>
      <c r="M189" s="43" t="n">
        <f aca="false" t="array" ref="M189:M189">MAX(_xlfn.XLOOKUP($A189,TRIM(SUBSTITUTE('worker file'!$A$2:$A$406,_xlfn.UNICHAR(160)," ")),'worker file'!$M$2:$M$406,0),_xlfn.XLOOKUP($B189,TRIM('pay group &amp; schedule'!$A$2:$A$6),'pay group &amp; schedule'!$D$2:$D$6,0))</f>
        <v>46311</v>
      </c>
      <c r="N189" s="43" t="str">
        <f aca="false" t="array" ref="N189:N189">_xlfn.LET(_xlpm.t,_xlfn.XLOOKUP($A189,TRIM(SUBSTITUTE('worker file'!$A$2:$A$406,_xlfn.UNICHAR(160)," ")),'worker file'!$N$2:$N$406,""),IF(N(_xlpm.t)=0,"",_xlpm.t))</f>
        <v/>
      </c>
    </row>
    <row r="190" customFormat="false" ht="15" hidden="false" customHeight="false" outlineLevel="0" collapsed="false">
      <c r="A190" s="39" t="s">
        <v>162</v>
      </c>
      <c r="B190" s="40" t="str">
        <f aca="false" t="array" ref="B190:B190">_xlfn.XLOOKUP($A190,TRIM(SUBSTITUTE('worker file'!$A$2:$A$406,_xlfn.UNICHAR(160)," ")),'worker file'!$L$2:$L$406,"Not found")</f>
        <v>US Semi-monthly</v>
      </c>
      <c r="C190" s="40" t="str">
        <f aca="false" t="array" ref="C190:C190">_xlfn.XLOOKUP($A190,TRIM(SUBSTITUTE('worker file'!$A$2:$A$406,_xlfn.UNICHAR(160)," ")),'worker file'!$D$2:$D$406,"Not found")</f>
        <v>MA</v>
      </c>
      <c r="D190" s="40" t="str">
        <f aca="false" t="array" ref="D190:D190">_xlfn.XLOOKUP($A190,TRIM(SUBSTITUTE('worker file'!$A$2:$A$406,_xlfn.UNICHAR(160)," ")),'worker file'!$Q$2:$Q$406,"Not found")</f>
        <v>Active</v>
      </c>
      <c r="E190" s="39" t="s">
        <v>634</v>
      </c>
      <c r="F190" s="38" t="str">
        <f aca="false">_xlfn.XLOOKUP($E190,$A$5:$A$8,$B$5:$B$8,"")</f>
        <v>Vision – Employee</v>
      </c>
      <c r="G190" s="38" t="str">
        <f aca="false">_xlfn.XLOOKUP($E190,$A$5:$A$8,$D$5:$D$8,"")</f>
        <v>Pre-tax Section 125 (exempt from FIT/SIT/FICA)</v>
      </c>
      <c r="H190" s="38" t="str">
        <f aca="false">_xlfn.XLOOKUP($E190,$A$5:$A$8,$E$5:$E$8,"")</f>
        <v>Flat</v>
      </c>
      <c r="I190" s="44" t="str">
        <f aca="false">IF($H190="Percent",_xlfn.XLOOKUP($E190,$A$5:$A$8,$F$5:$F$8,""),"")</f>
        <v/>
      </c>
      <c r="J190" s="42" t="n">
        <f aca="false">IF($H190="Flat",_xlfn.XLOOKUP($E190,$A$5:$A$8,$F$5:$F$8,""),"")</f>
        <v>30</v>
      </c>
      <c r="K190" s="38" t="str">
        <f aca="false">_xlfn.XLOOKUP($E190,$A$5:$A$8,$G$5:$G$8,"")</f>
        <v>Per pay period</v>
      </c>
      <c r="L190" s="38" t="str">
        <f aca="false">_xlfn.XLOOKUP($E190,$A$5:$A$8,$H$5:$H$8,"")</f>
        <v>Every pay period (ongoing)</v>
      </c>
      <c r="M190" s="43" t="n">
        <f aca="false" t="array" ref="M190:M190">MAX(_xlfn.XLOOKUP($A190,TRIM(SUBSTITUTE('worker file'!$A$2:$A$406,_xlfn.UNICHAR(160)," ")),'worker file'!$M$2:$M$406,0),_xlfn.XLOOKUP($B190,TRIM('pay group &amp; schedule'!$A$2:$A$6),'pay group &amp; schedule'!$D$2:$D$6,0))</f>
        <v>46311</v>
      </c>
      <c r="N190" s="43" t="str">
        <f aca="false" t="array" ref="N190:N190">_xlfn.LET(_xlpm.t,_xlfn.XLOOKUP($A190,TRIM(SUBSTITUTE('worker file'!$A$2:$A$406,_xlfn.UNICHAR(160)," ")),'worker file'!$N$2:$N$406,""),IF(N(_xlpm.t)=0,"",_xlpm.t))</f>
        <v/>
      </c>
    </row>
    <row r="191" customFormat="false" ht="15" hidden="false" customHeight="false" outlineLevel="0" collapsed="false">
      <c r="A191" s="39" t="s">
        <v>164</v>
      </c>
      <c r="B191" s="40" t="str">
        <f aca="false" t="array" ref="B191:B191">_xlfn.XLOOKUP($A191,TRIM(SUBSTITUTE('worker file'!$A$2:$A$406,_xlfn.UNICHAR(160)," ")),'worker file'!$L$2:$L$406,"Not found")</f>
        <v>US Semi-monthly</v>
      </c>
      <c r="C191" s="40" t="str">
        <f aca="false" t="array" ref="C191:C191">_xlfn.XLOOKUP($A191,TRIM(SUBSTITUTE('worker file'!$A$2:$A$406,_xlfn.UNICHAR(160)," ")),'worker file'!$D$2:$D$406,"Not found")</f>
        <v>TX</v>
      </c>
      <c r="D191" s="40" t="str">
        <f aca="false" t="array" ref="D191:D191">_xlfn.XLOOKUP($A191,TRIM(SUBSTITUTE('worker file'!$A$2:$A$406,_xlfn.UNICHAR(160)," ")),'worker file'!$Q$2:$Q$406,"Not found")</f>
        <v>Active</v>
      </c>
      <c r="E191" s="39" t="s">
        <v>618</v>
      </c>
      <c r="F191" s="38" t="str">
        <f aca="false">_xlfn.XLOOKUP($E191,$A$5:$A$8,$B$5:$B$8,"")</f>
        <v>401(k) Employee Deferral</v>
      </c>
      <c r="G191" s="38" t="str">
        <f aca="false">_xlfn.XLOOKUP($E191,$A$5:$A$8,$D$5:$D$8,"")</f>
        <v>Pre-tax (exempt from FIT/SIT; subject to FICA)</v>
      </c>
      <c r="H191" s="38" t="str">
        <f aca="false">_xlfn.XLOOKUP($E191,$A$5:$A$8,$E$5:$E$8,"")</f>
        <v>Percent</v>
      </c>
      <c r="I191" s="41" t="n">
        <v>0.01</v>
      </c>
      <c r="J191" s="42" t="str">
        <f aca="false">IF($H191="Flat",_xlfn.XLOOKUP($E191,$A$5:$A$8,$F$5:$F$8,""),"")</f>
        <v/>
      </c>
      <c r="K191" s="38" t="str">
        <f aca="false">_xlfn.XLOOKUP($E191,$A$5:$A$8,$G$5:$G$8,"")</f>
        <v>Gross pay</v>
      </c>
      <c r="L191" s="38" t="str">
        <f aca="false">_xlfn.XLOOKUP($E191,$A$5:$A$8,$H$5:$H$8,"")</f>
        <v>Every pay period (ongoing)</v>
      </c>
      <c r="M191" s="43" t="n">
        <f aca="false" t="array" ref="M191:M191">MAX(_xlfn.XLOOKUP($A191,TRIM(SUBSTITUTE('worker file'!$A$2:$A$406,_xlfn.UNICHAR(160)," ")),'worker file'!$M$2:$M$406,0),_xlfn.XLOOKUP($B191,TRIM('pay group &amp; schedule'!$A$2:$A$6),'pay group &amp; schedule'!$D$2:$D$6,0))</f>
        <v>46311</v>
      </c>
      <c r="N191" s="43" t="str">
        <f aca="false" t="array" ref="N191:N191">_xlfn.LET(_xlpm.t,_xlfn.XLOOKUP($A191,TRIM(SUBSTITUTE('worker file'!$A$2:$A$406,_xlfn.UNICHAR(160)," ")),'worker file'!$N$2:$N$406,""),IF(N(_xlpm.t)=0,"",_xlpm.t))</f>
        <v/>
      </c>
    </row>
    <row r="192" customFormat="false" ht="15" hidden="false" customHeight="false" outlineLevel="0" collapsed="false">
      <c r="A192" s="39" t="s">
        <v>164</v>
      </c>
      <c r="B192" s="40" t="str">
        <f aca="false" t="array" ref="B192:B192">_xlfn.XLOOKUP($A192,TRIM(SUBSTITUTE('worker file'!$A$2:$A$406,_xlfn.UNICHAR(160)," ")),'worker file'!$L$2:$L$406,"Not found")</f>
        <v>US Semi-monthly</v>
      </c>
      <c r="C192" s="40" t="str">
        <f aca="false" t="array" ref="C192:C192">_xlfn.XLOOKUP($A192,TRIM(SUBSTITUTE('worker file'!$A$2:$A$406,_xlfn.UNICHAR(160)," ")),'worker file'!$D$2:$D$406,"Not found")</f>
        <v>TX</v>
      </c>
      <c r="D192" s="40" t="str">
        <f aca="false" t="array" ref="D192:D192">_xlfn.XLOOKUP($A192,TRIM(SUBSTITUTE('worker file'!$A$2:$A$406,_xlfn.UNICHAR(160)," ")),'worker file'!$Q$2:$Q$406,"Not found")</f>
        <v>Active</v>
      </c>
      <c r="E192" s="39" t="s">
        <v>626</v>
      </c>
      <c r="F192" s="38" t="str">
        <f aca="false">_xlfn.XLOOKUP($E192,$A$5:$A$8,$B$5:$B$8,"")</f>
        <v>Medical (Health) – Employee</v>
      </c>
      <c r="G192" s="38" t="str">
        <f aca="false">_xlfn.XLOOKUP($E192,$A$5:$A$8,$D$5:$D$8,"")</f>
        <v>Pre-tax Section 125 (exempt from FIT/SIT/FICA)</v>
      </c>
      <c r="H192" s="38" t="str">
        <f aca="false">_xlfn.XLOOKUP($E192,$A$5:$A$8,$E$5:$E$8,"")</f>
        <v>Flat</v>
      </c>
      <c r="I192" s="44" t="str">
        <f aca="false">IF($H192="Percent",_xlfn.XLOOKUP($E192,$A$5:$A$8,$F$5:$F$8,""),"")</f>
        <v/>
      </c>
      <c r="J192" s="42" t="n">
        <f aca="false">IF($H192="Flat",_xlfn.XLOOKUP($E192,$A$5:$A$8,$F$5:$F$8,""),"")</f>
        <v>200</v>
      </c>
      <c r="K192" s="38" t="str">
        <f aca="false">_xlfn.XLOOKUP($E192,$A$5:$A$8,$G$5:$G$8,"")</f>
        <v>Per pay period</v>
      </c>
      <c r="L192" s="38" t="str">
        <f aca="false">_xlfn.XLOOKUP($E192,$A$5:$A$8,$H$5:$H$8,"")</f>
        <v>Every pay period (ongoing)</v>
      </c>
      <c r="M192" s="43" t="n">
        <f aca="false" t="array" ref="M192:M192">MAX(_xlfn.XLOOKUP($A192,TRIM(SUBSTITUTE('worker file'!$A$2:$A$406,_xlfn.UNICHAR(160)," ")),'worker file'!$M$2:$M$406,0),_xlfn.XLOOKUP($B192,TRIM('pay group &amp; schedule'!$A$2:$A$6),'pay group &amp; schedule'!$D$2:$D$6,0))</f>
        <v>46311</v>
      </c>
      <c r="N192" s="43" t="str">
        <f aca="false" t="array" ref="N192:N192">_xlfn.LET(_xlpm.t,_xlfn.XLOOKUP($A192,TRIM(SUBSTITUTE('worker file'!$A$2:$A$406,_xlfn.UNICHAR(160)," ")),'worker file'!$N$2:$N$406,""),IF(N(_xlpm.t)=0,"",_xlpm.t))</f>
        <v/>
      </c>
    </row>
    <row r="193" customFormat="false" ht="15" hidden="false" customHeight="false" outlineLevel="0" collapsed="false">
      <c r="A193" s="39" t="s">
        <v>164</v>
      </c>
      <c r="B193" s="40" t="str">
        <f aca="false" t="array" ref="B193:B193">_xlfn.XLOOKUP($A193,TRIM(SUBSTITUTE('worker file'!$A$2:$A$406,_xlfn.UNICHAR(160)," ")),'worker file'!$L$2:$L$406,"Not found")</f>
        <v>US Semi-monthly</v>
      </c>
      <c r="C193" s="40" t="str">
        <f aca="false" t="array" ref="C193:C193">_xlfn.XLOOKUP($A193,TRIM(SUBSTITUTE('worker file'!$A$2:$A$406,_xlfn.UNICHAR(160)," ")),'worker file'!$D$2:$D$406,"Not found")</f>
        <v>TX</v>
      </c>
      <c r="D193" s="40" t="str">
        <f aca="false" t="array" ref="D193:D193">_xlfn.XLOOKUP($A193,TRIM(SUBSTITUTE('worker file'!$A$2:$A$406,_xlfn.UNICHAR(160)," ")),'worker file'!$Q$2:$Q$406,"Not found")</f>
        <v>Active</v>
      </c>
      <c r="E193" s="39" t="s">
        <v>632</v>
      </c>
      <c r="F193" s="38" t="str">
        <f aca="false">_xlfn.XLOOKUP($E193,$A$5:$A$8,$B$5:$B$8,"")</f>
        <v>Dental – Employee</v>
      </c>
      <c r="G193" s="38" t="str">
        <f aca="false">_xlfn.XLOOKUP($E193,$A$5:$A$8,$D$5:$D$8,"")</f>
        <v>Pre-tax Section 125 (exempt from FIT/SIT/FICA)</v>
      </c>
      <c r="H193" s="38" t="str">
        <f aca="false">_xlfn.XLOOKUP($E193,$A$5:$A$8,$E$5:$E$8,"")</f>
        <v>Flat</v>
      </c>
      <c r="I193" s="44" t="str">
        <f aca="false">IF($H193="Percent",_xlfn.XLOOKUP($E193,$A$5:$A$8,$F$5:$F$8,""),"")</f>
        <v/>
      </c>
      <c r="J193" s="42" t="n">
        <f aca="false">IF($H193="Flat",_xlfn.XLOOKUP($E193,$A$5:$A$8,$F$5:$F$8,""),"")</f>
        <v>44</v>
      </c>
      <c r="K193" s="38" t="str">
        <f aca="false">_xlfn.XLOOKUP($E193,$A$5:$A$8,$G$5:$G$8,"")</f>
        <v>Per pay period</v>
      </c>
      <c r="L193" s="38" t="str">
        <f aca="false">_xlfn.XLOOKUP($E193,$A$5:$A$8,$H$5:$H$8,"")</f>
        <v>Every pay period (ongoing)</v>
      </c>
      <c r="M193" s="43" t="n">
        <f aca="false" t="array" ref="M193:M193">MAX(_xlfn.XLOOKUP($A193,TRIM(SUBSTITUTE('worker file'!$A$2:$A$406,_xlfn.UNICHAR(160)," ")),'worker file'!$M$2:$M$406,0),_xlfn.XLOOKUP($B193,TRIM('pay group &amp; schedule'!$A$2:$A$6),'pay group &amp; schedule'!$D$2:$D$6,0))</f>
        <v>46311</v>
      </c>
      <c r="N193" s="43" t="str">
        <f aca="false" t="array" ref="N193:N193">_xlfn.LET(_xlpm.t,_xlfn.XLOOKUP($A193,TRIM(SUBSTITUTE('worker file'!$A$2:$A$406,_xlfn.UNICHAR(160)," ")),'worker file'!$N$2:$N$406,""),IF(N(_xlpm.t)=0,"",_xlpm.t))</f>
        <v/>
      </c>
    </row>
    <row r="194" customFormat="false" ht="15" hidden="false" customHeight="false" outlineLevel="0" collapsed="false">
      <c r="A194" s="39" t="s">
        <v>164</v>
      </c>
      <c r="B194" s="40" t="str">
        <f aca="false" t="array" ref="B194:B194">_xlfn.XLOOKUP($A194,TRIM(SUBSTITUTE('worker file'!$A$2:$A$406,_xlfn.UNICHAR(160)," ")),'worker file'!$L$2:$L$406,"Not found")</f>
        <v>US Semi-monthly</v>
      </c>
      <c r="C194" s="40" t="str">
        <f aca="false" t="array" ref="C194:C194">_xlfn.XLOOKUP($A194,TRIM(SUBSTITUTE('worker file'!$A$2:$A$406,_xlfn.UNICHAR(160)," ")),'worker file'!$D$2:$D$406,"Not found")</f>
        <v>TX</v>
      </c>
      <c r="D194" s="40" t="str">
        <f aca="false" t="array" ref="D194:D194">_xlfn.XLOOKUP($A194,TRIM(SUBSTITUTE('worker file'!$A$2:$A$406,_xlfn.UNICHAR(160)," ")),'worker file'!$Q$2:$Q$406,"Not found")</f>
        <v>Active</v>
      </c>
      <c r="E194" s="39" t="s">
        <v>634</v>
      </c>
      <c r="F194" s="38" t="str">
        <f aca="false">_xlfn.XLOOKUP($E194,$A$5:$A$8,$B$5:$B$8,"")</f>
        <v>Vision – Employee</v>
      </c>
      <c r="G194" s="38" t="str">
        <f aca="false">_xlfn.XLOOKUP($E194,$A$5:$A$8,$D$5:$D$8,"")</f>
        <v>Pre-tax Section 125 (exempt from FIT/SIT/FICA)</v>
      </c>
      <c r="H194" s="38" t="str">
        <f aca="false">_xlfn.XLOOKUP($E194,$A$5:$A$8,$E$5:$E$8,"")</f>
        <v>Flat</v>
      </c>
      <c r="I194" s="44" t="str">
        <f aca="false">IF($H194="Percent",_xlfn.XLOOKUP($E194,$A$5:$A$8,$F$5:$F$8,""),"")</f>
        <v/>
      </c>
      <c r="J194" s="42" t="n">
        <f aca="false">IF($H194="Flat",_xlfn.XLOOKUP($E194,$A$5:$A$8,$F$5:$F$8,""),"")</f>
        <v>30</v>
      </c>
      <c r="K194" s="38" t="str">
        <f aca="false">_xlfn.XLOOKUP($E194,$A$5:$A$8,$G$5:$G$8,"")</f>
        <v>Per pay period</v>
      </c>
      <c r="L194" s="38" t="str">
        <f aca="false">_xlfn.XLOOKUP($E194,$A$5:$A$8,$H$5:$H$8,"")</f>
        <v>Every pay period (ongoing)</v>
      </c>
      <c r="M194" s="43" t="n">
        <f aca="false" t="array" ref="M194:M194">MAX(_xlfn.XLOOKUP($A194,TRIM(SUBSTITUTE('worker file'!$A$2:$A$406,_xlfn.UNICHAR(160)," ")),'worker file'!$M$2:$M$406,0),_xlfn.XLOOKUP($B194,TRIM('pay group &amp; schedule'!$A$2:$A$6),'pay group &amp; schedule'!$D$2:$D$6,0))</f>
        <v>46311</v>
      </c>
      <c r="N194" s="43" t="str">
        <f aca="false" t="array" ref="N194:N194">_xlfn.LET(_xlpm.t,_xlfn.XLOOKUP($A194,TRIM(SUBSTITUTE('worker file'!$A$2:$A$406,_xlfn.UNICHAR(160)," ")),'worker file'!$N$2:$N$406,""),IF(N(_xlpm.t)=0,"",_xlpm.t))</f>
        <v/>
      </c>
    </row>
    <row r="195" customFormat="false" ht="15" hidden="false" customHeight="false" outlineLevel="0" collapsed="false">
      <c r="A195" s="39" t="s">
        <v>166</v>
      </c>
      <c r="B195" s="40" t="str">
        <f aca="false" t="array" ref="B195:B195">_xlfn.XLOOKUP($A195,TRIM(SUBSTITUTE('worker file'!$A$2:$A$406,_xlfn.UNICHAR(160)," ")),'worker file'!$L$2:$L$406,"Not found")</f>
        <v>US Biweekly</v>
      </c>
      <c r="C195" s="40" t="str">
        <f aca="false" t="array" ref="C195:C195">_xlfn.XLOOKUP($A195,TRIM(SUBSTITUTE('worker file'!$A$2:$A$406,_xlfn.UNICHAR(160)," ")),'worker file'!$D$2:$D$406,"Not found")</f>
        <v>TX</v>
      </c>
      <c r="D195" s="40" t="str">
        <f aca="false" t="array" ref="D195:D195">_xlfn.XLOOKUP($A195,TRIM(SUBSTITUTE('worker file'!$A$2:$A$406,_xlfn.UNICHAR(160)," ")),'worker file'!$Q$2:$Q$406,"Not found")</f>
        <v>Termination pending</v>
      </c>
      <c r="E195" s="39" t="s">
        <v>618</v>
      </c>
      <c r="F195" s="38" t="str">
        <f aca="false">_xlfn.XLOOKUP($E195,$A$5:$A$8,$B$5:$B$8,"")</f>
        <v>401(k) Employee Deferral</v>
      </c>
      <c r="G195" s="38" t="str">
        <f aca="false">_xlfn.XLOOKUP($E195,$A$5:$A$8,$D$5:$D$8,"")</f>
        <v>Pre-tax (exempt from FIT/SIT; subject to FICA)</v>
      </c>
      <c r="H195" s="38" t="str">
        <f aca="false">_xlfn.XLOOKUP($E195,$A$5:$A$8,$E$5:$E$8,"")</f>
        <v>Percent</v>
      </c>
      <c r="I195" s="41" t="n">
        <v>0.06</v>
      </c>
      <c r="J195" s="42" t="str">
        <f aca="false">IF($H195="Flat",_xlfn.XLOOKUP($E195,$A$5:$A$8,$F$5:$F$8,""),"")</f>
        <v/>
      </c>
      <c r="K195" s="38" t="str">
        <f aca="false">_xlfn.XLOOKUP($E195,$A$5:$A$8,$G$5:$G$8,"")</f>
        <v>Gross pay</v>
      </c>
      <c r="L195" s="38" t="str">
        <f aca="false">_xlfn.XLOOKUP($E195,$A$5:$A$8,$H$5:$H$8,"")</f>
        <v>Every pay period (ongoing)</v>
      </c>
      <c r="M195" s="43" t="n">
        <f aca="false" t="array" ref="M195:M195">MAX(_xlfn.XLOOKUP($A195,TRIM(SUBSTITUTE('worker file'!$A$2:$A$406,_xlfn.UNICHAR(160)," ")),'worker file'!$M$2:$M$406,0),_xlfn.XLOOKUP($B195,TRIM('pay group &amp; schedule'!$A$2:$A$6),'pay group &amp; schedule'!$D$2:$D$6,0))</f>
        <v>46299</v>
      </c>
      <c r="N195" s="43" t="n">
        <f aca="false" t="array" ref="N195:N195">_xlfn.LET(_xlpm.t,_xlfn.XLOOKUP($A195,TRIM(SUBSTITUTE('worker file'!$A$2:$A$406,_xlfn.UNICHAR(160)," ")),'worker file'!$N$2:$N$406,""),IF(N(_xlpm.t)=0,"",_xlpm.t))</f>
        <v>46312</v>
      </c>
      <c r="O195" s="0" t="s">
        <v>644</v>
      </c>
    </row>
    <row r="196" customFormat="false" ht="15" hidden="false" customHeight="false" outlineLevel="0" collapsed="false">
      <c r="A196" s="39" t="s">
        <v>166</v>
      </c>
      <c r="B196" s="40" t="str">
        <f aca="false" t="array" ref="B196:B196">_xlfn.XLOOKUP($A196,TRIM(SUBSTITUTE('worker file'!$A$2:$A$406,_xlfn.UNICHAR(160)," ")),'worker file'!$L$2:$L$406,"Not found")</f>
        <v>US Biweekly</v>
      </c>
      <c r="C196" s="40" t="str">
        <f aca="false" t="array" ref="C196:C196">_xlfn.XLOOKUP($A196,TRIM(SUBSTITUTE('worker file'!$A$2:$A$406,_xlfn.UNICHAR(160)," ")),'worker file'!$D$2:$D$406,"Not found")</f>
        <v>TX</v>
      </c>
      <c r="D196" s="40" t="str">
        <f aca="false" t="array" ref="D196:D196">_xlfn.XLOOKUP($A196,TRIM(SUBSTITUTE('worker file'!$A$2:$A$406,_xlfn.UNICHAR(160)," ")),'worker file'!$Q$2:$Q$406,"Not found")</f>
        <v>Termination pending</v>
      </c>
      <c r="E196" s="39" t="s">
        <v>626</v>
      </c>
      <c r="F196" s="38" t="str">
        <f aca="false">_xlfn.XLOOKUP($E196,$A$5:$A$8,$B$5:$B$8,"")</f>
        <v>Medical (Health) – Employee</v>
      </c>
      <c r="G196" s="38" t="str">
        <f aca="false">_xlfn.XLOOKUP($E196,$A$5:$A$8,$D$5:$D$8,"")</f>
        <v>Pre-tax Section 125 (exempt from FIT/SIT/FICA)</v>
      </c>
      <c r="H196" s="38" t="str">
        <f aca="false">_xlfn.XLOOKUP($E196,$A$5:$A$8,$E$5:$E$8,"")</f>
        <v>Flat</v>
      </c>
      <c r="I196" s="44" t="str">
        <f aca="false">IF($H196="Percent",_xlfn.XLOOKUP($E196,$A$5:$A$8,$F$5:$F$8,""),"")</f>
        <v/>
      </c>
      <c r="J196" s="42" t="n">
        <f aca="false">IF($H196="Flat",_xlfn.XLOOKUP($E196,$A$5:$A$8,$F$5:$F$8,""),"")</f>
        <v>200</v>
      </c>
      <c r="K196" s="38" t="str">
        <f aca="false">_xlfn.XLOOKUP($E196,$A$5:$A$8,$G$5:$G$8,"")</f>
        <v>Per pay period</v>
      </c>
      <c r="L196" s="38" t="str">
        <f aca="false">_xlfn.XLOOKUP($E196,$A$5:$A$8,$H$5:$H$8,"")</f>
        <v>Every pay period (ongoing)</v>
      </c>
      <c r="M196" s="43" t="n">
        <f aca="false" t="array" ref="M196:M196">MAX(_xlfn.XLOOKUP($A196,TRIM(SUBSTITUTE('worker file'!$A$2:$A$406,_xlfn.UNICHAR(160)," ")),'worker file'!$M$2:$M$406,0),_xlfn.XLOOKUP($B196,TRIM('pay group &amp; schedule'!$A$2:$A$6),'pay group &amp; schedule'!$D$2:$D$6,0))</f>
        <v>46299</v>
      </c>
      <c r="N196" s="43" t="n">
        <f aca="false" t="array" ref="N196:N196">_xlfn.LET(_xlpm.t,_xlfn.XLOOKUP($A196,TRIM(SUBSTITUTE('worker file'!$A$2:$A$406,_xlfn.UNICHAR(160)," ")),'worker file'!$N$2:$N$406,""),IF(N(_xlpm.t)=0,"",_xlpm.t))</f>
        <v>46312</v>
      </c>
      <c r="O196" s="0" t="s">
        <v>644</v>
      </c>
    </row>
    <row r="197" customFormat="false" ht="15" hidden="false" customHeight="false" outlineLevel="0" collapsed="false">
      <c r="A197" s="39" t="s">
        <v>166</v>
      </c>
      <c r="B197" s="40" t="str">
        <f aca="false" t="array" ref="B197:B197">_xlfn.XLOOKUP($A197,TRIM(SUBSTITUTE('worker file'!$A$2:$A$406,_xlfn.UNICHAR(160)," ")),'worker file'!$L$2:$L$406,"Not found")</f>
        <v>US Biweekly</v>
      </c>
      <c r="C197" s="40" t="str">
        <f aca="false" t="array" ref="C197:C197">_xlfn.XLOOKUP($A197,TRIM(SUBSTITUTE('worker file'!$A$2:$A$406,_xlfn.UNICHAR(160)," ")),'worker file'!$D$2:$D$406,"Not found")</f>
        <v>TX</v>
      </c>
      <c r="D197" s="40" t="str">
        <f aca="false" t="array" ref="D197:D197">_xlfn.XLOOKUP($A197,TRIM(SUBSTITUTE('worker file'!$A$2:$A$406,_xlfn.UNICHAR(160)," ")),'worker file'!$Q$2:$Q$406,"Not found")</f>
        <v>Termination pending</v>
      </c>
      <c r="E197" s="39" t="s">
        <v>632</v>
      </c>
      <c r="F197" s="38" t="str">
        <f aca="false">_xlfn.XLOOKUP($E197,$A$5:$A$8,$B$5:$B$8,"")</f>
        <v>Dental – Employee</v>
      </c>
      <c r="G197" s="38" t="str">
        <f aca="false">_xlfn.XLOOKUP($E197,$A$5:$A$8,$D$5:$D$8,"")</f>
        <v>Pre-tax Section 125 (exempt from FIT/SIT/FICA)</v>
      </c>
      <c r="H197" s="38" t="str">
        <f aca="false">_xlfn.XLOOKUP($E197,$A$5:$A$8,$E$5:$E$8,"")</f>
        <v>Flat</v>
      </c>
      <c r="I197" s="44" t="str">
        <f aca="false">IF($H197="Percent",_xlfn.XLOOKUP($E197,$A$5:$A$8,$F$5:$F$8,""),"")</f>
        <v/>
      </c>
      <c r="J197" s="42" t="n">
        <f aca="false">IF($H197="Flat",_xlfn.XLOOKUP($E197,$A$5:$A$8,$F$5:$F$8,""),"")</f>
        <v>44</v>
      </c>
      <c r="K197" s="38" t="str">
        <f aca="false">_xlfn.XLOOKUP($E197,$A$5:$A$8,$G$5:$G$8,"")</f>
        <v>Per pay period</v>
      </c>
      <c r="L197" s="38" t="str">
        <f aca="false">_xlfn.XLOOKUP($E197,$A$5:$A$8,$H$5:$H$8,"")</f>
        <v>Every pay period (ongoing)</v>
      </c>
      <c r="M197" s="43" t="n">
        <f aca="false" t="array" ref="M197:M197">MAX(_xlfn.XLOOKUP($A197,TRIM(SUBSTITUTE('worker file'!$A$2:$A$406,_xlfn.UNICHAR(160)," ")),'worker file'!$M$2:$M$406,0),_xlfn.XLOOKUP($B197,TRIM('pay group &amp; schedule'!$A$2:$A$6),'pay group &amp; schedule'!$D$2:$D$6,0))</f>
        <v>46299</v>
      </c>
      <c r="N197" s="43" t="n">
        <f aca="false" t="array" ref="N197:N197">_xlfn.LET(_xlpm.t,_xlfn.XLOOKUP($A197,TRIM(SUBSTITUTE('worker file'!$A$2:$A$406,_xlfn.UNICHAR(160)," ")),'worker file'!$N$2:$N$406,""),IF(N(_xlpm.t)=0,"",_xlpm.t))</f>
        <v>46312</v>
      </c>
      <c r="O197" s="0" t="s">
        <v>644</v>
      </c>
    </row>
    <row r="198" customFormat="false" ht="15" hidden="false" customHeight="false" outlineLevel="0" collapsed="false">
      <c r="A198" s="39" t="s">
        <v>166</v>
      </c>
      <c r="B198" s="40" t="str">
        <f aca="false" t="array" ref="B198:B198">_xlfn.XLOOKUP($A198,TRIM(SUBSTITUTE('worker file'!$A$2:$A$406,_xlfn.UNICHAR(160)," ")),'worker file'!$L$2:$L$406,"Not found")</f>
        <v>US Biweekly</v>
      </c>
      <c r="C198" s="40" t="str">
        <f aca="false" t="array" ref="C198:C198">_xlfn.XLOOKUP($A198,TRIM(SUBSTITUTE('worker file'!$A$2:$A$406,_xlfn.UNICHAR(160)," ")),'worker file'!$D$2:$D$406,"Not found")</f>
        <v>TX</v>
      </c>
      <c r="D198" s="40" t="str">
        <f aca="false" t="array" ref="D198:D198">_xlfn.XLOOKUP($A198,TRIM(SUBSTITUTE('worker file'!$A$2:$A$406,_xlfn.UNICHAR(160)," ")),'worker file'!$Q$2:$Q$406,"Not found")</f>
        <v>Termination pending</v>
      </c>
      <c r="E198" s="39" t="s">
        <v>634</v>
      </c>
      <c r="F198" s="38" t="str">
        <f aca="false">_xlfn.XLOOKUP($E198,$A$5:$A$8,$B$5:$B$8,"")</f>
        <v>Vision – Employee</v>
      </c>
      <c r="G198" s="38" t="str">
        <f aca="false">_xlfn.XLOOKUP($E198,$A$5:$A$8,$D$5:$D$8,"")</f>
        <v>Pre-tax Section 125 (exempt from FIT/SIT/FICA)</v>
      </c>
      <c r="H198" s="38" t="str">
        <f aca="false">_xlfn.XLOOKUP($E198,$A$5:$A$8,$E$5:$E$8,"")</f>
        <v>Flat</v>
      </c>
      <c r="I198" s="44" t="str">
        <f aca="false">IF($H198="Percent",_xlfn.XLOOKUP($E198,$A$5:$A$8,$F$5:$F$8,""),"")</f>
        <v/>
      </c>
      <c r="J198" s="42" t="n">
        <f aca="false">IF($H198="Flat",_xlfn.XLOOKUP($E198,$A$5:$A$8,$F$5:$F$8,""),"")</f>
        <v>30</v>
      </c>
      <c r="K198" s="38" t="str">
        <f aca="false">_xlfn.XLOOKUP($E198,$A$5:$A$8,$G$5:$G$8,"")</f>
        <v>Per pay period</v>
      </c>
      <c r="L198" s="38" t="str">
        <f aca="false">_xlfn.XLOOKUP($E198,$A$5:$A$8,$H$5:$H$8,"")</f>
        <v>Every pay period (ongoing)</v>
      </c>
      <c r="M198" s="43" t="n">
        <f aca="false" t="array" ref="M198:M198">MAX(_xlfn.XLOOKUP($A198,TRIM(SUBSTITUTE('worker file'!$A$2:$A$406,_xlfn.UNICHAR(160)," ")),'worker file'!$M$2:$M$406,0),_xlfn.XLOOKUP($B198,TRIM('pay group &amp; schedule'!$A$2:$A$6),'pay group &amp; schedule'!$D$2:$D$6,0))</f>
        <v>46299</v>
      </c>
      <c r="N198" s="43" t="n">
        <f aca="false" t="array" ref="N198:N198">_xlfn.LET(_xlpm.t,_xlfn.XLOOKUP($A198,TRIM(SUBSTITUTE('worker file'!$A$2:$A$406,_xlfn.UNICHAR(160)," ")),'worker file'!$N$2:$N$406,""),IF(N(_xlpm.t)=0,"",_xlpm.t))</f>
        <v>46312</v>
      </c>
      <c r="O198" s="0" t="s">
        <v>644</v>
      </c>
    </row>
    <row r="199" customFormat="false" ht="15" hidden="false" customHeight="false" outlineLevel="0" collapsed="false">
      <c r="A199" s="39" t="s">
        <v>167</v>
      </c>
      <c r="B199" s="40" t="str">
        <f aca="false" t="array" ref="B199:B199">_xlfn.XLOOKUP($A199,TRIM(SUBSTITUTE('worker file'!$A$2:$A$406,_xlfn.UNICHAR(160)," ")),'worker file'!$L$2:$L$406,"Not found")</f>
        <v>US Semi-monthly</v>
      </c>
      <c r="C199" s="40" t="str">
        <f aca="false" t="array" ref="C199:C199">_xlfn.XLOOKUP($A199,TRIM(SUBSTITUTE('worker file'!$A$2:$A$406,_xlfn.UNICHAR(160)," ")),'worker file'!$D$2:$D$406,"Not found")</f>
        <v>CA</v>
      </c>
      <c r="D199" s="40" t="str">
        <f aca="false" t="array" ref="D199:D199">_xlfn.XLOOKUP($A199,TRIM(SUBSTITUTE('worker file'!$A$2:$A$406,_xlfn.UNICHAR(160)," ")),'worker file'!$Q$2:$Q$406,"Not found")</f>
        <v>Active</v>
      </c>
      <c r="E199" s="39" t="s">
        <v>618</v>
      </c>
      <c r="F199" s="38" t="str">
        <f aca="false">_xlfn.XLOOKUP($E199,$A$5:$A$8,$B$5:$B$8,"")</f>
        <v>401(k) Employee Deferral</v>
      </c>
      <c r="G199" s="38" t="str">
        <f aca="false">_xlfn.XLOOKUP($E199,$A$5:$A$8,$D$5:$D$8,"")</f>
        <v>Pre-tax (exempt from FIT/SIT; subject to FICA)</v>
      </c>
      <c r="H199" s="38" t="str">
        <f aca="false">_xlfn.XLOOKUP($E199,$A$5:$A$8,$E$5:$E$8,"")</f>
        <v>Percent</v>
      </c>
      <c r="I199" s="41" t="n">
        <v>0.03</v>
      </c>
      <c r="J199" s="42" t="str">
        <f aca="false">IF($H199="Flat",_xlfn.XLOOKUP($E199,$A$5:$A$8,$F$5:$F$8,""),"")</f>
        <v/>
      </c>
      <c r="K199" s="38" t="str">
        <f aca="false">_xlfn.XLOOKUP($E199,$A$5:$A$8,$G$5:$G$8,"")</f>
        <v>Gross pay</v>
      </c>
      <c r="L199" s="38" t="str">
        <f aca="false">_xlfn.XLOOKUP($E199,$A$5:$A$8,$H$5:$H$8,"")</f>
        <v>Every pay period (ongoing)</v>
      </c>
      <c r="M199" s="43" t="n">
        <f aca="false" t="array" ref="M199:M199">MAX(_xlfn.XLOOKUP($A199,TRIM(SUBSTITUTE('worker file'!$A$2:$A$406,_xlfn.UNICHAR(160)," ")),'worker file'!$M$2:$M$406,0),_xlfn.XLOOKUP($B199,TRIM('pay group &amp; schedule'!$A$2:$A$6),'pay group &amp; schedule'!$D$2:$D$6,0))</f>
        <v>46311</v>
      </c>
      <c r="N199" s="43" t="str">
        <f aca="false" t="array" ref="N199:N199">_xlfn.LET(_xlpm.t,_xlfn.XLOOKUP($A199,TRIM(SUBSTITUTE('worker file'!$A$2:$A$406,_xlfn.UNICHAR(160)," ")),'worker file'!$N$2:$N$406,""),IF(N(_xlpm.t)=0,"",_xlpm.t))</f>
        <v/>
      </c>
    </row>
    <row r="200" customFormat="false" ht="15" hidden="false" customHeight="false" outlineLevel="0" collapsed="false">
      <c r="A200" s="39" t="s">
        <v>167</v>
      </c>
      <c r="B200" s="40" t="str">
        <f aca="false" t="array" ref="B200:B200">_xlfn.XLOOKUP($A200,TRIM(SUBSTITUTE('worker file'!$A$2:$A$406,_xlfn.UNICHAR(160)," ")),'worker file'!$L$2:$L$406,"Not found")</f>
        <v>US Semi-monthly</v>
      </c>
      <c r="C200" s="40" t="str">
        <f aca="false" t="array" ref="C200:C200">_xlfn.XLOOKUP($A200,TRIM(SUBSTITUTE('worker file'!$A$2:$A$406,_xlfn.UNICHAR(160)," ")),'worker file'!$D$2:$D$406,"Not found")</f>
        <v>CA</v>
      </c>
      <c r="D200" s="40" t="str">
        <f aca="false" t="array" ref="D200:D200">_xlfn.XLOOKUP($A200,TRIM(SUBSTITUTE('worker file'!$A$2:$A$406,_xlfn.UNICHAR(160)," ")),'worker file'!$Q$2:$Q$406,"Not found")</f>
        <v>Active</v>
      </c>
      <c r="E200" s="39" t="s">
        <v>626</v>
      </c>
      <c r="F200" s="38" t="str">
        <f aca="false">_xlfn.XLOOKUP($E200,$A$5:$A$8,$B$5:$B$8,"")</f>
        <v>Medical (Health) – Employee</v>
      </c>
      <c r="G200" s="38" t="str">
        <f aca="false">_xlfn.XLOOKUP($E200,$A$5:$A$8,$D$5:$D$8,"")</f>
        <v>Pre-tax Section 125 (exempt from FIT/SIT/FICA)</v>
      </c>
      <c r="H200" s="38" t="str">
        <f aca="false">_xlfn.XLOOKUP($E200,$A$5:$A$8,$E$5:$E$8,"")</f>
        <v>Flat</v>
      </c>
      <c r="I200" s="44" t="str">
        <f aca="false">IF($H200="Percent",_xlfn.XLOOKUP($E200,$A$5:$A$8,$F$5:$F$8,""),"")</f>
        <v/>
      </c>
      <c r="J200" s="42" t="n">
        <f aca="false">IF($H200="Flat",_xlfn.XLOOKUP($E200,$A$5:$A$8,$F$5:$F$8,""),"")</f>
        <v>200</v>
      </c>
      <c r="K200" s="38" t="str">
        <f aca="false">_xlfn.XLOOKUP($E200,$A$5:$A$8,$G$5:$G$8,"")</f>
        <v>Per pay period</v>
      </c>
      <c r="L200" s="38" t="str">
        <f aca="false">_xlfn.XLOOKUP($E200,$A$5:$A$8,$H$5:$H$8,"")</f>
        <v>Every pay period (ongoing)</v>
      </c>
      <c r="M200" s="43" t="n">
        <f aca="false" t="array" ref="M200:M200">MAX(_xlfn.XLOOKUP($A200,TRIM(SUBSTITUTE('worker file'!$A$2:$A$406,_xlfn.UNICHAR(160)," ")),'worker file'!$M$2:$M$406,0),_xlfn.XLOOKUP($B200,TRIM('pay group &amp; schedule'!$A$2:$A$6),'pay group &amp; schedule'!$D$2:$D$6,0))</f>
        <v>46311</v>
      </c>
      <c r="N200" s="43" t="str">
        <f aca="false" t="array" ref="N200:N200">_xlfn.LET(_xlpm.t,_xlfn.XLOOKUP($A200,TRIM(SUBSTITUTE('worker file'!$A$2:$A$406,_xlfn.UNICHAR(160)," ")),'worker file'!$N$2:$N$406,""),IF(N(_xlpm.t)=0,"",_xlpm.t))</f>
        <v/>
      </c>
    </row>
    <row r="201" customFormat="false" ht="15" hidden="false" customHeight="false" outlineLevel="0" collapsed="false">
      <c r="A201" s="39" t="s">
        <v>167</v>
      </c>
      <c r="B201" s="40" t="str">
        <f aca="false" t="array" ref="B201:B201">_xlfn.XLOOKUP($A201,TRIM(SUBSTITUTE('worker file'!$A$2:$A$406,_xlfn.UNICHAR(160)," ")),'worker file'!$L$2:$L$406,"Not found")</f>
        <v>US Semi-monthly</v>
      </c>
      <c r="C201" s="40" t="str">
        <f aca="false" t="array" ref="C201:C201">_xlfn.XLOOKUP($A201,TRIM(SUBSTITUTE('worker file'!$A$2:$A$406,_xlfn.UNICHAR(160)," ")),'worker file'!$D$2:$D$406,"Not found")</f>
        <v>CA</v>
      </c>
      <c r="D201" s="40" t="str">
        <f aca="false" t="array" ref="D201:D201">_xlfn.XLOOKUP($A201,TRIM(SUBSTITUTE('worker file'!$A$2:$A$406,_xlfn.UNICHAR(160)," ")),'worker file'!$Q$2:$Q$406,"Not found")</f>
        <v>Active</v>
      </c>
      <c r="E201" s="39" t="s">
        <v>632</v>
      </c>
      <c r="F201" s="38" t="str">
        <f aca="false">_xlfn.XLOOKUP($E201,$A$5:$A$8,$B$5:$B$8,"")</f>
        <v>Dental – Employee</v>
      </c>
      <c r="G201" s="38" t="str">
        <f aca="false">_xlfn.XLOOKUP($E201,$A$5:$A$8,$D$5:$D$8,"")</f>
        <v>Pre-tax Section 125 (exempt from FIT/SIT/FICA)</v>
      </c>
      <c r="H201" s="38" t="str">
        <f aca="false">_xlfn.XLOOKUP($E201,$A$5:$A$8,$E$5:$E$8,"")</f>
        <v>Flat</v>
      </c>
      <c r="I201" s="44" t="str">
        <f aca="false">IF($H201="Percent",_xlfn.XLOOKUP($E201,$A$5:$A$8,$F$5:$F$8,""),"")</f>
        <v/>
      </c>
      <c r="J201" s="42" t="n">
        <f aca="false">IF($H201="Flat",_xlfn.XLOOKUP($E201,$A$5:$A$8,$F$5:$F$8,""),"")</f>
        <v>44</v>
      </c>
      <c r="K201" s="38" t="str">
        <f aca="false">_xlfn.XLOOKUP($E201,$A$5:$A$8,$G$5:$G$8,"")</f>
        <v>Per pay period</v>
      </c>
      <c r="L201" s="38" t="str">
        <f aca="false">_xlfn.XLOOKUP($E201,$A$5:$A$8,$H$5:$H$8,"")</f>
        <v>Every pay period (ongoing)</v>
      </c>
      <c r="M201" s="43" t="n">
        <f aca="false" t="array" ref="M201:M201">MAX(_xlfn.XLOOKUP($A201,TRIM(SUBSTITUTE('worker file'!$A$2:$A$406,_xlfn.UNICHAR(160)," ")),'worker file'!$M$2:$M$406,0),_xlfn.XLOOKUP($B201,TRIM('pay group &amp; schedule'!$A$2:$A$6),'pay group &amp; schedule'!$D$2:$D$6,0))</f>
        <v>46311</v>
      </c>
      <c r="N201" s="43" t="str">
        <f aca="false" t="array" ref="N201:N201">_xlfn.LET(_xlpm.t,_xlfn.XLOOKUP($A201,TRIM(SUBSTITUTE('worker file'!$A$2:$A$406,_xlfn.UNICHAR(160)," ")),'worker file'!$N$2:$N$406,""),IF(N(_xlpm.t)=0,"",_xlpm.t))</f>
        <v/>
      </c>
    </row>
    <row r="202" customFormat="false" ht="15" hidden="false" customHeight="false" outlineLevel="0" collapsed="false">
      <c r="A202" s="39" t="s">
        <v>167</v>
      </c>
      <c r="B202" s="40" t="str">
        <f aca="false" t="array" ref="B202:B202">_xlfn.XLOOKUP($A202,TRIM(SUBSTITUTE('worker file'!$A$2:$A$406,_xlfn.UNICHAR(160)," ")),'worker file'!$L$2:$L$406,"Not found")</f>
        <v>US Semi-monthly</v>
      </c>
      <c r="C202" s="40" t="str">
        <f aca="false" t="array" ref="C202:C202">_xlfn.XLOOKUP($A202,TRIM(SUBSTITUTE('worker file'!$A$2:$A$406,_xlfn.UNICHAR(160)," ")),'worker file'!$D$2:$D$406,"Not found")</f>
        <v>CA</v>
      </c>
      <c r="D202" s="40" t="str">
        <f aca="false" t="array" ref="D202:D202">_xlfn.XLOOKUP($A202,TRIM(SUBSTITUTE('worker file'!$A$2:$A$406,_xlfn.UNICHAR(160)," ")),'worker file'!$Q$2:$Q$406,"Not found")</f>
        <v>Active</v>
      </c>
      <c r="E202" s="39" t="s">
        <v>634</v>
      </c>
      <c r="F202" s="38" t="str">
        <f aca="false">_xlfn.XLOOKUP($E202,$A$5:$A$8,$B$5:$B$8,"")</f>
        <v>Vision – Employee</v>
      </c>
      <c r="G202" s="38" t="str">
        <f aca="false">_xlfn.XLOOKUP($E202,$A$5:$A$8,$D$5:$D$8,"")</f>
        <v>Pre-tax Section 125 (exempt from FIT/SIT/FICA)</v>
      </c>
      <c r="H202" s="38" t="str">
        <f aca="false">_xlfn.XLOOKUP($E202,$A$5:$A$8,$E$5:$E$8,"")</f>
        <v>Flat</v>
      </c>
      <c r="I202" s="44" t="str">
        <f aca="false">IF($H202="Percent",_xlfn.XLOOKUP($E202,$A$5:$A$8,$F$5:$F$8,""),"")</f>
        <v/>
      </c>
      <c r="J202" s="42" t="n">
        <f aca="false">IF($H202="Flat",_xlfn.XLOOKUP($E202,$A$5:$A$8,$F$5:$F$8,""),"")</f>
        <v>30</v>
      </c>
      <c r="K202" s="38" t="str">
        <f aca="false">_xlfn.XLOOKUP($E202,$A$5:$A$8,$G$5:$G$8,"")</f>
        <v>Per pay period</v>
      </c>
      <c r="L202" s="38" t="str">
        <f aca="false">_xlfn.XLOOKUP($E202,$A$5:$A$8,$H$5:$H$8,"")</f>
        <v>Every pay period (ongoing)</v>
      </c>
      <c r="M202" s="43" t="n">
        <f aca="false" t="array" ref="M202:M202">MAX(_xlfn.XLOOKUP($A202,TRIM(SUBSTITUTE('worker file'!$A$2:$A$406,_xlfn.UNICHAR(160)," ")),'worker file'!$M$2:$M$406,0),_xlfn.XLOOKUP($B202,TRIM('pay group &amp; schedule'!$A$2:$A$6),'pay group &amp; schedule'!$D$2:$D$6,0))</f>
        <v>46311</v>
      </c>
      <c r="N202" s="43" t="str">
        <f aca="false" t="array" ref="N202:N202">_xlfn.LET(_xlpm.t,_xlfn.XLOOKUP($A202,TRIM(SUBSTITUTE('worker file'!$A$2:$A$406,_xlfn.UNICHAR(160)," ")),'worker file'!$N$2:$N$406,""),IF(N(_xlpm.t)=0,"",_xlpm.t))</f>
        <v/>
      </c>
    </row>
    <row r="203" customFormat="false" ht="15" hidden="false" customHeight="false" outlineLevel="0" collapsed="false">
      <c r="A203" s="39" t="s">
        <v>168</v>
      </c>
      <c r="B203" s="40" t="str">
        <f aca="false" t="array" ref="B203:B203">_xlfn.XLOOKUP($A203,TRIM(SUBSTITUTE('worker file'!$A$2:$A$406,_xlfn.UNICHAR(160)," ")),'worker file'!$L$2:$L$406,"Not found")</f>
        <v>US Biweekly</v>
      </c>
      <c r="C203" s="40" t="str">
        <f aca="false" t="array" ref="C203:C203">_xlfn.XLOOKUP($A203,TRIM(SUBSTITUTE('worker file'!$A$2:$A$406,_xlfn.UNICHAR(160)," ")),'worker file'!$D$2:$D$406,"Not found")</f>
        <v>CA</v>
      </c>
      <c r="D203" s="40" t="str">
        <f aca="false" t="array" ref="D203:D203">_xlfn.XLOOKUP($A203,TRIM(SUBSTITUTE('worker file'!$A$2:$A$406,_xlfn.UNICHAR(160)," ")),'worker file'!$Q$2:$Q$406,"Not found")</f>
        <v>Active</v>
      </c>
      <c r="E203" s="39" t="s">
        <v>618</v>
      </c>
      <c r="F203" s="38" t="str">
        <f aca="false">_xlfn.XLOOKUP($E203,$A$5:$A$8,$B$5:$B$8,"")</f>
        <v>401(k) Employee Deferral</v>
      </c>
      <c r="G203" s="38" t="str">
        <f aca="false">_xlfn.XLOOKUP($E203,$A$5:$A$8,$D$5:$D$8,"")</f>
        <v>Pre-tax (exempt from FIT/SIT; subject to FICA)</v>
      </c>
      <c r="H203" s="38" t="str">
        <f aca="false">_xlfn.XLOOKUP($E203,$A$5:$A$8,$E$5:$E$8,"")</f>
        <v>Percent</v>
      </c>
      <c r="I203" s="41" t="n">
        <v>0</v>
      </c>
      <c r="J203" s="42" t="str">
        <f aca="false">IF($H203="Flat",_xlfn.XLOOKUP($E203,$A$5:$A$8,$F$5:$F$8,""),"")</f>
        <v/>
      </c>
      <c r="K203" s="38" t="str">
        <f aca="false">_xlfn.XLOOKUP($E203,$A$5:$A$8,$G$5:$G$8,"")</f>
        <v>Gross pay</v>
      </c>
      <c r="L203" s="38" t="str">
        <f aca="false">_xlfn.XLOOKUP($E203,$A$5:$A$8,$H$5:$H$8,"")</f>
        <v>Every pay period (ongoing)</v>
      </c>
      <c r="M203" s="43" t="n">
        <f aca="false" t="array" ref="M203:M203">MAX(_xlfn.XLOOKUP($A203,TRIM(SUBSTITUTE('worker file'!$A$2:$A$406,_xlfn.UNICHAR(160)," ")),'worker file'!$M$2:$M$406,0),_xlfn.XLOOKUP($B203,TRIM('pay group &amp; schedule'!$A$2:$A$6),'pay group &amp; schedule'!$D$2:$D$6,0))</f>
        <v>46299</v>
      </c>
      <c r="N203" s="43" t="str">
        <f aca="false" t="array" ref="N203:N203">_xlfn.LET(_xlpm.t,_xlfn.XLOOKUP($A203,TRIM(SUBSTITUTE('worker file'!$A$2:$A$406,_xlfn.UNICHAR(160)," ")),'worker file'!$N$2:$N$406,""),IF(N(_xlpm.t)=0,"",_xlpm.t))</f>
        <v/>
      </c>
    </row>
    <row r="204" customFormat="false" ht="15" hidden="false" customHeight="false" outlineLevel="0" collapsed="false">
      <c r="A204" s="39" t="s">
        <v>168</v>
      </c>
      <c r="B204" s="40" t="str">
        <f aca="false" t="array" ref="B204:B204">_xlfn.XLOOKUP($A204,TRIM(SUBSTITUTE('worker file'!$A$2:$A$406,_xlfn.UNICHAR(160)," ")),'worker file'!$L$2:$L$406,"Not found")</f>
        <v>US Biweekly</v>
      </c>
      <c r="C204" s="40" t="str">
        <f aca="false" t="array" ref="C204:C204">_xlfn.XLOOKUP($A204,TRIM(SUBSTITUTE('worker file'!$A$2:$A$406,_xlfn.UNICHAR(160)," ")),'worker file'!$D$2:$D$406,"Not found")</f>
        <v>CA</v>
      </c>
      <c r="D204" s="40" t="str">
        <f aca="false" t="array" ref="D204:D204">_xlfn.XLOOKUP($A204,TRIM(SUBSTITUTE('worker file'!$A$2:$A$406,_xlfn.UNICHAR(160)," ")),'worker file'!$Q$2:$Q$406,"Not found")</f>
        <v>Active</v>
      </c>
      <c r="E204" s="39" t="s">
        <v>626</v>
      </c>
      <c r="F204" s="38" t="str">
        <f aca="false">_xlfn.XLOOKUP($E204,$A$5:$A$8,$B$5:$B$8,"")</f>
        <v>Medical (Health) – Employee</v>
      </c>
      <c r="G204" s="38" t="str">
        <f aca="false">_xlfn.XLOOKUP($E204,$A$5:$A$8,$D$5:$D$8,"")</f>
        <v>Pre-tax Section 125 (exempt from FIT/SIT/FICA)</v>
      </c>
      <c r="H204" s="38" t="str">
        <f aca="false">_xlfn.XLOOKUP($E204,$A$5:$A$8,$E$5:$E$8,"")</f>
        <v>Flat</v>
      </c>
      <c r="I204" s="44" t="str">
        <f aca="false">IF($H204="Percent",_xlfn.XLOOKUP($E204,$A$5:$A$8,$F$5:$F$8,""),"")</f>
        <v/>
      </c>
      <c r="J204" s="42" t="n">
        <f aca="false">IF($H204="Flat",_xlfn.XLOOKUP($E204,$A$5:$A$8,$F$5:$F$8,""),"")</f>
        <v>200</v>
      </c>
      <c r="K204" s="38" t="str">
        <f aca="false">_xlfn.XLOOKUP($E204,$A$5:$A$8,$G$5:$G$8,"")</f>
        <v>Per pay period</v>
      </c>
      <c r="L204" s="38" t="str">
        <f aca="false">_xlfn.XLOOKUP($E204,$A$5:$A$8,$H$5:$H$8,"")</f>
        <v>Every pay period (ongoing)</v>
      </c>
      <c r="M204" s="43" t="n">
        <f aca="false" t="array" ref="M204:M204">MAX(_xlfn.XLOOKUP($A204,TRIM(SUBSTITUTE('worker file'!$A$2:$A$406,_xlfn.UNICHAR(160)," ")),'worker file'!$M$2:$M$406,0),_xlfn.XLOOKUP($B204,TRIM('pay group &amp; schedule'!$A$2:$A$6),'pay group &amp; schedule'!$D$2:$D$6,0))</f>
        <v>46299</v>
      </c>
      <c r="N204" s="43" t="str">
        <f aca="false" t="array" ref="N204:N204">_xlfn.LET(_xlpm.t,_xlfn.XLOOKUP($A204,TRIM(SUBSTITUTE('worker file'!$A$2:$A$406,_xlfn.UNICHAR(160)," ")),'worker file'!$N$2:$N$406,""),IF(N(_xlpm.t)=0,"",_xlpm.t))</f>
        <v/>
      </c>
    </row>
    <row r="205" customFormat="false" ht="15" hidden="false" customHeight="false" outlineLevel="0" collapsed="false">
      <c r="A205" s="39" t="s">
        <v>168</v>
      </c>
      <c r="B205" s="40" t="str">
        <f aca="false" t="array" ref="B205:B205">_xlfn.XLOOKUP($A205,TRIM(SUBSTITUTE('worker file'!$A$2:$A$406,_xlfn.UNICHAR(160)," ")),'worker file'!$L$2:$L$406,"Not found")</f>
        <v>US Biweekly</v>
      </c>
      <c r="C205" s="40" t="str">
        <f aca="false" t="array" ref="C205:C205">_xlfn.XLOOKUP($A205,TRIM(SUBSTITUTE('worker file'!$A$2:$A$406,_xlfn.UNICHAR(160)," ")),'worker file'!$D$2:$D$406,"Not found")</f>
        <v>CA</v>
      </c>
      <c r="D205" s="40" t="str">
        <f aca="false" t="array" ref="D205:D205">_xlfn.XLOOKUP($A205,TRIM(SUBSTITUTE('worker file'!$A$2:$A$406,_xlfn.UNICHAR(160)," ")),'worker file'!$Q$2:$Q$406,"Not found")</f>
        <v>Active</v>
      </c>
      <c r="E205" s="39" t="s">
        <v>632</v>
      </c>
      <c r="F205" s="38" t="str">
        <f aca="false">_xlfn.XLOOKUP($E205,$A$5:$A$8,$B$5:$B$8,"")</f>
        <v>Dental – Employee</v>
      </c>
      <c r="G205" s="38" t="str">
        <f aca="false">_xlfn.XLOOKUP($E205,$A$5:$A$8,$D$5:$D$8,"")</f>
        <v>Pre-tax Section 125 (exempt from FIT/SIT/FICA)</v>
      </c>
      <c r="H205" s="38" t="str">
        <f aca="false">_xlfn.XLOOKUP($E205,$A$5:$A$8,$E$5:$E$8,"")</f>
        <v>Flat</v>
      </c>
      <c r="I205" s="44" t="str">
        <f aca="false">IF($H205="Percent",_xlfn.XLOOKUP($E205,$A$5:$A$8,$F$5:$F$8,""),"")</f>
        <v/>
      </c>
      <c r="J205" s="42" t="n">
        <f aca="false">IF($H205="Flat",_xlfn.XLOOKUP($E205,$A$5:$A$8,$F$5:$F$8,""),"")</f>
        <v>44</v>
      </c>
      <c r="K205" s="38" t="str">
        <f aca="false">_xlfn.XLOOKUP($E205,$A$5:$A$8,$G$5:$G$8,"")</f>
        <v>Per pay period</v>
      </c>
      <c r="L205" s="38" t="str">
        <f aca="false">_xlfn.XLOOKUP($E205,$A$5:$A$8,$H$5:$H$8,"")</f>
        <v>Every pay period (ongoing)</v>
      </c>
      <c r="M205" s="43" t="n">
        <f aca="false" t="array" ref="M205:M205">MAX(_xlfn.XLOOKUP($A205,TRIM(SUBSTITUTE('worker file'!$A$2:$A$406,_xlfn.UNICHAR(160)," ")),'worker file'!$M$2:$M$406,0),_xlfn.XLOOKUP($B205,TRIM('pay group &amp; schedule'!$A$2:$A$6),'pay group &amp; schedule'!$D$2:$D$6,0))</f>
        <v>46299</v>
      </c>
      <c r="N205" s="43" t="str">
        <f aca="false" t="array" ref="N205:N205">_xlfn.LET(_xlpm.t,_xlfn.XLOOKUP($A205,TRIM(SUBSTITUTE('worker file'!$A$2:$A$406,_xlfn.UNICHAR(160)," ")),'worker file'!$N$2:$N$406,""),IF(N(_xlpm.t)=0,"",_xlpm.t))</f>
        <v/>
      </c>
    </row>
    <row r="206" customFormat="false" ht="15" hidden="false" customHeight="false" outlineLevel="0" collapsed="false">
      <c r="A206" s="39" t="s">
        <v>168</v>
      </c>
      <c r="B206" s="40" t="str">
        <f aca="false" t="array" ref="B206:B206">_xlfn.XLOOKUP($A206,TRIM(SUBSTITUTE('worker file'!$A$2:$A$406,_xlfn.UNICHAR(160)," ")),'worker file'!$L$2:$L$406,"Not found")</f>
        <v>US Biweekly</v>
      </c>
      <c r="C206" s="40" t="str">
        <f aca="false" t="array" ref="C206:C206">_xlfn.XLOOKUP($A206,TRIM(SUBSTITUTE('worker file'!$A$2:$A$406,_xlfn.UNICHAR(160)," ")),'worker file'!$D$2:$D$406,"Not found")</f>
        <v>CA</v>
      </c>
      <c r="D206" s="40" t="str">
        <f aca="false" t="array" ref="D206:D206">_xlfn.XLOOKUP($A206,TRIM(SUBSTITUTE('worker file'!$A$2:$A$406,_xlfn.UNICHAR(160)," ")),'worker file'!$Q$2:$Q$406,"Not found")</f>
        <v>Active</v>
      </c>
      <c r="E206" s="39" t="s">
        <v>634</v>
      </c>
      <c r="F206" s="38" t="str">
        <f aca="false">_xlfn.XLOOKUP($E206,$A$5:$A$8,$B$5:$B$8,"")</f>
        <v>Vision – Employee</v>
      </c>
      <c r="G206" s="38" t="str">
        <f aca="false">_xlfn.XLOOKUP($E206,$A$5:$A$8,$D$5:$D$8,"")</f>
        <v>Pre-tax Section 125 (exempt from FIT/SIT/FICA)</v>
      </c>
      <c r="H206" s="38" t="str">
        <f aca="false">_xlfn.XLOOKUP($E206,$A$5:$A$8,$E$5:$E$8,"")</f>
        <v>Flat</v>
      </c>
      <c r="I206" s="44" t="str">
        <f aca="false">IF($H206="Percent",_xlfn.XLOOKUP($E206,$A$5:$A$8,$F$5:$F$8,""),"")</f>
        <v/>
      </c>
      <c r="J206" s="42" t="n">
        <f aca="false">IF($H206="Flat",_xlfn.XLOOKUP($E206,$A$5:$A$8,$F$5:$F$8,""),"")</f>
        <v>30</v>
      </c>
      <c r="K206" s="38" t="str">
        <f aca="false">_xlfn.XLOOKUP($E206,$A$5:$A$8,$G$5:$G$8,"")</f>
        <v>Per pay period</v>
      </c>
      <c r="L206" s="38" t="str">
        <f aca="false">_xlfn.XLOOKUP($E206,$A$5:$A$8,$H$5:$H$8,"")</f>
        <v>Every pay period (ongoing)</v>
      </c>
      <c r="M206" s="43" t="n">
        <f aca="false" t="array" ref="M206:M206">MAX(_xlfn.XLOOKUP($A206,TRIM(SUBSTITUTE('worker file'!$A$2:$A$406,_xlfn.UNICHAR(160)," ")),'worker file'!$M$2:$M$406,0),_xlfn.XLOOKUP($B206,TRIM('pay group &amp; schedule'!$A$2:$A$6),'pay group &amp; schedule'!$D$2:$D$6,0))</f>
        <v>46299</v>
      </c>
      <c r="N206" s="43" t="str">
        <f aca="false" t="array" ref="N206:N206">_xlfn.LET(_xlpm.t,_xlfn.XLOOKUP($A206,TRIM(SUBSTITUTE('worker file'!$A$2:$A$406,_xlfn.UNICHAR(160)," ")),'worker file'!$N$2:$N$406,""),IF(N(_xlpm.t)=0,"",_xlpm.t))</f>
        <v/>
      </c>
    </row>
    <row r="207" customFormat="false" ht="15" hidden="false" customHeight="false" outlineLevel="0" collapsed="false">
      <c r="A207" s="39" t="s">
        <v>170</v>
      </c>
      <c r="B207" s="40" t="str">
        <f aca="false" t="array" ref="B207:B207">_xlfn.XLOOKUP($A207,TRIM(SUBSTITUTE('worker file'!$A$2:$A$406,_xlfn.UNICHAR(160)," ")),'worker file'!$L$2:$L$406,"Not found")</f>
        <v>US Semi-monthly</v>
      </c>
      <c r="C207" s="40" t="str">
        <f aca="false" t="array" ref="C207:C207">_xlfn.XLOOKUP($A207,TRIM(SUBSTITUTE('worker file'!$A$2:$A$406,_xlfn.UNICHAR(160)," ")),'worker file'!$D$2:$D$406,"Not found")</f>
        <v>WA</v>
      </c>
      <c r="D207" s="40" t="str">
        <f aca="false" t="array" ref="D207:D207">_xlfn.XLOOKUP($A207,TRIM(SUBSTITUTE('worker file'!$A$2:$A$406,_xlfn.UNICHAR(160)," ")),'worker file'!$Q$2:$Q$406,"Not found")</f>
        <v>Active</v>
      </c>
      <c r="E207" s="39" t="s">
        <v>618</v>
      </c>
      <c r="F207" s="38" t="str">
        <f aca="false">_xlfn.XLOOKUP($E207,$A$5:$A$8,$B$5:$B$8,"")</f>
        <v>401(k) Employee Deferral</v>
      </c>
      <c r="G207" s="38" t="str">
        <f aca="false">_xlfn.XLOOKUP($E207,$A$5:$A$8,$D$5:$D$8,"")</f>
        <v>Pre-tax (exempt from FIT/SIT; subject to FICA)</v>
      </c>
      <c r="H207" s="38" t="str">
        <f aca="false">_xlfn.XLOOKUP($E207,$A$5:$A$8,$E$5:$E$8,"")</f>
        <v>Percent</v>
      </c>
      <c r="I207" s="41" t="n">
        <v>0.05</v>
      </c>
      <c r="J207" s="42" t="str">
        <f aca="false">IF($H207="Flat",_xlfn.XLOOKUP($E207,$A$5:$A$8,$F$5:$F$8,""),"")</f>
        <v/>
      </c>
      <c r="K207" s="38" t="str">
        <f aca="false">_xlfn.XLOOKUP($E207,$A$5:$A$8,$G$5:$G$8,"")</f>
        <v>Gross pay</v>
      </c>
      <c r="L207" s="38" t="str">
        <f aca="false">_xlfn.XLOOKUP($E207,$A$5:$A$8,$H$5:$H$8,"")</f>
        <v>Every pay period (ongoing)</v>
      </c>
      <c r="M207" s="43" t="n">
        <f aca="false" t="array" ref="M207:M207">MAX(_xlfn.XLOOKUP($A207,TRIM(SUBSTITUTE('worker file'!$A$2:$A$406,_xlfn.UNICHAR(160)," ")),'worker file'!$M$2:$M$406,0),_xlfn.XLOOKUP($B207,TRIM('pay group &amp; schedule'!$A$2:$A$6),'pay group &amp; schedule'!$D$2:$D$6,0))</f>
        <v>46311</v>
      </c>
      <c r="N207" s="43" t="str">
        <f aca="false" t="array" ref="N207:N207">_xlfn.LET(_xlpm.t,_xlfn.XLOOKUP($A207,TRIM(SUBSTITUTE('worker file'!$A$2:$A$406,_xlfn.UNICHAR(160)," ")),'worker file'!$N$2:$N$406,""),IF(N(_xlpm.t)=0,"",_xlpm.t))</f>
        <v/>
      </c>
    </row>
    <row r="208" customFormat="false" ht="15" hidden="false" customHeight="false" outlineLevel="0" collapsed="false">
      <c r="A208" s="39" t="s">
        <v>170</v>
      </c>
      <c r="B208" s="40" t="str">
        <f aca="false" t="array" ref="B208:B208">_xlfn.XLOOKUP($A208,TRIM(SUBSTITUTE('worker file'!$A$2:$A$406,_xlfn.UNICHAR(160)," ")),'worker file'!$L$2:$L$406,"Not found")</f>
        <v>US Semi-monthly</v>
      </c>
      <c r="C208" s="40" t="str">
        <f aca="false" t="array" ref="C208:C208">_xlfn.XLOOKUP($A208,TRIM(SUBSTITUTE('worker file'!$A$2:$A$406,_xlfn.UNICHAR(160)," ")),'worker file'!$D$2:$D$406,"Not found")</f>
        <v>WA</v>
      </c>
      <c r="D208" s="40" t="str">
        <f aca="false" t="array" ref="D208:D208">_xlfn.XLOOKUP($A208,TRIM(SUBSTITUTE('worker file'!$A$2:$A$406,_xlfn.UNICHAR(160)," ")),'worker file'!$Q$2:$Q$406,"Not found")</f>
        <v>Active</v>
      </c>
      <c r="E208" s="39" t="s">
        <v>626</v>
      </c>
      <c r="F208" s="38" t="str">
        <f aca="false">_xlfn.XLOOKUP($E208,$A$5:$A$8,$B$5:$B$8,"")</f>
        <v>Medical (Health) – Employee</v>
      </c>
      <c r="G208" s="38" t="str">
        <f aca="false">_xlfn.XLOOKUP($E208,$A$5:$A$8,$D$5:$D$8,"")</f>
        <v>Pre-tax Section 125 (exempt from FIT/SIT/FICA)</v>
      </c>
      <c r="H208" s="38" t="str">
        <f aca="false">_xlfn.XLOOKUP($E208,$A$5:$A$8,$E$5:$E$8,"")</f>
        <v>Flat</v>
      </c>
      <c r="I208" s="44" t="str">
        <f aca="false">IF($H208="Percent",_xlfn.XLOOKUP($E208,$A$5:$A$8,$F$5:$F$8,""),"")</f>
        <v/>
      </c>
      <c r="J208" s="42" t="n">
        <f aca="false">IF($H208="Flat",_xlfn.XLOOKUP($E208,$A$5:$A$8,$F$5:$F$8,""),"")</f>
        <v>200</v>
      </c>
      <c r="K208" s="38" t="str">
        <f aca="false">_xlfn.XLOOKUP($E208,$A$5:$A$8,$G$5:$G$8,"")</f>
        <v>Per pay period</v>
      </c>
      <c r="L208" s="38" t="str">
        <f aca="false">_xlfn.XLOOKUP($E208,$A$5:$A$8,$H$5:$H$8,"")</f>
        <v>Every pay period (ongoing)</v>
      </c>
      <c r="M208" s="43" t="n">
        <f aca="false" t="array" ref="M208:M208">MAX(_xlfn.XLOOKUP($A208,TRIM(SUBSTITUTE('worker file'!$A$2:$A$406,_xlfn.UNICHAR(160)," ")),'worker file'!$M$2:$M$406,0),_xlfn.XLOOKUP($B208,TRIM('pay group &amp; schedule'!$A$2:$A$6),'pay group &amp; schedule'!$D$2:$D$6,0))</f>
        <v>46311</v>
      </c>
      <c r="N208" s="43" t="str">
        <f aca="false" t="array" ref="N208:N208">_xlfn.LET(_xlpm.t,_xlfn.XLOOKUP($A208,TRIM(SUBSTITUTE('worker file'!$A$2:$A$406,_xlfn.UNICHAR(160)," ")),'worker file'!$N$2:$N$406,""),IF(N(_xlpm.t)=0,"",_xlpm.t))</f>
        <v/>
      </c>
    </row>
    <row r="209" customFormat="false" ht="15" hidden="false" customHeight="false" outlineLevel="0" collapsed="false">
      <c r="A209" s="39" t="s">
        <v>170</v>
      </c>
      <c r="B209" s="40" t="str">
        <f aca="false" t="array" ref="B209:B209">_xlfn.XLOOKUP($A209,TRIM(SUBSTITUTE('worker file'!$A$2:$A$406,_xlfn.UNICHAR(160)," ")),'worker file'!$L$2:$L$406,"Not found")</f>
        <v>US Semi-monthly</v>
      </c>
      <c r="C209" s="40" t="str">
        <f aca="false" t="array" ref="C209:C209">_xlfn.XLOOKUP($A209,TRIM(SUBSTITUTE('worker file'!$A$2:$A$406,_xlfn.UNICHAR(160)," ")),'worker file'!$D$2:$D$406,"Not found")</f>
        <v>WA</v>
      </c>
      <c r="D209" s="40" t="str">
        <f aca="false" t="array" ref="D209:D209">_xlfn.XLOOKUP($A209,TRIM(SUBSTITUTE('worker file'!$A$2:$A$406,_xlfn.UNICHAR(160)," ")),'worker file'!$Q$2:$Q$406,"Not found")</f>
        <v>Active</v>
      </c>
      <c r="E209" s="39" t="s">
        <v>632</v>
      </c>
      <c r="F209" s="38" t="str">
        <f aca="false">_xlfn.XLOOKUP($E209,$A$5:$A$8,$B$5:$B$8,"")</f>
        <v>Dental – Employee</v>
      </c>
      <c r="G209" s="38" t="str">
        <f aca="false">_xlfn.XLOOKUP($E209,$A$5:$A$8,$D$5:$D$8,"")</f>
        <v>Pre-tax Section 125 (exempt from FIT/SIT/FICA)</v>
      </c>
      <c r="H209" s="38" t="str">
        <f aca="false">_xlfn.XLOOKUP($E209,$A$5:$A$8,$E$5:$E$8,"")</f>
        <v>Flat</v>
      </c>
      <c r="I209" s="44" t="str">
        <f aca="false">IF($H209="Percent",_xlfn.XLOOKUP($E209,$A$5:$A$8,$F$5:$F$8,""),"")</f>
        <v/>
      </c>
      <c r="J209" s="42" t="n">
        <f aca="false">IF($H209="Flat",_xlfn.XLOOKUP($E209,$A$5:$A$8,$F$5:$F$8,""),"")</f>
        <v>44</v>
      </c>
      <c r="K209" s="38" t="str">
        <f aca="false">_xlfn.XLOOKUP($E209,$A$5:$A$8,$G$5:$G$8,"")</f>
        <v>Per pay period</v>
      </c>
      <c r="L209" s="38" t="str">
        <f aca="false">_xlfn.XLOOKUP($E209,$A$5:$A$8,$H$5:$H$8,"")</f>
        <v>Every pay period (ongoing)</v>
      </c>
      <c r="M209" s="43" t="n">
        <f aca="false" t="array" ref="M209:M209">MAX(_xlfn.XLOOKUP($A209,TRIM(SUBSTITUTE('worker file'!$A$2:$A$406,_xlfn.UNICHAR(160)," ")),'worker file'!$M$2:$M$406,0),_xlfn.XLOOKUP($B209,TRIM('pay group &amp; schedule'!$A$2:$A$6),'pay group &amp; schedule'!$D$2:$D$6,0))</f>
        <v>46311</v>
      </c>
      <c r="N209" s="43" t="str">
        <f aca="false" t="array" ref="N209:N209">_xlfn.LET(_xlpm.t,_xlfn.XLOOKUP($A209,TRIM(SUBSTITUTE('worker file'!$A$2:$A$406,_xlfn.UNICHAR(160)," ")),'worker file'!$N$2:$N$406,""),IF(N(_xlpm.t)=0,"",_xlpm.t))</f>
        <v/>
      </c>
    </row>
    <row r="210" customFormat="false" ht="15" hidden="false" customHeight="false" outlineLevel="0" collapsed="false">
      <c r="A210" s="39" t="s">
        <v>170</v>
      </c>
      <c r="B210" s="40" t="str">
        <f aca="false" t="array" ref="B210:B210">_xlfn.XLOOKUP($A210,TRIM(SUBSTITUTE('worker file'!$A$2:$A$406,_xlfn.UNICHAR(160)," ")),'worker file'!$L$2:$L$406,"Not found")</f>
        <v>US Semi-monthly</v>
      </c>
      <c r="C210" s="40" t="str">
        <f aca="false" t="array" ref="C210:C210">_xlfn.XLOOKUP($A210,TRIM(SUBSTITUTE('worker file'!$A$2:$A$406,_xlfn.UNICHAR(160)," ")),'worker file'!$D$2:$D$406,"Not found")</f>
        <v>WA</v>
      </c>
      <c r="D210" s="40" t="str">
        <f aca="false" t="array" ref="D210:D210">_xlfn.XLOOKUP($A210,TRIM(SUBSTITUTE('worker file'!$A$2:$A$406,_xlfn.UNICHAR(160)," ")),'worker file'!$Q$2:$Q$406,"Not found")</f>
        <v>Active</v>
      </c>
      <c r="E210" s="39" t="s">
        <v>634</v>
      </c>
      <c r="F210" s="38" t="str">
        <f aca="false">_xlfn.XLOOKUP($E210,$A$5:$A$8,$B$5:$B$8,"")</f>
        <v>Vision – Employee</v>
      </c>
      <c r="G210" s="38" t="str">
        <f aca="false">_xlfn.XLOOKUP($E210,$A$5:$A$8,$D$5:$D$8,"")</f>
        <v>Pre-tax Section 125 (exempt from FIT/SIT/FICA)</v>
      </c>
      <c r="H210" s="38" t="str">
        <f aca="false">_xlfn.XLOOKUP($E210,$A$5:$A$8,$E$5:$E$8,"")</f>
        <v>Flat</v>
      </c>
      <c r="I210" s="44" t="str">
        <f aca="false">IF($H210="Percent",_xlfn.XLOOKUP($E210,$A$5:$A$8,$F$5:$F$8,""),"")</f>
        <v/>
      </c>
      <c r="J210" s="42" t="n">
        <f aca="false">IF($H210="Flat",_xlfn.XLOOKUP($E210,$A$5:$A$8,$F$5:$F$8,""),"")</f>
        <v>30</v>
      </c>
      <c r="K210" s="38" t="str">
        <f aca="false">_xlfn.XLOOKUP($E210,$A$5:$A$8,$G$5:$G$8,"")</f>
        <v>Per pay period</v>
      </c>
      <c r="L210" s="38" t="str">
        <f aca="false">_xlfn.XLOOKUP($E210,$A$5:$A$8,$H$5:$H$8,"")</f>
        <v>Every pay period (ongoing)</v>
      </c>
      <c r="M210" s="43" t="n">
        <f aca="false" t="array" ref="M210:M210">MAX(_xlfn.XLOOKUP($A210,TRIM(SUBSTITUTE('worker file'!$A$2:$A$406,_xlfn.UNICHAR(160)," ")),'worker file'!$M$2:$M$406,0),_xlfn.XLOOKUP($B210,TRIM('pay group &amp; schedule'!$A$2:$A$6),'pay group &amp; schedule'!$D$2:$D$6,0))</f>
        <v>46311</v>
      </c>
      <c r="N210" s="43" t="str">
        <f aca="false" t="array" ref="N210:N210">_xlfn.LET(_xlpm.t,_xlfn.XLOOKUP($A210,TRIM(SUBSTITUTE('worker file'!$A$2:$A$406,_xlfn.UNICHAR(160)," ")),'worker file'!$N$2:$N$406,""),IF(N(_xlpm.t)=0,"",_xlpm.t))</f>
        <v/>
      </c>
    </row>
    <row r="211" customFormat="false" ht="15" hidden="false" customHeight="false" outlineLevel="0" collapsed="false">
      <c r="A211" s="39" t="s">
        <v>172</v>
      </c>
      <c r="B211" s="40" t="str">
        <f aca="false" t="array" ref="B211:B211">_xlfn.XLOOKUP($A211,TRIM(SUBSTITUTE('worker file'!$A$2:$A$406,_xlfn.UNICHAR(160)," ")),'worker file'!$L$2:$L$406,"Not found")</f>
        <v>US Semi-monthly</v>
      </c>
      <c r="C211" s="40" t="str">
        <f aca="false" t="array" ref="C211:C211">_xlfn.XLOOKUP($A211,TRIM(SUBSTITUTE('worker file'!$A$2:$A$406,_xlfn.UNICHAR(160)," ")),'worker file'!$D$2:$D$406,"Not found")</f>
        <v>CA</v>
      </c>
      <c r="D211" s="40" t="str">
        <f aca="false" t="array" ref="D211:D211">_xlfn.XLOOKUP($A211,TRIM(SUBSTITUTE('worker file'!$A$2:$A$406,_xlfn.UNICHAR(160)," ")),'worker file'!$Q$2:$Q$406,"Not found")</f>
        <v>Active</v>
      </c>
      <c r="E211" s="39" t="s">
        <v>626</v>
      </c>
      <c r="F211" s="38" t="str">
        <f aca="false">_xlfn.XLOOKUP($E211,$A$5:$A$8,$B$5:$B$8,"")</f>
        <v>Medical (Health) – Employee</v>
      </c>
      <c r="G211" s="38" t="str">
        <f aca="false">_xlfn.XLOOKUP($E211,$A$5:$A$8,$D$5:$D$8,"")</f>
        <v>Pre-tax Section 125 (exempt from FIT/SIT/FICA)</v>
      </c>
      <c r="H211" s="38" t="str">
        <f aca="false">_xlfn.XLOOKUP($E211,$A$5:$A$8,$E$5:$E$8,"")</f>
        <v>Flat</v>
      </c>
      <c r="I211" s="44" t="str">
        <f aca="false">IF($H211="Percent",_xlfn.XLOOKUP($E211,$A$5:$A$8,$F$5:$F$8,""),"")</f>
        <v/>
      </c>
      <c r="J211" s="42" t="n">
        <f aca="false">IF($H211="Flat",_xlfn.XLOOKUP($E211,$A$5:$A$8,$F$5:$F$8,""),"")</f>
        <v>200</v>
      </c>
      <c r="K211" s="38" t="str">
        <f aca="false">_xlfn.XLOOKUP($E211,$A$5:$A$8,$G$5:$G$8,"")</f>
        <v>Per pay period</v>
      </c>
      <c r="L211" s="38" t="str">
        <f aca="false">_xlfn.XLOOKUP($E211,$A$5:$A$8,$H$5:$H$8,"")</f>
        <v>Every pay period (ongoing)</v>
      </c>
      <c r="M211" s="43" t="n">
        <f aca="false" t="array" ref="M211:M211">MAX(_xlfn.XLOOKUP($A211,TRIM(SUBSTITUTE('worker file'!$A$2:$A$406,_xlfn.UNICHAR(160)," ")),'worker file'!$M$2:$M$406,0),_xlfn.XLOOKUP($B211,TRIM('pay group &amp; schedule'!$A$2:$A$6),'pay group &amp; schedule'!$D$2:$D$6,0))</f>
        <v>46311</v>
      </c>
      <c r="N211" s="43" t="str">
        <f aca="false" t="array" ref="N211:N211">_xlfn.LET(_xlpm.t,_xlfn.XLOOKUP($A211,TRIM(SUBSTITUTE('worker file'!$A$2:$A$406,_xlfn.UNICHAR(160)," ")),'worker file'!$N$2:$N$406,""),IF(N(_xlpm.t)=0,"",_xlpm.t))</f>
        <v/>
      </c>
    </row>
    <row r="212" customFormat="false" ht="15" hidden="false" customHeight="false" outlineLevel="0" collapsed="false">
      <c r="A212" s="39" t="s">
        <v>172</v>
      </c>
      <c r="B212" s="40" t="str">
        <f aca="false" t="array" ref="B212:B212">_xlfn.XLOOKUP($A212,TRIM(SUBSTITUTE('worker file'!$A$2:$A$406,_xlfn.UNICHAR(160)," ")),'worker file'!$L$2:$L$406,"Not found")</f>
        <v>US Semi-monthly</v>
      </c>
      <c r="C212" s="40" t="str">
        <f aca="false" t="array" ref="C212:C212">_xlfn.XLOOKUP($A212,TRIM(SUBSTITUTE('worker file'!$A$2:$A$406,_xlfn.UNICHAR(160)," ")),'worker file'!$D$2:$D$406,"Not found")</f>
        <v>CA</v>
      </c>
      <c r="D212" s="40" t="str">
        <f aca="false" t="array" ref="D212:D212">_xlfn.XLOOKUP($A212,TRIM(SUBSTITUTE('worker file'!$A$2:$A$406,_xlfn.UNICHAR(160)," ")),'worker file'!$Q$2:$Q$406,"Not found")</f>
        <v>Active</v>
      </c>
      <c r="E212" s="39" t="s">
        <v>632</v>
      </c>
      <c r="F212" s="38" t="str">
        <f aca="false">_xlfn.XLOOKUP($E212,$A$5:$A$8,$B$5:$B$8,"")</f>
        <v>Dental – Employee</v>
      </c>
      <c r="G212" s="38" t="str">
        <f aca="false">_xlfn.XLOOKUP($E212,$A$5:$A$8,$D$5:$D$8,"")</f>
        <v>Pre-tax Section 125 (exempt from FIT/SIT/FICA)</v>
      </c>
      <c r="H212" s="38" t="str">
        <f aca="false">_xlfn.XLOOKUP($E212,$A$5:$A$8,$E$5:$E$8,"")</f>
        <v>Flat</v>
      </c>
      <c r="I212" s="44" t="str">
        <f aca="false">IF($H212="Percent",_xlfn.XLOOKUP($E212,$A$5:$A$8,$F$5:$F$8,""),"")</f>
        <v/>
      </c>
      <c r="J212" s="42" t="n">
        <f aca="false">IF($H212="Flat",_xlfn.XLOOKUP($E212,$A$5:$A$8,$F$5:$F$8,""),"")</f>
        <v>44</v>
      </c>
      <c r="K212" s="38" t="str">
        <f aca="false">_xlfn.XLOOKUP($E212,$A$5:$A$8,$G$5:$G$8,"")</f>
        <v>Per pay period</v>
      </c>
      <c r="L212" s="38" t="str">
        <f aca="false">_xlfn.XLOOKUP($E212,$A$5:$A$8,$H$5:$H$8,"")</f>
        <v>Every pay period (ongoing)</v>
      </c>
      <c r="M212" s="43" t="n">
        <f aca="false" t="array" ref="M212:M212">MAX(_xlfn.XLOOKUP($A212,TRIM(SUBSTITUTE('worker file'!$A$2:$A$406,_xlfn.UNICHAR(160)," ")),'worker file'!$M$2:$M$406,0),_xlfn.XLOOKUP($B212,TRIM('pay group &amp; schedule'!$A$2:$A$6),'pay group &amp; schedule'!$D$2:$D$6,0))</f>
        <v>46311</v>
      </c>
      <c r="N212" s="43" t="str">
        <f aca="false" t="array" ref="N212:N212">_xlfn.LET(_xlpm.t,_xlfn.XLOOKUP($A212,TRIM(SUBSTITUTE('worker file'!$A$2:$A$406,_xlfn.UNICHAR(160)," ")),'worker file'!$N$2:$N$406,""),IF(N(_xlpm.t)=0,"",_xlpm.t))</f>
        <v/>
      </c>
    </row>
    <row r="213" customFormat="false" ht="15" hidden="false" customHeight="false" outlineLevel="0" collapsed="false">
      <c r="A213" s="39" t="s">
        <v>172</v>
      </c>
      <c r="B213" s="40" t="str">
        <f aca="false" t="array" ref="B213:B213">_xlfn.XLOOKUP($A213,TRIM(SUBSTITUTE('worker file'!$A$2:$A$406,_xlfn.UNICHAR(160)," ")),'worker file'!$L$2:$L$406,"Not found")</f>
        <v>US Semi-monthly</v>
      </c>
      <c r="C213" s="40" t="str">
        <f aca="false" t="array" ref="C213:C213">_xlfn.XLOOKUP($A213,TRIM(SUBSTITUTE('worker file'!$A$2:$A$406,_xlfn.UNICHAR(160)," ")),'worker file'!$D$2:$D$406,"Not found")</f>
        <v>CA</v>
      </c>
      <c r="D213" s="40" t="str">
        <f aca="false" t="array" ref="D213:D213">_xlfn.XLOOKUP($A213,TRIM(SUBSTITUTE('worker file'!$A$2:$A$406,_xlfn.UNICHAR(160)," ")),'worker file'!$Q$2:$Q$406,"Not found")</f>
        <v>Active</v>
      </c>
      <c r="E213" s="39" t="s">
        <v>634</v>
      </c>
      <c r="F213" s="38" t="str">
        <f aca="false">_xlfn.XLOOKUP($E213,$A$5:$A$8,$B$5:$B$8,"")</f>
        <v>Vision – Employee</v>
      </c>
      <c r="G213" s="38" t="str">
        <f aca="false">_xlfn.XLOOKUP($E213,$A$5:$A$8,$D$5:$D$8,"")</f>
        <v>Pre-tax Section 125 (exempt from FIT/SIT/FICA)</v>
      </c>
      <c r="H213" s="38" t="str">
        <f aca="false">_xlfn.XLOOKUP($E213,$A$5:$A$8,$E$5:$E$8,"")</f>
        <v>Flat</v>
      </c>
      <c r="I213" s="44" t="str">
        <f aca="false">IF($H213="Percent",_xlfn.XLOOKUP($E213,$A$5:$A$8,$F$5:$F$8,""),"")</f>
        <v/>
      </c>
      <c r="J213" s="42" t="n">
        <f aca="false">IF($H213="Flat",_xlfn.XLOOKUP($E213,$A$5:$A$8,$F$5:$F$8,""),"")</f>
        <v>30</v>
      </c>
      <c r="K213" s="38" t="str">
        <f aca="false">_xlfn.XLOOKUP($E213,$A$5:$A$8,$G$5:$G$8,"")</f>
        <v>Per pay period</v>
      </c>
      <c r="L213" s="38" t="str">
        <f aca="false">_xlfn.XLOOKUP($E213,$A$5:$A$8,$H$5:$H$8,"")</f>
        <v>Every pay period (ongoing)</v>
      </c>
      <c r="M213" s="43" t="n">
        <f aca="false" t="array" ref="M213:M213">MAX(_xlfn.XLOOKUP($A213,TRIM(SUBSTITUTE('worker file'!$A$2:$A$406,_xlfn.UNICHAR(160)," ")),'worker file'!$M$2:$M$406,0),_xlfn.XLOOKUP($B213,TRIM('pay group &amp; schedule'!$A$2:$A$6),'pay group &amp; schedule'!$D$2:$D$6,0))</f>
        <v>46311</v>
      </c>
      <c r="N213" s="43" t="str">
        <f aca="false" t="array" ref="N213:N213">_xlfn.LET(_xlpm.t,_xlfn.XLOOKUP($A213,TRIM(SUBSTITUTE('worker file'!$A$2:$A$406,_xlfn.UNICHAR(160)," ")),'worker file'!$N$2:$N$406,""),IF(N(_xlpm.t)=0,"",_xlpm.t))</f>
        <v/>
      </c>
    </row>
    <row r="214" customFormat="false" ht="15" hidden="false" customHeight="false" outlineLevel="0" collapsed="false">
      <c r="A214" s="39" t="s">
        <v>173</v>
      </c>
      <c r="B214" s="40" t="str">
        <f aca="false" t="array" ref="B214:B214">_xlfn.XLOOKUP($A214,TRIM(SUBSTITUTE('worker file'!$A$2:$A$406,_xlfn.UNICHAR(160)," ")),'worker file'!$L$2:$L$406,"Not found")</f>
        <v>US Semi-monthly</v>
      </c>
      <c r="C214" s="40" t="str">
        <f aca="false" t="array" ref="C214:C214">_xlfn.XLOOKUP($A214,TRIM(SUBSTITUTE('worker file'!$A$2:$A$406,_xlfn.UNICHAR(160)," ")),'worker file'!$D$2:$D$406,"Not found")</f>
        <v>CA</v>
      </c>
      <c r="D214" s="40" t="str">
        <f aca="false" t="array" ref="D214:D214">_xlfn.XLOOKUP($A214,TRIM(SUBSTITUTE('worker file'!$A$2:$A$406,_xlfn.UNICHAR(160)," ")),'worker file'!$Q$2:$Q$406,"Not found")</f>
        <v>Active</v>
      </c>
      <c r="E214" s="39" t="s">
        <v>618</v>
      </c>
      <c r="F214" s="38" t="str">
        <f aca="false">_xlfn.XLOOKUP($E214,$A$5:$A$8,$B$5:$B$8,"")</f>
        <v>401(k) Employee Deferral</v>
      </c>
      <c r="G214" s="38" t="str">
        <f aca="false">_xlfn.XLOOKUP($E214,$A$5:$A$8,$D$5:$D$8,"")</f>
        <v>Pre-tax (exempt from FIT/SIT; subject to FICA)</v>
      </c>
      <c r="H214" s="38" t="str">
        <f aca="false">_xlfn.XLOOKUP($E214,$A$5:$A$8,$E$5:$E$8,"")</f>
        <v>Percent</v>
      </c>
      <c r="I214" s="41" t="n">
        <v>0.07</v>
      </c>
      <c r="J214" s="42" t="str">
        <f aca="false">IF($H214="Flat",_xlfn.XLOOKUP($E214,$A$5:$A$8,$F$5:$F$8,""),"")</f>
        <v/>
      </c>
      <c r="K214" s="38" t="str">
        <f aca="false">_xlfn.XLOOKUP($E214,$A$5:$A$8,$G$5:$G$8,"")</f>
        <v>Gross pay</v>
      </c>
      <c r="L214" s="38" t="str">
        <f aca="false">_xlfn.XLOOKUP($E214,$A$5:$A$8,$H$5:$H$8,"")</f>
        <v>Every pay period (ongoing)</v>
      </c>
      <c r="M214" s="43" t="n">
        <f aca="false" t="array" ref="M214:M214">MAX(_xlfn.XLOOKUP($A214,TRIM(SUBSTITUTE('worker file'!$A$2:$A$406,_xlfn.UNICHAR(160)," ")),'worker file'!$M$2:$M$406,0),_xlfn.XLOOKUP($B214,TRIM('pay group &amp; schedule'!$A$2:$A$6),'pay group &amp; schedule'!$D$2:$D$6,0))</f>
        <v>46311</v>
      </c>
      <c r="N214" s="43" t="str">
        <f aca="false" t="array" ref="N214:N214">_xlfn.LET(_xlpm.t,_xlfn.XLOOKUP($A214,TRIM(SUBSTITUTE('worker file'!$A$2:$A$406,_xlfn.UNICHAR(160)," ")),'worker file'!$N$2:$N$406,""),IF(N(_xlpm.t)=0,"",_xlpm.t))</f>
        <v/>
      </c>
    </row>
    <row r="215" customFormat="false" ht="15" hidden="false" customHeight="false" outlineLevel="0" collapsed="false">
      <c r="A215" s="39" t="s">
        <v>173</v>
      </c>
      <c r="B215" s="40" t="str">
        <f aca="false" t="array" ref="B215:B215">_xlfn.XLOOKUP($A215,TRIM(SUBSTITUTE('worker file'!$A$2:$A$406,_xlfn.UNICHAR(160)," ")),'worker file'!$L$2:$L$406,"Not found")</f>
        <v>US Semi-monthly</v>
      </c>
      <c r="C215" s="40" t="str">
        <f aca="false" t="array" ref="C215:C215">_xlfn.XLOOKUP($A215,TRIM(SUBSTITUTE('worker file'!$A$2:$A$406,_xlfn.UNICHAR(160)," ")),'worker file'!$D$2:$D$406,"Not found")</f>
        <v>CA</v>
      </c>
      <c r="D215" s="40" t="str">
        <f aca="false" t="array" ref="D215:D215">_xlfn.XLOOKUP($A215,TRIM(SUBSTITUTE('worker file'!$A$2:$A$406,_xlfn.UNICHAR(160)," ")),'worker file'!$Q$2:$Q$406,"Not found")</f>
        <v>Active</v>
      </c>
      <c r="E215" s="39" t="s">
        <v>626</v>
      </c>
      <c r="F215" s="38" t="str">
        <f aca="false">_xlfn.XLOOKUP($E215,$A$5:$A$8,$B$5:$B$8,"")</f>
        <v>Medical (Health) – Employee</v>
      </c>
      <c r="G215" s="38" t="str">
        <f aca="false">_xlfn.XLOOKUP($E215,$A$5:$A$8,$D$5:$D$8,"")</f>
        <v>Pre-tax Section 125 (exempt from FIT/SIT/FICA)</v>
      </c>
      <c r="H215" s="38" t="str">
        <f aca="false">_xlfn.XLOOKUP($E215,$A$5:$A$8,$E$5:$E$8,"")</f>
        <v>Flat</v>
      </c>
      <c r="I215" s="44" t="str">
        <f aca="false">IF($H215="Percent",_xlfn.XLOOKUP($E215,$A$5:$A$8,$F$5:$F$8,""),"")</f>
        <v/>
      </c>
      <c r="J215" s="42" t="n">
        <f aca="false">IF($H215="Flat",_xlfn.XLOOKUP($E215,$A$5:$A$8,$F$5:$F$8,""),"")</f>
        <v>200</v>
      </c>
      <c r="K215" s="38" t="str">
        <f aca="false">_xlfn.XLOOKUP($E215,$A$5:$A$8,$G$5:$G$8,"")</f>
        <v>Per pay period</v>
      </c>
      <c r="L215" s="38" t="str">
        <f aca="false">_xlfn.XLOOKUP($E215,$A$5:$A$8,$H$5:$H$8,"")</f>
        <v>Every pay period (ongoing)</v>
      </c>
      <c r="M215" s="43" t="n">
        <f aca="false" t="array" ref="M215:M215">MAX(_xlfn.XLOOKUP($A215,TRIM(SUBSTITUTE('worker file'!$A$2:$A$406,_xlfn.UNICHAR(160)," ")),'worker file'!$M$2:$M$406,0),_xlfn.XLOOKUP($B215,TRIM('pay group &amp; schedule'!$A$2:$A$6),'pay group &amp; schedule'!$D$2:$D$6,0))</f>
        <v>46311</v>
      </c>
      <c r="N215" s="43" t="str">
        <f aca="false" t="array" ref="N215:N215">_xlfn.LET(_xlpm.t,_xlfn.XLOOKUP($A215,TRIM(SUBSTITUTE('worker file'!$A$2:$A$406,_xlfn.UNICHAR(160)," ")),'worker file'!$N$2:$N$406,""),IF(N(_xlpm.t)=0,"",_xlpm.t))</f>
        <v/>
      </c>
    </row>
    <row r="216" customFormat="false" ht="15" hidden="false" customHeight="false" outlineLevel="0" collapsed="false">
      <c r="A216" s="39" t="s">
        <v>173</v>
      </c>
      <c r="B216" s="40" t="str">
        <f aca="false" t="array" ref="B216:B216">_xlfn.XLOOKUP($A216,TRIM(SUBSTITUTE('worker file'!$A$2:$A$406,_xlfn.UNICHAR(160)," ")),'worker file'!$L$2:$L$406,"Not found")</f>
        <v>US Semi-monthly</v>
      </c>
      <c r="C216" s="40" t="str">
        <f aca="false" t="array" ref="C216:C216">_xlfn.XLOOKUP($A216,TRIM(SUBSTITUTE('worker file'!$A$2:$A$406,_xlfn.UNICHAR(160)," ")),'worker file'!$D$2:$D$406,"Not found")</f>
        <v>CA</v>
      </c>
      <c r="D216" s="40" t="str">
        <f aca="false" t="array" ref="D216:D216">_xlfn.XLOOKUP($A216,TRIM(SUBSTITUTE('worker file'!$A$2:$A$406,_xlfn.UNICHAR(160)," ")),'worker file'!$Q$2:$Q$406,"Not found")</f>
        <v>Active</v>
      </c>
      <c r="E216" s="39" t="s">
        <v>632</v>
      </c>
      <c r="F216" s="38" t="str">
        <f aca="false">_xlfn.XLOOKUP($E216,$A$5:$A$8,$B$5:$B$8,"")</f>
        <v>Dental – Employee</v>
      </c>
      <c r="G216" s="38" t="str">
        <f aca="false">_xlfn.XLOOKUP($E216,$A$5:$A$8,$D$5:$D$8,"")</f>
        <v>Pre-tax Section 125 (exempt from FIT/SIT/FICA)</v>
      </c>
      <c r="H216" s="38" t="str">
        <f aca="false">_xlfn.XLOOKUP($E216,$A$5:$A$8,$E$5:$E$8,"")</f>
        <v>Flat</v>
      </c>
      <c r="I216" s="44" t="str">
        <f aca="false">IF($H216="Percent",_xlfn.XLOOKUP($E216,$A$5:$A$8,$F$5:$F$8,""),"")</f>
        <v/>
      </c>
      <c r="J216" s="42" t="n">
        <f aca="false">IF($H216="Flat",_xlfn.XLOOKUP($E216,$A$5:$A$8,$F$5:$F$8,""),"")</f>
        <v>44</v>
      </c>
      <c r="K216" s="38" t="str">
        <f aca="false">_xlfn.XLOOKUP($E216,$A$5:$A$8,$G$5:$G$8,"")</f>
        <v>Per pay period</v>
      </c>
      <c r="L216" s="38" t="str">
        <f aca="false">_xlfn.XLOOKUP($E216,$A$5:$A$8,$H$5:$H$8,"")</f>
        <v>Every pay period (ongoing)</v>
      </c>
      <c r="M216" s="43" t="n">
        <f aca="false" t="array" ref="M216:M216">MAX(_xlfn.XLOOKUP($A216,TRIM(SUBSTITUTE('worker file'!$A$2:$A$406,_xlfn.UNICHAR(160)," ")),'worker file'!$M$2:$M$406,0),_xlfn.XLOOKUP($B216,TRIM('pay group &amp; schedule'!$A$2:$A$6),'pay group &amp; schedule'!$D$2:$D$6,0))</f>
        <v>46311</v>
      </c>
      <c r="N216" s="43" t="str">
        <f aca="false" t="array" ref="N216:N216">_xlfn.LET(_xlpm.t,_xlfn.XLOOKUP($A216,TRIM(SUBSTITUTE('worker file'!$A$2:$A$406,_xlfn.UNICHAR(160)," ")),'worker file'!$N$2:$N$406,""),IF(N(_xlpm.t)=0,"",_xlpm.t))</f>
        <v/>
      </c>
    </row>
    <row r="217" customFormat="false" ht="15" hidden="false" customHeight="false" outlineLevel="0" collapsed="false">
      <c r="A217" s="39" t="s">
        <v>173</v>
      </c>
      <c r="B217" s="40" t="str">
        <f aca="false" t="array" ref="B217:B217">_xlfn.XLOOKUP($A217,TRIM(SUBSTITUTE('worker file'!$A$2:$A$406,_xlfn.UNICHAR(160)," ")),'worker file'!$L$2:$L$406,"Not found")</f>
        <v>US Semi-monthly</v>
      </c>
      <c r="C217" s="40" t="str">
        <f aca="false" t="array" ref="C217:C217">_xlfn.XLOOKUP($A217,TRIM(SUBSTITUTE('worker file'!$A$2:$A$406,_xlfn.UNICHAR(160)," ")),'worker file'!$D$2:$D$406,"Not found")</f>
        <v>CA</v>
      </c>
      <c r="D217" s="40" t="str">
        <f aca="false" t="array" ref="D217:D217">_xlfn.XLOOKUP($A217,TRIM(SUBSTITUTE('worker file'!$A$2:$A$406,_xlfn.UNICHAR(160)," ")),'worker file'!$Q$2:$Q$406,"Not found")</f>
        <v>Active</v>
      </c>
      <c r="E217" s="39" t="s">
        <v>634</v>
      </c>
      <c r="F217" s="38" t="str">
        <f aca="false">_xlfn.XLOOKUP($E217,$A$5:$A$8,$B$5:$B$8,"")</f>
        <v>Vision – Employee</v>
      </c>
      <c r="G217" s="38" t="str">
        <f aca="false">_xlfn.XLOOKUP($E217,$A$5:$A$8,$D$5:$D$8,"")</f>
        <v>Pre-tax Section 125 (exempt from FIT/SIT/FICA)</v>
      </c>
      <c r="H217" s="38" t="str">
        <f aca="false">_xlfn.XLOOKUP($E217,$A$5:$A$8,$E$5:$E$8,"")</f>
        <v>Flat</v>
      </c>
      <c r="I217" s="44" t="str">
        <f aca="false">IF($H217="Percent",_xlfn.XLOOKUP($E217,$A$5:$A$8,$F$5:$F$8,""),"")</f>
        <v/>
      </c>
      <c r="J217" s="42" t="n">
        <f aca="false">IF($H217="Flat",_xlfn.XLOOKUP($E217,$A$5:$A$8,$F$5:$F$8,""),"")</f>
        <v>30</v>
      </c>
      <c r="K217" s="38" t="str">
        <f aca="false">_xlfn.XLOOKUP($E217,$A$5:$A$8,$G$5:$G$8,"")</f>
        <v>Per pay period</v>
      </c>
      <c r="L217" s="38" t="str">
        <f aca="false">_xlfn.XLOOKUP($E217,$A$5:$A$8,$H$5:$H$8,"")</f>
        <v>Every pay period (ongoing)</v>
      </c>
      <c r="M217" s="43" t="n">
        <f aca="false" t="array" ref="M217:M217">MAX(_xlfn.XLOOKUP($A217,TRIM(SUBSTITUTE('worker file'!$A$2:$A$406,_xlfn.UNICHAR(160)," ")),'worker file'!$M$2:$M$406,0),_xlfn.XLOOKUP($B217,TRIM('pay group &amp; schedule'!$A$2:$A$6),'pay group &amp; schedule'!$D$2:$D$6,0))</f>
        <v>46311</v>
      </c>
      <c r="N217" s="43" t="str">
        <f aca="false" t="array" ref="N217:N217">_xlfn.LET(_xlpm.t,_xlfn.XLOOKUP($A217,TRIM(SUBSTITUTE('worker file'!$A$2:$A$406,_xlfn.UNICHAR(160)," ")),'worker file'!$N$2:$N$406,""),IF(N(_xlpm.t)=0,"",_xlpm.t))</f>
        <v/>
      </c>
    </row>
    <row r="218" customFormat="false" ht="15" hidden="false" customHeight="false" outlineLevel="0" collapsed="false">
      <c r="A218" s="39" t="s">
        <v>174</v>
      </c>
      <c r="B218" s="40" t="str">
        <f aca="false" t="array" ref="B218:B218">_xlfn.XLOOKUP($A218,TRIM(SUBSTITUTE('worker file'!$A$2:$A$406,_xlfn.UNICHAR(160)," ")),'worker file'!$L$2:$L$406,"Not found")</f>
        <v>US Semi-monthly</v>
      </c>
      <c r="C218" s="40" t="str">
        <f aca="false" t="array" ref="C218:C218">_xlfn.XLOOKUP($A218,TRIM(SUBSTITUTE('worker file'!$A$2:$A$406,_xlfn.UNICHAR(160)," ")),'worker file'!$D$2:$D$406,"Not found")</f>
        <v>CA</v>
      </c>
      <c r="D218" s="40" t="str">
        <f aca="false" t="array" ref="D218:D218">_xlfn.XLOOKUP($A218,TRIM(SUBSTITUTE('worker file'!$A$2:$A$406,_xlfn.UNICHAR(160)," ")),'worker file'!$Q$2:$Q$406,"Not found")</f>
        <v>Active</v>
      </c>
      <c r="E218" s="39" t="s">
        <v>618</v>
      </c>
      <c r="F218" s="38" t="str">
        <f aca="false">_xlfn.XLOOKUP($E218,$A$5:$A$8,$B$5:$B$8,"")</f>
        <v>401(k) Employee Deferral</v>
      </c>
      <c r="G218" s="38" t="str">
        <f aca="false">_xlfn.XLOOKUP($E218,$A$5:$A$8,$D$5:$D$8,"")</f>
        <v>Pre-tax (exempt from FIT/SIT; subject to FICA)</v>
      </c>
      <c r="H218" s="38" t="str">
        <f aca="false">_xlfn.XLOOKUP($E218,$A$5:$A$8,$E$5:$E$8,"")</f>
        <v>Percent</v>
      </c>
      <c r="I218" s="41" t="n">
        <v>0.04</v>
      </c>
      <c r="J218" s="42" t="str">
        <f aca="false">IF($H218="Flat",_xlfn.XLOOKUP($E218,$A$5:$A$8,$F$5:$F$8,""),"")</f>
        <v/>
      </c>
      <c r="K218" s="38" t="str">
        <f aca="false">_xlfn.XLOOKUP($E218,$A$5:$A$8,$G$5:$G$8,"")</f>
        <v>Gross pay</v>
      </c>
      <c r="L218" s="38" t="str">
        <f aca="false">_xlfn.XLOOKUP($E218,$A$5:$A$8,$H$5:$H$8,"")</f>
        <v>Every pay period (ongoing)</v>
      </c>
      <c r="M218" s="43" t="n">
        <f aca="false" t="array" ref="M218:M218">MAX(_xlfn.XLOOKUP($A218,TRIM(SUBSTITUTE('worker file'!$A$2:$A$406,_xlfn.UNICHAR(160)," ")),'worker file'!$M$2:$M$406,0),_xlfn.XLOOKUP($B218,TRIM('pay group &amp; schedule'!$A$2:$A$6),'pay group &amp; schedule'!$D$2:$D$6,0))</f>
        <v>46311</v>
      </c>
      <c r="N218" s="43" t="str">
        <f aca="false" t="array" ref="N218:N218">_xlfn.LET(_xlpm.t,_xlfn.XLOOKUP($A218,TRIM(SUBSTITUTE('worker file'!$A$2:$A$406,_xlfn.UNICHAR(160)," ")),'worker file'!$N$2:$N$406,""),IF(N(_xlpm.t)=0,"",_xlpm.t))</f>
        <v/>
      </c>
    </row>
    <row r="219" customFormat="false" ht="15" hidden="false" customHeight="false" outlineLevel="0" collapsed="false">
      <c r="A219" s="39" t="s">
        <v>174</v>
      </c>
      <c r="B219" s="40" t="str">
        <f aca="false" t="array" ref="B219:B219">_xlfn.XLOOKUP($A219,TRIM(SUBSTITUTE('worker file'!$A$2:$A$406,_xlfn.UNICHAR(160)," ")),'worker file'!$L$2:$L$406,"Not found")</f>
        <v>US Semi-monthly</v>
      </c>
      <c r="C219" s="40" t="str">
        <f aca="false" t="array" ref="C219:C219">_xlfn.XLOOKUP($A219,TRIM(SUBSTITUTE('worker file'!$A$2:$A$406,_xlfn.UNICHAR(160)," ")),'worker file'!$D$2:$D$406,"Not found")</f>
        <v>CA</v>
      </c>
      <c r="D219" s="40" t="str">
        <f aca="false" t="array" ref="D219:D219">_xlfn.XLOOKUP($A219,TRIM(SUBSTITUTE('worker file'!$A$2:$A$406,_xlfn.UNICHAR(160)," ")),'worker file'!$Q$2:$Q$406,"Not found")</f>
        <v>Active</v>
      </c>
      <c r="E219" s="39" t="s">
        <v>626</v>
      </c>
      <c r="F219" s="38" t="str">
        <f aca="false">_xlfn.XLOOKUP($E219,$A$5:$A$8,$B$5:$B$8,"")</f>
        <v>Medical (Health) – Employee</v>
      </c>
      <c r="G219" s="38" t="str">
        <f aca="false">_xlfn.XLOOKUP($E219,$A$5:$A$8,$D$5:$D$8,"")</f>
        <v>Pre-tax Section 125 (exempt from FIT/SIT/FICA)</v>
      </c>
      <c r="H219" s="38" t="str">
        <f aca="false">_xlfn.XLOOKUP($E219,$A$5:$A$8,$E$5:$E$8,"")</f>
        <v>Flat</v>
      </c>
      <c r="I219" s="44" t="str">
        <f aca="false">IF($H219="Percent",_xlfn.XLOOKUP($E219,$A$5:$A$8,$F$5:$F$8,""),"")</f>
        <v/>
      </c>
      <c r="J219" s="42" t="n">
        <f aca="false">IF($H219="Flat",_xlfn.XLOOKUP($E219,$A$5:$A$8,$F$5:$F$8,""),"")</f>
        <v>200</v>
      </c>
      <c r="K219" s="38" t="str">
        <f aca="false">_xlfn.XLOOKUP($E219,$A$5:$A$8,$G$5:$G$8,"")</f>
        <v>Per pay period</v>
      </c>
      <c r="L219" s="38" t="str">
        <f aca="false">_xlfn.XLOOKUP($E219,$A$5:$A$8,$H$5:$H$8,"")</f>
        <v>Every pay period (ongoing)</v>
      </c>
      <c r="M219" s="43" t="n">
        <f aca="false" t="array" ref="M219:M219">MAX(_xlfn.XLOOKUP($A219,TRIM(SUBSTITUTE('worker file'!$A$2:$A$406,_xlfn.UNICHAR(160)," ")),'worker file'!$M$2:$M$406,0),_xlfn.XLOOKUP($B219,TRIM('pay group &amp; schedule'!$A$2:$A$6),'pay group &amp; schedule'!$D$2:$D$6,0))</f>
        <v>46311</v>
      </c>
      <c r="N219" s="43" t="str">
        <f aca="false" t="array" ref="N219:N219">_xlfn.LET(_xlpm.t,_xlfn.XLOOKUP($A219,TRIM(SUBSTITUTE('worker file'!$A$2:$A$406,_xlfn.UNICHAR(160)," ")),'worker file'!$N$2:$N$406,""),IF(N(_xlpm.t)=0,"",_xlpm.t))</f>
        <v/>
      </c>
    </row>
    <row r="220" customFormat="false" ht="15" hidden="false" customHeight="false" outlineLevel="0" collapsed="false">
      <c r="A220" s="39" t="s">
        <v>174</v>
      </c>
      <c r="B220" s="40" t="str">
        <f aca="false" t="array" ref="B220:B220">_xlfn.XLOOKUP($A220,TRIM(SUBSTITUTE('worker file'!$A$2:$A$406,_xlfn.UNICHAR(160)," ")),'worker file'!$L$2:$L$406,"Not found")</f>
        <v>US Semi-monthly</v>
      </c>
      <c r="C220" s="40" t="str">
        <f aca="false" t="array" ref="C220:C220">_xlfn.XLOOKUP($A220,TRIM(SUBSTITUTE('worker file'!$A$2:$A$406,_xlfn.UNICHAR(160)," ")),'worker file'!$D$2:$D$406,"Not found")</f>
        <v>CA</v>
      </c>
      <c r="D220" s="40" t="str">
        <f aca="false" t="array" ref="D220:D220">_xlfn.XLOOKUP($A220,TRIM(SUBSTITUTE('worker file'!$A$2:$A$406,_xlfn.UNICHAR(160)," ")),'worker file'!$Q$2:$Q$406,"Not found")</f>
        <v>Active</v>
      </c>
      <c r="E220" s="39" t="s">
        <v>632</v>
      </c>
      <c r="F220" s="38" t="str">
        <f aca="false">_xlfn.XLOOKUP($E220,$A$5:$A$8,$B$5:$B$8,"")</f>
        <v>Dental – Employee</v>
      </c>
      <c r="G220" s="38" t="str">
        <f aca="false">_xlfn.XLOOKUP($E220,$A$5:$A$8,$D$5:$D$8,"")</f>
        <v>Pre-tax Section 125 (exempt from FIT/SIT/FICA)</v>
      </c>
      <c r="H220" s="38" t="str">
        <f aca="false">_xlfn.XLOOKUP($E220,$A$5:$A$8,$E$5:$E$8,"")</f>
        <v>Flat</v>
      </c>
      <c r="I220" s="44" t="str">
        <f aca="false">IF($H220="Percent",_xlfn.XLOOKUP($E220,$A$5:$A$8,$F$5:$F$8,""),"")</f>
        <v/>
      </c>
      <c r="J220" s="42" t="n">
        <f aca="false">IF($H220="Flat",_xlfn.XLOOKUP($E220,$A$5:$A$8,$F$5:$F$8,""),"")</f>
        <v>44</v>
      </c>
      <c r="K220" s="38" t="str">
        <f aca="false">_xlfn.XLOOKUP($E220,$A$5:$A$8,$G$5:$G$8,"")</f>
        <v>Per pay period</v>
      </c>
      <c r="L220" s="38" t="str">
        <f aca="false">_xlfn.XLOOKUP($E220,$A$5:$A$8,$H$5:$H$8,"")</f>
        <v>Every pay period (ongoing)</v>
      </c>
      <c r="M220" s="43" t="n">
        <f aca="false" t="array" ref="M220:M220">MAX(_xlfn.XLOOKUP($A220,TRIM(SUBSTITUTE('worker file'!$A$2:$A$406,_xlfn.UNICHAR(160)," ")),'worker file'!$M$2:$M$406,0),_xlfn.XLOOKUP($B220,TRIM('pay group &amp; schedule'!$A$2:$A$6),'pay group &amp; schedule'!$D$2:$D$6,0))</f>
        <v>46311</v>
      </c>
      <c r="N220" s="43" t="str">
        <f aca="false" t="array" ref="N220:N220">_xlfn.LET(_xlpm.t,_xlfn.XLOOKUP($A220,TRIM(SUBSTITUTE('worker file'!$A$2:$A$406,_xlfn.UNICHAR(160)," ")),'worker file'!$N$2:$N$406,""),IF(N(_xlpm.t)=0,"",_xlpm.t))</f>
        <v/>
      </c>
    </row>
    <row r="221" customFormat="false" ht="15" hidden="false" customHeight="false" outlineLevel="0" collapsed="false">
      <c r="A221" s="39" t="s">
        <v>174</v>
      </c>
      <c r="B221" s="40" t="str">
        <f aca="false" t="array" ref="B221:B221">_xlfn.XLOOKUP($A221,TRIM(SUBSTITUTE('worker file'!$A$2:$A$406,_xlfn.UNICHAR(160)," ")),'worker file'!$L$2:$L$406,"Not found")</f>
        <v>US Semi-monthly</v>
      </c>
      <c r="C221" s="40" t="str">
        <f aca="false" t="array" ref="C221:C221">_xlfn.XLOOKUP($A221,TRIM(SUBSTITUTE('worker file'!$A$2:$A$406,_xlfn.UNICHAR(160)," ")),'worker file'!$D$2:$D$406,"Not found")</f>
        <v>CA</v>
      </c>
      <c r="D221" s="40" t="str">
        <f aca="false" t="array" ref="D221:D221">_xlfn.XLOOKUP($A221,TRIM(SUBSTITUTE('worker file'!$A$2:$A$406,_xlfn.UNICHAR(160)," ")),'worker file'!$Q$2:$Q$406,"Not found")</f>
        <v>Active</v>
      </c>
      <c r="E221" s="39" t="s">
        <v>634</v>
      </c>
      <c r="F221" s="38" t="str">
        <f aca="false">_xlfn.XLOOKUP($E221,$A$5:$A$8,$B$5:$B$8,"")</f>
        <v>Vision – Employee</v>
      </c>
      <c r="G221" s="38" t="str">
        <f aca="false">_xlfn.XLOOKUP($E221,$A$5:$A$8,$D$5:$D$8,"")</f>
        <v>Pre-tax Section 125 (exempt from FIT/SIT/FICA)</v>
      </c>
      <c r="H221" s="38" t="str">
        <f aca="false">_xlfn.XLOOKUP($E221,$A$5:$A$8,$E$5:$E$8,"")</f>
        <v>Flat</v>
      </c>
      <c r="I221" s="44" t="str">
        <f aca="false">IF($H221="Percent",_xlfn.XLOOKUP($E221,$A$5:$A$8,$F$5:$F$8,""),"")</f>
        <v/>
      </c>
      <c r="J221" s="42" t="n">
        <f aca="false">IF($H221="Flat",_xlfn.XLOOKUP($E221,$A$5:$A$8,$F$5:$F$8,""),"")</f>
        <v>30</v>
      </c>
      <c r="K221" s="38" t="str">
        <f aca="false">_xlfn.XLOOKUP($E221,$A$5:$A$8,$G$5:$G$8,"")</f>
        <v>Per pay period</v>
      </c>
      <c r="L221" s="38" t="str">
        <f aca="false">_xlfn.XLOOKUP($E221,$A$5:$A$8,$H$5:$H$8,"")</f>
        <v>Every pay period (ongoing)</v>
      </c>
      <c r="M221" s="43" t="n">
        <f aca="false" t="array" ref="M221:M221">MAX(_xlfn.XLOOKUP($A221,TRIM(SUBSTITUTE('worker file'!$A$2:$A$406,_xlfn.UNICHAR(160)," ")),'worker file'!$M$2:$M$406,0),_xlfn.XLOOKUP($B221,TRIM('pay group &amp; schedule'!$A$2:$A$6),'pay group &amp; schedule'!$D$2:$D$6,0))</f>
        <v>46311</v>
      </c>
      <c r="N221" s="43" t="str">
        <f aca="false" t="array" ref="N221:N221">_xlfn.LET(_xlpm.t,_xlfn.XLOOKUP($A221,TRIM(SUBSTITUTE('worker file'!$A$2:$A$406,_xlfn.UNICHAR(160)," ")),'worker file'!$N$2:$N$406,""),IF(N(_xlpm.t)=0,"",_xlpm.t))</f>
        <v/>
      </c>
    </row>
    <row r="222" customFormat="false" ht="15" hidden="false" customHeight="false" outlineLevel="0" collapsed="false">
      <c r="A222" s="39" t="s">
        <v>175</v>
      </c>
      <c r="B222" s="40" t="str">
        <f aca="false" t="array" ref="B222:B222">_xlfn.XLOOKUP($A222,TRIM(SUBSTITUTE('worker file'!$A$2:$A$406,_xlfn.UNICHAR(160)," ")),'worker file'!$L$2:$L$406,"Not found")</f>
        <v>US Semi-monthly</v>
      </c>
      <c r="C222" s="40" t="str">
        <f aca="false" t="array" ref="C222:C222">_xlfn.XLOOKUP($A222,TRIM(SUBSTITUTE('worker file'!$A$2:$A$406,_xlfn.UNICHAR(160)," ")),'worker file'!$D$2:$D$406,"Not found")</f>
        <v>CA</v>
      </c>
      <c r="D222" s="40" t="str">
        <f aca="false" t="array" ref="D222:D222">_xlfn.XLOOKUP($A222,TRIM(SUBSTITUTE('worker file'!$A$2:$A$406,_xlfn.UNICHAR(160)," ")),'worker file'!$Q$2:$Q$406,"Not found")</f>
        <v>Active</v>
      </c>
      <c r="E222" s="39" t="s">
        <v>618</v>
      </c>
      <c r="F222" s="38" t="str">
        <f aca="false">_xlfn.XLOOKUP($E222,$A$5:$A$8,$B$5:$B$8,"")</f>
        <v>401(k) Employee Deferral</v>
      </c>
      <c r="G222" s="38" t="str">
        <f aca="false">_xlfn.XLOOKUP($E222,$A$5:$A$8,$D$5:$D$8,"")</f>
        <v>Pre-tax (exempt from FIT/SIT; subject to FICA)</v>
      </c>
      <c r="H222" s="38" t="str">
        <f aca="false">_xlfn.XLOOKUP($E222,$A$5:$A$8,$E$5:$E$8,"")</f>
        <v>Percent</v>
      </c>
      <c r="I222" s="41" t="n">
        <v>0.01</v>
      </c>
      <c r="J222" s="42" t="str">
        <f aca="false">IF($H222="Flat",_xlfn.XLOOKUP($E222,$A$5:$A$8,$F$5:$F$8,""),"")</f>
        <v/>
      </c>
      <c r="K222" s="38" t="str">
        <f aca="false">_xlfn.XLOOKUP($E222,$A$5:$A$8,$G$5:$G$8,"")</f>
        <v>Gross pay</v>
      </c>
      <c r="L222" s="38" t="str">
        <f aca="false">_xlfn.XLOOKUP($E222,$A$5:$A$8,$H$5:$H$8,"")</f>
        <v>Every pay period (ongoing)</v>
      </c>
      <c r="M222" s="43" t="n">
        <f aca="false" t="array" ref="M222:M222">MAX(_xlfn.XLOOKUP($A222,TRIM(SUBSTITUTE('worker file'!$A$2:$A$406,_xlfn.UNICHAR(160)," ")),'worker file'!$M$2:$M$406,0),_xlfn.XLOOKUP($B222,TRIM('pay group &amp; schedule'!$A$2:$A$6),'pay group &amp; schedule'!$D$2:$D$6,0))</f>
        <v>46311</v>
      </c>
      <c r="N222" s="43" t="str">
        <f aca="false" t="array" ref="N222:N222">_xlfn.LET(_xlpm.t,_xlfn.XLOOKUP($A222,TRIM(SUBSTITUTE('worker file'!$A$2:$A$406,_xlfn.UNICHAR(160)," ")),'worker file'!$N$2:$N$406,""),IF(N(_xlpm.t)=0,"",_xlpm.t))</f>
        <v/>
      </c>
    </row>
    <row r="223" customFormat="false" ht="15" hidden="false" customHeight="false" outlineLevel="0" collapsed="false">
      <c r="A223" s="39" t="s">
        <v>175</v>
      </c>
      <c r="B223" s="40" t="str">
        <f aca="false" t="array" ref="B223:B223">_xlfn.XLOOKUP($A223,TRIM(SUBSTITUTE('worker file'!$A$2:$A$406,_xlfn.UNICHAR(160)," ")),'worker file'!$L$2:$L$406,"Not found")</f>
        <v>US Semi-monthly</v>
      </c>
      <c r="C223" s="40" t="str">
        <f aca="false" t="array" ref="C223:C223">_xlfn.XLOOKUP($A223,TRIM(SUBSTITUTE('worker file'!$A$2:$A$406,_xlfn.UNICHAR(160)," ")),'worker file'!$D$2:$D$406,"Not found")</f>
        <v>CA</v>
      </c>
      <c r="D223" s="40" t="str">
        <f aca="false" t="array" ref="D223:D223">_xlfn.XLOOKUP($A223,TRIM(SUBSTITUTE('worker file'!$A$2:$A$406,_xlfn.UNICHAR(160)," ")),'worker file'!$Q$2:$Q$406,"Not found")</f>
        <v>Active</v>
      </c>
      <c r="E223" s="39" t="s">
        <v>626</v>
      </c>
      <c r="F223" s="38" t="str">
        <f aca="false">_xlfn.XLOOKUP($E223,$A$5:$A$8,$B$5:$B$8,"")</f>
        <v>Medical (Health) – Employee</v>
      </c>
      <c r="G223" s="38" t="str">
        <f aca="false">_xlfn.XLOOKUP($E223,$A$5:$A$8,$D$5:$D$8,"")</f>
        <v>Pre-tax Section 125 (exempt from FIT/SIT/FICA)</v>
      </c>
      <c r="H223" s="38" t="str">
        <f aca="false">_xlfn.XLOOKUP($E223,$A$5:$A$8,$E$5:$E$8,"")</f>
        <v>Flat</v>
      </c>
      <c r="I223" s="44" t="str">
        <f aca="false">IF($H223="Percent",_xlfn.XLOOKUP($E223,$A$5:$A$8,$F$5:$F$8,""),"")</f>
        <v/>
      </c>
      <c r="J223" s="42" t="n">
        <f aca="false">IF($H223="Flat",_xlfn.XLOOKUP($E223,$A$5:$A$8,$F$5:$F$8,""),"")</f>
        <v>200</v>
      </c>
      <c r="K223" s="38" t="str">
        <f aca="false">_xlfn.XLOOKUP($E223,$A$5:$A$8,$G$5:$G$8,"")</f>
        <v>Per pay period</v>
      </c>
      <c r="L223" s="38" t="str">
        <f aca="false">_xlfn.XLOOKUP($E223,$A$5:$A$8,$H$5:$H$8,"")</f>
        <v>Every pay period (ongoing)</v>
      </c>
      <c r="M223" s="43" t="n">
        <f aca="false" t="array" ref="M223:M223">MAX(_xlfn.XLOOKUP($A223,TRIM(SUBSTITUTE('worker file'!$A$2:$A$406,_xlfn.UNICHAR(160)," ")),'worker file'!$M$2:$M$406,0),_xlfn.XLOOKUP($B223,TRIM('pay group &amp; schedule'!$A$2:$A$6),'pay group &amp; schedule'!$D$2:$D$6,0))</f>
        <v>46311</v>
      </c>
      <c r="N223" s="43" t="str">
        <f aca="false" t="array" ref="N223:N223">_xlfn.LET(_xlpm.t,_xlfn.XLOOKUP($A223,TRIM(SUBSTITUTE('worker file'!$A$2:$A$406,_xlfn.UNICHAR(160)," ")),'worker file'!$N$2:$N$406,""),IF(N(_xlpm.t)=0,"",_xlpm.t))</f>
        <v/>
      </c>
    </row>
    <row r="224" customFormat="false" ht="15" hidden="false" customHeight="false" outlineLevel="0" collapsed="false">
      <c r="A224" s="39" t="s">
        <v>175</v>
      </c>
      <c r="B224" s="40" t="str">
        <f aca="false" t="array" ref="B224:B224">_xlfn.XLOOKUP($A224,TRIM(SUBSTITUTE('worker file'!$A$2:$A$406,_xlfn.UNICHAR(160)," ")),'worker file'!$L$2:$L$406,"Not found")</f>
        <v>US Semi-monthly</v>
      </c>
      <c r="C224" s="40" t="str">
        <f aca="false" t="array" ref="C224:C224">_xlfn.XLOOKUP($A224,TRIM(SUBSTITUTE('worker file'!$A$2:$A$406,_xlfn.UNICHAR(160)," ")),'worker file'!$D$2:$D$406,"Not found")</f>
        <v>CA</v>
      </c>
      <c r="D224" s="40" t="str">
        <f aca="false" t="array" ref="D224:D224">_xlfn.XLOOKUP($A224,TRIM(SUBSTITUTE('worker file'!$A$2:$A$406,_xlfn.UNICHAR(160)," ")),'worker file'!$Q$2:$Q$406,"Not found")</f>
        <v>Active</v>
      </c>
      <c r="E224" s="39" t="s">
        <v>632</v>
      </c>
      <c r="F224" s="38" t="str">
        <f aca="false">_xlfn.XLOOKUP($E224,$A$5:$A$8,$B$5:$B$8,"")</f>
        <v>Dental – Employee</v>
      </c>
      <c r="G224" s="38" t="str">
        <f aca="false">_xlfn.XLOOKUP($E224,$A$5:$A$8,$D$5:$D$8,"")</f>
        <v>Pre-tax Section 125 (exempt from FIT/SIT/FICA)</v>
      </c>
      <c r="H224" s="38" t="str">
        <f aca="false">_xlfn.XLOOKUP($E224,$A$5:$A$8,$E$5:$E$8,"")</f>
        <v>Flat</v>
      </c>
      <c r="I224" s="44" t="str">
        <f aca="false">IF($H224="Percent",_xlfn.XLOOKUP($E224,$A$5:$A$8,$F$5:$F$8,""),"")</f>
        <v/>
      </c>
      <c r="J224" s="42" t="n">
        <f aca="false">IF($H224="Flat",_xlfn.XLOOKUP($E224,$A$5:$A$8,$F$5:$F$8,""),"")</f>
        <v>44</v>
      </c>
      <c r="K224" s="38" t="str">
        <f aca="false">_xlfn.XLOOKUP($E224,$A$5:$A$8,$G$5:$G$8,"")</f>
        <v>Per pay period</v>
      </c>
      <c r="L224" s="38" t="str">
        <f aca="false">_xlfn.XLOOKUP($E224,$A$5:$A$8,$H$5:$H$8,"")</f>
        <v>Every pay period (ongoing)</v>
      </c>
      <c r="M224" s="43" t="n">
        <f aca="false" t="array" ref="M224:M224">MAX(_xlfn.XLOOKUP($A224,TRIM(SUBSTITUTE('worker file'!$A$2:$A$406,_xlfn.UNICHAR(160)," ")),'worker file'!$M$2:$M$406,0),_xlfn.XLOOKUP($B224,TRIM('pay group &amp; schedule'!$A$2:$A$6),'pay group &amp; schedule'!$D$2:$D$6,0))</f>
        <v>46311</v>
      </c>
      <c r="N224" s="43" t="str">
        <f aca="false" t="array" ref="N224:N224">_xlfn.LET(_xlpm.t,_xlfn.XLOOKUP($A224,TRIM(SUBSTITUTE('worker file'!$A$2:$A$406,_xlfn.UNICHAR(160)," ")),'worker file'!$N$2:$N$406,""),IF(N(_xlpm.t)=0,"",_xlpm.t))</f>
        <v/>
      </c>
    </row>
    <row r="225" customFormat="false" ht="15" hidden="false" customHeight="false" outlineLevel="0" collapsed="false">
      <c r="A225" s="39" t="s">
        <v>175</v>
      </c>
      <c r="B225" s="40" t="str">
        <f aca="false" t="array" ref="B225:B225">_xlfn.XLOOKUP($A225,TRIM(SUBSTITUTE('worker file'!$A$2:$A$406,_xlfn.UNICHAR(160)," ")),'worker file'!$L$2:$L$406,"Not found")</f>
        <v>US Semi-monthly</v>
      </c>
      <c r="C225" s="40" t="str">
        <f aca="false" t="array" ref="C225:C225">_xlfn.XLOOKUP($A225,TRIM(SUBSTITUTE('worker file'!$A$2:$A$406,_xlfn.UNICHAR(160)," ")),'worker file'!$D$2:$D$406,"Not found")</f>
        <v>CA</v>
      </c>
      <c r="D225" s="40" t="str">
        <f aca="false" t="array" ref="D225:D225">_xlfn.XLOOKUP($A225,TRIM(SUBSTITUTE('worker file'!$A$2:$A$406,_xlfn.UNICHAR(160)," ")),'worker file'!$Q$2:$Q$406,"Not found")</f>
        <v>Active</v>
      </c>
      <c r="E225" s="39" t="s">
        <v>634</v>
      </c>
      <c r="F225" s="38" t="str">
        <f aca="false">_xlfn.XLOOKUP($E225,$A$5:$A$8,$B$5:$B$8,"")</f>
        <v>Vision – Employee</v>
      </c>
      <c r="G225" s="38" t="str">
        <f aca="false">_xlfn.XLOOKUP($E225,$A$5:$A$8,$D$5:$D$8,"")</f>
        <v>Pre-tax Section 125 (exempt from FIT/SIT/FICA)</v>
      </c>
      <c r="H225" s="38" t="str">
        <f aca="false">_xlfn.XLOOKUP($E225,$A$5:$A$8,$E$5:$E$8,"")</f>
        <v>Flat</v>
      </c>
      <c r="I225" s="44" t="str">
        <f aca="false">IF($H225="Percent",_xlfn.XLOOKUP($E225,$A$5:$A$8,$F$5:$F$8,""),"")</f>
        <v/>
      </c>
      <c r="J225" s="42" t="n">
        <f aca="false">IF($H225="Flat",_xlfn.XLOOKUP($E225,$A$5:$A$8,$F$5:$F$8,""),"")</f>
        <v>30</v>
      </c>
      <c r="K225" s="38" t="str">
        <f aca="false">_xlfn.XLOOKUP($E225,$A$5:$A$8,$G$5:$G$8,"")</f>
        <v>Per pay period</v>
      </c>
      <c r="L225" s="38" t="str">
        <f aca="false">_xlfn.XLOOKUP($E225,$A$5:$A$8,$H$5:$H$8,"")</f>
        <v>Every pay period (ongoing)</v>
      </c>
      <c r="M225" s="43" t="n">
        <f aca="false" t="array" ref="M225:M225">MAX(_xlfn.XLOOKUP($A225,TRIM(SUBSTITUTE('worker file'!$A$2:$A$406,_xlfn.UNICHAR(160)," ")),'worker file'!$M$2:$M$406,0),_xlfn.XLOOKUP($B225,TRIM('pay group &amp; schedule'!$A$2:$A$6),'pay group &amp; schedule'!$D$2:$D$6,0))</f>
        <v>46311</v>
      </c>
      <c r="N225" s="43" t="str">
        <f aca="false" t="array" ref="N225:N225">_xlfn.LET(_xlpm.t,_xlfn.XLOOKUP($A225,TRIM(SUBSTITUTE('worker file'!$A$2:$A$406,_xlfn.UNICHAR(160)," ")),'worker file'!$N$2:$N$406,""),IF(N(_xlpm.t)=0,"",_xlpm.t))</f>
        <v/>
      </c>
    </row>
    <row r="226" customFormat="false" ht="15" hidden="false" customHeight="false" outlineLevel="0" collapsed="false">
      <c r="A226" s="39" t="s">
        <v>177</v>
      </c>
      <c r="B226" s="40" t="str">
        <f aca="false" t="array" ref="B226:B226">_xlfn.XLOOKUP($A226,TRIM(SUBSTITUTE('worker file'!$A$2:$A$406,_xlfn.UNICHAR(160)," ")),'worker file'!$L$2:$L$406,"Not found")</f>
        <v>US Biweekly</v>
      </c>
      <c r="C226" s="40" t="str">
        <f aca="false" t="array" ref="C226:C226">_xlfn.XLOOKUP($A226,TRIM(SUBSTITUTE('worker file'!$A$2:$A$406,_xlfn.UNICHAR(160)," ")),'worker file'!$D$2:$D$406,"Not found")</f>
        <v>CA</v>
      </c>
      <c r="D226" s="40" t="str">
        <f aca="false" t="array" ref="D226:D226">_xlfn.XLOOKUP($A226,TRIM(SUBSTITUTE('worker file'!$A$2:$A$406,_xlfn.UNICHAR(160)," ")),'worker file'!$Q$2:$Q$406,"Not found")</f>
        <v>Termination pending</v>
      </c>
      <c r="E226" s="39" t="s">
        <v>618</v>
      </c>
      <c r="F226" s="38" t="str">
        <f aca="false">_xlfn.XLOOKUP($E226,$A$5:$A$8,$B$5:$B$8,"")</f>
        <v>401(k) Employee Deferral</v>
      </c>
      <c r="G226" s="38" t="str">
        <f aca="false">_xlfn.XLOOKUP($E226,$A$5:$A$8,$D$5:$D$8,"")</f>
        <v>Pre-tax (exempt from FIT/SIT; subject to FICA)</v>
      </c>
      <c r="H226" s="38" t="str">
        <f aca="false">_xlfn.XLOOKUP($E226,$A$5:$A$8,$E$5:$E$8,"")</f>
        <v>Percent</v>
      </c>
      <c r="I226" s="41" t="n">
        <v>0.06</v>
      </c>
      <c r="J226" s="42" t="str">
        <f aca="false">IF($H226="Flat",_xlfn.XLOOKUP($E226,$A$5:$A$8,$F$5:$F$8,""),"")</f>
        <v/>
      </c>
      <c r="K226" s="38" t="str">
        <f aca="false">_xlfn.XLOOKUP($E226,$A$5:$A$8,$G$5:$G$8,"")</f>
        <v>Gross pay</v>
      </c>
      <c r="L226" s="38" t="str">
        <f aca="false">_xlfn.XLOOKUP($E226,$A$5:$A$8,$H$5:$H$8,"")</f>
        <v>Every pay period (ongoing)</v>
      </c>
      <c r="M226" s="43" t="n">
        <f aca="false" t="array" ref="M226:M226">MAX(_xlfn.XLOOKUP($A226,TRIM(SUBSTITUTE('worker file'!$A$2:$A$406,_xlfn.UNICHAR(160)," ")),'worker file'!$M$2:$M$406,0),_xlfn.XLOOKUP($B226,TRIM('pay group &amp; schedule'!$A$2:$A$6),'pay group &amp; schedule'!$D$2:$D$6,0))</f>
        <v>46299</v>
      </c>
      <c r="N226" s="43" t="n">
        <f aca="false" t="array" ref="N226:N226">_xlfn.LET(_xlpm.t,_xlfn.XLOOKUP($A226,TRIM(SUBSTITUTE('worker file'!$A$2:$A$406,_xlfn.UNICHAR(160)," ")),'worker file'!$N$2:$N$406,""),IF(N(_xlpm.t)=0,"",_xlpm.t))</f>
        <v>46312</v>
      </c>
      <c r="O226" s="0" t="s">
        <v>644</v>
      </c>
    </row>
    <row r="227" customFormat="false" ht="15" hidden="false" customHeight="false" outlineLevel="0" collapsed="false">
      <c r="A227" s="39" t="s">
        <v>177</v>
      </c>
      <c r="B227" s="40" t="str">
        <f aca="false" t="array" ref="B227:B227">_xlfn.XLOOKUP($A227,TRIM(SUBSTITUTE('worker file'!$A$2:$A$406,_xlfn.UNICHAR(160)," ")),'worker file'!$L$2:$L$406,"Not found")</f>
        <v>US Biweekly</v>
      </c>
      <c r="C227" s="40" t="str">
        <f aca="false" t="array" ref="C227:C227">_xlfn.XLOOKUP($A227,TRIM(SUBSTITUTE('worker file'!$A$2:$A$406,_xlfn.UNICHAR(160)," ")),'worker file'!$D$2:$D$406,"Not found")</f>
        <v>CA</v>
      </c>
      <c r="D227" s="40" t="str">
        <f aca="false" t="array" ref="D227:D227">_xlfn.XLOOKUP($A227,TRIM(SUBSTITUTE('worker file'!$A$2:$A$406,_xlfn.UNICHAR(160)," ")),'worker file'!$Q$2:$Q$406,"Not found")</f>
        <v>Termination pending</v>
      </c>
      <c r="E227" s="39" t="s">
        <v>626</v>
      </c>
      <c r="F227" s="38" t="str">
        <f aca="false">_xlfn.XLOOKUP($E227,$A$5:$A$8,$B$5:$B$8,"")</f>
        <v>Medical (Health) – Employee</v>
      </c>
      <c r="G227" s="38" t="str">
        <f aca="false">_xlfn.XLOOKUP($E227,$A$5:$A$8,$D$5:$D$8,"")</f>
        <v>Pre-tax Section 125 (exempt from FIT/SIT/FICA)</v>
      </c>
      <c r="H227" s="38" t="str">
        <f aca="false">_xlfn.XLOOKUP($E227,$A$5:$A$8,$E$5:$E$8,"")</f>
        <v>Flat</v>
      </c>
      <c r="I227" s="44" t="str">
        <f aca="false">IF($H227="Percent",_xlfn.XLOOKUP($E227,$A$5:$A$8,$F$5:$F$8,""),"")</f>
        <v/>
      </c>
      <c r="J227" s="42" t="n">
        <f aca="false">IF($H227="Flat",_xlfn.XLOOKUP($E227,$A$5:$A$8,$F$5:$F$8,""),"")</f>
        <v>200</v>
      </c>
      <c r="K227" s="38" t="str">
        <f aca="false">_xlfn.XLOOKUP($E227,$A$5:$A$8,$G$5:$G$8,"")</f>
        <v>Per pay period</v>
      </c>
      <c r="L227" s="38" t="str">
        <f aca="false">_xlfn.XLOOKUP($E227,$A$5:$A$8,$H$5:$H$8,"")</f>
        <v>Every pay period (ongoing)</v>
      </c>
      <c r="M227" s="43" t="n">
        <f aca="false" t="array" ref="M227:M227">MAX(_xlfn.XLOOKUP($A227,TRIM(SUBSTITUTE('worker file'!$A$2:$A$406,_xlfn.UNICHAR(160)," ")),'worker file'!$M$2:$M$406,0),_xlfn.XLOOKUP($B227,TRIM('pay group &amp; schedule'!$A$2:$A$6),'pay group &amp; schedule'!$D$2:$D$6,0))</f>
        <v>46299</v>
      </c>
      <c r="N227" s="43" t="n">
        <f aca="false" t="array" ref="N227:N227">_xlfn.LET(_xlpm.t,_xlfn.XLOOKUP($A227,TRIM(SUBSTITUTE('worker file'!$A$2:$A$406,_xlfn.UNICHAR(160)," ")),'worker file'!$N$2:$N$406,""),IF(N(_xlpm.t)=0,"",_xlpm.t))</f>
        <v>46312</v>
      </c>
      <c r="O227" s="0" t="s">
        <v>644</v>
      </c>
    </row>
    <row r="228" customFormat="false" ht="15" hidden="false" customHeight="false" outlineLevel="0" collapsed="false">
      <c r="A228" s="39" t="s">
        <v>177</v>
      </c>
      <c r="B228" s="40" t="str">
        <f aca="false" t="array" ref="B228:B228">_xlfn.XLOOKUP($A228,TRIM(SUBSTITUTE('worker file'!$A$2:$A$406,_xlfn.UNICHAR(160)," ")),'worker file'!$L$2:$L$406,"Not found")</f>
        <v>US Biweekly</v>
      </c>
      <c r="C228" s="40" t="str">
        <f aca="false" t="array" ref="C228:C228">_xlfn.XLOOKUP($A228,TRIM(SUBSTITUTE('worker file'!$A$2:$A$406,_xlfn.UNICHAR(160)," ")),'worker file'!$D$2:$D$406,"Not found")</f>
        <v>CA</v>
      </c>
      <c r="D228" s="40" t="str">
        <f aca="false" t="array" ref="D228:D228">_xlfn.XLOOKUP($A228,TRIM(SUBSTITUTE('worker file'!$A$2:$A$406,_xlfn.UNICHAR(160)," ")),'worker file'!$Q$2:$Q$406,"Not found")</f>
        <v>Termination pending</v>
      </c>
      <c r="E228" s="39" t="s">
        <v>632</v>
      </c>
      <c r="F228" s="38" t="str">
        <f aca="false">_xlfn.XLOOKUP($E228,$A$5:$A$8,$B$5:$B$8,"")</f>
        <v>Dental – Employee</v>
      </c>
      <c r="G228" s="38" t="str">
        <f aca="false">_xlfn.XLOOKUP($E228,$A$5:$A$8,$D$5:$D$8,"")</f>
        <v>Pre-tax Section 125 (exempt from FIT/SIT/FICA)</v>
      </c>
      <c r="H228" s="38" t="str">
        <f aca="false">_xlfn.XLOOKUP($E228,$A$5:$A$8,$E$5:$E$8,"")</f>
        <v>Flat</v>
      </c>
      <c r="I228" s="44" t="str">
        <f aca="false">IF($H228="Percent",_xlfn.XLOOKUP($E228,$A$5:$A$8,$F$5:$F$8,""),"")</f>
        <v/>
      </c>
      <c r="J228" s="42" t="n">
        <f aca="false">IF($H228="Flat",_xlfn.XLOOKUP($E228,$A$5:$A$8,$F$5:$F$8,""),"")</f>
        <v>44</v>
      </c>
      <c r="K228" s="38" t="str">
        <f aca="false">_xlfn.XLOOKUP($E228,$A$5:$A$8,$G$5:$G$8,"")</f>
        <v>Per pay period</v>
      </c>
      <c r="L228" s="38" t="str">
        <f aca="false">_xlfn.XLOOKUP($E228,$A$5:$A$8,$H$5:$H$8,"")</f>
        <v>Every pay period (ongoing)</v>
      </c>
      <c r="M228" s="43" t="n">
        <f aca="false" t="array" ref="M228:M228">MAX(_xlfn.XLOOKUP($A228,TRIM(SUBSTITUTE('worker file'!$A$2:$A$406,_xlfn.UNICHAR(160)," ")),'worker file'!$M$2:$M$406,0),_xlfn.XLOOKUP($B228,TRIM('pay group &amp; schedule'!$A$2:$A$6),'pay group &amp; schedule'!$D$2:$D$6,0))</f>
        <v>46299</v>
      </c>
      <c r="N228" s="43" t="n">
        <f aca="false" t="array" ref="N228:N228">_xlfn.LET(_xlpm.t,_xlfn.XLOOKUP($A228,TRIM(SUBSTITUTE('worker file'!$A$2:$A$406,_xlfn.UNICHAR(160)," ")),'worker file'!$N$2:$N$406,""),IF(N(_xlpm.t)=0,"",_xlpm.t))</f>
        <v>46312</v>
      </c>
      <c r="O228" s="0" t="s">
        <v>644</v>
      </c>
    </row>
    <row r="229" customFormat="false" ht="15" hidden="false" customHeight="false" outlineLevel="0" collapsed="false">
      <c r="A229" s="39" t="s">
        <v>177</v>
      </c>
      <c r="B229" s="40" t="str">
        <f aca="false" t="array" ref="B229:B229">_xlfn.XLOOKUP($A229,TRIM(SUBSTITUTE('worker file'!$A$2:$A$406,_xlfn.UNICHAR(160)," ")),'worker file'!$L$2:$L$406,"Not found")</f>
        <v>US Biweekly</v>
      </c>
      <c r="C229" s="40" t="str">
        <f aca="false" t="array" ref="C229:C229">_xlfn.XLOOKUP($A229,TRIM(SUBSTITUTE('worker file'!$A$2:$A$406,_xlfn.UNICHAR(160)," ")),'worker file'!$D$2:$D$406,"Not found")</f>
        <v>CA</v>
      </c>
      <c r="D229" s="40" t="str">
        <f aca="false" t="array" ref="D229:D229">_xlfn.XLOOKUP($A229,TRIM(SUBSTITUTE('worker file'!$A$2:$A$406,_xlfn.UNICHAR(160)," ")),'worker file'!$Q$2:$Q$406,"Not found")</f>
        <v>Termination pending</v>
      </c>
      <c r="E229" s="39" t="s">
        <v>634</v>
      </c>
      <c r="F229" s="38" t="str">
        <f aca="false">_xlfn.XLOOKUP($E229,$A$5:$A$8,$B$5:$B$8,"")</f>
        <v>Vision – Employee</v>
      </c>
      <c r="G229" s="38" t="str">
        <f aca="false">_xlfn.XLOOKUP($E229,$A$5:$A$8,$D$5:$D$8,"")</f>
        <v>Pre-tax Section 125 (exempt from FIT/SIT/FICA)</v>
      </c>
      <c r="H229" s="38" t="str">
        <f aca="false">_xlfn.XLOOKUP($E229,$A$5:$A$8,$E$5:$E$8,"")</f>
        <v>Flat</v>
      </c>
      <c r="I229" s="44" t="str">
        <f aca="false">IF($H229="Percent",_xlfn.XLOOKUP($E229,$A$5:$A$8,$F$5:$F$8,""),"")</f>
        <v/>
      </c>
      <c r="J229" s="42" t="n">
        <f aca="false">IF($H229="Flat",_xlfn.XLOOKUP($E229,$A$5:$A$8,$F$5:$F$8,""),"")</f>
        <v>30</v>
      </c>
      <c r="K229" s="38" t="str">
        <f aca="false">_xlfn.XLOOKUP($E229,$A$5:$A$8,$G$5:$G$8,"")</f>
        <v>Per pay period</v>
      </c>
      <c r="L229" s="38" t="str">
        <f aca="false">_xlfn.XLOOKUP($E229,$A$5:$A$8,$H$5:$H$8,"")</f>
        <v>Every pay period (ongoing)</v>
      </c>
      <c r="M229" s="43" t="n">
        <f aca="false" t="array" ref="M229:M229">MAX(_xlfn.XLOOKUP($A229,TRIM(SUBSTITUTE('worker file'!$A$2:$A$406,_xlfn.UNICHAR(160)," ")),'worker file'!$M$2:$M$406,0),_xlfn.XLOOKUP($B229,TRIM('pay group &amp; schedule'!$A$2:$A$6),'pay group &amp; schedule'!$D$2:$D$6,0))</f>
        <v>46299</v>
      </c>
      <c r="N229" s="43" t="n">
        <f aca="false" t="array" ref="N229:N229">_xlfn.LET(_xlpm.t,_xlfn.XLOOKUP($A229,TRIM(SUBSTITUTE('worker file'!$A$2:$A$406,_xlfn.UNICHAR(160)," ")),'worker file'!$N$2:$N$406,""),IF(N(_xlpm.t)=0,"",_xlpm.t))</f>
        <v>46312</v>
      </c>
      <c r="O229" s="0" t="s">
        <v>644</v>
      </c>
    </row>
    <row r="230" customFormat="false" ht="15" hidden="false" customHeight="false" outlineLevel="0" collapsed="false">
      <c r="A230" s="39" t="s">
        <v>178</v>
      </c>
      <c r="B230" s="40" t="str">
        <f aca="false" t="array" ref="B230:B230">_xlfn.XLOOKUP($A230,TRIM(SUBSTITUTE('worker file'!$A$2:$A$406,_xlfn.UNICHAR(160)," ")),'worker file'!$L$2:$L$406,"Not found")</f>
        <v>US Semi-monthly</v>
      </c>
      <c r="C230" s="40" t="str">
        <f aca="false" t="array" ref="C230:C230">_xlfn.XLOOKUP($A230,TRIM(SUBSTITUTE('worker file'!$A$2:$A$406,_xlfn.UNICHAR(160)," ")),'worker file'!$D$2:$D$406,"Not found")</f>
        <v>TX</v>
      </c>
      <c r="D230" s="40" t="str">
        <f aca="false" t="array" ref="D230:D230">_xlfn.XLOOKUP($A230,TRIM(SUBSTITUTE('worker file'!$A$2:$A$406,_xlfn.UNICHAR(160)," ")),'worker file'!$Q$2:$Q$406,"Not found")</f>
        <v>Active</v>
      </c>
      <c r="E230" s="39" t="s">
        <v>618</v>
      </c>
      <c r="F230" s="38" t="str">
        <f aca="false">_xlfn.XLOOKUP($E230,$A$5:$A$8,$B$5:$B$8,"")</f>
        <v>401(k) Employee Deferral</v>
      </c>
      <c r="G230" s="38" t="str">
        <f aca="false">_xlfn.XLOOKUP($E230,$A$5:$A$8,$D$5:$D$8,"")</f>
        <v>Pre-tax (exempt from FIT/SIT; subject to FICA)</v>
      </c>
      <c r="H230" s="38" t="str">
        <f aca="false">_xlfn.XLOOKUP($E230,$A$5:$A$8,$E$5:$E$8,"")</f>
        <v>Percent</v>
      </c>
      <c r="I230" s="41" t="n">
        <v>0.03</v>
      </c>
      <c r="J230" s="42" t="str">
        <f aca="false">IF($H230="Flat",_xlfn.XLOOKUP($E230,$A$5:$A$8,$F$5:$F$8,""),"")</f>
        <v/>
      </c>
      <c r="K230" s="38" t="str">
        <f aca="false">_xlfn.XLOOKUP($E230,$A$5:$A$8,$G$5:$G$8,"")</f>
        <v>Gross pay</v>
      </c>
      <c r="L230" s="38" t="str">
        <f aca="false">_xlfn.XLOOKUP($E230,$A$5:$A$8,$H$5:$H$8,"")</f>
        <v>Every pay period (ongoing)</v>
      </c>
      <c r="M230" s="43" t="n">
        <f aca="false" t="array" ref="M230:M230">MAX(_xlfn.XLOOKUP($A230,TRIM(SUBSTITUTE('worker file'!$A$2:$A$406,_xlfn.UNICHAR(160)," ")),'worker file'!$M$2:$M$406,0),_xlfn.XLOOKUP($B230,TRIM('pay group &amp; schedule'!$A$2:$A$6),'pay group &amp; schedule'!$D$2:$D$6,0))</f>
        <v>46311</v>
      </c>
      <c r="N230" s="43" t="str">
        <f aca="false" t="array" ref="N230:N230">_xlfn.LET(_xlpm.t,_xlfn.XLOOKUP($A230,TRIM(SUBSTITUTE('worker file'!$A$2:$A$406,_xlfn.UNICHAR(160)," ")),'worker file'!$N$2:$N$406,""),IF(N(_xlpm.t)=0,"",_xlpm.t))</f>
        <v/>
      </c>
    </row>
    <row r="231" customFormat="false" ht="15" hidden="false" customHeight="false" outlineLevel="0" collapsed="false">
      <c r="A231" s="39" t="s">
        <v>178</v>
      </c>
      <c r="B231" s="40" t="str">
        <f aca="false" t="array" ref="B231:B231">_xlfn.XLOOKUP($A231,TRIM(SUBSTITUTE('worker file'!$A$2:$A$406,_xlfn.UNICHAR(160)," ")),'worker file'!$L$2:$L$406,"Not found")</f>
        <v>US Semi-monthly</v>
      </c>
      <c r="C231" s="40" t="str">
        <f aca="false" t="array" ref="C231:C231">_xlfn.XLOOKUP($A231,TRIM(SUBSTITUTE('worker file'!$A$2:$A$406,_xlfn.UNICHAR(160)," ")),'worker file'!$D$2:$D$406,"Not found")</f>
        <v>TX</v>
      </c>
      <c r="D231" s="40" t="str">
        <f aca="false" t="array" ref="D231:D231">_xlfn.XLOOKUP($A231,TRIM(SUBSTITUTE('worker file'!$A$2:$A$406,_xlfn.UNICHAR(160)," ")),'worker file'!$Q$2:$Q$406,"Not found")</f>
        <v>Active</v>
      </c>
      <c r="E231" s="39" t="s">
        <v>626</v>
      </c>
      <c r="F231" s="38" t="str">
        <f aca="false">_xlfn.XLOOKUP($E231,$A$5:$A$8,$B$5:$B$8,"")</f>
        <v>Medical (Health) – Employee</v>
      </c>
      <c r="G231" s="38" t="str">
        <f aca="false">_xlfn.XLOOKUP($E231,$A$5:$A$8,$D$5:$D$8,"")</f>
        <v>Pre-tax Section 125 (exempt from FIT/SIT/FICA)</v>
      </c>
      <c r="H231" s="38" t="str">
        <f aca="false">_xlfn.XLOOKUP($E231,$A$5:$A$8,$E$5:$E$8,"")</f>
        <v>Flat</v>
      </c>
      <c r="I231" s="44" t="str">
        <f aca="false">IF($H231="Percent",_xlfn.XLOOKUP($E231,$A$5:$A$8,$F$5:$F$8,""),"")</f>
        <v/>
      </c>
      <c r="J231" s="42" t="n">
        <f aca="false">IF($H231="Flat",_xlfn.XLOOKUP($E231,$A$5:$A$8,$F$5:$F$8,""),"")</f>
        <v>200</v>
      </c>
      <c r="K231" s="38" t="str">
        <f aca="false">_xlfn.XLOOKUP($E231,$A$5:$A$8,$G$5:$G$8,"")</f>
        <v>Per pay period</v>
      </c>
      <c r="L231" s="38" t="str">
        <f aca="false">_xlfn.XLOOKUP($E231,$A$5:$A$8,$H$5:$H$8,"")</f>
        <v>Every pay period (ongoing)</v>
      </c>
      <c r="M231" s="43" t="n">
        <f aca="false" t="array" ref="M231:M231">MAX(_xlfn.XLOOKUP($A231,TRIM(SUBSTITUTE('worker file'!$A$2:$A$406,_xlfn.UNICHAR(160)," ")),'worker file'!$M$2:$M$406,0),_xlfn.XLOOKUP($B231,TRIM('pay group &amp; schedule'!$A$2:$A$6),'pay group &amp; schedule'!$D$2:$D$6,0))</f>
        <v>46311</v>
      </c>
      <c r="N231" s="43" t="str">
        <f aca="false" t="array" ref="N231:N231">_xlfn.LET(_xlpm.t,_xlfn.XLOOKUP($A231,TRIM(SUBSTITUTE('worker file'!$A$2:$A$406,_xlfn.UNICHAR(160)," ")),'worker file'!$N$2:$N$406,""),IF(N(_xlpm.t)=0,"",_xlpm.t))</f>
        <v/>
      </c>
    </row>
    <row r="232" customFormat="false" ht="15" hidden="false" customHeight="false" outlineLevel="0" collapsed="false">
      <c r="A232" s="39" t="s">
        <v>178</v>
      </c>
      <c r="B232" s="40" t="str">
        <f aca="false" t="array" ref="B232:B232">_xlfn.XLOOKUP($A232,TRIM(SUBSTITUTE('worker file'!$A$2:$A$406,_xlfn.UNICHAR(160)," ")),'worker file'!$L$2:$L$406,"Not found")</f>
        <v>US Semi-monthly</v>
      </c>
      <c r="C232" s="40" t="str">
        <f aca="false" t="array" ref="C232:C232">_xlfn.XLOOKUP($A232,TRIM(SUBSTITUTE('worker file'!$A$2:$A$406,_xlfn.UNICHAR(160)," ")),'worker file'!$D$2:$D$406,"Not found")</f>
        <v>TX</v>
      </c>
      <c r="D232" s="40" t="str">
        <f aca="false" t="array" ref="D232:D232">_xlfn.XLOOKUP($A232,TRIM(SUBSTITUTE('worker file'!$A$2:$A$406,_xlfn.UNICHAR(160)," ")),'worker file'!$Q$2:$Q$406,"Not found")</f>
        <v>Active</v>
      </c>
      <c r="E232" s="39" t="s">
        <v>632</v>
      </c>
      <c r="F232" s="38" t="str">
        <f aca="false">_xlfn.XLOOKUP($E232,$A$5:$A$8,$B$5:$B$8,"")</f>
        <v>Dental – Employee</v>
      </c>
      <c r="G232" s="38" t="str">
        <f aca="false">_xlfn.XLOOKUP($E232,$A$5:$A$8,$D$5:$D$8,"")</f>
        <v>Pre-tax Section 125 (exempt from FIT/SIT/FICA)</v>
      </c>
      <c r="H232" s="38" t="str">
        <f aca="false">_xlfn.XLOOKUP($E232,$A$5:$A$8,$E$5:$E$8,"")</f>
        <v>Flat</v>
      </c>
      <c r="I232" s="44" t="str">
        <f aca="false">IF($H232="Percent",_xlfn.XLOOKUP($E232,$A$5:$A$8,$F$5:$F$8,""),"")</f>
        <v/>
      </c>
      <c r="J232" s="42" t="n">
        <f aca="false">IF($H232="Flat",_xlfn.XLOOKUP($E232,$A$5:$A$8,$F$5:$F$8,""),"")</f>
        <v>44</v>
      </c>
      <c r="K232" s="38" t="str">
        <f aca="false">_xlfn.XLOOKUP($E232,$A$5:$A$8,$G$5:$G$8,"")</f>
        <v>Per pay period</v>
      </c>
      <c r="L232" s="38" t="str">
        <f aca="false">_xlfn.XLOOKUP($E232,$A$5:$A$8,$H$5:$H$8,"")</f>
        <v>Every pay period (ongoing)</v>
      </c>
      <c r="M232" s="43" t="n">
        <f aca="false" t="array" ref="M232:M232">MAX(_xlfn.XLOOKUP($A232,TRIM(SUBSTITUTE('worker file'!$A$2:$A$406,_xlfn.UNICHAR(160)," ")),'worker file'!$M$2:$M$406,0),_xlfn.XLOOKUP($B232,TRIM('pay group &amp; schedule'!$A$2:$A$6),'pay group &amp; schedule'!$D$2:$D$6,0))</f>
        <v>46311</v>
      </c>
      <c r="N232" s="43" t="str">
        <f aca="false" t="array" ref="N232:N232">_xlfn.LET(_xlpm.t,_xlfn.XLOOKUP($A232,TRIM(SUBSTITUTE('worker file'!$A$2:$A$406,_xlfn.UNICHAR(160)," ")),'worker file'!$N$2:$N$406,""),IF(N(_xlpm.t)=0,"",_xlpm.t))</f>
        <v/>
      </c>
    </row>
    <row r="233" customFormat="false" ht="15" hidden="false" customHeight="false" outlineLevel="0" collapsed="false">
      <c r="A233" s="39" t="s">
        <v>178</v>
      </c>
      <c r="B233" s="40" t="str">
        <f aca="false" t="array" ref="B233:B233">_xlfn.XLOOKUP($A233,TRIM(SUBSTITUTE('worker file'!$A$2:$A$406,_xlfn.UNICHAR(160)," ")),'worker file'!$L$2:$L$406,"Not found")</f>
        <v>US Semi-monthly</v>
      </c>
      <c r="C233" s="40" t="str">
        <f aca="false" t="array" ref="C233:C233">_xlfn.XLOOKUP($A233,TRIM(SUBSTITUTE('worker file'!$A$2:$A$406,_xlfn.UNICHAR(160)," ")),'worker file'!$D$2:$D$406,"Not found")</f>
        <v>TX</v>
      </c>
      <c r="D233" s="40" t="str">
        <f aca="false" t="array" ref="D233:D233">_xlfn.XLOOKUP($A233,TRIM(SUBSTITUTE('worker file'!$A$2:$A$406,_xlfn.UNICHAR(160)," ")),'worker file'!$Q$2:$Q$406,"Not found")</f>
        <v>Active</v>
      </c>
      <c r="E233" s="39" t="s">
        <v>634</v>
      </c>
      <c r="F233" s="38" t="str">
        <f aca="false">_xlfn.XLOOKUP($E233,$A$5:$A$8,$B$5:$B$8,"")</f>
        <v>Vision – Employee</v>
      </c>
      <c r="G233" s="38" t="str">
        <f aca="false">_xlfn.XLOOKUP($E233,$A$5:$A$8,$D$5:$D$8,"")</f>
        <v>Pre-tax Section 125 (exempt from FIT/SIT/FICA)</v>
      </c>
      <c r="H233" s="38" t="str">
        <f aca="false">_xlfn.XLOOKUP($E233,$A$5:$A$8,$E$5:$E$8,"")</f>
        <v>Flat</v>
      </c>
      <c r="I233" s="44" t="str">
        <f aca="false">IF($H233="Percent",_xlfn.XLOOKUP($E233,$A$5:$A$8,$F$5:$F$8,""),"")</f>
        <v/>
      </c>
      <c r="J233" s="42" t="n">
        <f aca="false">IF($H233="Flat",_xlfn.XLOOKUP($E233,$A$5:$A$8,$F$5:$F$8,""),"")</f>
        <v>30</v>
      </c>
      <c r="K233" s="38" t="str">
        <f aca="false">_xlfn.XLOOKUP($E233,$A$5:$A$8,$G$5:$G$8,"")</f>
        <v>Per pay period</v>
      </c>
      <c r="L233" s="38" t="str">
        <f aca="false">_xlfn.XLOOKUP($E233,$A$5:$A$8,$H$5:$H$8,"")</f>
        <v>Every pay period (ongoing)</v>
      </c>
      <c r="M233" s="43" t="n">
        <f aca="false" t="array" ref="M233:M233">MAX(_xlfn.XLOOKUP($A233,TRIM(SUBSTITUTE('worker file'!$A$2:$A$406,_xlfn.UNICHAR(160)," ")),'worker file'!$M$2:$M$406,0),_xlfn.XLOOKUP($B233,TRIM('pay group &amp; schedule'!$A$2:$A$6),'pay group &amp; schedule'!$D$2:$D$6,0))</f>
        <v>46311</v>
      </c>
      <c r="N233" s="43" t="str">
        <f aca="false" t="array" ref="N233:N233">_xlfn.LET(_xlpm.t,_xlfn.XLOOKUP($A233,TRIM(SUBSTITUTE('worker file'!$A$2:$A$406,_xlfn.UNICHAR(160)," ")),'worker file'!$N$2:$N$406,""),IF(N(_xlpm.t)=0,"",_xlpm.t))</f>
        <v/>
      </c>
    </row>
    <row r="234" customFormat="false" ht="15" hidden="false" customHeight="false" outlineLevel="0" collapsed="false">
      <c r="A234" s="39" t="s">
        <v>181</v>
      </c>
      <c r="B234" s="40" t="str">
        <f aca="false" t="array" ref="B234:B234">_xlfn.XLOOKUP($A234,TRIM(SUBSTITUTE('worker file'!$A$2:$A$406,_xlfn.UNICHAR(160)," ")),'worker file'!$L$2:$L$406,"Not found")</f>
        <v>US Semi-monthly</v>
      </c>
      <c r="C234" s="40" t="str">
        <f aca="false" t="array" ref="C234:C234">_xlfn.XLOOKUP($A234,TRIM(SUBSTITUTE('worker file'!$A$2:$A$406,_xlfn.UNICHAR(160)," ")),'worker file'!$D$2:$D$406,"Not found")</f>
        <v>NY</v>
      </c>
      <c r="D234" s="40" t="str">
        <f aca="false" t="array" ref="D234:D234">_xlfn.XLOOKUP($A234,TRIM(SUBSTITUTE('worker file'!$A$2:$A$406,_xlfn.UNICHAR(160)," ")),'worker file'!$Q$2:$Q$406,"Not found")</f>
        <v>Active</v>
      </c>
      <c r="E234" s="39" t="s">
        <v>618</v>
      </c>
      <c r="F234" s="38" t="str">
        <f aca="false">_xlfn.XLOOKUP($E234,$A$5:$A$8,$B$5:$B$8,"")</f>
        <v>401(k) Employee Deferral</v>
      </c>
      <c r="G234" s="38" t="str">
        <f aca="false">_xlfn.XLOOKUP($E234,$A$5:$A$8,$D$5:$D$8,"")</f>
        <v>Pre-tax (exempt from FIT/SIT; subject to FICA)</v>
      </c>
      <c r="H234" s="38" t="str">
        <f aca="false">_xlfn.XLOOKUP($E234,$A$5:$A$8,$E$5:$E$8,"")</f>
        <v>Percent</v>
      </c>
      <c r="I234" s="41" t="n">
        <v>0</v>
      </c>
      <c r="J234" s="42" t="str">
        <f aca="false">IF($H234="Flat",_xlfn.XLOOKUP($E234,$A$5:$A$8,$F$5:$F$8,""),"")</f>
        <v/>
      </c>
      <c r="K234" s="38" t="str">
        <f aca="false">_xlfn.XLOOKUP($E234,$A$5:$A$8,$G$5:$G$8,"")</f>
        <v>Gross pay</v>
      </c>
      <c r="L234" s="38" t="str">
        <f aca="false">_xlfn.XLOOKUP($E234,$A$5:$A$8,$H$5:$H$8,"")</f>
        <v>Every pay period (ongoing)</v>
      </c>
      <c r="M234" s="43" t="n">
        <f aca="false" t="array" ref="M234:M234">MAX(_xlfn.XLOOKUP($A234,TRIM(SUBSTITUTE('worker file'!$A$2:$A$406,_xlfn.UNICHAR(160)," ")),'worker file'!$M$2:$M$406,0),_xlfn.XLOOKUP($B234,TRIM('pay group &amp; schedule'!$A$2:$A$6),'pay group &amp; schedule'!$D$2:$D$6,0))</f>
        <v>46311</v>
      </c>
      <c r="N234" s="43" t="str">
        <f aca="false" t="array" ref="N234:N234">_xlfn.LET(_xlpm.t,_xlfn.XLOOKUP($A234,TRIM(SUBSTITUTE('worker file'!$A$2:$A$406,_xlfn.UNICHAR(160)," ")),'worker file'!$N$2:$N$406,""),IF(N(_xlpm.t)=0,"",_xlpm.t))</f>
        <v/>
      </c>
    </row>
    <row r="235" customFormat="false" ht="15" hidden="false" customHeight="false" outlineLevel="0" collapsed="false">
      <c r="A235" s="39" t="s">
        <v>181</v>
      </c>
      <c r="B235" s="40" t="str">
        <f aca="false" t="array" ref="B235:B235">_xlfn.XLOOKUP($A235,TRIM(SUBSTITUTE('worker file'!$A$2:$A$406,_xlfn.UNICHAR(160)," ")),'worker file'!$L$2:$L$406,"Not found")</f>
        <v>US Semi-monthly</v>
      </c>
      <c r="C235" s="40" t="str">
        <f aca="false" t="array" ref="C235:C235">_xlfn.XLOOKUP($A235,TRIM(SUBSTITUTE('worker file'!$A$2:$A$406,_xlfn.UNICHAR(160)," ")),'worker file'!$D$2:$D$406,"Not found")</f>
        <v>NY</v>
      </c>
      <c r="D235" s="40" t="str">
        <f aca="false" t="array" ref="D235:D235">_xlfn.XLOOKUP($A235,TRIM(SUBSTITUTE('worker file'!$A$2:$A$406,_xlfn.UNICHAR(160)," ")),'worker file'!$Q$2:$Q$406,"Not found")</f>
        <v>Active</v>
      </c>
      <c r="E235" s="39" t="s">
        <v>626</v>
      </c>
      <c r="F235" s="38" t="str">
        <f aca="false">_xlfn.XLOOKUP($E235,$A$5:$A$8,$B$5:$B$8,"")</f>
        <v>Medical (Health) – Employee</v>
      </c>
      <c r="G235" s="38" t="str">
        <f aca="false">_xlfn.XLOOKUP($E235,$A$5:$A$8,$D$5:$D$8,"")</f>
        <v>Pre-tax Section 125 (exempt from FIT/SIT/FICA)</v>
      </c>
      <c r="H235" s="38" t="str">
        <f aca="false">_xlfn.XLOOKUP($E235,$A$5:$A$8,$E$5:$E$8,"")</f>
        <v>Flat</v>
      </c>
      <c r="I235" s="44" t="str">
        <f aca="false">IF($H235="Percent",_xlfn.XLOOKUP($E235,$A$5:$A$8,$F$5:$F$8,""),"")</f>
        <v/>
      </c>
      <c r="J235" s="42" t="n">
        <f aca="false">IF($H235="Flat",_xlfn.XLOOKUP($E235,$A$5:$A$8,$F$5:$F$8,""),"")</f>
        <v>200</v>
      </c>
      <c r="K235" s="38" t="str">
        <f aca="false">_xlfn.XLOOKUP($E235,$A$5:$A$8,$G$5:$G$8,"")</f>
        <v>Per pay period</v>
      </c>
      <c r="L235" s="38" t="str">
        <f aca="false">_xlfn.XLOOKUP($E235,$A$5:$A$8,$H$5:$H$8,"")</f>
        <v>Every pay period (ongoing)</v>
      </c>
      <c r="M235" s="43" t="n">
        <f aca="false" t="array" ref="M235:M235">MAX(_xlfn.XLOOKUP($A235,TRIM(SUBSTITUTE('worker file'!$A$2:$A$406,_xlfn.UNICHAR(160)," ")),'worker file'!$M$2:$M$406,0),_xlfn.XLOOKUP($B235,TRIM('pay group &amp; schedule'!$A$2:$A$6),'pay group &amp; schedule'!$D$2:$D$6,0))</f>
        <v>46311</v>
      </c>
      <c r="N235" s="43" t="str">
        <f aca="false" t="array" ref="N235:N235">_xlfn.LET(_xlpm.t,_xlfn.XLOOKUP($A235,TRIM(SUBSTITUTE('worker file'!$A$2:$A$406,_xlfn.UNICHAR(160)," ")),'worker file'!$N$2:$N$406,""),IF(N(_xlpm.t)=0,"",_xlpm.t))</f>
        <v/>
      </c>
    </row>
    <row r="236" customFormat="false" ht="15" hidden="false" customHeight="false" outlineLevel="0" collapsed="false">
      <c r="A236" s="39" t="s">
        <v>181</v>
      </c>
      <c r="B236" s="40" t="str">
        <f aca="false" t="array" ref="B236:B236">_xlfn.XLOOKUP($A236,TRIM(SUBSTITUTE('worker file'!$A$2:$A$406,_xlfn.UNICHAR(160)," ")),'worker file'!$L$2:$L$406,"Not found")</f>
        <v>US Semi-monthly</v>
      </c>
      <c r="C236" s="40" t="str">
        <f aca="false" t="array" ref="C236:C236">_xlfn.XLOOKUP($A236,TRIM(SUBSTITUTE('worker file'!$A$2:$A$406,_xlfn.UNICHAR(160)," ")),'worker file'!$D$2:$D$406,"Not found")</f>
        <v>NY</v>
      </c>
      <c r="D236" s="40" t="str">
        <f aca="false" t="array" ref="D236:D236">_xlfn.XLOOKUP($A236,TRIM(SUBSTITUTE('worker file'!$A$2:$A$406,_xlfn.UNICHAR(160)," ")),'worker file'!$Q$2:$Q$406,"Not found")</f>
        <v>Active</v>
      </c>
      <c r="E236" s="39" t="s">
        <v>632</v>
      </c>
      <c r="F236" s="38" t="str">
        <f aca="false">_xlfn.XLOOKUP($E236,$A$5:$A$8,$B$5:$B$8,"")</f>
        <v>Dental – Employee</v>
      </c>
      <c r="G236" s="38" t="str">
        <f aca="false">_xlfn.XLOOKUP($E236,$A$5:$A$8,$D$5:$D$8,"")</f>
        <v>Pre-tax Section 125 (exempt from FIT/SIT/FICA)</v>
      </c>
      <c r="H236" s="38" t="str">
        <f aca="false">_xlfn.XLOOKUP($E236,$A$5:$A$8,$E$5:$E$8,"")</f>
        <v>Flat</v>
      </c>
      <c r="I236" s="44" t="str">
        <f aca="false">IF($H236="Percent",_xlfn.XLOOKUP($E236,$A$5:$A$8,$F$5:$F$8,""),"")</f>
        <v/>
      </c>
      <c r="J236" s="42" t="n">
        <f aca="false">IF($H236="Flat",_xlfn.XLOOKUP($E236,$A$5:$A$8,$F$5:$F$8,""),"")</f>
        <v>44</v>
      </c>
      <c r="K236" s="38" t="str">
        <f aca="false">_xlfn.XLOOKUP($E236,$A$5:$A$8,$G$5:$G$8,"")</f>
        <v>Per pay period</v>
      </c>
      <c r="L236" s="38" t="str">
        <f aca="false">_xlfn.XLOOKUP($E236,$A$5:$A$8,$H$5:$H$8,"")</f>
        <v>Every pay period (ongoing)</v>
      </c>
      <c r="M236" s="43" t="n">
        <f aca="false" t="array" ref="M236:M236">MAX(_xlfn.XLOOKUP($A236,TRIM(SUBSTITUTE('worker file'!$A$2:$A$406,_xlfn.UNICHAR(160)," ")),'worker file'!$M$2:$M$406,0),_xlfn.XLOOKUP($B236,TRIM('pay group &amp; schedule'!$A$2:$A$6),'pay group &amp; schedule'!$D$2:$D$6,0))</f>
        <v>46311</v>
      </c>
      <c r="N236" s="43" t="str">
        <f aca="false" t="array" ref="N236:N236">_xlfn.LET(_xlpm.t,_xlfn.XLOOKUP($A236,TRIM(SUBSTITUTE('worker file'!$A$2:$A$406,_xlfn.UNICHAR(160)," ")),'worker file'!$N$2:$N$406,""),IF(N(_xlpm.t)=0,"",_xlpm.t))</f>
        <v/>
      </c>
    </row>
    <row r="237" customFormat="false" ht="15" hidden="false" customHeight="false" outlineLevel="0" collapsed="false">
      <c r="A237" s="39" t="s">
        <v>181</v>
      </c>
      <c r="B237" s="40" t="str">
        <f aca="false" t="array" ref="B237:B237">_xlfn.XLOOKUP($A237,TRIM(SUBSTITUTE('worker file'!$A$2:$A$406,_xlfn.UNICHAR(160)," ")),'worker file'!$L$2:$L$406,"Not found")</f>
        <v>US Semi-monthly</v>
      </c>
      <c r="C237" s="40" t="str">
        <f aca="false" t="array" ref="C237:C237">_xlfn.XLOOKUP($A237,TRIM(SUBSTITUTE('worker file'!$A$2:$A$406,_xlfn.UNICHAR(160)," ")),'worker file'!$D$2:$D$406,"Not found")</f>
        <v>NY</v>
      </c>
      <c r="D237" s="40" t="str">
        <f aca="false" t="array" ref="D237:D237">_xlfn.XLOOKUP($A237,TRIM(SUBSTITUTE('worker file'!$A$2:$A$406,_xlfn.UNICHAR(160)," ")),'worker file'!$Q$2:$Q$406,"Not found")</f>
        <v>Active</v>
      </c>
      <c r="E237" s="39" t="s">
        <v>634</v>
      </c>
      <c r="F237" s="38" t="str">
        <f aca="false">_xlfn.XLOOKUP($E237,$A$5:$A$8,$B$5:$B$8,"")</f>
        <v>Vision – Employee</v>
      </c>
      <c r="G237" s="38" t="str">
        <f aca="false">_xlfn.XLOOKUP($E237,$A$5:$A$8,$D$5:$D$8,"")</f>
        <v>Pre-tax Section 125 (exempt from FIT/SIT/FICA)</v>
      </c>
      <c r="H237" s="38" t="str">
        <f aca="false">_xlfn.XLOOKUP($E237,$A$5:$A$8,$E$5:$E$8,"")</f>
        <v>Flat</v>
      </c>
      <c r="I237" s="44" t="str">
        <f aca="false">IF($H237="Percent",_xlfn.XLOOKUP($E237,$A$5:$A$8,$F$5:$F$8,""),"")</f>
        <v/>
      </c>
      <c r="J237" s="42" t="n">
        <f aca="false">IF($H237="Flat",_xlfn.XLOOKUP($E237,$A$5:$A$8,$F$5:$F$8,""),"")</f>
        <v>30</v>
      </c>
      <c r="K237" s="38" t="str">
        <f aca="false">_xlfn.XLOOKUP($E237,$A$5:$A$8,$G$5:$G$8,"")</f>
        <v>Per pay period</v>
      </c>
      <c r="L237" s="38" t="str">
        <f aca="false">_xlfn.XLOOKUP($E237,$A$5:$A$8,$H$5:$H$8,"")</f>
        <v>Every pay period (ongoing)</v>
      </c>
      <c r="M237" s="43" t="n">
        <f aca="false" t="array" ref="M237:M237">MAX(_xlfn.XLOOKUP($A237,TRIM(SUBSTITUTE('worker file'!$A$2:$A$406,_xlfn.UNICHAR(160)," ")),'worker file'!$M$2:$M$406,0),_xlfn.XLOOKUP($B237,TRIM('pay group &amp; schedule'!$A$2:$A$6),'pay group &amp; schedule'!$D$2:$D$6,0))</f>
        <v>46311</v>
      </c>
      <c r="N237" s="43" t="str">
        <f aca="false" t="array" ref="N237:N237">_xlfn.LET(_xlpm.t,_xlfn.XLOOKUP($A237,TRIM(SUBSTITUTE('worker file'!$A$2:$A$406,_xlfn.UNICHAR(160)," ")),'worker file'!$N$2:$N$406,""),IF(N(_xlpm.t)=0,"",_xlpm.t))</f>
        <v/>
      </c>
    </row>
    <row r="238" customFormat="false" ht="15" hidden="false" customHeight="false" outlineLevel="0" collapsed="false">
      <c r="A238" s="39" t="s">
        <v>182</v>
      </c>
      <c r="B238" s="40" t="str">
        <f aca="false" t="array" ref="B238:B238">_xlfn.XLOOKUP($A238,TRIM(SUBSTITUTE('worker file'!$A$2:$A$406,_xlfn.UNICHAR(160)," ")),'worker file'!$L$2:$L$406,"Not found")</f>
        <v>US Semi-monthly</v>
      </c>
      <c r="C238" s="40" t="str">
        <f aca="false" t="array" ref="C238:C238">_xlfn.XLOOKUP($A238,TRIM(SUBSTITUTE('worker file'!$A$2:$A$406,_xlfn.UNICHAR(160)," ")),'worker file'!$D$2:$D$406,"Not found")</f>
        <v>WA</v>
      </c>
      <c r="D238" s="40" t="str">
        <f aca="false" t="array" ref="D238:D238">_xlfn.XLOOKUP($A238,TRIM(SUBSTITUTE('worker file'!$A$2:$A$406,_xlfn.UNICHAR(160)," ")),'worker file'!$Q$2:$Q$406,"Not found")</f>
        <v>Active</v>
      </c>
      <c r="E238" s="39" t="s">
        <v>618</v>
      </c>
      <c r="F238" s="38" t="str">
        <f aca="false">_xlfn.XLOOKUP($E238,$A$5:$A$8,$B$5:$B$8,"")</f>
        <v>401(k) Employee Deferral</v>
      </c>
      <c r="G238" s="38" t="str">
        <f aca="false">_xlfn.XLOOKUP($E238,$A$5:$A$8,$D$5:$D$8,"")</f>
        <v>Pre-tax (exempt from FIT/SIT; subject to FICA)</v>
      </c>
      <c r="H238" s="38" t="str">
        <f aca="false">_xlfn.XLOOKUP($E238,$A$5:$A$8,$E$5:$E$8,"")</f>
        <v>Percent</v>
      </c>
      <c r="I238" s="41" t="n">
        <v>0.05</v>
      </c>
      <c r="J238" s="42" t="str">
        <f aca="false">IF($H238="Flat",_xlfn.XLOOKUP($E238,$A$5:$A$8,$F$5:$F$8,""),"")</f>
        <v/>
      </c>
      <c r="K238" s="38" t="str">
        <f aca="false">_xlfn.XLOOKUP($E238,$A$5:$A$8,$G$5:$G$8,"")</f>
        <v>Gross pay</v>
      </c>
      <c r="L238" s="38" t="str">
        <f aca="false">_xlfn.XLOOKUP($E238,$A$5:$A$8,$H$5:$H$8,"")</f>
        <v>Every pay period (ongoing)</v>
      </c>
      <c r="M238" s="43" t="n">
        <f aca="false" t="array" ref="M238:M238">MAX(_xlfn.XLOOKUP($A238,TRIM(SUBSTITUTE('worker file'!$A$2:$A$406,_xlfn.UNICHAR(160)," ")),'worker file'!$M$2:$M$406,0),_xlfn.XLOOKUP($B238,TRIM('pay group &amp; schedule'!$A$2:$A$6),'pay group &amp; schedule'!$D$2:$D$6,0))</f>
        <v>46311</v>
      </c>
      <c r="N238" s="43" t="str">
        <f aca="false" t="array" ref="N238:N238">_xlfn.LET(_xlpm.t,_xlfn.XLOOKUP($A238,TRIM(SUBSTITUTE('worker file'!$A$2:$A$406,_xlfn.UNICHAR(160)," ")),'worker file'!$N$2:$N$406,""),IF(N(_xlpm.t)=0,"",_xlpm.t))</f>
        <v/>
      </c>
    </row>
    <row r="239" customFormat="false" ht="15" hidden="false" customHeight="false" outlineLevel="0" collapsed="false">
      <c r="A239" s="39" t="s">
        <v>182</v>
      </c>
      <c r="B239" s="40" t="str">
        <f aca="false" t="array" ref="B239:B239">_xlfn.XLOOKUP($A239,TRIM(SUBSTITUTE('worker file'!$A$2:$A$406,_xlfn.UNICHAR(160)," ")),'worker file'!$L$2:$L$406,"Not found")</f>
        <v>US Semi-monthly</v>
      </c>
      <c r="C239" s="40" t="str">
        <f aca="false" t="array" ref="C239:C239">_xlfn.XLOOKUP($A239,TRIM(SUBSTITUTE('worker file'!$A$2:$A$406,_xlfn.UNICHAR(160)," ")),'worker file'!$D$2:$D$406,"Not found")</f>
        <v>WA</v>
      </c>
      <c r="D239" s="40" t="str">
        <f aca="false" t="array" ref="D239:D239">_xlfn.XLOOKUP($A239,TRIM(SUBSTITUTE('worker file'!$A$2:$A$406,_xlfn.UNICHAR(160)," ")),'worker file'!$Q$2:$Q$406,"Not found")</f>
        <v>Active</v>
      </c>
      <c r="E239" s="39" t="s">
        <v>626</v>
      </c>
      <c r="F239" s="38" t="str">
        <f aca="false">_xlfn.XLOOKUP($E239,$A$5:$A$8,$B$5:$B$8,"")</f>
        <v>Medical (Health) – Employee</v>
      </c>
      <c r="G239" s="38" t="str">
        <f aca="false">_xlfn.XLOOKUP($E239,$A$5:$A$8,$D$5:$D$8,"")</f>
        <v>Pre-tax Section 125 (exempt from FIT/SIT/FICA)</v>
      </c>
      <c r="H239" s="38" t="str">
        <f aca="false">_xlfn.XLOOKUP($E239,$A$5:$A$8,$E$5:$E$8,"")</f>
        <v>Flat</v>
      </c>
      <c r="I239" s="44" t="str">
        <f aca="false">IF($H239="Percent",_xlfn.XLOOKUP($E239,$A$5:$A$8,$F$5:$F$8,""),"")</f>
        <v/>
      </c>
      <c r="J239" s="42" t="n">
        <f aca="false">IF($H239="Flat",_xlfn.XLOOKUP($E239,$A$5:$A$8,$F$5:$F$8,""),"")</f>
        <v>200</v>
      </c>
      <c r="K239" s="38" t="str">
        <f aca="false">_xlfn.XLOOKUP($E239,$A$5:$A$8,$G$5:$G$8,"")</f>
        <v>Per pay period</v>
      </c>
      <c r="L239" s="38" t="str">
        <f aca="false">_xlfn.XLOOKUP($E239,$A$5:$A$8,$H$5:$H$8,"")</f>
        <v>Every pay period (ongoing)</v>
      </c>
      <c r="M239" s="43" t="n">
        <f aca="false" t="array" ref="M239:M239">MAX(_xlfn.XLOOKUP($A239,TRIM(SUBSTITUTE('worker file'!$A$2:$A$406,_xlfn.UNICHAR(160)," ")),'worker file'!$M$2:$M$406,0),_xlfn.XLOOKUP($B239,TRIM('pay group &amp; schedule'!$A$2:$A$6),'pay group &amp; schedule'!$D$2:$D$6,0))</f>
        <v>46311</v>
      </c>
      <c r="N239" s="43" t="str">
        <f aca="false" t="array" ref="N239:N239">_xlfn.LET(_xlpm.t,_xlfn.XLOOKUP($A239,TRIM(SUBSTITUTE('worker file'!$A$2:$A$406,_xlfn.UNICHAR(160)," ")),'worker file'!$N$2:$N$406,""),IF(N(_xlpm.t)=0,"",_xlpm.t))</f>
        <v/>
      </c>
    </row>
    <row r="240" customFormat="false" ht="15" hidden="false" customHeight="false" outlineLevel="0" collapsed="false">
      <c r="A240" s="39" t="s">
        <v>182</v>
      </c>
      <c r="B240" s="40" t="str">
        <f aca="false" t="array" ref="B240:B240">_xlfn.XLOOKUP($A240,TRIM(SUBSTITUTE('worker file'!$A$2:$A$406,_xlfn.UNICHAR(160)," ")),'worker file'!$L$2:$L$406,"Not found")</f>
        <v>US Semi-monthly</v>
      </c>
      <c r="C240" s="40" t="str">
        <f aca="false" t="array" ref="C240:C240">_xlfn.XLOOKUP($A240,TRIM(SUBSTITUTE('worker file'!$A$2:$A$406,_xlfn.UNICHAR(160)," ")),'worker file'!$D$2:$D$406,"Not found")</f>
        <v>WA</v>
      </c>
      <c r="D240" s="40" t="str">
        <f aca="false" t="array" ref="D240:D240">_xlfn.XLOOKUP($A240,TRIM(SUBSTITUTE('worker file'!$A$2:$A$406,_xlfn.UNICHAR(160)," ")),'worker file'!$Q$2:$Q$406,"Not found")</f>
        <v>Active</v>
      </c>
      <c r="E240" s="39" t="s">
        <v>632</v>
      </c>
      <c r="F240" s="38" t="str">
        <f aca="false">_xlfn.XLOOKUP($E240,$A$5:$A$8,$B$5:$B$8,"")</f>
        <v>Dental – Employee</v>
      </c>
      <c r="G240" s="38" t="str">
        <f aca="false">_xlfn.XLOOKUP($E240,$A$5:$A$8,$D$5:$D$8,"")</f>
        <v>Pre-tax Section 125 (exempt from FIT/SIT/FICA)</v>
      </c>
      <c r="H240" s="38" t="str">
        <f aca="false">_xlfn.XLOOKUP($E240,$A$5:$A$8,$E$5:$E$8,"")</f>
        <v>Flat</v>
      </c>
      <c r="I240" s="44" t="str">
        <f aca="false">IF($H240="Percent",_xlfn.XLOOKUP($E240,$A$5:$A$8,$F$5:$F$8,""),"")</f>
        <v/>
      </c>
      <c r="J240" s="42" t="n">
        <f aca="false">IF($H240="Flat",_xlfn.XLOOKUP($E240,$A$5:$A$8,$F$5:$F$8,""),"")</f>
        <v>44</v>
      </c>
      <c r="K240" s="38" t="str">
        <f aca="false">_xlfn.XLOOKUP($E240,$A$5:$A$8,$G$5:$G$8,"")</f>
        <v>Per pay period</v>
      </c>
      <c r="L240" s="38" t="str">
        <f aca="false">_xlfn.XLOOKUP($E240,$A$5:$A$8,$H$5:$H$8,"")</f>
        <v>Every pay period (ongoing)</v>
      </c>
      <c r="M240" s="43" t="n">
        <f aca="false" t="array" ref="M240:M240">MAX(_xlfn.XLOOKUP($A240,TRIM(SUBSTITUTE('worker file'!$A$2:$A$406,_xlfn.UNICHAR(160)," ")),'worker file'!$M$2:$M$406,0),_xlfn.XLOOKUP($B240,TRIM('pay group &amp; schedule'!$A$2:$A$6),'pay group &amp; schedule'!$D$2:$D$6,0))</f>
        <v>46311</v>
      </c>
      <c r="N240" s="43" t="str">
        <f aca="false" t="array" ref="N240:N240">_xlfn.LET(_xlpm.t,_xlfn.XLOOKUP($A240,TRIM(SUBSTITUTE('worker file'!$A$2:$A$406,_xlfn.UNICHAR(160)," ")),'worker file'!$N$2:$N$406,""),IF(N(_xlpm.t)=0,"",_xlpm.t))</f>
        <v/>
      </c>
    </row>
    <row r="241" customFormat="false" ht="15" hidden="false" customHeight="false" outlineLevel="0" collapsed="false">
      <c r="A241" s="39" t="s">
        <v>182</v>
      </c>
      <c r="B241" s="40" t="str">
        <f aca="false" t="array" ref="B241:B241">_xlfn.XLOOKUP($A241,TRIM(SUBSTITUTE('worker file'!$A$2:$A$406,_xlfn.UNICHAR(160)," ")),'worker file'!$L$2:$L$406,"Not found")</f>
        <v>US Semi-monthly</v>
      </c>
      <c r="C241" s="40" t="str">
        <f aca="false" t="array" ref="C241:C241">_xlfn.XLOOKUP($A241,TRIM(SUBSTITUTE('worker file'!$A$2:$A$406,_xlfn.UNICHAR(160)," ")),'worker file'!$D$2:$D$406,"Not found")</f>
        <v>WA</v>
      </c>
      <c r="D241" s="40" t="str">
        <f aca="false" t="array" ref="D241:D241">_xlfn.XLOOKUP($A241,TRIM(SUBSTITUTE('worker file'!$A$2:$A$406,_xlfn.UNICHAR(160)," ")),'worker file'!$Q$2:$Q$406,"Not found")</f>
        <v>Active</v>
      </c>
      <c r="E241" s="39" t="s">
        <v>634</v>
      </c>
      <c r="F241" s="38" t="str">
        <f aca="false">_xlfn.XLOOKUP($E241,$A$5:$A$8,$B$5:$B$8,"")</f>
        <v>Vision – Employee</v>
      </c>
      <c r="G241" s="38" t="str">
        <f aca="false">_xlfn.XLOOKUP($E241,$A$5:$A$8,$D$5:$D$8,"")</f>
        <v>Pre-tax Section 125 (exempt from FIT/SIT/FICA)</v>
      </c>
      <c r="H241" s="38" t="str">
        <f aca="false">_xlfn.XLOOKUP($E241,$A$5:$A$8,$E$5:$E$8,"")</f>
        <v>Flat</v>
      </c>
      <c r="I241" s="44" t="str">
        <f aca="false">IF($H241="Percent",_xlfn.XLOOKUP($E241,$A$5:$A$8,$F$5:$F$8,""),"")</f>
        <v/>
      </c>
      <c r="J241" s="42" t="n">
        <f aca="false">IF($H241="Flat",_xlfn.XLOOKUP($E241,$A$5:$A$8,$F$5:$F$8,""),"")</f>
        <v>30</v>
      </c>
      <c r="K241" s="38" t="str">
        <f aca="false">_xlfn.XLOOKUP($E241,$A$5:$A$8,$G$5:$G$8,"")</f>
        <v>Per pay period</v>
      </c>
      <c r="L241" s="38" t="str">
        <f aca="false">_xlfn.XLOOKUP($E241,$A$5:$A$8,$H$5:$H$8,"")</f>
        <v>Every pay period (ongoing)</v>
      </c>
      <c r="M241" s="43" t="n">
        <f aca="false" t="array" ref="M241:M241">MAX(_xlfn.XLOOKUP($A241,TRIM(SUBSTITUTE('worker file'!$A$2:$A$406,_xlfn.UNICHAR(160)," ")),'worker file'!$M$2:$M$406,0),_xlfn.XLOOKUP($B241,TRIM('pay group &amp; schedule'!$A$2:$A$6),'pay group &amp; schedule'!$D$2:$D$6,0))</f>
        <v>46311</v>
      </c>
      <c r="N241" s="43" t="str">
        <f aca="false" t="array" ref="N241:N241">_xlfn.LET(_xlpm.t,_xlfn.XLOOKUP($A241,TRIM(SUBSTITUTE('worker file'!$A$2:$A$406,_xlfn.UNICHAR(160)," ")),'worker file'!$N$2:$N$406,""),IF(N(_xlpm.t)=0,"",_xlpm.t))</f>
        <v/>
      </c>
    </row>
    <row r="242" customFormat="false" ht="15" hidden="false" customHeight="false" outlineLevel="0" collapsed="false">
      <c r="A242" s="39" t="s">
        <v>183</v>
      </c>
      <c r="B242" s="40" t="str">
        <f aca="false" t="array" ref="B242:B242">_xlfn.XLOOKUP($A242,TRIM(SUBSTITUTE('worker file'!$A$2:$A$406,_xlfn.UNICHAR(160)," ")),'worker file'!$L$2:$L$406,"Not found")</f>
        <v>US Semi-monthly</v>
      </c>
      <c r="C242" s="40" t="str">
        <f aca="false" t="array" ref="C242:C242">_xlfn.XLOOKUP($A242,TRIM(SUBSTITUTE('worker file'!$A$2:$A$406,_xlfn.UNICHAR(160)," ")),'worker file'!$D$2:$D$406,"Not found")</f>
        <v>CA</v>
      </c>
      <c r="D242" s="40" t="str">
        <f aca="false" t="array" ref="D242:D242">_xlfn.XLOOKUP($A242,TRIM(SUBSTITUTE('worker file'!$A$2:$A$406,_xlfn.UNICHAR(160)," ")),'worker file'!$Q$2:$Q$406,"Not found")</f>
        <v>Active</v>
      </c>
      <c r="E242" s="39" t="s">
        <v>618</v>
      </c>
      <c r="F242" s="38" t="str">
        <f aca="false">_xlfn.XLOOKUP($E242,$A$5:$A$8,$B$5:$B$8,"")</f>
        <v>401(k) Employee Deferral</v>
      </c>
      <c r="G242" s="38" t="str">
        <f aca="false">_xlfn.XLOOKUP($E242,$A$5:$A$8,$D$5:$D$8,"")</f>
        <v>Pre-tax (exempt from FIT/SIT; subject to FICA)</v>
      </c>
      <c r="H242" s="38" t="str">
        <f aca="false">_xlfn.XLOOKUP($E242,$A$5:$A$8,$E$5:$E$8,"")</f>
        <v>Percent</v>
      </c>
      <c r="I242" s="41" t="n">
        <v>0.02</v>
      </c>
      <c r="J242" s="42" t="str">
        <f aca="false">IF($H242="Flat",_xlfn.XLOOKUP($E242,$A$5:$A$8,$F$5:$F$8,""),"")</f>
        <v/>
      </c>
      <c r="K242" s="38" t="str">
        <f aca="false">_xlfn.XLOOKUP($E242,$A$5:$A$8,$G$5:$G$8,"")</f>
        <v>Gross pay</v>
      </c>
      <c r="L242" s="38" t="str">
        <f aca="false">_xlfn.XLOOKUP($E242,$A$5:$A$8,$H$5:$H$8,"")</f>
        <v>Every pay period (ongoing)</v>
      </c>
      <c r="M242" s="43" t="n">
        <f aca="false" t="array" ref="M242:M242">MAX(_xlfn.XLOOKUP($A242,TRIM(SUBSTITUTE('worker file'!$A$2:$A$406,_xlfn.UNICHAR(160)," ")),'worker file'!$M$2:$M$406,0),_xlfn.XLOOKUP($B242,TRIM('pay group &amp; schedule'!$A$2:$A$6),'pay group &amp; schedule'!$D$2:$D$6,0))</f>
        <v>46311</v>
      </c>
      <c r="N242" s="43" t="str">
        <f aca="false" t="array" ref="N242:N242">_xlfn.LET(_xlpm.t,_xlfn.XLOOKUP($A242,TRIM(SUBSTITUTE('worker file'!$A$2:$A$406,_xlfn.UNICHAR(160)," ")),'worker file'!$N$2:$N$406,""),IF(N(_xlpm.t)=0,"",_xlpm.t))</f>
        <v/>
      </c>
    </row>
    <row r="243" customFormat="false" ht="15" hidden="false" customHeight="false" outlineLevel="0" collapsed="false">
      <c r="A243" s="39" t="s">
        <v>183</v>
      </c>
      <c r="B243" s="40" t="str">
        <f aca="false" t="array" ref="B243:B243">_xlfn.XLOOKUP($A243,TRIM(SUBSTITUTE('worker file'!$A$2:$A$406,_xlfn.UNICHAR(160)," ")),'worker file'!$L$2:$L$406,"Not found")</f>
        <v>US Semi-monthly</v>
      </c>
      <c r="C243" s="40" t="str">
        <f aca="false" t="array" ref="C243:C243">_xlfn.XLOOKUP($A243,TRIM(SUBSTITUTE('worker file'!$A$2:$A$406,_xlfn.UNICHAR(160)," ")),'worker file'!$D$2:$D$406,"Not found")</f>
        <v>CA</v>
      </c>
      <c r="D243" s="40" t="str">
        <f aca="false" t="array" ref="D243:D243">_xlfn.XLOOKUP($A243,TRIM(SUBSTITUTE('worker file'!$A$2:$A$406,_xlfn.UNICHAR(160)," ")),'worker file'!$Q$2:$Q$406,"Not found")</f>
        <v>Active</v>
      </c>
      <c r="E243" s="39" t="s">
        <v>626</v>
      </c>
      <c r="F243" s="38" t="str">
        <f aca="false">_xlfn.XLOOKUP($E243,$A$5:$A$8,$B$5:$B$8,"")</f>
        <v>Medical (Health) – Employee</v>
      </c>
      <c r="G243" s="38" t="str">
        <f aca="false">_xlfn.XLOOKUP($E243,$A$5:$A$8,$D$5:$D$8,"")</f>
        <v>Pre-tax Section 125 (exempt from FIT/SIT/FICA)</v>
      </c>
      <c r="H243" s="38" t="str">
        <f aca="false">_xlfn.XLOOKUP($E243,$A$5:$A$8,$E$5:$E$8,"")</f>
        <v>Flat</v>
      </c>
      <c r="I243" s="44" t="str">
        <f aca="false">IF($H243="Percent",_xlfn.XLOOKUP($E243,$A$5:$A$8,$F$5:$F$8,""),"")</f>
        <v/>
      </c>
      <c r="J243" s="42" t="n">
        <f aca="false">IF($H243="Flat",_xlfn.XLOOKUP($E243,$A$5:$A$8,$F$5:$F$8,""),"")</f>
        <v>200</v>
      </c>
      <c r="K243" s="38" t="str">
        <f aca="false">_xlfn.XLOOKUP($E243,$A$5:$A$8,$G$5:$G$8,"")</f>
        <v>Per pay period</v>
      </c>
      <c r="L243" s="38" t="str">
        <f aca="false">_xlfn.XLOOKUP($E243,$A$5:$A$8,$H$5:$H$8,"")</f>
        <v>Every pay period (ongoing)</v>
      </c>
      <c r="M243" s="43" t="n">
        <f aca="false" t="array" ref="M243:M243">MAX(_xlfn.XLOOKUP($A243,TRIM(SUBSTITUTE('worker file'!$A$2:$A$406,_xlfn.UNICHAR(160)," ")),'worker file'!$M$2:$M$406,0),_xlfn.XLOOKUP($B243,TRIM('pay group &amp; schedule'!$A$2:$A$6),'pay group &amp; schedule'!$D$2:$D$6,0))</f>
        <v>46311</v>
      </c>
      <c r="N243" s="43" t="str">
        <f aca="false" t="array" ref="N243:N243">_xlfn.LET(_xlpm.t,_xlfn.XLOOKUP($A243,TRIM(SUBSTITUTE('worker file'!$A$2:$A$406,_xlfn.UNICHAR(160)," ")),'worker file'!$N$2:$N$406,""),IF(N(_xlpm.t)=0,"",_xlpm.t))</f>
        <v/>
      </c>
    </row>
    <row r="244" customFormat="false" ht="15" hidden="false" customHeight="false" outlineLevel="0" collapsed="false">
      <c r="A244" s="39" t="s">
        <v>183</v>
      </c>
      <c r="B244" s="40" t="str">
        <f aca="false" t="array" ref="B244:B244">_xlfn.XLOOKUP($A244,TRIM(SUBSTITUTE('worker file'!$A$2:$A$406,_xlfn.UNICHAR(160)," ")),'worker file'!$L$2:$L$406,"Not found")</f>
        <v>US Semi-monthly</v>
      </c>
      <c r="C244" s="40" t="str">
        <f aca="false" t="array" ref="C244:C244">_xlfn.XLOOKUP($A244,TRIM(SUBSTITUTE('worker file'!$A$2:$A$406,_xlfn.UNICHAR(160)," ")),'worker file'!$D$2:$D$406,"Not found")</f>
        <v>CA</v>
      </c>
      <c r="D244" s="40" t="str">
        <f aca="false" t="array" ref="D244:D244">_xlfn.XLOOKUP($A244,TRIM(SUBSTITUTE('worker file'!$A$2:$A$406,_xlfn.UNICHAR(160)," ")),'worker file'!$Q$2:$Q$406,"Not found")</f>
        <v>Active</v>
      </c>
      <c r="E244" s="39" t="s">
        <v>632</v>
      </c>
      <c r="F244" s="38" t="str">
        <f aca="false">_xlfn.XLOOKUP($E244,$A$5:$A$8,$B$5:$B$8,"")</f>
        <v>Dental – Employee</v>
      </c>
      <c r="G244" s="38" t="str">
        <f aca="false">_xlfn.XLOOKUP($E244,$A$5:$A$8,$D$5:$D$8,"")</f>
        <v>Pre-tax Section 125 (exempt from FIT/SIT/FICA)</v>
      </c>
      <c r="H244" s="38" t="str">
        <f aca="false">_xlfn.XLOOKUP($E244,$A$5:$A$8,$E$5:$E$8,"")</f>
        <v>Flat</v>
      </c>
      <c r="I244" s="44" t="str">
        <f aca="false">IF($H244="Percent",_xlfn.XLOOKUP($E244,$A$5:$A$8,$F$5:$F$8,""),"")</f>
        <v/>
      </c>
      <c r="J244" s="42" t="n">
        <f aca="false">IF($H244="Flat",_xlfn.XLOOKUP($E244,$A$5:$A$8,$F$5:$F$8,""),"")</f>
        <v>44</v>
      </c>
      <c r="K244" s="38" t="str">
        <f aca="false">_xlfn.XLOOKUP($E244,$A$5:$A$8,$G$5:$G$8,"")</f>
        <v>Per pay period</v>
      </c>
      <c r="L244" s="38" t="str">
        <f aca="false">_xlfn.XLOOKUP($E244,$A$5:$A$8,$H$5:$H$8,"")</f>
        <v>Every pay period (ongoing)</v>
      </c>
      <c r="M244" s="43" t="n">
        <f aca="false" t="array" ref="M244:M244">MAX(_xlfn.XLOOKUP($A244,TRIM(SUBSTITUTE('worker file'!$A$2:$A$406,_xlfn.UNICHAR(160)," ")),'worker file'!$M$2:$M$406,0),_xlfn.XLOOKUP($B244,TRIM('pay group &amp; schedule'!$A$2:$A$6),'pay group &amp; schedule'!$D$2:$D$6,0))</f>
        <v>46311</v>
      </c>
      <c r="N244" s="43" t="str">
        <f aca="false" t="array" ref="N244:N244">_xlfn.LET(_xlpm.t,_xlfn.XLOOKUP($A244,TRIM(SUBSTITUTE('worker file'!$A$2:$A$406,_xlfn.UNICHAR(160)," ")),'worker file'!$N$2:$N$406,""),IF(N(_xlpm.t)=0,"",_xlpm.t))</f>
        <v/>
      </c>
    </row>
    <row r="245" customFormat="false" ht="15" hidden="false" customHeight="false" outlineLevel="0" collapsed="false">
      <c r="A245" s="39" t="s">
        <v>183</v>
      </c>
      <c r="B245" s="40" t="str">
        <f aca="false" t="array" ref="B245:B245">_xlfn.XLOOKUP($A245,TRIM(SUBSTITUTE('worker file'!$A$2:$A$406,_xlfn.UNICHAR(160)," ")),'worker file'!$L$2:$L$406,"Not found")</f>
        <v>US Semi-monthly</v>
      </c>
      <c r="C245" s="40" t="str">
        <f aca="false" t="array" ref="C245:C245">_xlfn.XLOOKUP($A245,TRIM(SUBSTITUTE('worker file'!$A$2:$A$406,_xlfn.UNICHAR(160)," ")),'worker file'!$D$2:$D$406,"Not found")</f>
        <v>CA</v>
      </c>
      <c r="D245" s="40" t="str">
        <f aca="false" t="array" ref="D245:D245">_xlfn.XLOOKUP($A245,TRIM(SUBSTITUTE('worker file'!$A$2:$A$406,_xlfn.UNICHAR(160)," ")),'worker file'!$Q$2:$Q$406,"Not found")</f>
        <v>Active</v>
      </c>
      <c r="E245" s="39" t="s">
        <v>634</v>
      </c>
      <c r="F245" s="38" t="str">
        <f aca="false">_xlfn.XLOOKUP($E245,$A$5:$A$8,$B$5:$B$8,"")</f>
        <v>Vision – Employee</v>
      </c>
      <c r="G245" s="38" t="str">
        <f aca="false">_xlfn.XLOOKUP($E245,$A$5:$A$8,$D$5:$D$8,"")</f>
        <v>Pre-tax Section 125 (exempt from FIT/SIT/FICA)</v>
      </c>
      <c r="H245" s="38" t="str">
        <f aca="false">_xlfn.XLOOKUP($E245,$A$5:$A$8,$E$5:$E$8,"")</f>
        <v>Flat</v>
      </c>
      <c r="I245" s="44" t="str">
        <f aca="false">IF($H245="Percent",_xlfn.XLOOKUP($E245,$A$5:$A$8,$F$5:$F$8,""),"")</f>
        <v/>
      </c>
      <c r="J245" s="42" t="n">
        <f aca="false">IF($H245="Flat",_xlfn.XLOOKUP($E245,$A$5:$A$8,$F$5:$F$8,""),"")</f>
        <v>30</v>
      </c>
      <c r="K245" s="38" t="str">
        <f aca="false">_xlfn.XLOOKUP($E245,$A$5:$A$8,$G$5:$G$8,"")</f>
        <v>Per pay period</v>
      </c>
      <c r="L245" s="38" t="str">
        <f aca="false">_xlfn.XLOOKUP($E245,$A$5:$A$8,$H$5:$H$8,"")</f>
        <v>Every pay period (ongoing)</v>
      </c>
      <c r="M245" s="43" t="n">
        <f aca="false" t="array" ref="M245:M245">MAX(_xlfn.XLOOKUP($A245,TRIM(SUBSTITUTE('worker file'!$A$2:$A$406,_xlfn.UNICHAR(160)," ")),'worker file'!$M$2:$M$406,0),_xlfn.XLOOKUP($B245,TRIM('pay group &amp; schedule'!$A$2:$A$6),'pay group &amp; schedule'!$D$2:$D$6,0))</f>
        <v>46311</v>
      </c>
      <c r="N245" s="43" t="str">
        <f aca="false" t="array" ref="N245:N245">_xlfn.LET(_xlpm.t,_xlfn.XLOOKUP($A245,TRIM(SUBSTITUTE('worker file'!$A$2:$A$406,_xlfn.UNICHAR(160)," ")),'worker file'!$N$2:$N$406,""),IF(N(_xlpm.t)=0,"",_xlpm.t))</f>
        <v/>
      </c>
    </row>
    <row r="246" customFormat="false" ht="15" hidden="false" customHeight="false" outlineLevel="0" collapsed="false">
      <c r="A246" s="39" t="s">
        <v>184</v>
      </c>
      <c r="B246" s="40" t="str">
        <f aca="false" t="array" ref="B246:B246">_xlfn.XLOOKUP($A246,TRIM(SUBSTITUTE('worker file'!$A$2:$A$406,_xlfn.UNICHAR(160)," ")),'worker file'!$L$2:$L$406,"Not found")</f>
        <v>US Semi-monthly</v>
      </c>
      <c r="C246" s="40" t="str">
        <f aca="false" t="array" ref="C246:C246">_xlfn.XLOOKUP($A246,TRIM(SUBSTITUTE('worker file'!$A$2:$A$406,_xlfn.UNICHAR(160)," ")),'worker file'!$D$2:$D$406,"Not found")</f>
        <v>GA</v>
      </c>
      <c r="D246" s="40" t="str">
        <f aca="false" t="array" ref="D246:D246">_xlfn.XLOOKUP($A246,TRIM(SUBSTITUTE('worker file'!$A$2:$A$406,_xlfn.UNICHAR(160)," ")),'worker file'!$Q$2:$Q$406,"Not found")</f>
        <v>Active</v>
      </c>
      <c r="E246" s="39" t="s">
        <v>618</v>
      </c>
      <c r="F246" s="38" t="str">
        <f aca="false">_xlfn.XLOOKUP($E246,$A$5:$A$8,$B$5:$B$8,"")</f>
        <v>401(k) Employee Deferral</v>
      </c>
      <c r="G246" s="38" t="str">
        <f aca="false">_xlfn.XLOOKUP($E246,$A$5:$A$8,$D$5:$D$8,"")</f>
        <v>Pre-tax (exempt from FIT/SIT; subject to FICA)</v>
      </c>
      <c r="H246" s="38" t="str">
        <f aca="false">_xlfn.XLOOKUP($E246,$A$5:$A$8,$E$5:$E$8,"")</f>
        <v>Percent</v>
      </c>
      <c r="I246" s="41" t="n">
        <v>0.07</v>
      </c>
      <c r="J246" s="42" t="str">
        <f aca="false">IF($H246="Flat",_xlfn.XLOOKUP($E246,$A$5:$A$8,$F$5:$F$8,""),"")</f>
        <v/>
      </c>
      <c r="K246" s="38" t="str">
        <f aca="false">_xlfn.XLOOKUP($E246,$A$5:$A$8,$G$5:$G$8,"")</f>
        <v>Gross pay</v>
      </c>
      <c r="L246" s="38" t="str">
        <f aca="false">_xlfn.XLOOKUP($E246,$A$5:$A$8,$H$5:$H$8,"")</f>
        <v>Every pay period (ongoing)</v>
      </c>
      <c r="M246" s="43" t="n">
        <f aca="false" t="array" ref="M246:M246">MAX(_xlfn.XLOOKUP($A246,TRIM(SUBSTITUTE('worker file'!$A$2:$A$406,_xlfn.UNICHAR(160)," ")),'worker file'!$M$2:$M$406,0),_xlfn.XLOOKUP($B246,TRIM('pay group &amp; schedule'!$A$2:$A$6),'pay group &amp; schedule'!$D$2:$D$6,0))</f>
        <v>46311</v>
      </c>
      <c r="N246" s="43" t="str">
        <f aca="false" t="array" ref="N246:N246">_xlfn.LET(_xlpm.t,_xlfn.XLOOKUP($A246,TRIM(SUBSTITUTE('worker file'!$A$2:$A$406,_xlfn.UNICHAR(160)," ")),'worker file'!$N$2:$N$406,""),IF(N(_xlpm.t)=0,"",_xlpm.t))</f>
        <v/>
      </c>
    </row>
    <row r="247" customFormat="false" ht="15" hidden="false" customHeight="false" outlineLevel="0" collapsed="false">
      <c r="A247" s="39" t="s">
        <v>184</v>
      </c>
      <c r="B247" s="40" t="str">
        <f aca="false" t="array" ref="B247:B247">_xlfn.XLOOKUP($A247,TRIM(SUBSTITUTE('worker file'!$A$2:$A$406,_xlfn.UNICHAR(160)," ")),'worker file'!$L$2:$L$406,"Not found")</f>
        <v>US Semi-monthly</v>
      </c>
      <c r="C247" s="40" t="str">
        <f aca="false" t="array" ref="C247:C247">_xlfn.XLOOKUP($A247,TRIM(SUBSTITUTE('worker file'!$A$2:$A$406,_xlfn.UNICHAR(160)," ")),'worker file'!$D$2:$D$406,"Not found")</f>
        <v>GA</v>
      </c>
      <c r="D247" s="40" t="str">
        <f aca="false" t="array" ref="D247:D247">_xlfn.XLOOKUP($A247,TRIM(SUBSTITUTE('worker file'!$A$2:$A$406,_xlfn.UNICHAR(160)," ")),'worker file'!$Q$2:$Q$406,"Not found")</f>
        <v>Active</v>
      </c>
      <c r="E247" s="39" t="s">
        <v>626</v>
      </c>
      <c r="F247" s="38" t="str">
        <f aca="false">_xlfn.XLOOKUP($E247,$A$5:$A$8,$B$5:$B$8,"")</f>
        <v>Medical (Health) – Employee</v>
      </c>
      <c r="G247" s="38" t="str">
        <f aca="false">_xlfn.XLOOKUP($E247,$A$5:$A$8,$D$5:$D$8,"")</f>
        <v>Pre-tax Section 125 (exempt from FIT/SIT/FICA)</v>
      </c>
      <c r="H247" s="38" t="str">
        <f aca="false">_xlfn.XLOOKUP($E247,$A$5:$A$8,$E$5:$E$8,"")</f>
        <v>Flat</v>
      </c>
      <c r="I247" s="44" t="str">
        <f aca="false">IF($H247="Percent",_xlfn.XLOOKUP($E247,$A$5:$A$8,$F$5:$F$8,""),"")</f>
        <v/>
      </c>
      <c r="J247" s="42" t="n">
        <f aca="false">IF($H247="Flat",_xlfn.XLOOKUP($E247,$A$5:$A$8,$F$5:$F$8,""),"")</f>
        <v>200</v>
      </c>
      <c r="K247" s="38" t="str">
        <f aca="false">_xlfn.XLOOKUP($E247,$A$5:$A$8,$G$5:$G$8,"")</f>
        <v>Per pay period</v>
      </c>
      <c r="L247" s="38" t="str">
        <f aca="false">_xlfn.XLOOKUP($E247,$A$5:$A$8,$H$5:$H$8,"")</f>
        <v>Every pay period (ongoing)</v>
      </c>
      <c r="M247" s="43" t="n">
        <f aca="false" t="array" ref="M247:M247">MAX(_xlfn.XLOOKUP($A247,TRIM(SUBSTITUTE('worker file'!$A$2:$A$406,_xlfn.UNICHAR(160)," ")),'worker file'!$M$2:$M$406,0),_xlfn.XLOOKUP($B247,TRIM('pay group &amp; schedule'!$A$2:$A$6),'pay group &amp; schedule'!$D$2:$D$6,0))</f>
        <v>46311</v>
      </c>
      <c r="N247" s="43" t="str">
        <f aca="false" t="array" ref="N247:N247">_xlfn.LET(_xlpm.t,_xlfn.XLOOKUP($A247,TRIM(SUBSTITUTE('worker file'!$A$2:$A$406,_xlfn.UNICHAR(160)," ")),'worker file'!$N$2:$N$406,""),IF(N(_xlpm.t)=0,"",_xlpm.t))</f>
        <v/>
      </c>
    </row>
    <row r="248" customFormat="false" ht="15" hidden="false" customHeight="false" outlineLevel="0" collapsed="false">
      <c r="A248" s="39" t="s">
        <v>184</v>
      </c>
      <c r="B248" s="40" t="str">
        <f aca="false" t="array" ref="B248:B248">_xlfn.XLOOKUP($A248,TRIM(SUBSTITUTE('worker file'!$A$2:$A$406,_xlfn.UNICHAR(160)," ")),'worker file'!$L$2:$L$406,"Not found")</f>
        <v>US Semi-monthly</v>
      </c>
      <c r="C248" s="40" t="str">
        <f aca="false" t="array" ref="C248:C248">_xlfn.XLOOKUP($A248,TRIM(SUBSTITUTE('worker file'!$A$2:$A$406,_xlfn.UNICHAR(160)," ")),'worker file'!$D$2:$D$406,"Not found")</f>
        <v>GA</v>
      </c>
      <c r="D248" s="40" t="str">
        <f aca="false" t="array" ref="D248:D248">_xlfn.XLOOKUP($A248,TRIM(SUBSTITUTE('worker file'!$A$2:$A$406,_xlfn.UNICHAR(160)," ")),'worker file'!$Q$2:$Q$406,"Not found")</f>
        <v>Active</v>
      </c>
      <c r="E248" s="39" t="s">
        <v>632</v>
      </c>
      <c r="F248" s="38" t="str">
        <f aca="false">_xlfn.XLOOKUP($E248,$A$5:$A$8,$B$5:$B$8,"")</f>
        <v>Dental – Employee</v>
      </c>
      <c r="G248" s="38" t="str">
        <f aca="false">_xlfn.XLOOKUP($E248,$A$5:$A$8,$D$5:$D$8,"")</f>
        <v>Pre-tax Section 125 (exempt from FIT/SIT/FICA)</v>
      </c>
      <c r="H248" s="38" t="str">
        <f aca="false">_xlfn.XLOOKUP($E248,$A$5:$A$8,$E$5:$E$8,"")</f>
        <v>Flat</v>
      </c>
      <c r="I248" s="44" t="str">
        <f aca="false">IF($H248="Percent",_xlfn.XLOOKUP($E248,$A$5:$A$8,$F$5:$F$8,""),"")</f>
        <v/>
      </c>
      <c r="J248" s="42" t="n">
        <f aca="false">IF($H248="Flat",_xlfn.XLOOKUP($E248,$A$5:$A$8,$F$5:$F$8,""),"")</f>
        <v>44</v>
      </c>
      <c r="K248" s="38" t="str">
        <f aca="false">_xlfn.XLOOKUP($E248,$A$5:$A$8,$G$5:$G$8,"")</f>
        <v>Per pay period</v>
      </c>
      <c r="L248" s="38" t="str">
        <f aca="false">_xlfn.XLOOKUP($E248,$A$5:$A$8,$H$5:$H$8,"")</f>
        <v>Every pay period (ongoing)</v>
      </c>
      <c r="M248" s="43" t="n">
        <f aca="false" t="array" ref="M248:M248">MAX(_xlfn.XLOOKUP($A248,TRIM(SUBSTITUTE('worker file'!$A$2:$A$406,_xlfn.UNICHAR(160)," ")),'worker file'!$M$2:$M$406,0),_xlfn.XLOOKUP($B248,TRIM('pay group &amp; schedule'!$A$2:$A$6),'pay group &amp; schedule'!$D$2:$D$6,0))</f>
        <v>46311</v>
      </c>
      <c r="N248" s="43" t="str">
        <f aca="false" t="array" ref="N248:N248">_xlfn.LET(_xlpm.t,_xlfn.XLOOKUP($A248,TRIM(SUBSTITUTE('worker file'!$A$2:$A$406,_xlfn.UNICHAR(160)," ")),'worker file'!$N$2:$N$406,""),IF(N(_xlpm.t)=0,"",_xlpm.t))</f>
        <v/>
      </c>
    </row>
    <row r="249" customFormat="false" ht="15" hidden="false" customHeight="false" outlineLevel="0" collapsed="false">
      <c r="A249" s="39" t="s">
        <v>184</v>
      </c>
      <c r="B249" s="40" t="str">
        <f aca="false" t="array" ref="B249:B249">_xlfn.XLOOKUP($A249,TRIM(SUBSTITUTE('worker file'!$A$2:$A$406,_xlfn.UNICHAR(160)," ")),'worker file'!$L$2:$L$406,"Not found")</f>
        <v>US Semi-monthly</v>
      </c>
      <c r="C249" s="40" t="str">
        <f aca="false" t="array" ref="C249:C249">_xlfn.XLOOKUP($A249,TRIM(SUBSTITUTE('worker file'!$A$2:$A$406,_xlfn.UNICHAR(160)," ")),'worker file'!$D$2:$D$406,"Not found")</f>
        <v>GA</v>
      </c>
      <c r="D249" s="40" t="str">
        <f aca="false" t="array" ref="D249:D249">_xlfn.XLOOKUP($A249,TRIM(SUBSTITUTE('worker file'!$A$2:$A$406,_xlfn.UNICHAR(160)," ")),'worker file'!$Q$2:$Q$406,"Not found")</f>
        <v>Active</v>
      </c>
      <c r="E249" s="39" t="s">
        <v>634</v>
      </c>
      <c r="F249" s="38" t="str">
        <f aca="false">_xlfn.XLOOKUP($E249,$A$5:$A$8,$B$5:$B$8,"")</f>
        <v>Vision – Employee</v>
      </c>
      <c r="G249" s="38" t="str">
        <f aca="false">_xlfn.XLOOKUP($E249,$A$5:$A$8,$D$5:$D$8,"")</f>
        <v>Pre-tax Section 125 (exempt from FIT/SIT/FICA)</v>
      </c>
      <c r="H249" s="38" t="str">
        <f aca="false">_xlfn.XLOOKUP($E249,$A$5:$A$8,$E$5:$E$8,"")</f>
        <v>Flat</v>
      </c>
      <c r="I249" s="44" t="str">
        <f aca="false">IF($H249="Percent",_xlfn.XLOOKUP($E249,$A$5:$A$8,$F$5:$F$8,""),"")</f>
        <v/>
      </c>
      <c r="J249" s="42" t="n">
        <f aca="false">IF($H249="Flat",_xlfn.XLOOKUP($E249,$A$5:$A$8,$F$5:$F$8,""),"")</f>
        <v>30</v>
      </c>
      <c r="K249" s="38" t="str">
        <f aca="false">_xlfn.XLOOKUP($E249,$A$5:$A$8,$G$5:$G$8,"")</f>
        <v>Per pay period</v>
      </c>
      <c r="L249" s="38" t="str">
        <f aca="false">_xlfn.XLOOKUP($E249,$A$5:$A$8,$H$5:$H$8,"")</f>
        <v>Every pay period (ongoing)</v>
      </c>
      <c r="M249" s="43" t="n">
        <f aca="false" t="array" ref="M249:M249">MAX(_xlfn.XLOOKUP($A249,TRIM(SUBSTITUTE('worker file'!$A$2:$A$406,_xlfn.UNICHAR(160)," ")),'worker file'!$M$2:$M$406,0),_xlfn.XLOOKUP($B249,TRIM('pay group &amp; schedule'!$A$2:$A$6),'pay group &amp; schedule'!$D$2:$D$6,0))</f>
        <v>46311</v>
      </c>
      <c r="N249" s="43" t="str">
        <f aca="false" t="array" ref="N249:N249">_xlfn.LET(_xlpm.t,_xlfn.XLOOKUP($A249,TRIM(SUBSTITUTE('worker file'!$A$2:$A$406,_xlfn.UNICHAR(160)," ")),'worker file'!$N$2:$N$406,""),IF(N(_xlpm.t)=0,"",_xlpm.t))</f>
        <v/>
      </c>
    </row>
    <row r="250" customFormat="false" ht="15" hidden="false" customHeight="false" outlineLevel="0" collapsed="false">
      <c r="A250" s="39" t="s">
        <v>186</v>
      </c>
      <c r="B250" s="40" t="str">
        <f aca="false" t="array" ref="B250:B250">_xlfn.XLOOKUP($A250,TRIM(SUBSTITUTE('worker file'!$A$2:$A$406,_xlfn.UNICHAR(160)," ")),'worker file'!$L$2:$L$406,"Not found")</f>
        <v>US Semi-monthly</v>
      </c>
      <c r="C250" s="40" t="str">
        <f aca="false" t="array" ref="C250:C250">_xlfn.XLOOKUP($A250,TRIM(SUBSTITUTE('worker file'!$A$2:$A$406,_xlfn.UNICHAR(160)," ")),'worker file'!$D$2:$D$406,"Not found")</f>
        <v>CA</v>
      </c>
      <c r="D250" s="40" t="str">
        <f aca="false" t="array" ref="D250:D250">_xlfn.XLOOKUP($A250,TRIM(SUBSTITUTE('worker file'!$A$2:$A$406,_xlfn.UNICHAR(160)," ")),'worker file'!$Q$2:$Q$406,"Not found")</f>
        <v>Active</v>
      </c>
      <c r="E250" s="39" t="s">
        <v>626</v>
      </c>
      <c r="F250" s="38" t="str">
        <f aca="false">_xlfn.XLOOKUP($E250,$A$5:$A$8,$B$5:$B$8,"")</f>
        <v>Medical (Health) – Employee</v>
      </c>
      <c r="G250" s="38" t="str">
        <f aca="false">_xlfn.XLOOKUP($E250,$A$5:$A$8,$D$5:$D$8,"")</f>
        <v>Pre-tax Section 125 (exempt from FIT/SIT/FICA)</v>
      </c>
      <c r="H250" s="38" t="str">
        <f aca="false">_xlfn.XLOOKUP($E250,$A$5:$A$8,$E$5:$E$8,"")</f>
        <v>Flat</v>
      </c>
      <c r="I250" s="44" t="str">
        <f aca="false">IF($H250="Percent",_xlfn.XLOOKUP($E250,$A$5:$A$8,$F$5:$F$8,""),"")</f>
        <v/>
      </c>
      <c r="J250" s="42" t="n">
        <f aca="false">IF($H250="Flat",_xlfn.XLOOKUP($E250,$A$5:$A$8,$F$5:$F$8,""),"")</f>
        <v>200</v>
      </c>
      <c r="K250" s="38" t="str">
        <f aca="false">_xlfn.XLOOKUP($E250,$A$5:$A$8,$G$5:$G$8,"")</f>
        <v>Per pay period</v>
      </c>
      <c r="L250" s="38" t="str">
        <f aca="false">_xlfn.XLOOKUP($E250,$A$5:$A$8,$H$5:$H$8,"")</f>
        <v>Every pay period (ongoing)</v>
      </c>
      <c r="M250" s="43" t="n">
        <f aca="false" t="array" ref="M250:M250">MAX(_xlfn.XLOOKUP($A250,TRIM(SUBSTITUTE('worker file'!$A$2:$A$406,_xlfn.UNICHAR(160)," ")),'worker file'!$M$2:$M$406,0),_xlfn.XLOOKUP($B250,TRIM('pay group &amp; schedule'!$A$2:$A$6),'pay group &amp; schedule'!$D$2:$D$6,0))</f>
        <v>46311</v>
      </c>
      <c r="N250" s="43" t="str">
        <f aca="false" t="array" ref="N250:N250">_xlfn.LET(_xlpm.t,_xlfn.XLOOKUP($A250,TRIM(SUBSTITUTE('worker file'!$A$2:$A$406,_xlfn.UNICHAR(160)," ")),'worker file'!$N$2:$N$406,""),IF(N(_xlpm.t)=0,"",_xlpm.t))</f>
        <v/>
      </c>
    </row>
    <row r="251" customFormat="false" ht="15" hidden="false" customHeight="false" outlineLevel="0" collapsed="false">
      <c r="A251" s="39" t="s">
        <v>186</v>
      </c>
      <c r="B251" s="40" t="str">
        <f aca="false" t="array" ref="B251:B251">_xlfn.XLOOKUP($A251,TRIM(SUBSTITUTE('worker file'!$A$2:$A$406,_xlfn.UNICHAR(160)," ")),'worker file'!$L$2:$L$406,"Not found")</f>
        <v>US Semi-monthly</v>
      </c>
      <c r="C251" s="40" t="str">
        <f aca="false" t="array" ref="C251:C251">_xlfn.XLOOKUP($A251,TRIM(SUBSTITUTE('worker file'!$A$2:$A$406,_xlfn.UNICHAR(160)," ")),'worker file'!$D$2:$D$406,"Not found")</f>
        <v>CA</v>
      </c>
      <c r="D251" s="40" t="str">
        <f aca="false" t="array" ref="D251:D251">_xlfn.XLOOKUP($A251,TRIM(SUBSTITUTE('worker file'!$A$2:$A$406,_xlfn.UNICHAR(160)," ")),'worker file'!$Q$2:$Q$406,"Not found")</f>
        <v>Active</v>
      </c>
      <c r="E251" s="39" t="s">
        <v>632</v>
      </c>
      <c r="F251" s="38" t="str">
        <f aca="false">_xlfn.XLOOKUP($E251,$A$5:$A$8,$B$5:$B$8,"")</f>
        <v>Dental – Employee</v>
      </c>
      <c r="G251" s="38" t="str">
        <f aca="false">_xlfn.XLOOKUP($E251,$A$5:$A$8,$D$5:$D$8,"")</f>
        <v>Pre-tax Section 125 (exempt from FIT/SIT/FICA)</v>
      </c>
      <c r="H251" s="38" t="str">
        <f aca="false">_xlfn.XLOOKUP($E251,$A$5:$A$8,$E$5:$E$8,"")</f>
        <v>Flat</v>
      </c>
      <c r="I251" s="44" t="str">
        <f aca="false">IF($H251="Percent",_xlfn.XLOOKUP($E251,$A$5:$A$8,$F$5:$F$8,""),"")</f>
        <v/>
      </c>
      <c r="J251" s="42" t="n">
        <f aca="false">IF($H251="Flat",_xlfn.XLOOKUP($E251,$A$5:$A$8,$F$5:$F$8,""),"")</f>
        <v>44</v>
      </c>
      <c r="K251" s="38" t="str">
        <f aca="false">_xlfn.XLOOKUP($E251,$A$5:$A$8,$G$5:$G$8,"")</f>
        <v>Per pay period</v>
      </c>
      <c r="L251" s="38" t="str">
        <f aca="false">_xlfn.XLOOKUP($E251,$A$5:$A$8,$H$5:$H$8,"")</f>
        <v>Every pay period (ongoing)</v>
      </c>
      <c r="M251" s="43" t="n">
        <f aca="false" t="array" ref="M251:M251">MAX(_xlfn.XLOOKUP($A251,TRIM(SUBSTITUTE('worker file'!$A$2:$A$406,_xlfn.UNICHAR(160)," ")),'worker file'!$M$2:$M$406,0),_xlfn.XLOOKUP($B251,TRIM('pay group &amp; schedule'!$A$2:$A$6),'pay group &amp; schedule'!$D$2:$D$6,0))</f>
        <v>46311</v>
      </c>
      <c r="N251" s="43" t="str">
        <f aca="false" t="array" ref="N251:N251">_xlfn.LET(_xlpm.t,_xlfn.XLOOKUP($A251,TRIM(SUBSTITUTE('worker file'!$A$2:$A$406,_xlfn.UNICHAR(160)," ")),'worker file'!$N$2:$N$406,""),IF(N(_xlpm.t)=0,"",_xlpm.t))</f>
        <v/>
      </c>
    </row>
    <row r="252" customFormat="false" ht="15" hidden="false" customHeight="false" outlineLevel="0" collapsed="false">
      <c r="A252" s="39" t="s">
        <v>186</v>
      </c>
      <c r="B252" s="40" t="str">
        <f aca="false" t="array" ref="B252:B252">_xlfn.XLOOKUP($A252,TRIM(SUBSTITUTE('worker file'!$A$2:$A$406,_xlfn.UNICHAR(160)," ")),'worker file'!$L$2:$L$406,"Not found")</f>
        <v>US Semi-monthly</v>
      </c>
      <c r="C252" s="40" t="str">
        <f aca="false" t="array" ref="C252:C252">_xlfn.XLOOKUP($A252,TRIM(SUBSTITUTE('worker file'!$A$2:$A$406,_xlfn.UNICHAR(160)," ")),'worker file'!$D$2:$D$406,"Not found")</f>
        <v>CA</v>
      </c>
      <c r="D252" s="40" t="str">
        <f aca="false" t="array" ref="D252:D252">_xlfn.XLOOKUP($A252,TRIM(SUBSTITUTE('worker file'!$A$2:$A$406,_xlfn.UNICHAR(160)," ")),'worker file'!$Q$2:$Q$406,"Not found")</f>
        <v>Active</v>
      </c>
      <c r="E252" s="39" t="s">
        <v>634</v>
      </c>
      <c r="F252" s="38" t="str">
        <f aca="false">_xlfn.XLOOKUP($E252,$A$5:$A$8,$B$5:$B$8,"")</f>
        <v>Vision – Employee</v>
      </c>
      <c r="G252" s="38" t="str">
        <f aca="false">_xlfn.XLOOKUP($E252,$A$5:$A$8,$D$5:$D$8,"")</f>
        <v>Pre-tax Section 125 (exempt from FIT/SIT/FICA)</v>
      </c>
      <c r="H252" s="38" t="str">
        <f aca="false">_xlfn.XLOOKUP($E252,$A$5:$A$8,$E$5:$E$8,"")</f>
        <v>Flat</v>
      </c>
      <c r="I252" s="44" t="str">
        <f aca="false">IF($H252="Percent",_xlfn.XLOOKUP($E252,$A$5:$A$8,$F$5:$F$8,""),"")</f>
        <v/>
      </c>
      <c r="J252" s="42" t="n">
        <f aca="false">IF($H252="Flat",_xlfn.XLOOKUP($E252,$A$5:$A$8,$F$5:$F$8,""),"")</f>
        <v>30</v>
      </c>
      <c r="K252" s="38" t="str">
        <f aca="false">_xlfn.XLOOKUP($E252,$A$5:$A$8,$G$5:$G$8,"")</f>
        <v>Per pay period</v>
      </c>
      <c r="L252" s="38" t="str">
        <f aca="false">_xlfn.XLOOKUP($E252,$A$5:$A$8,$H$5:$H$8,"")</f>
        <v>Every pay period (ongoing)</v>
      </c>
      <c r="M252" s="43" t="n">
        <f aca="false" t="array" ref="M252:M252">MAX(_xlfn.XLOOKUP($A252,TRIM(SUBSTITUTE('worker file'!$A$2:$A$406,_xlfn.UNICHAR(160)," ")),'worker file'!$M$2:$M$406,0),_xlfn.XLOOKUP($B252,TRIM('pay group &amp; schedule'!$A$2:$A$6),'pay group &amp; schedule'!$D$2:$D$6,0))</f>
        <v>46311</v>
      </c>
      <c r="N252" s="43" t="str">
        <f aca="false" t="array" ref="N252:N252">_xlfn.LET(_xlpm.t,_xlfn.XLOOKUP($A252,TRIM(SUBSTITUTE('worker file'!$A$2:$A$406,_xlfn.UNICHAR(160)," ")),'worker file'!$N$2:$N$406,""),IF(N(_xlpm.t)=0,"",_xlpm.t))</f>
        <v/>
      </c>
    </row>
    <row r="253" customFormat="false" ht="15" hidden="false" customHeight="false" outlineLevel="0" collapsed="false">
      <c r="A253" s="39" t="s">
        <v>187</v>
      </c>
      <c r="B253" s="40" t="str">
        <f aca="false" t="array" ref="B253:B253">_xlfn.XLOOKUP($A253,TRIM(SUBSTITUTE('worker file'!$A$2:$A$406,_xlfn.UNICHAR(160)," ")),'worker file'!$L$2:$L$406,"Not found")</f>
        <v>US Semi-monthly</v>
      </c>
      <c r="C253" s="40" t="str">
        <f aca="false" t="array" ref="C253:C253">_xlfn.XLOOKUP($A253,TRIM(SUBSTITUTE('worker file'!$A$2:$A$406,_xlfn.UNICHAR(160)," ")),'worker file'!$D$2:$D$406,"Not found")</f>
        <v>WA</v>
      </c>
      <c r="D253" s="40" t="str">
        <f aca="false" t="array" ref="D253:D253">_xlfn.XLOOKUP($A253,TRIM(SUBSTITUTE('worker file'!$A$2:$A$406,_xlfn.UNICHAR(160)," ")),'worker file'!$Q$2:$Q$406,"Not found")</f>
        <v>Active</v>
      </c>
      <c r="E253" s="39" t="s">
        <v>618</v>
      </c>
      <c r="F253" s="38" t="str">
        <f aca="false">_xlfn.XLOOKUP($E253,$A$5:$A$8,$B$5:$B$8,"")</f>
        <v>401(k) Employee Deferral</v>
      </c>
      <c r="G253" s="38" t="str">
        <f aca="false">_xlfn.XLOOKUP($E253,$A$5:$A$8,$D$5:$D$8,"")</f>
        <v>Pre-tax (exempt from FIT/SIT; subject to FICA)</v>
      </c>
      <c r="H253" s="38" t="str">
        <f aca="false">_xlfn.XLOOKUP($E253,$A$5:$A$8,$E$5:$E$8,"")</f>
        <v>Percent</v>
      </c>
      <c r="I253" s="41" t="n">
        <v>0.01</v>
      </c>
      <c r="J253" s="42" t="str">
        <f aca="false">IF($H253="Flat",_xlfn.XLOOKUP($E253,$A$5:$A$8,$F$5:$F$8,""),"")</f>
        <v/>
      </c>
      <c r="K253" s="38" t="str">
        <f aca="false">_xlfn.XLOOKUP($E253,$A$5:$A$8,$G$5:$G$8,"")</f>
        <v>Gross pay</v>
      </c>
      <c r="L253" s="38" t="str">
        <f aca="false">_xlfn.XLOOKUP($E253,$A$5:$A$8,$H$5:$H$8,"")</f>
        <v>Every pay period (ongoing)</v>
      </c>
      <c r="M253" s="43" t="n">
        <f aca="false" t="array" ref="M253:M253">MAX(_xlfn.XLOOKUP($A253,TRIM(SUBSTITUTE('worker file'!$A$2:$A$406,_xlfn.UNICHAR(160)," ")),'worker file'!$M$2:$M$406,0),_xlfn.XLOOKUP($B253,TRIM('pay group &amp; schedule'!$A$2:$A$6),'pay group &amp; schedule'!$D$2:$D$6,0))</f>
        <v>46311</v>
      </c>
      <c r="N253" s="43" t="str">
        <f aca="false" t="array" ref="N253:N253">_xlfn.LET(_xlpm.t,_xlfn.XLOOKUP($A253,TRIM(SUBSTITUTE('worker file'!$A$2:$A$406,_xlfn.UNICHAR(160)," ")),'worker file'!$N$2:$N$406,""),IF(N(_xlpm.t)=0,"",_xlpm.t))</f>
        <v/>
      </c>
    </row>
    <row r="254" customFormat="false" ht="15" hidden="false" customHeight="false" outlineLevel="0" collapsed="false">
      <c r="A254" s="39" t="s">
        <v>187</v>
      </c>
      <c r="B254" s="40" t="str">
        <f aca="false" t="array" ref="B254:B254">_xlfn.XLOOKUP($A254,TRIM(SUBSTITUTE('worker file'!$A$2:$A$406,_xlfn.UNICHAR(160)," ")),'worker file'!$L$2:$L$406,"Not found")</f>
        <v>US Semi-monthly</v>
      </c>
      <c r="C254" s="40" t="str">
        <f aca="false" t="array" ref="C254:C254">_xlfn.XLOOKUP($A254,TRIM(SUBSTITUTE('worker file'!$A$2:$A$406,_xlfn.UNICHAR(160)," ")),'worker file'!$D$2:$D$406,"Not found")</f>
        <v>WA</v>
      </c>
      <c r="D254" s="40" t="str">
        <f aca="false" t="array" ref="D254:D254">_xlfn.XLOOKUP($A254,TRIM(SUBSTITUTE('worker file'!$A$2:$A$406,_xlfn.UNICHAR(160)," ")),'worker file'!$Q$2:$Q$406,"Not found")</f>
        <v>Active</v>
      </c>
      <c r="E254" s="39" t="s">
        <v>626</v>
      </c>
      <c r="F254" s="38" t="str">
        <f aca="false">_xlfn.XLOOKUP($E254,$A$5:$A$8,$B$5:$B$8,"")</f>
        <v>Medical (Health) – Employee</v>
      </c>
      <c r="G254" s="38" t="str">
        <f aca="false">_xlfn.XLOOKUP($E254,$A$5:$A$8,$D$5:$D$8,"")</f>
        <v>Pre-tax Section 125 (exempt from FIT/SIT/FICA)</v>
      </c>
      <c r="H254" s="38" t="str">
        <f aca="false">_xlfn.XLOOKUP($E254,$A$5:$A$8,$E$5:$E$8,"")</f>
        <v>Flat</v>
      </c>
      <c r="I254" s="44" t="str">
        <f aca="false">IF($H254="Percent",_xlfn.XLOOKUP($E254,$A$5:$A$8,$F$5:$F$8,""),"")</f>
        <v/>
      </c>
      <c r="J254" s="42" t="n">
        <f aca="false">IF($H254="Flat",_xlfn.XLOOKUP($E254,$A$5:$A$8,$F$5:$F$8,""),"")</f>
        <v>200</v>
      </c>
      <c r="K254" s="38" t="str">
        <f aca="false">_xlfn.XLOOKUP($E254,$A$5:$A$8,$G$5:$G$8,"")</f>
        <v>Per pay period</v>
      </c>
      <c r="L254" s="38" t="str">
        <f aca="false">_xlfn.XLOOKUP($E254,$A$5:$A$8,$H$5:$H$8,"")</f>
        <v>Every pay period (ongoing)</v>
      </c>
      <c r="M254" s="43" t="n">
        <f aca="false" t="array" ref="M254:M254">MAX(_xlfn.XLOOKUP($A254,TRIM(SUBSTITUTE('worker file'!$A$2:$A$406,_xlfn.UNICHAR(160)," ")),'worker file'!$M$2:$M$406,0),_xlfn.XLOOKUP($B254,TRIM('pay group &amp; schedule'!$A$2:$A$6),'pay group &amp; schedule'!$D$2:$D$6,0))</f>
        <v>46311</v>
      </c>
      <c r="N254" s="43" t="str">
        <f aca="false" t="array" ref="N254:N254">_xlfn.LET(_xlpm.t,_xlfn.XLOOKUP($A254,TRIM(SUBSTITUTE('worker file'!$A$2:$A$406,_xlfn.UNICHAR(160)," ")),'worker file'!$N$2:$N$406,""),IF(N(_xlpm.t)=0,"",_xlpm.t))</f>
        <v/>
      </c>
    </row>
    <row r="255" customFormat="false" ht="15" hidden="false" customHeight="false" outlineLevel="0" collapsed="false">
      <c r="A255" s="39" t="s">
        <v>187</v>
      </c>
      <c r="B255" s="40" t="str">
        <f aca="false" t="array" ref="B255:B255">_xlfn.XLOOKUP($A255,TRIM(SUBSTITUTE('worker file'!$A$2:$A$406,_xlfn.UNICHAR(160)," ")),'worker file'!$L$2:$L$406,"Not found")</f>
        <v>US Semi-monthly</v>
      </c>
      <c r="C255" s="40" t="str">
        <f aca="false" t="array" ref="C255:C255">_xlfn.XLOOKUP($A255,TRIM(SUBSTITUTE('worker file'!$A$2:$A$406,_xlfn.UNICHAR(160)," ")),'worker file'!$D$2:$D$406,"Not found")</f>
        <v>WA</v>
      </c>
      <c r="D255" s="40" t="str">
        <f aca="false" t="array" ref="D255:D255">_xlfn.XLOOKUP($A255,TRIM(SUBSTITUTE('worker file'!$A$2:$A$406,_xlfn.UNICHAR(160)," ")),'worker file'!$Q$2:$Q$406,"Not found")</f>
        <v>Active</v>
      </c>
      <c r="E255" s="39" t="s">
        <v>632</v>
      </c>
      <c r="F255" s="38" t="str">
        <f aca="false">_xlfn.XLOOKUP($E255,$A$5:$A$8,$B$5:$B$8,"")</f>
        <v>Dental – Employee</v>
      </c>
      <c r="G255" s="38" t="str">
        <f aca="false">_xlfn.XLOOKUP($E255,$A$5:$A$8,$D$5:$D$8,"")</f>
        <v>Pre-tax Section 125 (exempt from FIT/SIT/FICA)</v>
      </c>
      <c r="H255" s="38" t="str">
        <f aca="false">_xlfn.XLOOKUP($E255,$A$5:$A$8,$E$5:$E$8,"")</f>
        <v>Flat</v>
      </c>
      <c r="I255" s="44" t="str">
        <f aca="false">IF($H255="Percent",_xlfn.XLOOKUP($E255,$A$5:$A$8,$F$5:$F$8,""),"")</f>
        <v/>
      </c>
      <c r="J255" s="42" t="n">
        <f aca="false">IF($H255="Flat",_xlfn.XLOOKUP($E255,$A$5:$A$8,$F$5:$F$8,""),"")</f>
        <v>44</v>
      </c>
      <c r="K255" s="38" t="str">
        <f aca="false">_xlfn.XLOOKUP($E255,$A$5:$A$8,$G$5:$G$8,"")</f>
        <v>Per pay period</v>
      </c>
      <c r="L255" s="38" t="str">
        <f aca="false">_xlfn.XLOOKUP($E255,$A$5:$A$8,$H$5:$H$8,"")</f>
        <v>Every pay period (ongoing)</v>
      </c>
      <c r="M255" s="43" t="n">
        <f aca="false" t="array" ref="M255:M255">MAX(_xlfn.XLOOKUP($A255,TRIM(SUBSTITUTE('worker file'!$A$2:$A$406,_xlfn.UNICHAR(160)," ")),'worker file'!$M$2:$M$406,0),_xlfn.XLOOKUP($B255,TRIM('pay group &amp; schedule'!$A$2:$A$6),'pay group &amp; schedule'!$D$2:$D$6,0))</f>
        <v>46311</v>
      </c>
      <c r="N255" s="43" t="str">
        <f aca="false" t="array" ref="N255:N255">_xlfn.LET(_xlpm.t,_xlfn.XLOOKUP($A255,TRIM(SUBSTITUTE('worker file'!$A$2:$A$406,_xlfn.UNICHAR(160)," ")),'worker file'!$N$2:$N$406,""),IF(N(_xlpm.t)=0,"",_xlpm.t))</f>
        <v/>
      </c>
    </row>
    <row r="256" customFormat="false" ht="15" hidden="false" customHeight="false" outlineLevel="0" collapsed="false">
      <c r="A256" s="39" t="s">
        <v>187</v>
      </c>
      <c r="B256" s="40" t="str">
        <f aca="false" t="array" ref="B256:B256">_xlfn.XLOOKUP($A256,TRIM(SUBSTITUTE('worker file'!$A$2:$A$406,_xlfn.UNICHAR(160)," ")),'worker file'!$L$2:$L$406,"Not found")</f>
        <v>US Semi-monthly</v>
      </c>
      <c r="C256" s="40" t="str">
        <f aca="false" t="array" ref="C256:C256">_xlfn.XLOOKUP($A256,TRIM(SUBSTITUTE('worker file'!$A$2:$A$406,_xlfn.UNICHAR(160)," ")),'worker file'!$D$2:$D$406,"Not found")</f>
        <v>WA</v>
      </c>
      <c r="D256" s="40" t="str">
        <f aca="false" t="array" ref="D256:D256">_xlfn.XLOOKUP($A256,TRIM(SUBSTITUTE('worker file'!$A$2:$A$406,_xlfn.UNICHAR(160)," ")),'worker file'!$Q$2:$Q$406,"Not found")</f>
        <v>Active</v>
      </c>
      <c r="E256" s="39" t="s">
        <v>634</v>
      </c>
      <c r="F256" s="38" t="str">
        <f aca="false">_xlfn.XLOOKUP($E256,$A$5:$A$8,$B$5:$B$8,"")</f>
        <v>Vision – Employee</v>
      </c>
      <c r="G256" s="38" t="str">
        <f aca="false">_xlfn.XLOOKUP($E256,$A$5:$A$8,$D$5:$D$8,"")</f>
        <v>Pre-tax Section 125 (exempt from FIT/SIT/FICA)</v>
      </c>
      <c r="H256" s="38" t="str">
        <f aca="false">_xlfn.XLOOKUP($E256,$A$5:$A$8,$E$5:$E$8,"")</f>
        <v>Flat</v>
      </c>
      <c r="I256" s="44" t="str">
        <f aca="false">IF($H256="Percent",_xlfn.XLOOKUP($E256,$A$5:$A$8,$F$5:$F$8,""),"")</f>
        <v/>
      </c>
      <c r="J256" s="42" t="n">
        <f aca="false">IF($H256="Flat",_xlfn.XLOOKUP($E256,$A$5:$A$8,$F$5:$F$8,""),"")</f>
        <v>30</v>
      </c>
      <c r="K256" s="38" t="str">
        <f aca="false">_xlfn.XLOOKUP($E256,$A$5:$A$8,$G$5:$G$8,"")</f>
        <v>Per pay period</v>
      </c>
      <c r="L256" s="38" t="str">
        <f aca="false">_xlfn.XLOOKUP($E256,$A$5:$A$8,$H$5:$H$8,"")</f>
        <v>Every pay period (ongoing)</v>
      </c>
      <c r="M256" s="43" t="n">
        <f aca="false" t="array" ref="M256:M256">MAX(_xlfn.XLOOKUP($A256,TRIM(SUBSTITUTE('worker file'!$A$2:$A$406,_xlfn.UNICHAR(160)," ")),'worker file'!$M$2:$M$406,0),_xlfn.XLOOKUP($B256,TRIM('pay group &amp; schedule'!$A$2:$A$6),'pay group &amp; schedule'!$D$2:$D$6,0))</f>
        <v>46311</v>
      </c>
      <c r="N256" s="43" t="str">
        <f aca="false" t="array" ref="N256:N256">_xlfn.LET(_xlpm.t,_xlfn.XLOOKUP($A256,TRIM(SUBSTITUTE('worker file'!$A$2:$A$406,_xlfn.UNICHAR(160)," ")),'worker file'!$N$2:$N$406,""),IF(N(_xlpm.t)=0,"",_xlpm.t))</f>
        <v/>
      </c>
    </row>
    <row r="257" customFormat="false" ht="15" hidden="false" customHeight="false" outlineLevel="0" collapsed="false">
      <c r="A257" s="39" t="s">
        <v>188</v>
      </c>
      <c r="B257" s="40" t="str">
        <f aca="false" t="array" ref="B257:B257">_xlfn.XLOOKUP($A257,TRIM(SUBSTITUTE('worker file'!$A$2:$A$406,_xlfn.UNICHAR(160)," ")),'worker file'!$L$2:$L$406,"Not found")</f>
        <v>US Semi-monthly</v>
      </c>
      <c r="C257" s="40" t="str">
        <f aca="false" t="array" ref="C257:C257">_xlfn.XLOOKUP($A257,TRIM(SUBSTITUTE('worker file'!$A$2:$A$406,_xlfn.UNICHAR(160)," ")),'worker file'!$D$2:$D$406,"Not found")</f>
        <v>IL</v>
      </c>
      <c r="D257" s="40" t="str">
        <f aca="false" t="array" ref="D257:D257">_xlfn.XLOOKUP($A257,TRIM(SUBSTITUTE('worker file'!$A$2:$A$406,_xlfn.UNICHAR(160)," ")),'worker file'!$Q$2:$Q$406,"Not found")</f>
        <v>Active</v>
      </c>
      <c r="E257" s="39" t="s">
        <v>618</v>
      </c>
      <c r="F257" s="38" t="str">
        <f aca="false">_xlfn.XLOOKUP($E257,$A$5:$A$8,$B$5:$B$8,"")</f>
        <v>401(k) Employee Deferral</v>
      </c>
      <c r="G257" s="38" t="str">
        <f aca="false">_xlfn.XLOOKUP($E257,$A$5:$A$8,$D$5:$D$8,"")</f>
        <v>Pre-tax (exempt from FIT/SIT; subject to FICA)</v>
      </c>
      <c r="H257" s="38" t="str">
        <f aca="false">_xlfn.XLOOKUP($E257,$A$5:$A$8,$E$5:$E$8,"")</f>
        <v>Percent</v>
      </c>
      <c r="I257" s="41" t="n">
        <v>0.06</v>
      </c>
      <c r="J257" s="42" t="str">
        <f aca="false">IF($H257="Flat",_xlfn.XLOOKUP($E257,$A$5:$A$8,$F$5:$F$8,""),"")</f>
        <v/>
      </c>
      <c r="K257" s="38" t="str">
        <f aca="false">_xlfn.XLOOKUP($E257,$A$5:$A$8,$G$5:$G$8,"")</f>
        <v>Gross pay</v>
      </c>
      <c r="L257" s="38" t="str">
        <f aca="false">_xlfn.XLOOKUP($E257,$A$5:$A$8,$H$5:$H$8,"")</f>
        <v>Every pay period (ongoing)</v>
      </c>
      <c r="M257" s="43" t="n">
        <f aca="false" t="array" ref="M257:M257">MAX(_xlfn.XLOOKUP($A257,TRIM(SUBSTITUTE('worker file'!$A$2:$A$406,_xlfn.UNICHAR(160)," ")),'worker file'!$M$2:$M$406,0),_xlfn.XLOOKUP($B257,TRIM('pay group &amp; schedule'!$A$2:$A$6),'pay group &amp; schedule'!$D$2:$D$6,0))</f>
        <v>46311</v>
      </c>
      <c r="N257" s="43" t="str">
        <f aca="false" t="array" ref="N257:N257">_xlfn.LET(_xlpm.t,_xlfn.XLOOKUP($A257,TRIM(SUBSTITUTE('worker file'!$A$2:$A$406,_xlfn.UNICHAR(160)," ")),'worker file'!$N$2:$N$406,""),IF(N(_xlpm.t)=0,"",_xlpm.t))</f>
        <v/>
      </c>
    </row>
    <row r="258" customFormat="false" ht="15" hidden="false" customHeight="false" outlineLevel="0" collapsed="false">
      <c r="A258" s="39" t="s">
        <v>188</v>
      </c>
      <c r="B258" s="40" t="str">
        <f aca="false" t="array" ref="B258:B258">_xlfn.XLOOKUP($A258,TRIM(SUBSTITUTE('worker file'!$A$2:$A$406,_xlfn.UNICHAR(160)," ")),'worker file'!$L$2:$L$406,"Not found")</f>
        <v>US Semi-monthly</v>
      </c>
      <c r="C258" s="40" t="str">
        <f aca="false" t="array" ref="C258:C258">_xlfn.XLOOKUP($A258,TRIM(SUBSTITUTE('worker file'!$A$2:$A$406,_xlfn.UNICHAR(160)," ")),'worker file'!$D$2:$D$406,"Not found")</f>
        <v>IL</v>
      </c>
      <c r="D258" s="40" t="str">
        <f aca="false" t="array" ref="D258:D258">_xlfn.XLOOKUP($A258,TRIM(SUBSTITUTE('worker file'!$A$2:$A$406,_xlfn.UNICHAR(160)," ")),'worker file'!$Q$2:$Q$406,"Not found")</f>
        <v>Active</v>
      </c>
      <c r="E258" s="39" t="s">
        <v>626</v>
      </c>
      <c r="F258" s="38" t="str">
        <f aca="false">_xlfn.XLOOKUP($E258,$A$5:$A$8,$B$5:$B$8,"")</f>
        <v>Medical (Health) – Employee</v>
      </c>
      <c r="G258" s="38" t="str">
        <f aca="false">_xlfn.XLOOKUP($E258,$A$5:$A$8,$D$5:$D$8,"")</f>
        <v>Pre-tax Section 125 (exempt from FIT/SIT/FICA)</v>
      </c>
      <c r="H258" s="38" t="str">
        <f aca="false">_xlfn.XLOOKUP($E258,$A$5:$A$8,$E$5:$E$8,"")</f>
        <v>Flat</v>
      </c>
      <c r="I258" s="44" t="str">
        <f aca="false">IF($H258="Percent",_xlfn.XLOOKUP($E258,$A$5:$A$8,$F$5:$F$8,""),"")</f>
        <v/>
      </c>
      <c r="J258" s="42" t="n">
        <f aca="false">IF($H258="Flat",_xlfn.XLOOKUP($E258,$A$5:$A$8,$F$5:$F$8,""),"")</f>
        <v>200</v>
      </c>
      <c r="K258" s="38" t="str">
        <f aca="false">_xlfn.XLOOKUP($E258,$A$5:$A$8,$G$5:$G$8,"")</f>
        <v>Per pay period</v>
      </c>
      <c r="L258" s="38" t="str">
        <f aca="false">_xlfn.XLOOKUP($E258,$A$5:$A$8,$H$5:$H$8,"")</f>
        <v>Every pay period (ongoing)</v>
      </c>
      <c r="M258" s="43" t="n">
        <f aca="false" t="array" ref="M258:M258">MAX(_xlfn.XLOOKUP($A258,TRIM(SUBSTITUTE('worker file'!$A$2:$A$406,_xlfn.UNICHAR(160)," ")),'worker file'!$M$2:$M$406,0),_xlfn.XLOOKUP($B258,TRIM('pay group &amp; schedule'!$A$2:$A$6),'pay group &amp; schedule'!$D$2:$D$6,0))</f>
        <v>46311</v>
      </c>
      <c r="N258" s="43" t="str">
        <f aca="false" t="array" ref="N258:N258">_xlfn.LET(_xlpm.t,_xlfn.XLOOKUP($A258,TRIM(SUBSTITUTE('worker file'!$A$2:$A$406,_xlfn.UNICHAR(160)," ")),'worker file'!$N$2:$N$406,""),IF(N(_xlpm.t)=0,"",_xlpm.t))</f>
        <v/>
      </c>
    </row>
    <row r="259" customFormat="false" ht="15" hidden="false" customHeight="false" outlineLevel="0" collapsed="false">
      <c r="A259" s="39" t="s">
        <v>188</v>
      </c>
      <c r="B259" s="40" t="str">
        <f aca="false" t="array" ref="B259:B259">_xlfn.XLOOKUP($A259,TRIM(SUBSTITUTE('worker file'!$A$2:$A$406,_xlfn.UNICHAR(160)," ")),'worker file'!$L$2:$L$406,"Not found")</f>
        <v>US Semi-monthly</v>
      </c>
      <c r="C259" s="40" t="str">
        <f aca="false" t="array" ref="C259:C259">_xlfn.XLOOKUP($A259,TRIM(SUBSTITUTE('worker file'!$A$2:$A$406,_xlfn.UNICHAR(160)," ")),'worker file'!$D$2:$D$406,"Not found")</f>
        <v>IL</v>
      </c>
      <c r="D259" s="40" t="str">
        <f aca="false" t="array" ref="D259:D259">_xlfn.XLOOKUP($A259,TRIM(SUBSTITUTE('worker file'!$A$2:$A$406,_xlfn.UNICHAR(160)," ")),'worker file'!$Q$2:$Q$406,"Not found")</f>
        <v>Active</v>
      </c>
      <c r="E259" s="39" t="s">
        <v>632</v>
      </c>
      <c r="F259" s="38" t="str">
        <f aca="false">_xlfn.XLOOKUP($E259,$A$5:$A$8,$B$5:$B$8,"")</f>
        <v>Dental – Employee</v>
      </c>
      <c r="G259" s="38" t="str">
        <f aca="false">_xlfn.XLOOKUP($E259,$A$5:$A$8,$D$5:$D$8,"")</f>
        <v>Pre-tax Section 125 (exempt from FIT/SIT/FICA)</v>
      </c>
      <c r="H259" s="38" t="str">
        <f aca="false">_xlfn.XLOOKUP($E259,$A$5:$A$8,$E$5:$E$8,"")</f>
        <v>Flat</v>
      </c>
      <c r="I259" s="44" t="str">
        <f aca="false">IF($H259="Percent",_xlfn.XLOOKUP($E259,$A$5:$A$8,$F$5:$F$8,""),"")</f>
        <v/>
      </c>
      <c r="J259" s="42" t="n">
        <f aca="false">IF($H259="Flat",_xlfn.XLOOKUP($E259,$A$5:$A$8,$F$5:$F$8,""),"")</f>
        <v>44</v>
      </c>
      <c r="K259" s="38" t="str">
        <f aca="false">_xlfn.XLOOKUP($E259,$A$5:$A$8,$G$5:$G$8,"")</f>
        <v>Per pay period</v>
      </c>
      <c r="L259" s="38" t="str">
        <f aca="false">_xlfn.XLOOKUP($E259,$A$5:$A$8,$H$5:$H$8,"")</f>
        <v>Every pay period (ongoing)</v>
      </c>
      <c r="M259" s="43" t="n">
        <f aca="false" t="array" ref="M259:M259">MAX(_xlfn.XLOOKUP($A259,TRIM(SUBSTITUTE('worker file'!$A$2:$A$406,_xlfn.UNICHAR(160)," ")),'worker file'!$M$2:$M$406,0),_xlfn.XLOOKUP($B259,TRIM('pay group &amp; schedule'!$A$2:$A$6),'pay group &amp; schedule'!$D$2:$D$6,0))</f>
        <v>46311</v>
      </c>
      <c r="N259" s="43" t="str">
        <f aca="false" t="array" ref="N259:N259">_xlfn.LET(_xlpm.t,_xlfn.XLOOKUP($A259,TRIM(SUBSTITUTE('worker file'!$A$2:$A$406,_xlfn.UNICHAR(160)," ")),'worker file'!$N$2:$N$406,""),IF(N(_xlpm.t)=0,"",_xlpm.t))</f>
        <v/>
      </c>
    </row>
    <row r="260" customFormat="false" ht="15" hidden="false" customHeight="false" outlineLevel="0" collapsed="false">
      <c r="A260" s="39" t="s">
        <v>188</v>
      </c>
      <c r="B260" s="40" t="str">
        <f aca="false" t="array" ref="B260:B260">_xlfn.XLOOKUP($A260,TRIM(SUBSTITUTE('worker file'!$A$2:$A$406,_xlfn.UNICHAR(160)," ")),'worker file'!$L$2:$L$406,"Not found")</f>
        <v>US Semi-monthly</v>
      </c>
      <c r="C260" s="40" t="str">
        <f aca="false" t="array" ref="C260:C260">_xlfn.XLOOKUP($A260,TRIM(SUBSTITUTE('worker file'!$A$2:$A$406,_xlfn.UNICHAR(160)," ")),'worker file'!$D$2:$D$406,"Not found")</f>
        <v>IL</v>
      </c>
      <c r="D260" s="40" t="str">
        <f aca="false" t="array" ref="D260:D260">_xlfn.XLOOKUP($A260,TRIM(SUBSTITUTE('worker file'!$A$2:$A$406,_xlfn.UNICHAR(160)," ")),'worker file'!$Q$2:$Q$406,"Not found")</f>
        <v>Active</v>
      </c>
      <c r="E260" s="39" t="s">
        <v>634</v>
      </c>
      <c r="F260" s="38" t="str">
        <f aca="false">_xlfn.XLOOKUP($E260,$A$5:$A$8,$B$5:$B$8,"")</f>
        <v>Vision – Employee</v>
      </c>
      <c r="G260" s="38" t="str">
        <f aca="false">_xlfn.XLOOKUP($E260,$A$5:$A$8,$D$5:$D$8,"")</f>
        <v>Pre-tax Section 125 (exempt from FIT/SIT/FICA)</v>
      </c>
      <c r="H260" s="38" t="str">
        <f aca="false">_xlfn.XLOOKUP($E260,$A$5:$A$8,$E$5:$E$8,"")</f>
        <v>Flat</v>
      </c>
      <c r="I260" s="44" t="str">
        <f aca="false">IF($H260="Percent",_xlfn.XLOOKUP($E260,$A$5:$A$8,$F$5:$F$8,""),"")</f>
        <v/>
      </c>
      <c r="J260" s="42" t="n">
        <f aca="false">IF($H260="Flat",_xlfn.XLOOKUP($E260,$A$5:$A$8,$F$5:$F$8,""),"")</f>
        <v>30</v>
      </c>
      <c r="K260" s="38" t="str">
        <f aca="false">_xlfn.XLOOKUP($E260,$A$5:$A$8,$G$5:$G$8,"")</f>
        <v>Per pay period</v>
      </c>
      <c r="L260" s="38" t="str">
        <f aca="false">_xlfn.XLOOKUP($E260,$A$5:$A$8,$H$5:$H$8,"")</f>
        <v>Every pay period (ongoing)</v>
      </c>
      <c r="M260" s="43" t="n">
        <f aca="false" t="array" ref="M260:M260">MAX(_xlfn.XLOOKUP($A260,TRIM(SUBSTITUTE('worker file'!$A$2:$A$406,_xlfn.UNICHAR(160)," ")),'worker file'!$M$2:$M$406,0),_xlfn.XLOOKUP($B260,TRIM('pay group &amp; schedule'!$A$2:$A$6),'pay group &amp; schedule'!$D$2:$D$6,0))</f>
        <v>46311</v>
      </c>
      <c r="N260" s="43" t="str">
        <f aca="false" t="array" ref="N260:N260">_xlfn.LET(_xlpm.t,_xlfn.XLOOKUP($A260,TRIM(SUBSTITUTE('worker file'!$A$2:$A$406,_xlfn.UNICHAR(160)," ")),'worker file'!$N$2:$N$406,""),IF(N(_xlpm.t)=0,"",_xlpm.t))</f>
        <v/>
      </c>
    </row>
    <row r="261" customFormat="false" ht="15" hidden="false" customHeight="false" outlineLevel="0" collapsed="false">
      <c r="A261" s="39" t="s">
        <v>190</v>
      </c>
      <c r="B261" s="40" t="str">
        <f aca="false" t="array" ref="B261:B261">_xlfn.XLOOKUP($A261,TRIM(SUBSTITUTE('worker file'!$A$2:$A$406,_xlfn.UNICHAR(160)," ")),'worker file'!$L$2:$L$406,"Not found")</f>
        <v>US Semi-monthly</v>
      </c>
      <c r="C261" s="40" t="str">
        <f aca="false" t="array" ref="C261:C261">_xlfn.XLOOKUP($A261,TRIM(SUBSTITUTE('worker file'!$A$2:$A$406,_xlfn.UNICHAR(160)," ")),'worker file'!$D$2:$D$406,"Not found")</f>
        <v>WA</v>
      </c>
      <c r="D261" s="40" t="str">
        <f aca="false" t="array" ref="D261:D261">_xlfn.XLOOKUP($A261,TRIM(SUBSTITUTE('worker file'!$A$2:$A$406,_xlfn.UNICHAR(160)," ")),'worker file'!$Q$2:$Q$406,"Not found")</f>
        <v>Active</v>
      </c>
      <c r="E261" s="39" t="s">
        <v>618</v>
      </c>
      <c r="F261" s="38" t="str">
        <f aca="false">_xlfn.XLOOKUP($E261,$A$5:$A$8,$B$5:$B$8,"")</f>
        <v>401(k) Employee Deferral</v>
      </c>
      <c r="G261" s="38" t="str">
        <f aca="false">_xlfn.XLOOKUP($E261,$A$5:$A$8,$D$5:$D$8,"")</f>
        <v>Pre-tax (exempt from FIT/SIT; subject to FICA)</v>
      </c>
      <c r="H261" s="38" t="str">
        <f aca="false">_xlfn.XLOOKUP($E261,$A$5:$A$8,$E$5:$E$8,"")</f>
        <v>Percent</v>
      </c>
      <c r="I261" s="41" t="n">
        <v>0.03</v>
      </c>
      <c r="J261" s="42" t="str">
        <f aca="false">IF($H261="Flat",_xlfn.XLOOKUP($E261,$A$5:$A$8,$F$5:$F$8,""),"")</f>
        <v/>
      </c>
      <c r="K261" s="38" t="str">
        <f aca="false">_xlfn.XLOOKUP($E261,$A$5:$A$8,$G$5:$G$8,"")</f>
        <v>Gross pay</v>
      </c>
      <c r="L261" s="38" t="str">
        <f aca="false">_xlfn.XLOOKUP($E261,$A$5:$A$8,$H$5:$H$8,"")</f>
        <v>Every pay period (ongoing)</v>
      </c>
      <c r="M261" s="43" t="n">
        <f aca="false" t="array" ref="M261:M261">MAX(_xlfn.XLOOKUP($A261,TRIM(SUBSTITUTE('worker file'!$A$2:$A$406,_xlfn.UNICHAR(160)," ")),'worker file'!$M$2:$M$406,0),_xlfn.XLOOKUP($B261,TRIM('pay group &amp; schedule'!$A$2:$A$6),'pay group &amp; schedule'!$D$2:$D$6,0))</f>
        <v>46311</v>
      </c>
      <c r="N261" s="43" t="str">
        <f aca="false" t="array" ref="N261:N261">_xlfn.LET(_xlpm.t,_xlfn.XLOOKUP($A261,TRIM(SUBSTITUTE('worker file'!$A$2:$A$406,_xlfn.UNICHAR(160)," ")),'worker file'!$N$2:$N$406,""),IF(N(_xlpm.t)=0,"",_xlpm.t))</f>
        <v/>
      </c>
    </row>
    <row r="262" customFormat="false" ht="15" hidden="false" customHeight="false" outlineLevel="0" collapsed="false">
      <c r="A262" s="39" t="s">
        <v>190</v>
      </c>
      <c r="B262" s="40" t="str">
        <f aca="false" t="array" ref="B262:B262">_xlfn.XLOOKUP($A262,TRIM(SUBSTITUTE('worker file'!$A$2:$A$406,_xlfn.UNICHAR(160)," ")),'worker file'!$L$2:$L$406,"Not found")</f>
        <v>US Semi-monthly</v>
      </c>
      <c r="C262" s="40" t="str">
        <f aca="false" t="array" ref="C262:C262">_xlfn.XLOOKUP($A262,TRIM(SUBSTITUTE('worker file'!$A$2:$A$406,_xlfn.UNICHAR(160)," ")),'worker file'!$D$2:$D$406,"Not found")</f>
        <v>WA</v>
      </c>
      <c r="D262" s="40" t="str">
        <f aca="false" t="array" ref="D262:D262">_xlfn.XLOOKUP($A262,TRIM(SUBSTITUTE('worker file'!$A$2:$A$406,_xlfn.UNICHAR(160)," ")),'worker file'!$Q$2:$Q$406,"Not found")</f>
        <v>Active</v>
      </c>
      <c r="E262" s="39" t="s">
        <v>626</v>
      </c>
      <c r="F262" s="38" t="str">
        <f aca="false">_xlfn.XLOOKUP($E262,$A$5:$A$8,$B$5:$B$8,"")</f>
        <v>Medical (Health) – Employee</v>
      </c>
      <c r="G262" s="38" t="str">
        <f aca="false">_xlfn.XLOOKUP($E262,$A$5:$A$8,$D$5:$D$8,"")</f>
        <v>Pre-tax Section 125 (exempt from FIT/SIT/FICA)</v>
      </c>
      <c r="H262" s="38" t="str">
        <f aca="false">_xlfn.XLOOKUP($E262,$A$5:$A$8,$E$5:$E$8,"")</f>
        <v>Flat</v>
      </c>
      <c r="I262" s="44" t="str">
        <f aca="false">IF($H262="Percent",_xlfn.XLOOKUP($E262,$A$5:$A$8,$F$5:$F$8,""),"")</f>
        <v/>
      </c>
      <c r="J262" s="42" t="n">
        <f aca="false">IF($H262="Flat",_xlfn.XLOOKUP($E262,$A$5:$A$8,$F$5:$F$8,""),"")</f>
        <v>200</v>
      </c>
      <c r="K262" s="38" t="str">
        <f aca="false">_xlfn.XLOOKUP($E262,$A$5:$A$8,$G$5:$G$8,"")</f>
        <v>Per pay period</v>
      </c>
      <c r="L262" s="38" t="str">
        <f aca="false">_xlfn.XLOOKUP($E262,$A$5:$A$8,$H$5:$H$8,"")</f>
        <v>Every pay period (ongoing)</v>
      </c>
      <c r="M262" s="43" t="n">
        <f aca="false" t="array" ref="M262:M262">MAX(_xlfn.XLOOKUP($A262,TRIM(SUBSTITUTE('worker file'!$A$2:$A$406,_xlfn.UNICHAR(160)," ")),'worker file'!$M$2:$M$406,0),_xlfn.XLOOKUP($B262,TRIM('pay group &amp; schedule'!$A$2:$A$6),'pay group &amp; schedule'!$D$2:$D$6,0))</f>
        <v>46311</v>
      </c>
      <c r="N262" s="43" t="str">
        <f aca="false" t="array" ref="N262:N262">_xlfn.LET(_xlpm.t,_xlfn.XLOOKUP($A262,TRIM(SUBSTITUTE('worker file'!$A$2:$A$406,_xlfn.UNICHAR(160)," ")),'worker file'!$N$2:$N$406,""),IF(N(_xlpm.t)=0,"",_xlpm.t))</f>
        <v/>
      </c>
    </row>
    <row r="263" customFormat="false" ht="15" hidden="false" customHeight="false" outlineLevel="0" collapsed="false">
      <c r="A263" s="39" t="s">
        <v>190</v>
      </c>
      <c r="B263" s="40" t="str">
        <f aca="false" t="array" ref="B263:B263">_xlfn.XLOOKUP($A263,TRIM(SUBSTITUTE('worker file'!$A$2:$A$406,_xlfn.UNICHAR(160)," ")),'worker file'!$L$2:$L$406,"Not found")</f>
        <v>US Semi-monthly</v>
      </c>
      <c r="C263" s="40" t="str">
        <f aca="false" t="array" ref="C263:C263">_xlfn.XLOOKUP($A263,TRIM(SUBSTITUTE('worker file'!$A$2:$A$406,_xlfn.UNICHAR(160)," ")),'worker file'!$D$2:$D$406,"Not found")</f>
        <v>WA</v>
      </c>
      <c r="D263" s="40" t="str">
        <f aca="false" t="array" ref="D263:D263">_xlfn.XLOOKUP($A263,TRIM(SUBSTITUTE('worker file'!$A$2:$A$406,_xlfn.UNICHAR(160)," ")),'worker file'!$Q$2:$Q$406,"Not found")</f>
        <v>Active</v>
      </c>
      <c r="E263" s="39" t="s">
        <v>632</v>
      </c>
      <c r="F263" s="38" t="str">
        <f aca="false">_xlfn.XLOOKUP($E263,$A$5:$A$8,$B$5:$B$8,"")</f>
        <v>Dental – Employee</v>
      </c>
      <c r="G263" s="38" t="str">
        <f aca="false">_xlfn.XLOOKUP($E263,$A$5:$A$8,$D$5:$D$8,"")</f>
        <v>Pre-tax Section 125 (exempt from FIT/SIT/FICA)</v>
      </c>
      <c r="H263" s="38" t="str">
        <f aca="false">_xlfn.XLOOKUP($E263,$A$5:$A$8,$E$5:$E$8,"")</f>
        <v>Flat</v>
      </c>
      <c r="I263" s="44" t="str">
        <f aca="false">IF($H263="Percent",_xlfn.XLOOKUP($E263,$A$5:$A$8,$F$5:$F$8,""),"")</f>
        <v/>
      </c>
      <c r="J263" s="42" t="n">
        <f aca="false">IF($H263="Flat",_xlfn.XLOOKUP($E263,$A$5:$A$8,$F$5:$F$8,""),"")</f>
        <v>44</v>
      </c>
      <c r="K263" s="38" t="str">
        <f aca="false">_xlfn.XLOOKUP($E263,$A$5:$A$8,$G$5:$G$8,"")</f>
        <v>Per pay period</v>
      </c>
      <c r="L263" s="38" t="str">
        <f aca="false">_xlfn.XLOOKUP($E263,$A$5:$A$8,$H$5:$H$8,"")</f>
        <v>Every pay period (ongoing)</v>
      </c>
      <c r="M263" s="43" t="n">
        <f aca="false" t="array" ref="M263:M263">MAX(_xlfn.XLOOKUP($A263,TRIM(SUBSTITUTE('worker file'!$A$2:$A$406,_xlfn.UNICHAR(160)," ")),'worker file'!$M$2:$M$406,0),_xlfn.XLOOKUP($B263,TRIM('pay group &amp; schedule'!$A$2:$A$6),'pay group &amp; schedule'!$D$2:$D$6,0))</f>
        <v>46311</v>
      </c>
      <c r="N263" s="43" t="str">
        <f aca="false" t="array" ref="N263:N263">_xlfn.LET(_xlpm.t,_xlfn.XLOOKUP($A263,TRIM(SUBSTITUTE('worker file'!$A$2:$A$406,_xlfn.UNICHAR(160)," ")),'worker file'!$N$2:$N$406,""),IF(N(_xlpm.t)=0,"",_xlpm.t))</f>
        <v/>
      </c>
    </row>
    <row r="264" customFormat="false" ht="15" hidden="false" customHeight="false" outlineLevel="0" collapsed="false">
      <c r="A264" s="39" t="s">
        <v>190</v>
      </c>
      <c r="B264" s="40" t="str">
        <f aca="false" t="array" ref="B264:B264">_xlfn.XLOOKUP($A264,TRIM(SUBSTITUTE('worker file'!$A$2:$A$406,_xlfn.UNICHAR(160)," ")),'worker file'!$L$2:$L$406,"Not found")</f>
        <v>US Semi-monthly</v>
      </c>
      <c r="C264" s="40" t="str">
        <f aca="false" t="array" ref="C264:C264">_xlfn.XLOOKUP($A264,TRIM(SUBSTITUTE('worker file'!$A$2:$A$406,_xlfn.UNICHAR(160)," ")),'worker file'!$D$2:$D$406,"Not found")</f>
        <v>WA</v>
      </c>
      <c r="D264" s="40" t="str">
        <f aca="false" t="array" ref="D264:D264">_xlfn.XLOOKUP($A264,TRIM(SUBSTITUTE('worker file'!$A$2:$A$406,_xlfn.UNICHAR(160)," ")),'worker file'!$Q$2:$Q$406,"Not found")</f>
        <v>Active</v>
      </c>
      <c r="E264" s="39" t="s">
        <v>634</v>
      </c>
      <c r="F264" s="38" t="str">
        <f aca="false">_xlfn.XLOOKUP($E264,$A$5:$A$8,$B$5:$B$8,"")</f>
        <v>Vision – Employee</v>
      </c>
      <c r="G264" s="38" t="str">
        <f aca="false">_xlfn.XLOOKUP($E264,$A$5:$A$8,$D$5:$D$8,"")</f>
        <v>Pre-tax Section 125 (exempt from FIT/SIT/FICA)</v>
      </c>
      <c r="H264" s="38" t="str">
        <f aca="false">_xlfn.XLOOKUP($E264,$A$5:$A$8,$E$5:$E$8,"")</f>
        <v>Flat</v>
      </c>
      <c r="I264" s="44" t="str">
        <f aca="false">IF($H264="Percent",_xlfn.XLOOKUP($E264,$A$5:$A$8,$F$5:$F$8,""),"")</f>
        <v/>
      </c>
      <c r="J264" s="42" t="n">
        <f aca="false">IF($H264="Flat",_xlfn.XLOOKUP($E264,$A$5:$A$8,$F$5:$F$8,""),"")</f>
        <v>30</v>
      </c>
      <c r="K264" s="38" t="str">
        <f aca="false">_xlfn.XLOOKUP($E264,$A$5:$A$8,$G$5:$G$8,"")</f>
        <v>Per pay period</v>
      </c>
      <c r="L264" s="38" t="str">
        <f aca="false">_xlfn.XLOOKUP($E264,$A$5:$A$8,$H$5:$H$8,"")</f>
        <v>Every pay period (ongoing)</v>
      </c>
      <c r="M264" s="43" t="n">
        <f aca="false" t="array" ref="M264:M264">MAX(_xlfn.XLOOKUP($A264,TRIM(SUBSTITUTE('worker file'!$A$2:$A$406,_xlfn.UNICHAR(160)," ")),'worker file'!$M$2:$M$406,0),_xlfn.XLOOKUP($B264,TRIM('pay group &amp; schedule'!$A$2:$A$6),'pay group &amp; schedule'!$D$2:$D$6,0))</f>
        <v>46311</v>
      </c>
      <c r="N264" s="43" t="str">
        <f aca="false" t="array" ref="N264:N264">_xlfn.LET(_xlpm.t,_xlfn.XLOOKUP($A264,TRIM(SUBSTITUTE('worker file'!$A$2:$A$406,_xlfn.UNICHAR(160)," ")),'worker file'!$N$2:$N$406,""),IF(N(_xlpm.t)=0,"",_xlpm.t))</f>
        <v/>
      </c>
    </row>
    <row r="265" customFormat="false" ht="15" hidden="false" customHeight="false" outlineLevel="0" collapsed="false">
      <c r="A265" s="39" t="s">
        <v>192</v>
      </c>
      <c r="B265" s="40" t="str">
        <f aca="false" t="array" ref="B265:B265">_xlfn.XLOOKUP($A265,TRIM(SUBSTITUTE('worker file'!$A$2:$A$406,_xlfn.UNICHAR(160)," ")),'worker file'!$L$2:$L$406,"Not found")</f>
        <v>US Semi-monthly</v>
      </c>
      <c r="C265" s="40" t="str">
        <f aca="false" t="array" ref="C265:C265">_xlfn.XLOOKUP($A265,TRIM(SUBSTITUTE('worker file'!$A$2:$A$406,_xlfn.UNICHAR(160)," ")),'worker file'!$D$2:$D$406,"Not found")</f>
        <v>TX</v>
      </c>
      <c r="D265" s="40" t="str">
        <f aca="false" t="array" ref="D265:D265">_xlfn.XLOOKUP($A265,TRIM(SUBSTITUTE('worker file'!$A$2:$A$406,_xlfn.UNICHAR(160)," ")),'worker file'!$Q$2:$Q$406,"Not found")</f>
        <v>Active</v>
      </c>
      <c r="E265" s="39" t="s">
        <v>618</v>
      </c>
      <c r="F265" s="38" t="str">
        <f aca="false">_xlfn.XLOOKUP($E265,$A$5:$A$8,$B$5:$B$8,"")</f>
        <v>401(k) Employee Deferral</v>
      </c>
      <c r="G265" s="38" t="str">
        <f aca="false">_xlfn.XLOOKUP($E265,$A$5:$A$8,$D$5:$D$8,"")</f>
        <v>Pre-tax (exempt from FIT/SIT; subject to FICA)</v>
      </c>
      <c r="H265" s="38" t="str">
        <f aca="false">_xlfn.XLOOKUP($E265,$A$5:$A$8,$E$5:$E$8,"")</f>
        <v>Percent</v>
      </c>
      <c r="I265" s="41" t="n">
        <v>0</v>
      </c>
      <c r="J265" s="42" t="str">
        <f aca="false">IF($H265="Flat",_xlfn.XLOOKUP($E265,$A$5:$A$8,$F$5:$F$8,""),"")</f>
        <v/>
      </c>
      <c r="K265" s="38" t="str">
        <f aca="false">_xlfn.XLOOKUP($E265,$A$5:$A$8,$G$5:$G$8,"")</f>
        <v>Gross pay</v>
      </c>
      <c r="L265" s="38" t="str">
        <f aca="false">_xlfn.XLOOKUP($E265,$A$5:$A$8,$H$5:$H$8,"")</f>
        <v>Every pay period (ongoing)</v>
      </c>
      <c r="M265" s="43" t="n">
        <f aca="false" t="array" ref="M265:M265">MAX(_xlfn.XLOOKUP($A265,TRIM(SUBSTITUTE('worker file'!$A$2:$A$406,_xlfn.UNICHAR(160)," ")),'worker file'!$M$2:$M$406,0),_xlfn.XLOOKUP($B265,TRIM('pay group &amp; schedule'!$A$2:$A$6),'pay group &amp; schedule'!$D$2:$D$6,0))</f>
        <v>46311</v>
      </c>
      <c r="N265" s="43" t="str">
        <f aca="false" t="array" ref="N265:N265">_xlfn.LET(_xlpm.t,_xlfn.XLOOKUP($A265,TRIM(SUBSTITUTE('worker file'!$A$2:$A$406,_xlfn.UNICHAR(160)," ")),'worker file'!$N$2:$N$406,""),IF(N(_xlpm.t)=0,"",_xlpm.t))</f>
        <v/>
      </c>
    </row>
    <row r="266" customFormat="false" ht="15" hidden="false" customHeight="false" outlineLevel="0" collapsed="false">
      <c r="A266" s="39" t="s">
        <v>192</v>
      </c>
      <c r="B266" s="40" t="str">
        <f aca="false" t="array" ref="B266:B266">_xlfn.XLOOKUP($A266,TRIM(SUBSTITUTE('worker file'!$A$2:$A$406,_xlfn.UNICHAR(160)," ")),'worker file'!$L$2:$L$406,"Not found")</f>
        <v>US Semi-monthly</v>
      </c>
      <c r="C266" s="40" t="str">
        <f aca="false" t="array" ref="C266:C266">_xlfn.XLOOKUP($A266,TRIM(SUBSTITUTE('worker file'!$A$2:$A$406,_xlfn.UNICHAR(160)," ")),'worker file'!$D$2:$D$406,"Not found")</f>
        <v>TX</v>
      </c>
      <c r="D266" s="40" t="str">
        <f aca="false" t="array" ref="D266:D266">_xlfn.XLOOKUP($A266,TRIM(SUBSTITUTE('worker file'!$A$2:$A$406,_xlfn.UNICHAR(160)," ")),'worker file'!$Q$2:$Q$406,"Not found")</f>
        <v>Active</v>
      </c>
      <c r="E266" s="39" t="s">
        <v>626</v>
      </c>
      <c r="F266" s="38" t="str">
        <f aca="false">_xlfn.XLOOKUP($E266,$A$5:$A$8,$B$5:$B$8,"")</f>
        <v>Medical (Health) – Employee</v>
      </c>
      <c r="G266" s="38" t="str">
        <f aca="false">_xlfn.XLOOKUP($E266,$A$5:$A$8,$D$5:$D$8,"")</f>
        <v>Pre-tax Section 125 (exempt from FIT/SIT/FICA)</v>
      </c>
      <c r="H266" s="38" t="str">
        <f aca="false">_xlfn.XLOOKUP($E266,$A$5:$A$8,$E$5:$E$8,"")</f>
        <v>Flat</v>
      </c>
      <c r="I266" s="44" t="str">
        <f aca="false">IF($H266="Percent",_xlfn.XLOOKUP($E266,$A$5:$A$8,$F$5:$F$8,""),"")</f>
        <v/>
      </c>
      <c r="J266" s="42" t="n">
        <f aca="false">IF($H266="Flat",_xlfn.XLOOKUP($E266,$A$5:$A$8,$F$5:$F$8,""),"")</f>
        <v>200</v>
      </c>
      <c r="K266" s="38" t="str">
        <f aca="false">_xlfn.XLOOKUP($E266,$A$5:$A$8,$G$5:$G$8,"")</f>
        <v>Per pay period</v>
      </c>
      <c r="L266" s="38" t="str">
        <f aca="false">_xlfn.XLOOKUP($E266,$A$5:$A$8,$H$5:$H$8,"")</f>
        <v>Every pay period (ongoing)</v>
      </c>
      <c r="M266" s="43" t="n">
        <f aca="false" t="array" ref="M266:M266">MAX(_xlfn.XLOOKUP($A266,TRIM(SUBSTITUTE('worker file'!$A$2:$A$406,_xlfn.UNICHAR(160)," ")),'worker file'!$M$2:$M$406,0),_xlfn.XLOOKUP($B266,TRIM('pay group &amp; schedule'!$A$2:$A$6),'pay group &amp; schedule'!$D$2:$D$6,0))</f>
        <v>46311</v>
      </c>
      <c r="N266" s="43" t="str">
        <f aca="false" t="array" ref="N266:N266">_xlfn.LET(_xlpm.t,_xlfn.XLOOKUP($A266,TRIM(SUBSTITUTE('worker file'!$A$2:$A$406,_xlfn.UNICHAR(160)," ")),'worker file'!$N$2:$N$406,""),IF(N(_xlpm.t)=0,"",_xlpm.t))</f>
        <v/>
      </c>
    </row>
    <row r="267" customFormat="false" ht="15" hidden="false" customHeight="false" outlineLevel="0" collapsed="false">
      <c r="A267" s="39" t="s">
        <v>192</v>
      </c>
      <c r="B267" s="40" t="str">
        <f aca="false" t="array" ref="B267:B267">_xlfn.XLOOKUP($A267,TRIM(SUBSTITUTE('worker file'!$A$2:$A$406,_xlfn.UNICHAR(160)," ")),'worker file'!$L$2:$L$406,"Not found")</f>
        <v>US Semi-monthly</v>
      </c>
      <c r="C267" s="40" t="str">
        <f aca="false" t="array" ref="C267:C267">_xlfn.XLOOKUP($A267,TRIM(SUBSTITUTE('worker file'!$A$2:$A$406,_xlfn.UNICHAR(160)," ")),'worker file'!$D$2:$D$406,"Not found")</f>
        <v>TX</v>
      </c>
      <c r="D267" s="40" t="str">
        <f aca="false" t="array" ref="D267:D267">_xlfn.XLOOKUP($A267,TRIM(SUBSTITUTE('worker file'!$A$2:$A$406,_xlfn.UNICHAR(160)," ")),'worker file'!$Q$2:$Q$406,"Not found")</f>
        <v>Active</v>
      </c>
      <c r="E267" s="39" t="s">
        <v>632</v>
      </c>
      <c r="F267" s="38" t="str">
        <f aca="false">_xlfn.XLOOKUP($E267,$A$5:$A$8,$B$5:$B$8,"")</f>
        <v>Dental – Employee</v>
      </c>
      <c r="G267" s="38" t="str">
        <f aca="false">_xlfn.XLOOKUP($E267,$A$5:$A$8,$D$5:$D$8,"")</f>
        <v>Pre-tax Section 125 (exempt from FIT/SIT/FICA)</v>
      </c>
      <c r="H267" s="38" t="str">
        <f aca="false">_xlfn.XLOOKUP($E267,$A$5:$A$8,$E$5:$E$8,"")</f>
        <v>Flat</v>
      </c>
      <c r="I267" s="44" t="str">
        <f aca="false">IF($H267="Percent",_xlfn.XLOOKUP($E267,$A$5:$A$8,$F$5:$F$8,""),"")</f>
        <v/>
      </c>
      <c r="J267" s="42" t="n">
        <f aca="false">IF($H267="Flat",_xlfn.XLOOKUP($E267,$A$5:$A$8,$F$5:$F$8,""),"")</f>
        <v>44</v>
      </c>
      <c r="K267" s="38" t="str">
        <f aca="false">_xlfn.XLOOKUP($E267,$A$5:$A$8,$G$5:$G$8,"")</f>
        <v>Per pay period</v>
      </c>
      <c r="L267" s="38" t="str">
        <f aca="false">_xlfn.XLOOKUP($E267,$A$5:$A$8,$H$5:$H$8,"")</f>
        <v>Every pay period (ongoing)</v>
      </c>
      <c r="M267" s="43" t="n">
        <f aca="false" t="array" ref="M267:M267">MAX(_xlfn.XLOOKUP($A267,TRIM(SUBSTITUTE('worker file'!$A$2:$A$406,_xlfn.UNICHAR(160)," ")),'worker file'!$M$2:$M$406,0),_xlfn.XLOOKUP($B267,TRIM('pay group &amp; schedule'!$A$2:$A$6),'pay group &amp; schedule'!$D$2:$D$6,0))</f>
        <v>46311</v>
      </c>
      <c r="N267" s="43" t="str">
        <f aca="false" t="array" ref="N267:N267">_xlfn.LET(_xlpm.t,_xlfn.XLOOKUP($A267,TRIM(SUBSTITUTE('worker file'!$A$2:$A$406,_xlfn.UNICHAR(160)," ")),'worker file'!$N$2:$N$406,""),IF(N(_xlpm.t)=0,"",_xlpm.t))</f>
        <v/>
      </c>
    </row>
    <row r="268" customFormat="false" ht="15" hidden="false" customHeight="false" outlineLevel="0" collapsed="false">
      <c r="A268" s="39" t="s">
        <v>192</v>
      </c>
      <c r="B268" s="40" t="str">
        <f aca="false" t="array" ref="B268:B268">_xlfn.XLOOKUP($A268,TRIM(SUBSTITUTE('worker file'!$A$2:$A$406,_xlfn.UNICHAR(160)," ")),'worker file'!$L$2:$L$406,"Not found")</f>
        <v>US Semi-monthly</v>
      </c>
      <c r="C268" s="40" t="str">
        <f aca="false" t="array" ref="C268:C268">_xlfn.XLOOKUP($A268,TRIM(SUBSTITUTE('worker file'!$A$2:$A$406,_xlfn.UNICHAR(160)," ")),'worker file'!$D$2:$D$406,"Not found")</f>
        <v>TX</v>
      </c>
      <c r="D268" s="40" t="str">
        <f aca="false" t="array" ref="D268:D268">_xlfn.XLOOKUP($A268,TRIM(SUBSTITUTE('worker file'!$A$2:$A$406,_xlfn.UNICHAR(160)," ")),'worker file'!$Q$2:$Q$406,"Not found")</f>
        <v>Active</v>
      </c>
      <c r="E268" s="39" t="s">
        <v>634</v>
      </c>
      <c r="F268" s="38" t="str">
        <f aca="false">_xlfn.XLOOKUP($E268,$A$5:$A$8,$B$5:$B$8,"")</f>
        <v>Vision – Employee</v>
      </c>
      <c r="G268" s="38" t="str">
        <f aca="false">_xlfn.XLOOKUP($E268,$A$5:$A$8,$D$5:$D$8,"")</f>
        <v>Pre-tax Section 125 (exempt from FIT/SIT/FICA)</v>
      </c>
      <c r="H268" s="38" t="str">
        <f aca="false">_xlfn.XLOOKUP($E268,$A$5:$A$8,$E$5:$E$8,"")</f>
        <v>Flat</v>
      </c>
      <c r="I268" s="44" t="str">
        <f aca="false">IF($H268="Percent",_xlfn.XLOOKUP($E268,$A$5:$A$8,$F$5:$F$8,""),"")</f>
        <v/>
      </c>
      <c r="J268" s="42" t="n">
        <f aca="false">IF($H268="Flat",_xlfn.XLOOKUP($E268,$A$5:$A$8,$F$5:$F$8,""),"")</f>
        <v>30</v>
      </c>
      <c r="K268" s="38" t="str">
        <f aca="false">_xlfn.XLOOKUP($E268,$A$5:$A$8,$G$5:$G$8,"")</f>
        <v>Per pay period</v>
      </c>
      <c r="L268" s="38" t="str">
        <f aca="false">_xlfn.XLOOKUP($E268,$A$5:$A$8,$H$5:$H$8,"")</f>
        <v>Every pay period (ongoing)</v>
      </c>
      <c r="M268" s="43" t="n">
        <f aca="false" t="array" ref="M268:M268">MAX(_xlfn.XLOOKUP($A268,TRIM(SUBSTITUTE('worker file'!$A$2:$A$406,_xlfn.UNICHAR(160)," ")),'worker file'!$M$2:$M$406,0),_xlfn.XLOOKUP($B268,TRIM('pay group &amp; schedule'!$A$2:$A$6),'pay group &amp; schedule'!$D$2:$D$6,0))</f>
        <v>46311</v>
      </c>
      <c r="N268" s="43" t="str">
        <f aca="false" t="array" ref="N268:N268">_xlfn.LET(_xlpm.t,_xlfn.XLOOKUP($A268,TRIM(SUBSTITUTE('worker file'!$A$2:$A$406,_xlfn.UNICHAR(160)," ")),'worker file'!$N$2:$N$406,""),IF(N(_xlpm.t)=0,"",_xlpm.t))</f>
        <v/>
      </c>
    </row>
    <row r="269" customFormat="false" ht="15" hidden="false" customHeight="false" outlineLevel="0" collapsed="false">
      <c r="A269" s="39" t="s">
        <v>194</v>
      </c>
      <c r="B269" s="40" t="str">
        <f aca="false" t="array" ref="B269:B269">_xlfn.XLOOKUP($A269,TRIM(SUBSTITUTE('worker file'!$A$2:$A$406,_xlfn.UNICHAR(160)," ")),'worker file'!$L$2:$L$406,"Not found")</f>
        <v>US Biweekly</v>
      </c>
      <c r="C269" s="40" t="str">
        <f aca="false" t="array" ref="C269:C269">_xlfn.XLOOKUP($A269,TRIM(SUBSTITUTE('worker file'!$A$2:$A$406,_xlfn.UNICHAR(160)," ")),'worker file'!$D$2:$D$406,"Not found")</f>
        <v>CA</v>
      </c>
      <c r="D269" s="40" t="str">
        <f aca="false" t="array" ref="D269:D269">_xlfn.XLOOKUP($A269,TRIM(SUBSTITUTE('worker file'!$A$2:$A$406,_xlfn.UNICHAR(160)," ")),'worker file'!$Q$2:$Q$406,"Not found")</f>
        <v>Active</v>
      </c>
      <c r="E269" s="39" t="s">
        <v>618</v>
      </c>
      <c r="F269" s="38" t="str">
        <f aca="false">_xlfn.XLOOKUP($E269,$A$5:$A$8,$B$5:$B$8,"")</f>
        <v>401(k) Employee Deferral</v>
      </c>
      <c r="G269" s="38" t="str">
        <f aca="false">_xlfn.XLOOKUP($E269,$A$5:$A$8,$D$5:$D$8,"")</f>
        <v>Pre-tax (exempt from FIT/SIT; subject to FICA)</v>
      </c>
      <c r="H269" s="38" t="str">
        <f aca="false">_xlfn.XLOOKUP($E269,$A$5:$A$8,$E$5:$E$8,"")</f>
        <v>Percent</v>
      </c>
      <c r="I269" s="41" t="n">
        <v>0.05</v>
      </c>
      <c r="J269" s="42" t="str">
        <f aca="false">IF($H269="Flat",_xlfn.XLOOKUP($E269,$A$5:$A$8,$F$5:$F$8,""),"")</f>
        <v/>
      </c>
      <c r="K269" s="38" t="str">
        <f aca="false">_xlfn.XLOOKUP($E269,$A$5:$A$8,$G$5:$G$8,"")</f>
        <v>Gross pay</v>
      </c>
      <c r="L269" s="38" t="str">
        <f aca="false">_xlfn.XLOOKUP($E269,$A$5:$A$8,$H$5:$H$8,"")</f>
        <v>Every pay period (ongoing)</v>
      </c>
      <c r="M269" s="43" t="n">
        <f aca="false" t="array" ref="M269:M269">MAX(_xlfn.XLOOKUP($A269,TRIM(SUBSTITUTE('worker file'!$A$2:$A$406,_xlfn.UNICHAR(160)," ")),'worker file'!$M$2:$M$406,0),_xlfn.XLOOKUP($B269,TRIM('pay group &amp; schedule'!$A$2:$A$6),'pay group &amp; schedule'!$D$2:$D$6,0))</f>
        <v>46299</v>
      </c>
      <c r="N269" s="43" t="str">
        <f aca="false" t="array" ref="N269:N269">_xlfn.LET(_xlpm.t,_xlfn.XLOOKUP($A269,TRIM(SUBSTITUTE('worker file'!$A$2:$A$406,_xlfn.UNICHAR(160)," ")),'worker file'!$N$2:$N$406,""),IF(N(_xlpm.t)=0,"",_xlpm.t))</f>
        <v/>
      </c>
    </row>
    <row r="270" customFormat="false" ht="15" hidden="false" customHeight="false" outlineLevel="0" collapsed="false">
      <c r="A270" s="39" t="s">
        <v>194</v>
      </c>
      <c r="B270" s="40" t="str">
        <f aca="false" t="array" ref="B270:B270">_xlfn.XLOOKUP($A270,TRIM(SUBSTITUTE('worker file'!$A$2:$A$406,_xlfn.UNICHAR(160)," ")),'worker file'!$L$2:$L$406,"Not found")</f>
        <v>US Biweekly</v>
      </c>
      <c r="C270" s="40" t="str">
        <f aca="false" t="array" ref="C270:C270">_xlfn.XLOOKUP($A270,TRIM(SUBSTITUTE('worker file'!$A$2:$A$406,_xlfn.UNICHAR(160)," ")),'worker file'!$D$2:$D$406,"Not found")</f>
        <v>CA</v>
      </c>
      <c r="D270" s="40" t="str">
        <f aca="false" t="array" ref="D270:D270">_xlfn.XLOOKUP($A270,TRIM(SUBSTITUTE('worker file'!$A$2:$A$406,_xlfn.UNICHAR(160)," ")),'worker file'!$Q$2:$Q$406,"Not found")</f>
        <v>Active</v>
      </c>
      <c r="E270" s="39" t="s">
        <v>626</v>
      </c>
      <c r="F270" s="38" t="str">
        <f aca="false">_xlfn.XLOOKUP($E270,$A$5:$A$8,$B$5:$B$8,"")</f>
        <v>Medical (Health) – Employee</v>
      </c>
      <c r="G270" s="38" t="str">
        <f aca="false">_xlfn.XLOOKUP($E270,$A$5:$A$8,$D$5:$D$8,"")</f>
        <v>Pre-tax Section 125 (exempt from FIT/SIT/FICA)</v>
      </c>
      <c r="H270" s="38" t="str">
        <f aca="false">_xlfn.XLOOKUP($E270,$A$5:$A$8,$E$5:$E$8,"")</f>
        <v>Flat</v>
      </c>
      <c r="I270" s="44" t="str">
        <f aca="false">IF($H270="Percent",_xlfn.XLOOKUP($E270,$A$5:$A$8,$F$5:$F$8,""),"")</f>
        <v/>
      </c>
      <c r="J270" s="42" t="n">
        <f aca="false">IF($H270="Flat",_xlfn.XLOOKUP($E270,$A$5:$A$8,$F$5:$F$8,""),"")</f>
        <v>200</v>
      </c>
      <c r="K270" s="38" t="str">
        <f aca="false">_xlfn.XLOOKUP($E270,$A$5:$A$8,$G$5:$G$8,"")</f>
        <v>Per pay period</v>
      </c>
      <c r="L270" s="38" t="str">
        <f aca="false">_xlfn.XLOOKUP($E270,$A$5:$A$8,$H$5:$H$8,"")</f>
        <v>Every pay period (ongoing)</v>
      </c>
      <c r="M270" s="43" t="n">
        <f aca="false" t="array" ref="M270:M270">MAX(_xlfn.XLOOKUP($A270,TRIM(SUBSTITUTE('worker file'!$A$2:$A$406,_xlfn.UNICHAR(160)," ")),'worker file'!$M$2:$M$406,0),_xlfn.XLOOKUP($B270,TRIM('pay group &amp; schedule'!$A$2:$A$6),'pay group &amp; schedule'!$D$2:$D$6,0))</f>
        <v>46299</v>
      </c>
      <c r="N270" s="43" t="str">
        <f aca="false" t="array" ref="N270:N270">_xlfn.LET(_xlpm.t,_xlfn.XLOOKUP($A270,TRIM(SUBSTITUTE('worker file'!$A$2:$A$406,_xlfn.UNICHAR(160)," ")),'worker file'!$N$2:$N$406,""),IF(N(_xlpm.t)=0,"",_xlpm.t))</f>
        <v/>
      </c>
    </row>
    <row r="271" customFormat="false" ht="15" hidden="false" customHeight="false" outlineLevel="0" collapsed="false">
      <c r="A271" s="39" t="s">
        <v>194</v>
      </c>
      <c r="B271" s="40" t="str">
        <f aca="false" t="array" ref="B271:B271">_xlfn.XLOOKUP($A271,TRIM(SUBSTITUTE('worker file'!$A$2:$A$406,_xlfn.UNICHAR(160)," ")),'worker file'!$L$2:$L$406,"Not found")</f>
        <v>US Biweekly</v>
      </c>
      <c r="C271" s="40" t="str">
        <f aca="false" t="array" ref="C271:C271">_xlfn.XLOOKUP($A271,TRIM(SUBSTITUTE('worker file'!$A$2:$A$406,_xlfn.UNICHAR(160)," ")),'worker file'!$D$2:$D$406,"Not found")</f>
        <v>CA</v>
      </c>
      <c r="D271" s="40" t="str">
        <f aca="false" t="array" ref="D271:D271">_xlfn.XLOOKUP($A271,TRIM(SUBSTITUTE('worker file'!$A$2:$A$406,_xlfn.UNICHAR(160)," ")),'worker file'!$Q$2:$Q$406,"Not found")</f>
        <v>Active</v>
      </c>
      <c r="E271" s="39" t="s">
        <v>632</v>
      </c>
      <c r="F271" s="38" t="str">
        <f aca="false">_xlfn.XLOOKUP($E271,$A$5:$A$8,$B$5:$B$8,"")</f>
        <v>Dental – Employee</v>
      </c>
      <c r="G271" s="38" t="str">
        <f aca="false">_xlfn.XLOOKUP($E271,$A$5:$A$8,$D$5:$D$8,"")</f>
        <v>Pre-tax Section 125 (exempt from FIT/SIT/FICA)</v>
      </c>
      <c r="H271" s="38" t="str">
        <f aca="false">_xlfn.XLOOKUP($E271,$A$5:$A$8,$E$5:$E$8,"")</f>
        <v>Flat</v>
      </c>
      <c r="I271" s="44" t="str">
        <f aca="false">IF($H271="Percent",_xlfn.XLOOKUP($E271,$A$5:$A$8,$F$5:$F$8,""),"")</f>
        <v/>
      </c>
      <c r="J271" s="42" t="n">
        <f aca="false">IF($H271="Flat",_xlfn.XLOOKUP($E271,$A$5:$A$8,$F$5:$F$8,""),"")</f>
        <v>44</v>
      </c>
      <c r="K271" s="38" t="str">
        <f aca="false">_xlfn.XLOOKUP($E271,$A$5:$A$8,$G$5:$G$8,"")</f>
        <v>Per pay period</v>
      </c>
      <c r="L271" s="38" t="str">
        <f aca="false">_xlfn.XLOOKUP($E271,$A$5:$A$8,$H$5:$H$8,"")</f>
        <v>Every pay period (ongoing)</v>
      </c>
      <c r="M271" s="43" t="n">
        <f aca="false" t="array" ref="M271:M271">MAX(_xlfn.XLOOKUP($A271,TRIM(SUBSTITUTE('worker file'!$A$2:$A$406,_xlfn.UNICHAR(160)," ")),'worker file'!$M$2:$M$406,0),_xlfn.XLOOKUP($B271,TRIM('pay group &amp; schedule'!$A$2:$A$6),'pay group &amp; schedule'!$D$2:$D$6,0))</f>
        <v>46299</v>
      </c>
      <c r="N271" s="43" t="str">
        <f aca="false" t="array" ref="N271:N271">_xlfn.LET(_xlpm.t,_xlfn.XLOOKUP($A271,TRIM(SUBSTITUTE('worker file'!$A$2:$A$406,_xlfn.UNICHAR(160)," ")),'worker file'!$N$2:$N$406,""),IF(N(_xlpm.t)=0,"",_xlpm.t))</f>
        <v/>
      </c>
    </row>
    <row r="272" customFormat="false" ht="15" hidden="false" customHeight="false" outlineLevel="0" collapsed="false">
      <c r="A272" s="39" t="s">
        <v>194</v>
      </c>
      <c r="B272" s="40" t="str">
        <f aca="false" t="array" ref="B272:B272">_xlfn.XLOOKUP($A272,TRIM(SUBSTITUTE('worker file'!$A$2:$A$406,_xlfn.UNICHAR(160)," ")),'worker file'!$L$2:$L$406,"Not found")</f>
        <v>US Biweekly</v>
      </c>
      <c r="C272" s="40" t="str">
        <f aca="false" t="array" ref="C272:C272">_xlfn.XLOOKUP($A272,TRIM(SUBSTITUTE('worker file'!$A$2:$A$406,_xlfn.UNICHAR(160)," ")),'worker file'!$D$2:$D$406,"Not found")</f>
        <v>CA</v>
      </c>
      <c r="D272" s="40" t="str">
        <f aca="false" t="array" ref="D272:D272">_xlfn.XLOOKUP($A272,TRIM(SUBSTITUTE('worker file'!$A$2:$A$406,_xlfn.UNICHAR(160)," ")),'worker file'!$Q$2:$Q$406,"Not found")</f>
        <v>Active</v>
      </c>
      <c r="E272" s="39" t="s">
        <v>634</v>
      </c>
      <c r="F272" s="38" t="str">
        <f aca="false">_xlfn.XLOOKUP($E272,$A$5:$A$8,$B$5:$B$8,"")</f>
        <v>Vision – Employee</v>
      </c>
      <c r="G272" s="38" t="str">
        <f aca="false">_xlfn.XLOOKUP($E272,$A$5:$A$8,$D$5:$D$8,"")</f>
        <v>Pre-tax Section 125 (exempt from FIT/SIT/FICA)</v>
      </c>
      <c r="H272" s="38" t="str">
        <f aca="false">_xlfn.XLOOKUP($E272,$A$5:$A$8,$E$5:$E$8,"")</f>
        <v>Flat</v>
      </c>
      <c r="I272" s="44" t="str">
        <f aca="false">IF($H272="Percent",_xlfn.XLOOKUP($E272,$A$5:$A$8,$F$5:$F$8,""),"")</f>
        <v/>
      </c>
      <c r="J272" s="42" t="n">
        <f aca="false">IF($H272="Flat",_xlfn.XLOOKUP($E272,$A$5:$A$8,$F$5:$F$8,""),"")</f>
        <v>30</v>
      </c>
      <c r="K272" s="38" t="str">
        <f aca="false">_xlfn.XLOOKUP($E272,$A$5:$A$8,$G$5:$G$8,"")</f>
        <v>Per pay period</v>
      </c>
      <c r="L272" s="38" t="str">
        <f aca="false">_xlfn.XLOOKUP($E272,$A$5:$A$8,$H$5:$H$8,"")</f>
        <v>Every pay period (ongoing)</v>
      </c>
      <c r="M272" s="43" t="n">
        <f aca="false" t="array" ref="M272:M272">MAX(_xlfn.XLOOKUP($A272,TRIM(SUBSTITUTE('worker file'!$A$2:$A$406,_xlfn.UNICHAR(160)," ")),'worker file'!$M$2:$M$406,0),_xlfn.XLOOKUP($B272,TRIM('pay group &amp; schedule'!$A$2:$A$6),'pay group &amp; schedule'!$D$2:$D$6,0))</f>
        <v>46299</v>
      </c>
      <c r="N272" s="43" t="str">
        <f aca="false" t="array" ref="N272:N272">_xlfn.LET(_xlpm.t,_xlfn.XLOOKUP($A272,TRIM(SUBSTITUTE('worker file'!$A$2:$A$406,_xlfn.UNICHAR(160)," ")),'worker file'!$N$2:$N$406,""),IF(N(_xlpm.t)=0,"",_xlpm.t))</f>
        <v/>
      </c>
    </row>
    <row r="273" customFormat="false" ht="15" hidden="false" customHeight="false" outlineLevel="0" collapsed="false">
      <c r="A273" s="39" t="s">
        <v>195</v>
      </c>
      <c r="B273" s="40" t="str">
        <f aca="false" t="array" ref="B273:B273">_xlfn.XLOOKUP($A273,TRIM(SUBSTITUTE('worker file'!$A$2:$A$406,_xlfn.UNICHAR(160)," ")),'worker file'!$L$2:$L$406,"Not found")</f>
        <v>US Semi-monthly</v>
      </c>
      <c r="C273" s="40" t="str">
        <f aca="false" t="array" ref="C273:C273">_xlfn.XLOOKUP($A273,TRIM(SUBSTITUTE('worker file'!$A$2:$A$406,_xlfn.UNICHAR(160)," ")),'worker file'!$D$2:$D$406,"Not found")</f>
        <v>CA</v>
      </c>
      <c r="D273" s="40" t="str">
        <f aca="false" t="array" ref="D273:D273">_xlfn.XLOOKUP($A273,TRIM(SUBSTITUTE('worker file'!$A$2:$A$406,_xlfn.UNICHAR(160)," ")),'worker file'!$Q$2:$Q$406,"Not found")</f>
        <v>Active</v>
      </c>
      <c r="E273" s="39" t="s">
        <v>618</v>
      </c>
      <c r="F273" s="38" t="str">
        <f aca="false">_xlfn.XLOOKUP($E273,$A$5:$A$8,$B$5:$B$8,"")</f>
        <v>401(k) Employee Deferral</v>
      </c>
      <c r="G273" s="38" t="str">
        <f aca="false">_xlfn.XLOOKUP($E273,$A$5:$A$8,$D$5:$D$8,"")</f>
        <v>Pre-tax (exempt from FIT/SIT; subject to FICA)</v>
      </c>
      <c r="H273" s="38" t="str">
        <f aca="false">_xlfn.XLOOKUP($E273,$A$5:$A$8,$E$5:$E$8,"")</f>
        <v>Percent</v>
      </c>
      <c r="I273" s="41" t="n">
        <v>0.02</v>
      </c>
      <c r="J273" s="42" t="str">
        <f aca="false">IF($H273="Flat",_xlfn.XLOOKUP($E273,$A$5:$A$8,$F$5:$F$8,""),"")</f>
        <v/>
      </c>
      <c r="K273" s="38" t="str">
        <f aca="false">_xlfn.XLOOKUP($E273,$A$5:$A$8,$G$5:$G$8,"")</f>
        <v>Gross pay</v>
      </c>
      <c r="L273" s="38" t="str">
        <f aca="false">_xlfn.XLOOKUP($E273,$A$5:$A$8,$H$5:$H$8,"")</f>
        <v>Every pay period (ongoing)</v>
      </c>
      <c r="M273" s="43" t="n">
        <f aca="false" t="array" ref="M273:M273">MAX(_xlfn.XLOOKUP($A273,TRIM(SUBSTITUTE('worker file'!$A$2:$A$406,_xlfn.UNICHAR(160)," ")),'worker file'!$M$2:$M$406,0),_xlfn.XLOOKUP($B273,TRIM('pay group &amp; schedule'!$A$2:$A$6),'pay group &amp; schedule'!$D$2:$D$6,0))</f>
        <v>46311</v>
      </c>
      <c r="N273" s="43" t="str">
        <f aca="false" t="array" ref="N273:N273">_xlfn.LET(_xlpm.t,_xlfn.XLOOKUP($A273,TRIM(SUBSTITUTE('worker file'!$A$2:$A$406,_xlfn.UNICHAR(160)," ")),'worker file'!$N$2:$N$406,""),IF(N(_xlpm.t)=0,"",_xlpm.t))</f>
        <v/>
      </c>
    </row>
    <row r="274" customFormat="false" ht="15" hidden="false" customHeight="false" outlineLevel="0" collapsed="false">
      <c r="A274" s="39" t="s">
        <v>195</v>
      </c>
      <c r="B274" s="40" t="str">
        <f aca="false" t="array" ref="B274:B274">_xlfn.XLOOKUP($A274,TRIM(SUBSTITUTE('worker file'!$A$2:$A$406,_xlfn.UNICHAR(160)," ")),'worker file'!$L$2:$L$406,"Not found")</f>
        <v>US Semi-monthly</v>
      </c>
      <c r="C274" s="40" t="str">
        <f aca="false" t="array" ref="C274:C274">_xlfn.XLOOKUP($A274,TRIM(SUBSTITUTE('worker file'!$A$2:$A$406,_xlfn.UNICHAR(160)," ")),'worker file'!$D$2:$D$406,"Not found")</f>
        <v>CA</v>
      </c>
      <c r="D274" s="40" t="str">
        <f aca="false" t="array" ref="D274:D274">_xlfn.XLOOKUP($A274,TRIM(SUBSTITUTE('worker file'!$A$2:$A$406,_xlfn.UNICHAR(160)," ")),'worker file'!$Q$2:$Q$406,"Not found")</f>
        <v>Active</v>
      </c>
      <c r="E274" s="39" t="s">
        <v>626</v>
      </c>
      <c r="F274" s="38" t="str">
        <f aca="false">_xlfn.XLOOKUP($E274,$A$5:$A$8,$B$5:$B$8,"")</f>
        <v>Medical (Health) – Employee</v>
      </c>
      <c r="G274" s="38" t="str">
        <f aca="false">_xlfn.XLOOKUP($E274,$A$5:$A$8,$D$5:$D$8,"")</f>
        <v>Pre-tax Section 125 (exempt from FIT/SIT/FICA)</v>
      </c>
      <c r="H274" s="38" t="str">
        <f aca="false">_xlfn.XLOOKUP($E274,$A$5:$A$8,$E$5:$E$8,"")</f>
        <v>Flat</v>
      </c>
      <c r="I274" s="44" t="str">
        <f aca="false">IF($H274="Percent",_xlfn.XLOOKUP($E274,$A$5:$A$8,$F$5:$F$8,""),"")</f>
        <v/>
      </c>
      <c r="J274" s="42" t="n">
        <f aca="false">IF($H274="Flat",_xlfn.XLOOKUP($E274,$A$5:$A$8,$F$5:$F$8,""),"")</f>
        <v>200</v>
      </c>
      <c r="K274" s="38" t="str">
        <f aca="false">_xlfn.XLOOKUP($E274,$A$5:$A$8,$G$5:$G$8,"")</f>
        <v>Per pay period</v>
      </c>
      <c r="L274" s="38" t="str">
        <f aca="false">_xlfn.XLOOKUP($E274,$A$5:$A$8,$H$5:$H$8,"")</f>
        <v>Every pay period (ongoing)</v>
      </c>
      <c r="M274" s="43" t="n">
        <f aca="false" t="array" ref="M274:M274">MAX(_xlfn.XLOOKUP($A274,TRIM(SUBSTITUTE('worker file'!$A$2:$A$406,_xlfn.UNICHAR(160)," ")),'worker file'!$M$2:$M$406,0),_xlfn.XLOOKUP($B274,TRIM('pay group &amp; schedule'!$A$2:$A$6),'pay group &amp; schedule'!$D$2:$D$6,0))</f>
        <v>46311</v>
      </c>
      <c r="N274" s="43" t="str">
        <f aca="false" t="array" ref="N274:N274">_xlfn.LET(_xlpm.t,_xlfn.XLOOKUP($A274,TRIM(SUBSTITUTE('worker file'!$A$2:$A$406,_xlfn.UNICHAR(160)," ")),'worker file'!$N$2:$N$406,""),IF(N(_xlpm.t)=0,"",_xlpm.t))</f>
        <v/>
      </c>
    </row>
    <row r="275" customFormat="false" ht="15" hidden="false" customHeight="false" outlineLevel="0" collapsed="false">
      <c r="A275" s="39" t="s">
        <v>195</v>
      </c>
      <c r="B275" s="40" t="str">
        <f aca="false" t="array" ref="B275:B275">_xlfn.XLOOKUP($A275,TRIM(SUBSTITUTE('worker file'!$A$2:$A$406,_xlfn.UNICHAR(160)," ")),'worker file'!$L$2:$L$406,"Not found")</f>
        <v>US Semi-monthly</v>
      </c>
      <c r="C275" s="40" t="str">
        <f aca="false" t="array" ref="C275:C275">_xlfn.XLOOKUP($A275,TRIM(SUBSTITUTE('worker file'!$A$2:$A$406,_xlfn.UNICHAR(160)," ")),'worker file'!$D$2:$D$406,"Not found")</f>
        <v>CA</v>
      </c>
      <c r="D275" s="40" t="str">
        <f aca="false" t="array" ref="D275:D275">_xlfn.XLOOKUP($A275,TRIM(SUBSTITUTE('worker file'!$A$2:$A$406,_xlfn.UNICHAR(160)," ")),'worker file'!$Q$2:$Q$406,"Not found")</f>
        <v>Active</v>
      </c>
      <c r="E275" s="39" t="s">
        <v>632</v>
      </c>
      <c r="F275" s="38" t="str">
        <f aca="false">_xlfn.XLOOKUP($E275,$A$5:$A$8,$B$5:$B$8,"")</f>
        <v>Dental – Employee</v>
      </c>
      <c r="G275" s="38" t="str">
        <f aca="false">_xlfn.XLOOKUP($E275,$A$5:$A$8,$D$5:$D$8,"")</f>
        <v>Pre-tax Section 125 (exempt from FIT/SIT/FICA)</v>
      </c>
      <c r="H275" s="38" t="str">
        <f aca="false">_xlfn.XLOOKUP($E275,$A$5:$A$8,$E$5:$E$8,"")</f>
        <v>Flat</v>
      </c>
      <c r="I275" s="44" t="str">
        <f aca="false">IF($H275="Percent",_xlfn.XLOOKUP($E275,$A$5:$A$8,$F$5:$F$8,""),"")</f>
        <v/>
      </c>
      <c r="J275" s="42" t="n">
        <f aca="false">IF($H275="Flat",_xlfn.XLOOKUP($E275,$A$5:$A$8,$F$5:$F$8,""),"")</f>
        <v>44</v>
      </c>
      <c r="K275" s="38" t="str">
        <f aca="false">_xlfn.XLOOKUP($E275,$A$5:$A$8,$G$5:$G$8,"")</f>
        <v>Per pay period</v>
      </c>
      <c r="L275" s="38" t="str">
        <f aca="false">_xlfn.XLOOKUP($E275,$A$5:$A$8,$H$5:$H$8,"")</f>
        <v>Every pay period (ongoing)</v>
      </c>
      <c r="M275" s="43" t="n">
        <f aca="false" t="array" ref="M275:M275">MAX(_xlfn.XLOOKUP($A275,TRIM(SUBSTITUTE('worker file'!$A$2:$A$406,_xlfn.UNICHAR(160)," ")),'worker file'!$M$2:$M$406,0),_xlfn.XLOOKUP($B275,TRIM('pay group &amp; schedule'!$A$2:$A$6),'pay group &amp; schedule'!$D$2:$D$6,0))</f>
        <v>46311</v>
      </c>
      <c r="N275" s="43" t="str">
        <f aca="false" t="array" ref="N275:N275">_xlfn.LET(_xlpm.t,_xlfn.XLOOKUP($A275,TRIM(SUBSTITUTE('worker file'!$A$2:$A$406,_xlfn.UNICHAR(160)," ")),'worker file'!$N$2:$N$406,""),IF(N(_xlpm.t)=0,"",_xlpm.t))</f>
        <v/>
      </c>
    </row>
    <row r="276" customFormat="false" ht="15" hidden="false" customHeight="false" outlineLevel="0" collapsed="false">
      <c r="A276" s="39" t="s">
        <v>195</v>
      </c>
      <c r="B276" s="40" t="str">
        <f aca="false" t="array" ref="B276:B276">_xlfn.XLOOKUP($A276,TRIM(SUBSTITUTE('worker file'!$A$2:$A$406,_xlfn.UNICHAR(160)," ")),'worker file'!$L$2:$L$406,"Not found")</f>
        <v>US Semi-monthly</v>
      </c>
      <c r="C276" s="40" t="str">
        <f aca="false" t="array" ref="C276:C276">_xlfn.XLOOKUP($A276,TRIM(SUBSTITUTE('worker file'!$A$2:$A$406,_xlfn.UNICHAR(160)," ")),'worker file'!$D$2:$D$406,"Not found")</f>
        <v>CA</v>
      </c>
      <c r="D276" s="40" t="str">
        <f aca="false" t="array" ref="D276:D276">_xlfn.XLOOKUP($A276,TRIM(SUBSTITUTE('worker file'!$A$2:$A$406,_xlfn.UNICHAR(160)," ")),'worker file'!$Q$2:$Q$406,"Not found")</f>
        <v>Active</v>
      </c>
      <c r="E276" s="39" t="s">
        <v>634</v>
      </c>
      <c r="F276" s="38" t="str">
        <f aca="false">_xlfn.XLOOKUP($E276,$A$5:$A$8,$B$5:$B$8,"")</f>
        <v>Vision – Employee</v>
      </c>
      <c r="G276" s="38" t="str">
        <f aca="false">_xlfn.XLOOKUP($E276,$A$5:$A$8,$D$5:$D$8,"")</f>
        <v>Pre-tax Section 125 (exempt from FIT/SIT/FICA)</v>
      </c>
      <c r="H276" s="38" t="str">
        <f aca="false">_xlfn.XLOOKUP($E276,$A$5:$A$8,$E$5:$E$8,"")</f>
        <v>Flat</v>
      </c>
      <c r="I276" s="44" t="str">
        <f aca="false">IF($H276="Percent",_xlfn.XLOOKUP($E276,$A$5:$A$8,$F$5:$F$8,""),"")</f>
        <v/>
      </c>
      <c r="J276" s="42" t="n">
        <f aca="false">IF($H276="Flat",_xlfn.XLOOKUP($E276,$A$5:$A$8,$F$5:$F$8,""),"")</f>
        <v>30</v>
      </c>
      <c r="K276" s="38" t="str">
        <f aca="false">_xlfn.XLOOKUP($E276,$A$5:$A$8,$G$5:$G$8,"")</f>
        <v>Per pay period</v>
      </c>
      <c r="L276" s="38" t="str">
        <f aca="false">_xlfn.XLOOKUP($E276,$A$5:$A$8,$H$5:$H$8,"")</f>
        <v>Every pay period (ongoing)</v>
      </c>
      <c r="M276" s="43" t="n">
        <f aca="false" t="array" ref="M276:M276">MAX(_xlfn.XLOOKUP($A276,TRIM(SUBSTITUTE('worker file'!$A$2:$A$406,_xlfn.UNICHAR(160)," ")),'worker file'!$M$2:$M$406,0),_xlfn.XLOOKUP($B276,TRIM('pay group &amp; schedule'!$A$2:$A$6),'pay group &amp; schedule'!$D$2:$D$6,0))</f>
        <v>46311</v>
      </c>
      <c r="N276" s="43" t="str">
        <f aca="false" t="array" ref="N276:N276">_xlfn.LET(_xlpm.t,_xlfn.XLOOKUP($A276,TRIM(SUBSTITUTE('worker file'!$A$2:$A$406,_xlfn.UNICHAR(160)," ")),'worker file'!$N$2:$N$406,""),IF(N(_xlpm.t)=0,"",_xlpm.t))</f>
        <v/>
      </c>
    </row>
    <row r="277" customFormat="false" ht="15" hidden="false" customHeight="false" outlineLevel="0" collapsed="false">
      <c r="A277" s="39" t="s">
        <v>196</v>
      </c>
      <c r="B277" s="40" t="str">
        <f aca="false" t="array" ref="B277:B277">_xlfn.XLOOKUP($A277,TRIM(SUBSTITUTE('worker file'!$A$2:$A$406,_xlfn.UNICHAR(160)," ")),'worker file'!$L$2:$L$406,"Not found")</f>
        <v>US Biweekly</v>
      </c>
      <c r="C277" s="40" t="str">
        <f aca="false" t="array" ref="C277:C277">_xlfn.XLOOKUP($A277,TRIM(SUBSTITUTE('worker file'!$A$2:$A$406,_xlfn.UNICHAR(160)," ")),'worker file'!$D$2:$D$406,"Not found")</f>
        <v>TX</v>
      </c>
      <c r="D277" s="40" t="str">
        <f aca="false" t="array" ref="D277:D277">_xlfn.XLOOKUP($A277,TRIM(SUBSTITUTE('worker file'!$A$2:$A$406,_xlfn.UNICHAR(160)," ")),'worker file'!$Q$2:$Q$406,"Not found")</f>
        <v>Active</v>
      </c>
      <c r="E277" s="39" t="s">
        <v>618</v>
      </c>
      <c r="F277" s="38" t="str">
        <f aca="false">_xlfn.XLOOKUP($E277,$A$5:$A$8,$B$5:$B$8,"")</f>
        <v>401(k) Employee Deferral</v>
      </c>
      <c r="G277" s="38" t="str">
        <f aca="false">_xlfn.XLOOKUP($E277,$A$5:$A$8,$D$5:$D$8,"")</f>
        <v>Pre-tax (exempt from FIT/SIT; subject to FICA)</v>
      </c>
      <c r="H277" s="38" t="str">
        <f aca="false">_xlfn.XLOOKUP($E277,$A$5:$A$8,$E$5:$E$8,"")</f>
        <v>Percent</v>
      </c>
      <c r="I277" s="41" t="n">
        <v>0.07</v>
      </c>
      <c r="J277" s="42" t="str">
        <f aca="false">IF($H277="Flat",_xlfn.XLOOKUP($E277,$A$5:$A$8,$F$5:$F$8,""),"")</f>
        <v/>
      </c>
      <c r="K277" s="38" t="str">
        <f aca="false">_xlfn.XLOOKUP($E277,$A$5:$A$8,$G$5:$G$8,"")</f>
        <v>Gross pay</v>
      </c>
      <c r="L277" s="38" t="str">
        <f aca="false">_xlfn.XLOOKUP($E277,$A$5:$A$8,$H$5:$H$8,"")</f>
        <v>Every pay period (ongoing)</v>
      </c>
      <c r="M277" s="43" t="n">
        <f aca="false" t="array" ref="M277:M277">MAX(_xlfn.XLOOKUP($A277,TRIM(SUBSTITUTE('worker file'!$A$2:$A$406,_xlfn.UNICHAR(160)," ")),'worker file'!$M$2:$M$406,0),_xlfn.XLOOKUP($B277,TRIM('pay group &amp; schedule'!$A$2:$A$6),'pay group &amp; schedule'!$D$2:$D$6,0))</f>
        <v>46299</v>
      </c>
      <c r="N277" s="43" t="str">
        <f aca="false" t="array" ref="N277:N277">_xlfn.LET(_xlpm.t,_xlfn.XLOOKUP($A277,TRIM(SUBSTITUTE('worker file'!$A$2:$A$406,_xlfn.UNICHAR(160)," ")),'worker file'!$N$2:$N$406,""),IF(N(_xlpm.t)=0,"",_xlpm.t))</f>
        <v/>
      </c>
    </row>
    <row r="278" customFormat="false" ht="15" hidden="false" customHeight="false" outlineLevel="0" collapsed="false">
      <c r="A278" s="39" t="s">
        <v>196</v>
      </c>
      <c r="B278" s="40" t="str">
        <f aca="false" t="array" ref="B278:B278">_xlfn.XLOOKUP($A278,TRIM(SUBSTITUTE('worker file'!$A$2:$A$406,_xlfn.UNICHAR(160)," ")),'worker file'!$L$2:$L$406,"Not found")</f>
        <v>US Biweekly</v>
      </c>
      <c r="C278" s="40" t="str">
        <f aca="false" t="array" ref="C278:C278">_xlfn.XLOOKUP($A278,TRIM(SUBSTITUTE('worker file'!$A$2:$A$406,_xlfn.UNICHAR(160)," ")),'worker file'!$D$2:$D$406,"Not found")</f>
        <v>TX</v>
      </c>
      <c r="D278" s="40" t="str">
        <f aca="false" t="array" ref="D278:D278">_xlfn.XLOOKUP($A278,TRIM(SUBSTITUTE('worker file'!$A$2:$A$406,_xlfn.UNICHAR(160)," ")),'worker file'!$Q$2:$Q$406,"Not found")</f>
        <v>Active</v>
      </c>
      <c r="E278" s="39" t="s">
        <v>626</v>
      </c>
      <c r="F278" s="38" t="str">
        <f aca="false">_xlfn.XLOOKUP($E278,$A$5:$A$8,$B$5:$B$8,"")</f>
        <v>Medical (Health) – Employee</v>
      </c>
      <c r="G278" s="38" t="str">
        <f aca="false">_xlfn.XLOOKUP($E278,$A$5:$A$8,$D$5:$D$8,"")</f>
        <v>Pre-tax Section 125 (exempt from FIT/SIT/FICA)</v>
      </c>
      <c r="H278" s="38" t="str">
        <f aca="false">_xlfn.XLOOKUP($E278,$A$5:$A$8,$E$5:$E$8,"")</f>
        <v>Flat</v>
      </c>
      <c r="I278" s="44" t="str">
        <f aca="false">IF($H278="Percent",_xlfn.XLOOKUP($E278,$A$5:$A$8,$F$5:$F$8,""),"")</f>
        <v/>
      </c>
      <c r="J278" s="42" t="n">
        <f aca="false">IF($H278="Flat",_xlfn.XLOOKUP($E278,$A$5:$A$8,$F$5:$F$8,""),"")</f>
        <v>200</v>
      </c>
      <c r="K278" s="38" t="str">
        <f aca="false">_xlfn.XLOOKUP($E278,$A$5:$A$8,$G$5:$G$8,"")</f>
        <v>Per pay period</v>
      </c>
      <c r="L278" s="38" t="str">
        <f aca="false">_xlfn.XLOOKUP($E278,$A$5:$A$8,$H$5:$H$8,"")</f>
        <v>Every pay period (ongoing)</v>
      </c>
      <c r="M278" s="43" t="n">
        <f aca="false" t="array" ref="M278:M278">MAX(_xlfn.XLOOKUP($A278,TRIM(SUBSTITUTE('worker file'!$A$2:$A$406,_xlfn.UNICHAR(160)," ")),'worker file'!$M$2:$M$406,0),_xlfn.XLOOKUP($B278,TRIM('pay group &amp; schedule'!$A$2:$A$6),'pay group &amp; schedule'!$D$2:$D$6,0))</f>
        <v>46299</v>
      </c>
      <c r="N278" s="43" t="str">
        <f aca="false" t="array" ref="N278:N278">_xlfn.LET(_xlpm.t,_xlfn.XLOOKUP($A278,TRIM(SUBSTITUTE('worker file'!$A$2:$A$406,_xlfn.UNICHAR(160)," ")),'worker file'!$N$2:$N$406,""),IF(N(_xlpm.t)=0,"",_xlpm.t))</f>
        <v/>
      </c>
    </row>
    <row r="279" customFormat="false" ht="15" hidden="false" customHeight="false" outlineLevel="0" collapsed="false">
      <c r="A279" s="39" t="s">
        <v>196</v>
      </c>
      <c r="B279" s="40" t="str">
        <f aca="false" t="array" ref="B279:B279">_xlfn.XLOOKUP($A279,TRIM(SUBSTITUTE('worker file'!$A$2:$A$406,_xlfn.UNICHAR(160)," ")),'worker file'!$L$2:$L$406,"Not found")</f>
        <v>US Biweekly</v>
      </c>
      <c r="C279" s="40" t="str">
        <f aca="false" t="array" ref="C279:C279">_xlfn.XLOOKUP($A279,TRIM(SUBSTITUTE('worker file'!$A$2:$A$406,_xlfn.UNICHAR(160)," ")),'worker file'!$D$2:$D$406,"Not found")</f>
        <v>TX</v>
      </c>
      <c r="D279" s="40" t="str">
        <f aca="false" t="array" ref="D279:D279">_xlfn.XLOOKUP($A279,TRIM(SUBSTITUTE('worker file'!$A$2:$A$406,_xlfn.UNICHAR(160)," ")),'worker file'!$Q$2:$Q$406,"Not found")</f>
        <v>Active</v>
      </c>
      <c r="E279" s="39" t="s">
        <v>632</v>
      </c>
      <c r="F279" s="38" t="str">
        <f aca="false">_xlfn.XLOOKUP($E279,$A$5:$A$8,$B$5:$B$8,"")</f>
        <v>Dental – Employee</v>
      </c>
      <c r="G279" s="38" t="str">
        <f aca="false">_xlfn.XLOOKUP($E279,$A$5:$A$8,$D$5:$D$8,"")</f>
        <v>Pre-tax Section 125 (exempt from FIT/SIT/FICA)</v>
      </c>
      <c r="H279" s="38" t="str">
        <f aca="false">_xlfn.XLOOKUP($E279,$A$5:$A$8,$E$5:$E$8,"")</f>
        <v>Flat</v>
      </c>
      <c r="I279" s="44" t="str">
        <f aca="false">IF($H279="Percent",_xlfn.XLOOKUP($E279,$A$5:$A$8,$F$5:$F$8,""),"")</f>
        <v/>
      </c>
      <c r="J279" s="42" t="n">
        <f aca="false">IF($H279="Flat",_xlfn.XLOOKUP($E279,$A$5:$A$8,$F$5:$F$8,""),"")</f>
        <v>44</v>
      </c>
      <c r="K279" s="38" t="str">
        <f aca="false">_xlfn.XLOOKUP($E279,$A$5:$A$8,$G$5:$G$8,"")</f>
        <v>Per pay period</v>
      </c>
      <c r="L279" s="38" t="str">
        <f aca="false">_xlfn.XLOOKUP($E279,$A$5:$A$8,$H$5:$H$8,"")</f>
        <v>Every pay period (ongoing)</v>
      </c>
      <c r="M279" s="43" t="n">
        <f aca="false" t="array" ref="M279:M279">MAX(_xlfn.XLOOKUP($A279,TRIM(SUBSTITUTE('worker file'!$A$2:$A$406,_xlfn.UNICHAR(160)," ")),'worker file'!$M$2:$M$406,0),_xlfn.XLOOKUP($B279,TRIM('pay group &amp; schedule'!$A$2:$A$6),'pay group &amp; schedule'!$D$2:$D$6,0))</f>
        <v>46299</v>
      </c>
      <c r="N279" s="43" t="str">
        <f aca="false" t="array" ref="N279:N279">_xlfn.LET(_xlpm.t,_xlfn.XLOOKUP($A279,TRIM(SUBSTITUTE('worker file'!$A$2:$A$406,_xlfn.UNICHAR(160)," ")),'worker file'!$N$2:$N$406,""),IF(N(_xlpm.t)=0,"",_xlpm.t))</f>
        <v/>
      </c>
    </row>
    <row r="280" customFormat="false" ht="15" hidden="false" customHeight="false" outlineLevel="0" collapsed="false">
      <c r="A280" s="39" t="s">
        <v>196</v>
      </c>
      <c r="B280" s="40" t="str">
        <f aca="false" t="array" ref="B280:B280">_xlfn.XLOOKUP($A280,TRIM(SUBSTITUTE('worker file'!$A$2:$A$406,_xlfn.UNICHAR(160)," ")),'worker file'!$L$2:$L$406,"Not found")</f>
        <v>US Biweekly</v>
      </c>
      <c r="C280" s="40" t="str">
        <f aca="false" t="array" ref="C280:C280">_xlfn.XLOOKUP($A280,TRIM(SUBSTITUTE('worker file'!$A$2:$A$406,_xlfn.UNICHAR(160)," ")),'worker file'!$D$2:$D$406,"Not found")</f>
        <v>TX</v>
      </c>
      <c r="D280" s="40" t="str">
        <f aca="false" t="array" ref="D280:D280">_xlfn.XLOOKUP($A280,TRIM(SUBSTITUTE('worker file'!$A$2:$A$406,_xlfn.UNICHAR(160)," ")),'worker file'!$Q$2:$Q$406,"Not found")</f>
        <v>Active</v>
      </c>
      <c r="E280" s="39" t="s">
        <v>634</v>
      </c>
      <c r="F280" s="38" t="str">
        <f aca="false">_xlfn.XLOOKUP($E280,$A$5:$A$8,$B$5:$B$8,"")</f>
        <v>Vision – Employee</v>
      </c>
      <c r="G280" s="38" t="str">
        <f aca="false">_xlfn.XLOOKUP($E280,$A$5:$A$8,$D$5:$D$8,"")</f>
        <v>Pre-tax Section 125 (exempt from FIT/SIT/FICA)</v>
      </c>
      <c r="H280" s="38" t="str">
        <f aca="false">_xlfn.XLOOKUP($E280,$A$5:$A$8,$E$5:$E$8,"")</f>
        <v>Flat</v>
      </c>
      <c r="I280" s="44" t="str">
        <f aca="false">IF($H280="Percent",_xlfn.XLOOKUP($E280,$A$5:$A$8,$F$5:$F$8,""),"")</f>
        <v/>
      </c>
      <c r="J280" s="42" t="n">
        <f aca="false">IF($H280="Flat",_xlfn.XLOOKUP($E280,$A$5:$A$8,$F$5:$F$8,""),"")</f>
        <v>30</v>
      </c>
      <c r="K280" s="38" t="str">
        <f aca="false">_xlfn.XLOOKUP($E280,$A$5:$A$8,$G$5:$G$8,"")</f>
        <v>Per pay period</v>
      </c>
      <c r="L280" s="38" t="str">
        <f aca="false">_xlfn.XLOOKUP($E280,$A$5:$A$8,$H$5:$H$8,"")</f>
        <v>Every pay period (ongoing)</v>
      </c>
      <c r="M280" s="43" t="n">
        <f aca="false" t="array" ref="M280:M280">MAX(_xlfn.XLOOKUP($A280,TRIM(SUBSTITUTE('worker file'!$A$2:$A$406,_xlfn.UNICHAR(160)," ")),'worker file'!$M$2:$M$406,0),_xlfn.XLOOKUP($B280,TRIM('pay group &amp; schedule'!$A$2:$A$6),'pay group &amp; schedule'!$D$2:$D$6,0))</f>
        <v>46299</v>
      </c>
      <c r="N280" s="43" t="str">
        <f aca="false" t="array" ref="N280:N280">_xlfn.LET(_xlpm.t,_xlfn.XLOOKUP($A280,TRIM(SUBSTITUTE('worker file'!$A$2:$A$406,_xlfn.UNICHAR(160)," ")),'worker file'!$N$2:$N$406,""),IF(N(_xlpm.t)=0,"",_xlpm.t))</f>
        <v/>
      </c>
    </row>
    <row r="281" customFormat="false" ht="15" hidden="false" customHeight="false" outlineLevel="0" collapsed="false">
      <c r="A281" s="39" t="s">
        <v>197</v>
      </c>
      <c r="B281" s="40" t="str">
        <f aca="false" t="array" ref="B281:B281">_xlfn.XLOOKUP($A281,TRIM(SUBSTITUTE('worker file'!$A$2:$A$406,_xlfn.UNICHAR(160)," ")),'worker file'!$L$2:$L$406,"Not found")</f>
        <v>US Biweekly</v>
      </c>
      <c r="C281" s="40" t="str">
        <f aca="false" t="array" ref="C281:C281">_xlfn.XLOOKUP($A281,TRIM(SUBSTITUTE('worker file'!$A$2:$A$406,_xlfn.UNICHAR(160)," ")),'worker file'!$D$2:$D$406,"Not found")</f>
        <v>CA</v>
      </c>
      <c r="D281" s="40" t="str">
        <f aca="false" t="array" ref="D281:D281">_xlfn.XLOOKUP($A281,TRIM(SUBSTITUTE('worker file'!$A$2:$A$406,_xlfn.UNICHAR(160)," ")),'worker file'!$Q$2:$Q$406,"Not found")</f>
        <v>Active</v>
      </c>
      <c r="E281" s="39" t="s">
        <v>618</v>
      </c>
      <c r="F281" s="38" t="str">
        <f aca="false">_xlfn.XLOOKUP($E281,$A$5:$A$8,$B$5:$B$8,"")</f>
        <v>401(k) Employee Deferral</v>
      </c>
      <c r="G281" s="38" t="str">
        <f aca="false">_xlfn.XLOOKUP($E281,$A$5:$A$8,$D$5:$D$8,"")</f>
        <v>Pre-tax (exempt from FIT/SIT; subject to FICA)</v>
      </c>
      <c r="H281" s="38" t="str">
        <f aca="false">_xlfn.XLOOKUP($E281,$A$5:$A$8,$E$5:$E$8,"")</f>
        <v>Percent</v>
      </c>
      <c r="I281" s="41" t="n">
        <v>0.04</v>
      </c>
      <c r="J281" s="42" t="str">
        <f aca="false">IF($H281="Flat",_xlfn.XLOOKUP($E281,$A$5:$A$8,$F$5:$F$8,""),"")</f>
        <v/>
      </c>
      <c r="K281" s="38" t="str">
        <f aca="false">_xlfn.XLOOKUP($E281,$A$5:$A$8,$G$5:$G$8,"")</f>
        <v>Gross pay</v>
      </c>
      <c r="L281" s="38" t="str">
        <f aca="false">_xlfn.XLOOKUP($E281,$A$5:$A$8,$H$5:$H$8,"")</f>
        <v>Every pay period (ongoing)</v>
      </c>
      <c r="M281" s="43" t="n">
        <f aca="false" t="array" ref="M281:M281">MAX(_xlfn.XLOOKUP($A281,TRIM(SUBSTITUTE('worker file'!$A$2:$A$406,_xlfn.UNICHAR(160)," ")),'worker file'!$M$2:$M$406,0),_xlfn.XLOOKUP($B281,TRIM('pay group &amp; schedule'!$A$2:$A$6),'pay group &amp; schedule'!$D$2:$D$6,0))</f>
        <v>46299</v>
      </c>
      <c r="N281" s="43" t="str">
        <f aca="false" t="array" ref="N281:N281">_xlfn.LET(_xlpm.t,_xlfn.XLOOKUP($A281,TRIM(SUBSTITUTE('worker file'!$A$2:$A$406,_xlfn.UNICHAR(160)," ")),'worker file'!$N$2:$N$406,""),IF(N(_xlpm.t)=0,"",_xlpm.t))</f>
        <v/>
      </c>
    </row>
    <row r="282" customFormat="false" ht="15" hidden="false" customHeight="false" outlineLevel="0" collapsed="false">
      <c r="A282" s="39" t="s">
        <v>197</v>
      </c>
      <c r="B282" s="40" t="str">
        <f aca="false" t="array" ref="B282:B282">_xlfn.XLOOKUP($A282,TRIM(SUBSTITUTE('worker file'!$A$2:$A$406,_xlfn.UNICHAR(160)," ")),'worker file'!$L$2:$L$406,"Not found")</f>
        <v>US Biweekly</v>
      </c>
      <c r="C282" s="40" t="str">
        <f aca="false" t="array" ref="C282:C282">_xlfn.XLOOKUP($A282,TRIM(SUBSTITUTE('worker file'!$A$2:$A$406,_xlfn.UNICHAR(160)," ")),'worker file'!$D$2:$D$406,"Not found")</f>
        <v>CA</v>
      </c>
      <c r="D282" s="40" t="str">
        <f aca="false" t="array" ref="D282:D282">_xlfn.XLOOKUP($A282,TRIM(SUBSTITUTE('worker file'!$A$2:$A$406,_xlfn.UNICHAR(160)," ")),'worker file'!$Q$2:$Q$406,"Not found")</f>
        <v>Active</v>
      </c>
      <c r="E282" s="39" t="s">
        <v>626</v>
      </c>
      <c r="F282" s="38" t="str">
        <f aca="false">_xlfn.XLOOKUP($E282,$A$5:$A$8,$B$5:$B$8,"")</f>
        <v>Medical (Health) – Employee</v>
      </c>
      <c r="G282" s="38" t="str">
        <f aca="false">_xlfn.XLOOKUP($E282,$A$5:$A$8,$D$5:$D$8,"")</f>
        <v>Pre-tax Section 125 (exempt from FIT/SIT/FICA)</v>
      </c>
      <c r="H282" s="38" t="str">
        <f aca="false">_xlfn.XLOOKUP($E282,$A$5:$A$8,$E$5:$E$8,"")</f>
        <v>Flat</v>
      </c>
      <c r="I282" s="44" t="str">
        <f aca="false">IF($H282="Percent",_xlfn.XLOOKUP($E282,$A$5:$A$8,$F$5:$F$8,""),"")</f>
        <v/>
      </c>
      <c r="J282" s="42" t="n">
        <f aca="false">IF($H282="Flat",_xlfn.XLOOKUP($E282,$A$5:$A$8,$F$5:$F$8,""),"")</f>
        <v>200</v>
      </c>
      <c r="K282" s="38" t="str">
        <f aca="false">_xlfn.XLOOKUP($E282,$A$5:$A$8,$G$5:$G$8,"")</f>
        <v>Per pay period</v>
      </c>
      <c r="L282" s="38" t="str">
        <f aca="false">_xlfn.XLOOKUP($E282,$A$5:$A$8,$H$5:$H$8,"")</f>
        <v>Every pay period (ongoing)</v>
      </c>
      <c r="M282" s="43" t="n">
        <f aca="false" t="array" ref="M282:M282">MAX(_xlfn.XLOOKUP($A282,TRIM(SUBSTITUTE('worker file'!$A$2:$A$406,_xlfn.UNICHAR(160)," ")),'worker file'!$M$2:$M$406,0),_xlfn.XLOOKUP($B282,TRIM('pay group &amp; schedule'!$A$2:$A$6),'pay group &amp; schedule'!$D$2:$D$6,0))</f>
        <v>46299</v>
      </c>
      <c r="N282" s="43" t="str">
        <f aca="false" t="array" ref="N282:N282">_xlfn.LET(_xlpm.t,_xlfn.XLOOKUP($A282,TRIM(SUBSTITUTE('worker file'!$A$2:$A$406,_xlfn.UNICHAR(160)," ")),'worker file'!$N$2:$N$406,""),IF(N(_xlpm.t)=0,"",_xlpm.t))</f>
        <v/>
      </c>
    </row>
    <row r="283" customFormat="false" ht="15" hidden="false" customHeight="false" outlineLevel="0" collapsed="false">
      <c r="A283" s="39" t="s">
        <v>197</v>
      </c>
      <c r="B283" s="40" t="str">
        <f aca="false" t="array" ref="B283:B283">_xlfn.XLOOKUP($A283,TRIM(SUBSTITUTE('worker file'!$A$2:$A$406,_xlfn.UNICHAR(160)," ")),'worker file'!$L$2:$L$406,"Not found")</f>
        <v>US Biweekly</v>
      </c>
      <c r="C283" s="40" t="str">
        <f aca="false" t="array" ref="C283:C283">_xlfn.XLOOKUP($A283,TRIM(SUBSTITUTE('worker file'!$A$2:$A$406,_xlfn.UNICHAR(160)," ")),'worker file'!$D$2:$D$406,"Not found")</f>
        <v>CA</v>
      </c>
      <c r="D283" s="40" t="str">
        <f aca="false" t="array" ref="D283:D283">_xlfn.XLOOKUP($A283,TRIM(SUBSTITUTE('worker file'!$A$2:$A$406,_xlfn.UNICHAR(160)," ")),'worker file'!$Q$2:$Q$406,"Not found")</f>
        <v>Active</v>
      </c>
      <c r="E283" s="39" t="s">
        <v>632</v>
      </c>
      <c r="F283" s="38" t="str">
        <f aca="false">_xlfn.XLOOKUP($E283,$A$5:$A$8,$B$5:$B$8,"")</f>
        <v>Dental – Employee</v>
      </c>
      <c r="G283" s="38" t="str">
        <f aca="false">_xlfn.XLOOKUP($E283,$A$5:$A$8,$D$5:$D$8,"")</f>
        <v>Pre-tax Section 125 (exempt from FIT/SIT/FICA)</v>
      </c>
      <c r="H283" s="38" t="str">
        <f aca="false">_xlfn.XLOOKUP($E283,$A$5:$A$8,$E$5:$E$8,"")</f>
        <v>Flat</v>
      </c>
      <c r="I283" s="44" t="str">
        <f aca="false">IF($H283="Percent",_xlfn.XLOOKUP($E283,$A$5:$A$8,$F$5:$F$8,""),"")</f>
        <v/>
      </c>
      <c r="J283" s="42" t="n">
        <f aca="false">IF($H283="Flat",_xlfn.XLOOKUP($E283,$A$5:$A$8,$F$5:$F$8,""),"")</f>
        <v>44</v>
      </c>
      <c r="K283" s="38" t="str">
        <f aca="false">_xlfn.XLOOKUP($E283,$A$5:$A$8,$G$5:$G$8,"")</f>
        <v>Per pay period</v>
      </c>
      <c r="L283" s="38" t="str">
        <f aca="false">_xlfn.XLOOKUP($E283,$A$5:$A$8,$H$5:$H$8,"")</f>
        <v>Every pay period (ongoing)</v>
      </c>
      <c r="M283" s="43" t="n">
        <f aca="false" t="array" ref="M283:M283">MAX(_xlfn.XLOOKUP($A283,TRIM(SUBSTITUTE('worker file'!$A$2:$A$406,_xlfn.UNICHAR(160)," ")),'worker file'!$M$2:$M$406,0),_xlfn.XLOOKUP($B283,TRIM('pay group &amp; schedule'!$A$2:$A$6),'pay group &amp; schedule'!$D$2:$D$6,0))</f>
        <v>46299</v>
      </c>
      <c r="N283" s="43" t="str">
        <f aca="false" t="array" ref="N283:N283">_xlfn.LET(_xlpm.t,_xlfn.XLOOKUP($A283,TRIM(SUBSTITUTE('worker file'!$A$2:$A$406,_xlfn.UNICHAR(160)," ")),'worker file'!$N$2:$N$406,""),IF(N(_xlpm.t)=0,"",_xlpm.t))</f>
        <v/>
      </c>
    </row>
    <row r="284" customFormat="false" ht="15" hidden="false" customHeight="false" outlineLevel="0" collapsed="false">
      <c r="A284" s="39" t="s">
        <v>197</v>
      </c>
      <c r="B284" s="40" t="str">
        <f aca="false" t="array" ref="B284:B284">_xlfn.XLOOKUP($A284,TRIM(SUBSTITUTE('worker file'!$A$2:$A$406,_xlfn.UNICHAR(160)," ")),'worker file'!$L$2:$L$406,"Not found")</f>
        <v>US Biweekly</v>
      </c>
      <c r="C284" s="40" t="str">
        <f aca="false" t="array" ref="C284:C284">_xlfn.XLOOKUP($A284,TRIM(SUBSTITUTE('worker file'!$A$2:$A$406,_xlfn.UNICHAR(160)," ")),'worker file'!$D$2:$D$406,"Not found")</f>
        <v>CA</v>
      </c>
      <c r="D284" s="40" t="str">
        <f aca="false" t="array" ref="D284:D284">_xlfn.XLOOKUP($A284,TRIM(SUBSTITUTE('worker file'!$A$2:$A$406,_xlfn.UNICHAR(160)," ")),'worker file'!$Q$2:$Q$406,"Not found")</f>
        <v>Active</v>
      </c>
      <c r="E284" s="39" t="s">
        <v>634</v>
      </c>
      <c r="F284" s="38" t="str">
        <f aca="false">_xlfn.XLOOKUP($E284,$A$5:$A$8,$B$5:$B$8,"")</f>
        <v>Vision – Employee</v>
      </c>
      <c r="G284" s="38" t="str">
        <f aca="false">_xlfn.XLOOKUP($E284,$A$5:$A$8,$D$5:$D$8,"")</f>
        <v>Pre-tax Section 125 (exempt from FIT/SIT/FICA)</v>
      </c>
      <c r="H284" s="38" t="str">
        <f aca="false">_xlfn.XLOOKUP($E284,$A$5:$A$8,$E$5:$E$8,"")</f>
        <v>Flat</v>
      </c>
      <c r="I284" s="44" t="str">
        <f aca="false">IF($H284="Percent",_xlfn.XLOOKUP($E284,$A$5:$A$8,$F$5:$F$8,""),"")</f>
        <v/>
      </c>
      <c r="J284" s="42" t="n">
        <f aca="false">IF($H284="Flat",_xlfn.XLOOKUP($E284,$A$5:$A$8,$F$5:$F$8,""),"")</f>
        <v>30</v>
      </c>
      <c r="K284" s="38" t="str">
        <f aca="false">_xlfn.XLOOKUP($E284,$A$5:$A$8,$G$5:$G$8,"")</f>
        <v>Per pay period</v>
      </c>
      <c r="L284" s="38" t="str">
        <f aca="false">_xlfn.XLOOKUP($E284,$A$5:$A$8,$H$5:$H$8,"")</f>
        <v>Every pay period (ongoing)</v>
      </c>
      <c r="M284" s="43" t="n">
        <f aca="false" t="array" ref="M284:M284">MAX(_xlfn.XLOOKUP($A284,TRIM(SUBSTITUTE('worker file'!$A$2:$A$406,_xlfn.UNICHAR(160)," ")),'worker file'!$M$2:$M$406,0),_xlfn.XLOOKUP($B284,TRIM('pay group &amp; schedule'!$A$2:$A$6),'pay group &amp; schedule'!$D$2:$D$6,0))</f>
        <v>46299</v>
      </c>
      <c r="N284" s="43" t="str">
        <f aca="false" t="array" ref="N284:N284">_xlfn.LET(_xlpm.t,_xlfn.XLOOKUP($A284,TRIM(SUBSTITUTE('worker file'!$A$2:$A$406,_xlfn.UNICHAR(160)," ")),'worker file'!$N$2:$N$406,""),IF(N(_xlpm.t)=0,"",_xlpm.t))</f>
        <v/>
      </c>
    </row>
    <row r="285" customFormat="false" ht="15" hidden="false" customHeight="false" outlineLevel="0" collapsed="false">
      <c r="A285" s="39" t="s">
        <v>198</v>
      </c>
      <c r="B285" s="40" t="str">
        <f aca="false" t="array" ref="B285:B285">_xlfn.XLOOKUP($A285,TRIM(SUBSTITUTE('worker file'!$A$2:$A$406,_xlfn.UNICHAR(160)," ")),'worker file'!$L$2:$L$406,"Not found")</f>
        <v>US Semi-monthly</v>
      </c>
      <c r="C285" s="40" t="str">
        <f aca="false" t="array" ref="C285:C285">_xlfn.XLOOKUP($A285,TRIM(SUBSTITUTE('worker file'!$A$2:$A$406,_xlfn.UNICHAR(160)," ")),'worker file'!$D$2:$D$406,"Not found")</f>
        <v>CA</v>
      </c>
      <c r="D285" s="40" t="str">
        <f aca="false" t="array" ref="D285:D285">_xlfn.XLOOKUP($A285,TRIM(SUBSTITUTE('worker file'!$A$2:$A$406,_xlfn.UNICHAR(160)," ")),'worker file'!$Q$2:$Q$406,"Not found")</f>
        <v>Active</v>
      </c>
      <c r="E285" s="39" t="s">
        <v>618</v>
      </c>
      <c r="F285" s="38" t="str">
        <f aca="false">_xlfn.XLOOKUP($E285,$A$5:$A$8,$B$5:$B$8,"")</f>
        <v>401(k) Employee Deferral</v>
      </c>
      <c r="G285" s="38" t="str">
        <f aca="false">_xlfn.XLOOKUP($E285,$A$5:$A$8,$D$5:$D$8,"")</f>
        <v>Pre-tax (exempt from FIT/SIT; subject to FICA)</v>
      </c>
      <c r="H285" s="38" t="str">
        <f aca="false">_xlfn.XLOOKUP($E285,$A$5:$A$8,$E$5:$E$8,"")</f>
        <v>Percent</v>
      </c>
      <c r="I285" s="41" t="n">
        <v>0.01</v>
      </c>
      <c r="J285" s="42" t="str">
        <f aca="false">IF($H285="Flat",_xlfn.XLOOKUP($E285,$A$5:$A$8,$F$5:$F$8,""),"")</f>
        <v/>
      </c>
      <c r="K285" s="38" t="str">
        <f aca="false">_xlfn.XLOOKUP($E285,$A$5:$A$8,$G$5:$G$8,"")</f>
        <v>Gross pay</v>
      </c>
      <c r="L285" s="38" t="str">
        <f aca="false">_xlfn.XLOOKUP($E285,$A$5:$A$8,$H$5:$H$8,"")</f>
        <v>Every pay period (ongoing)</v>
      </c>
      <c r="M285" s="43" t="n">
        <f aca="false" t="array" ref="M285:M285">MAX(_xlfn.XLOOKUP($A285,TRIM(SUBSTITUTE('worker file'!$A$2:$A$406,_xlfn.UNICHAR(160)," ")),'worker file'!$M$2:$M$406,0),_xlfn.XLOOKUP($B285,TRIM('pay group &amp; schedule'!$A$2:$A$6),'pay group &amp; schedule'!$D$2:$D$6,0))</f>
        <v>46311</v>
      </c>
      <c r="N285" s="43" t="str">
        <f aca="false" t="array" ref="N285:N285">_xlfn.LET(_xlpm.t,_xlfn.XLOOKUP($A285,TRIM(SUBSTITUTE('worker file'!$A$2:$A$406,_xlfn.UNICHAR(160)," ")),'worker file'!$N$2:$N$406,""),IF(N(_xlpm.t)=0,"",_xlpm.t))</f>
        <v/>
      </c>
    </row>
    <row r="286" customFormat="false" ht="15" hidden="false" customHeight="false" outlineLevel="0" collapsed="false">
      <c r="A286" s="39" t="s">
        <v>198</v>
      </c>
      <c r="B286" s="40" t="str">
        <f aca="false" t="array" ref="B286:B286">_xlfn.XLOOKUP($A286,TRIM(SUBSTITUTE('worker file'!$A$2:$A$406,_xlfn.UNICHAR(160)," ")),'worker file'!$L$2:$L$406,"Not found")</f>
        <v>US Semi-monthly</v>
      </c>
      <c r="C286" s="40" t="str">
        <f aca="false" t="array" ref="C286:C286">_xlfn.XLOOKUP($A286,TRIM(SUBSTITUTE('worker file'!$A$2:$A$406,_xlfn.UNICHAR(160)," ")),'worker file'!$D$2:$D$406,"Not found")</f>
        <v>CA</v>
      </c>
      <c r="D286" s="40" t="str">
        <f aca="false" t="array" ref="D286:D286">_xlfn.XLOOKUP($A286,TRIM(SUBSTITUTE('worker file'!$A$2:$A$406,_xlfn.UNICHAR(160)," ")),'worker file'!$Q$2:$Q$406,"Not found")</f>
        <v>Active</v>
      </c>
      <c r="E286" s="39" t="s">
        <v>626</v>
      </c>
      <c r="F286" s="38" t="str">
        <f aca="false">_xlfn.XLOOKUP($E286,$A$5:$A$8,$B$5:$B$8,"")</f>
        <v>Medical (Health) – Employee</v>
      </c>
      <c r="G286" s="38" t="str">
        <f aca="false">_xlfn.XLOOKUP($E286,$A$5:$A$8,$D$5:$D$8,"")</f>
        <v>Pre-tax Section 125 (exempt from FIT/SIT/FICA)</v>
      </c>
      <c r="H286" s="38" t="str">
        <f aca="false">_xlfn.XLOOKUP($E286,$A$5:$A$8,$E$5:$E$8,"")</f>
        <v>Flat</v>
      </c>
      <c r="I286" s="44" t="str">
        <f aca="false">IF($H286="Percent",_xlfn.XLOOKUP($E286,$A$5:$A$8,$F$5:$F$8,""),"")</f>
        <v/>
      </c>
      <c r="J286" s="42" t="n">
        <f aca="false">IF($H286="Flat",_xlfn.XLOOKUP($E286,$A$5:$A$8,$F$5:$F$8,""),"")</f>
        <v>200</v>
      </c>
      <c r="K286" s="38" t="str">
        <f aca="false">_xlfn.XLOOKUP($E286,$A$5:$A$8,$G$5:$G$8,"")</f>
        <v>Per pay period</v>
      </c>
      <c r="L286" s="38" t="str">
        <f aca="false">_xlfn.XLOOKUP($E286,$A$5:$A$8,$H$5:$H$8,"")</f>
        <v>Every pay period (ongoing)</v>
      </c>
      <c r="M286" s="43" t="n">
        <f aca="false" t="array" ref="M286:M286">MAX(_xlfn.XLOOKUP($A286,TRIM(SUBSTITUTE('worker file'!$A$2:$A$406,_xlfn.UNICHAR(160)," ")),'worker file'!$M$2:$M$406,0),_xlfn.XLOOKUP($B286,TRIM('pay group &amp; schedule'!$A$2:$A$6),'pay group &amp; schedule'!$D$2:$D$6,0))</f>
        <v>46311</v>
      </c>
      <c r="N286" s="43" t="str">
        <f aca="false" t="array" ref="N286:N286">_xlfn.LET(_xlpm.t,_xlfn.XLOOKUP($A286,TRIM(SUBSTITUTE('worker file'!$A$2:$A$406,_xlfn.UNICHAR(160)," ")),'worker file'!$N$2:$N$406,""),IF(N(_xlpm.t)=0,"",_xlpm.t))</f>
        <v/>
      </c>
    </row>
    <row r="287" customFormat="false" ht="15" hidden="false" customHeight="false" outlineLevel="0" collapsed="false">
      <c r="A287" s="39" t="s">
        <v>198</v>
      </c>
      <c r="B287" s="40" t="str">
        <f aca="false" t="array" ref="B287:B287">_xlfn.XLOOKUP($A287,TRIM(SUBSTITUTE('worker file'!$A$2:$A$406,_xlfn.UNICHAR(160)," ")),'worker file'!$L$2:$L$406,"Not found")</f>
        <v>US Semi-monthly</v>
      </c>
      <c r="C287" s="40" t="str">
        <f aca="false" t="array" ref="C287:C287">_xlfn.XLOOKUP($A287,TRIM(SUBSTITUTE('worker file'!$A$2:$A$406,_xlfn.UNICHAR(160)," ")),'worker file'!$D$2:$D$406,"Not found")</f>
        <v>CA</v>
      </c>
      <c r="D287" s="40" t="str">
        <f aca="false" t="array" ref="D287:D287">_xlfn.XLOOKUP($A287,TRIM(SUBSTITUTE('worker file'!$A$2:$A$406,_xlfn.UNICHAR(160)," ")),'worker file'!$Q$2:$Q$406,"Not found")</f>
        <v>Active</v>
      </c>
      <c r="E287" s="39" t="s">
        <v>632</v>
      </c>
      <c r="F287" s="38" t="str">
        <f aca="false">_xlfn.XLOOKUP($E287,$A$5:$A$8,$B$5:$B$8,"")</f>
        <v>Dental – Employee</v>
      </c>
      <c r="G287" s="38" t="str">
        <f aca="false">_xlfn.XLOOKUP($E287,$A$5:$A$8,$D$5:$D$8,"")</f>
        <v>Pre-tax Section 125 (exempt from FIT/SIT/FICA)</v>
      </c>
      <c r="H287" s="38" t="str">
        <f aca="false">_xlfn.XLOOKUP($E287,$A$5:$A$8,$E$5:$E$8,"")</f>
        <v>Flat</v>
      </c>
      <c r="I287" s="44" t="str">
        <f aca="false">IF($H287="Percent",_xlfn.XLOOKUP($E287,$A$5:$A$8,$F$5:$F$8,""),"")</f>
        <v/>
      </c>
      <c r="J287" s="42" t="n">
        <f aca="false">IF($H287="Flat",_xlfn.XLOOKUP($E287,$A$5:$A$8,$F$5:$F$8,""),"")</f>
        <v>44</v>
      </c>
      <c r="K287" s="38" t="str">
        <f aca="false">_xlfn.XLOOKUP($E287,$A$5:$A$8,$G$5:$G$8,"")</f>
        <v>Per pay period</v>
      </c>
      <c r="L287" s="38" t="str">
        <f aca="false">_xlfn.XLOOKUP($E287,$A$5:$A$8,$H$5:$H$8,"")</f>
        <v>Every pay period (ongoing)</v>
      </c>
      <c r="M287" s="43" t="n">
        <f aca="false" t="array" ref="M287:M287">MAX(_xlfn.XLOOKUP($A287,TRIM(SUBSTITUTE('worker file'!$A$2:$A$406,_xlfn.UNICHAR(160)," ")),'worker file'!$M$2:$M$406,0),_xlfn.XLOOKUP($B287,TRIM('pay group &amp; schedule'!$A$2:$A$6),'pay group &amp; schedule'!$D$2:$D$6,0))</f>
        <v>46311</v>
      </c>
      <c r="N287" s="43" t="str">
        <f aca="false" t="array" ref="N287:N287">_xlfn.LET(_xlpm.t,_xlfn.XLOOKUP($A287,TRIM(SUBSTITUTE('worker file'!$A$2:$A$406,_xlfn.UNICHAR(160)," ")),'worker file'!$N$2:$N$406,""),IF(N(_xlpm.t)=0,"",_xlpm.t))</f>
        <v/>
      </c>
    </row>
    <row r="288" customFormat="false" ht="15" hidden="false" customHeight="false" outlineLevel="0" collapsed="false">
      <c r="A288" s="39" t="s">
        <v>198</v>
      </c>
      <c r="B288" s="40" t="str">
        <f aca="false" t="array" ref="B288:B288">_xlfn.XLOOKUP($A288,TRIM(SUBSTITUTE('worker file'!$A$2:$A$406,_xlfn.UNICHAR(160)," ")),'worker file'!$L$2:$L$406,"Not found")</f>
        <v>US Semi-monthly</v>
      </c>
      <c r="C288" s="40" t="str">
        <f aca="false" t="array" ref="C288:C288">_xlfn.XLOOKUP($A288,TRIM(SUBSTITUTE('worker file'!$A$2:$A$406,_xlfn.UNICHAR(160)," ")),'worker file'!$D$2:$D$406,"Not found")</f>
        <v>CA</v>
      </c>
      <c r="D288" s="40" t="str">
        <f aca="false" t="array" ref="D288:D288">_xlfn.XLOOKUP($A288,TRIM(SUBSTITUTE('worker file'!$A$2:$A$406,_xlfn.UNICHAR(160)," ")),'worker file'!$Q$2:$Q$406,"Not found")</f>
        <v>Active</v>
      </c>
      <c r="E288" s="39" t="s">
        <v>634</v>
      </c>
      <c r="F288" s="38" t="str">
        <f aca="false">_xlfn.XLOOKUP($E288,$A$5:$A$8,$B$5:$B$8,"")</f>
        <v>Vision – Employee</v>
      </c>
      <c r="G288" s="38" t="str">
        <f aca="false">_xlfn.XLOOKUP($E288,$A$5:$A$8,$D$5:$D$8,"")</f>
        <v>Pre-tax Section 125 (exempt from FIT/SIT/FICA)</v>
      </c>
      <c r="H288" s="38" t="str">
        <f aca="false">_xlfn.XLOOKUP($E288,$A$5:$A$8,$E$5:$E$8,"")</f>
        <v>Flat</v>
      </c>
      <c r="I288" s="44" t="str">
        <f aca="false">IF($H288="Percent",_xlfn.XLOOKUP($E288,$A$5:$A$8,$F$5:$F$8,""),"")</f>
        <v/>
      </c>
      <c r="J288" s="42" t="n">
        <f aca="false">IF($H288="Flat",_xlfn.XLOOKUP($E288,$A$5:$A$8,$F$5:$F$8,""),"")</f>
        <v>30</v>
      </c>
      <c r="K288" s="38" t="str">
        <f aca="false">_xlfn.XLOOKUP($E288,$A$5:$A$8,$G$5:$G$8,"")</f>
        <v>Per pay period</v>
      </c>
      <c r="L288" s="38" t="str">
        <f aca="false">_xlfn.XLOOKUP($E288,$A$5:$A$8,$H$5:$H$8,"")</f>
        <v>Every pay period (ongoing)</v>
      </c>
      <c r="M288" s="43" t="n">
        <f aca="false" t="array" ref="M288:M288">MAX(_xlfn.XLOOKUP($A288,TRIM(SUBSTITUTE('worker file'!$A$2:$A$406,_xlfn.UNICHAR(160)," ")),'worker file'!$M$2:$M$406,0),_xlfn.XLOOKUP($B288,TRIM('pay group &amp; schedule'!$A$2:$A$6),'pay group &amp; schedule'!$D$2:$D$6,0))</f>
        <v>46311</v>
      </c>
      <c r="N288" s="43" t="str">
        <f aca="false" t="array" ref="N288:N288">_xlfn.LET(_xlpm.t,_xlfn.XLOOKUP($A288,TRIM(SUBSTITUTE('worker file'!$A$2:$A$406,_xlfn.UNICHAR(160)," ")),'worker file'!$N$2:$N$406,""),IF(N(_xlpm.t)=0,"",_xlpm.t))</f>
        <v/>
      </c>
    </row>
    <row r="289" customFormat="false" ht="15" hidden="false" customHeight="false" outlineLevel="0" collapsed="false">
      <c r="A289" s="39" t="s">
        <v>199</v>
      </c>
      <c r="B289" s="40" t="str">
        <f aca="false" t="array" ref="B289:B289">_xlfn.XLOOKUP($A289,TRIM(SUBSTITUTE('worker file'!$A$2:$A$406,_xlfn.UNICHAR(160)," ")),'worker file'!$L$2:$L$406,"Not found")</f>
        <v>US Semi-monthly</v>
      </c>
      <c r="C289" s="40" t="str">
        <f aca="false" t="array" ref="C289:C289">_xlfn.XLOOKUP($A289,TRIM(SUBSTITUTE('worker file'!$A$2:$A$406,_xlfn.UNICHAR(160)," ")),'worker file'!$D$2:$D$406,"Not found")</f>
        <v>WA</v>
      </c>
      <c r="D289" s="40" t="str">
        <f aca="false" t="array" ref="D289:D289">_xlfn.XLOOKUP($A289,TRIM(SUBSTITUTE('worker file'!$A$2:$A$406,_xlfn.UNICHAR(160)," ")),'worker file'!$Q$2:$Q$406,"Not found")</f>
        <v>Active</v>
      </c>
      <c r="E289" s="39" t="s">
        <v>626</v>
      </c>
      <c r="F289" s="38" t="str">
        <f aca="false">_xlfn.XLOOKUP($E289,$A$5:$A$8,$B$5:$B$8,"")</f>
        <v>Medical (Health) – Employee</v>
      </c>
      <c r="G289" s="38" t="str">
        <f aca="false">_xlfn.XLOOKUP($E289,$A$5:$A$8,$D$5:$D$8,"")</f>
        <v>Pre-tax Section 125 (exempt from FIT/SIT/FICA)</v>
      </c>
      <c r="H289" s="38" t="str">
        <f aca="false">_xlfn.XLOOKUP($E289,$A$5:$A$8,$E$5:$E$8,"")</f>
        <v>Flat</v>
      </c>
      <c r="I289" s="44" t="str">
        <f aca="false">IF($H289="Percent",_xlfn.XLOOKUP($E289,$A$5:$A$8,$F$5:$F$8,""),"")</f>
        <v/>
      </c>
      <c r="J289" s="42" t="n">
        <f aca="false">IF($H289="Flat",_xlfn.XLOOKUP($E289,$A$5:$A$8,$F$5:$F$8,""),"")</f>
        <v>200</v>
      </c>
      <c r="K289" s="38" t="str">
        <f aca="false">_xlfn.XLOOKUP($E289,$A$5:$A$8,$G$5:$G$8,"")</f>
        <v>Per pay period</v>
      </c>
      <c r="L289" s="38" t="str">
        <f aca="false">_xlfn.XLOOKUP($E289,$A$5:$A$8,$H$5:$H$8,"")</f>
        <v>Every pay period (ongoing)</v>
      </c>
      <c r="M289" s="43" t="n">
        <f aca="false" t="array" ref="M289:M289">MAX(_xlfn.XLOOKUP($A289,TRIM(SUBSTITUTE('worker file'!$A$2:$A$406,_xlfn.UNICHAR(160)," ")),'worker file'!$M$2:$M$406,0),_xlfn.XLOOKUP($B289,TRIM('pay group &amp; schedule'!$A$2:$A$6),'pay group &amp; schedule'!$D$2:$D$6,0))</f>
        <v>46311</v>
      </c>
      <c r="N289" s="43" t="str">
        <f aca="false" t="array" ref="N289:N289">_xlfn.LET(_xlpm.t,_xlfn.XLOOKUP($A289,TRIM(SUBSTITUTE('worker file'!$A$2:$A$406,_xlfn.UNICHAR(160)," ")),'worker file'!$N$2:$N$406,""),IF(N(_xlpm.t)=0,"",_xlpm.t))</f>
        <v/>
      </c>
    </row>
    <row r="290" customFormat="false" ht="15" hidden="false" customHeight="false" outlineLevel="0" collapsed="false">
      <c r="A290" s="39" t="s">
        <v>199</v>
      </c>
      <c r="B290" s="40" t="str">
        <f aca="false" t="array" ref="B290:B290">_xlfn.XLOOKUP($A290,TRIM(SUBSTITUTE('worker file'!$A$2:$A$406,_xlfn.UNICHAR(160)," ")),'worker file'!$L$2:$L$406,"Not found")</f>
        <v>US Semi-monthly</v>
      </c>
      <c r="C290" s="40" t="str">
        <f aca="false" t="array" ref="C290:C290">_xlfn.XLOOKUP($A290,TRIM(SUBSTITUTE('worker file'!$A$2:$A$406,_xlfn.UNICHAR(160)," ")),'worker file'!$D$2:$D$406,"Not found")</f>
        <v>WA</v>
      </c>
      <c r="D290" s="40" t="str">
        <f aca="false" t="array" ref="D290:D290">_xlfn.XLOOKUP($A290,TRIM(SUBSTITUTE('worker file'!$A$2:$A$406,_xlfn.UNICHAR(160)," ")),'worker file'!$Q$2:$Q$406,"Not found")</f>
        <v>Active</v>
      </c>
      <c r="E290" s="39" t="s">
        <v>632</v>
      </c>
      <c r="F290" s="38" t="str">
        <f aca="false">_xlfn.XLOOKUP($E290,$A$5:$A$8,$B$5:$B$8,"")</f>
        <v>Dental – Employee</v>
      </c>
      <c r="G290" s="38" t="str">
        <f aca="false">_xlfn.XLOOKUP($E290,$A$5:$A$8,$D$5:$D$8,"")</f>
        <v>Pre-tax Section 125 (exempt from FIT/SIT/FICA)</v>
      </c>
      <c r="H290" s="38" t="str">
        <f aca="false">_xlfn.XLOOKUP($E290,$A$5:$A$8,$E$5:$E$8,"")</f>
        <v>Flat</v>
      </c>
      <c r="I290" s="44" t="str">
        <f aca="false">IF($H290="Percent",_xlfn.XLOOKUP($E290,$A$5:$A$8,$F$5:$F$8,""),"")</f>
        <v/>
      </c>
      <c r="J290" s="42" t="n">
        <f aca="false">IF($H290="Flat",_xlfn.XLOOKUP($E290,$A$5:$A$8,$F$5:$F$8,""),"")</f>
        <v>44</v>
      </c>
      <c r="K290" s="38" t="str">
        <f aca="false">_xlfn.XLOOKUP($E290,$A$5:$A$8,$G$5:$G$8,"")</f>
        <v>Per pay period</v>
      </c>
      <c r="L290" s="38" t="str">
        <f aca="false">_xlfn.XLOOKUP($E290,$A$5:$A$8,$H$5:$H$8,"")</f>
        <v>Every pay period (ongoing)</v>
      </c>
      <c r="M290" s="43" t="n">
        <f aca="false" t="array" ref="M290:M290">MAX(_xlfn.XLOOKUP($A290,TRIM(SUBSTITUTE('worker file'!$A$2:$A$406,_xlfn.UNICHAR(160)," ")),'worker file'!$M$2:$M$406,0),_xlfn.XLOOKUP($B290,TRIM('pay group &amp; schedule'!$A$2:$A$6),'pay group &amp; schedule'!$D$2:$D$6,0))</f>
        <v>46311</v>
      </c>
      <c r="N290" s="43" t="str">
        <f aca="false" t="array" ref="N290:N290">_xlfn.LET(_xlpm.t,_xlfn.XLOOKUP($A290,TRIM(SUBSTITUTE('worker file'!$A$2:$A$406,_xlfn.UNICHAR(160)," ")),'worker file'!$N$2:$N$406,""),IF(N(_xlpm.t)=0,"",_xlpm.t))</f>
        <v/>
      </c>
    </row>
    <row r="291" customFormat="false" ht="15" hidden="false" customHeight="false" outlineLevel="0" collapsed="false">
      <c r="A291" s="39" t="s">
        <v>199</v>
      </c>
      <c r="B291" s="40" t="str">
        <f aca="false" t="array" ref="B291:B291">_xlfn.XLOOKUP($A291,TRIM(SUBSTITUTE('worker file'!$A$2:$A$406,_xlfn.UNICHAR(160)," ")),'worker file'!$L$2:$L$406,"Not found")</f>
        <v>US Semi-monthly</v>
      </c>
      <c r="C291" s="40" t="str">
        <f aca="false" t="array" ref="C291:C291">_xlfn.XLOOKUP($A291,TRIM(SUBSTITUTE('worker file'!$A$2:$A$406,_xlfn.UNICHAR(160)," ")),'worker file'!$D$2:$D$406,"Not found")</f>
        <v>WA</v>
      </c>
      <c r="D291" s="40" t="str">
        <f aca="false" t="array" ref="D291:D291">_xlfn.XLOOKUP($A291,TRIM(SUBSTITUTE('worker file'!$A$2:$A$406,_xlfn.UNICHAR(160)," ")),'worker file'!$Q$2:$Q$406,"Not found")</f>
        <v>Active</v>
      </c>
      <c r="E291" s="39" t="s">
        <v>634</v>
      </c>
      <c r="F291" s="38" t="str">
        <f aca="false">_xlfn.XLOOKUP($E291,$A$5:$A$8,$B$5:$B$8,"")</f>
        <v>Vision – Employee</v>
      </c>
      <c r="G291" s="38" t="str">
        <f aca="false">_xlfn.XLOOKUP($E291,$A$5:$A$8,$D$5:$D$8,"")</f>
        <v>Pre-tax Section 125 (exempt from FIT/SIT/FICA)</v>
      </c>
      <c r="H291" s="38" t="str">
        <f aca="false">_xlfn.XLOOKUP($E291,$A$5:$A$8,$E$5:$E$8,"")</f>
        <v>Flat</v>
      </c>
      <c r="I291" s="44" t="str">
        <f aca="false">IF($H291="Percent",_xlfn.XLOOKUP($E291,$A$5:$A$8,$F$5:$F$8,""),"")</f>
        <v/>
      </c>
      <c r="J291" s="42" t="n">
        <f aca="false">IF($H291="Flat",_xlfn.XLOOKUP($E291,$A$5:$A$8,$F$5:$F$8,""),"")</f>
        <v>30</v>
      </c>
      <c r="K291" s="38" t="str">
        <f aca="false">_xlfn.XLOOKUP($E291,$A$5:$A$8,$G$5:$G$8,"")</f>
        <v>Per pay period</v>
      </c>
      <c r="L291" s="38" t="str">
        <f aca="false">_xlfn.XLOOKUP($E291,$A$5:$A$8,$H$5:$H$8,"")</f>
        <v>Every pay period (ongoing)</v>
      </c>
      <c r="M291" s="43" t="n">
        <f aca="false" t="array" ref="M291:M291">MAX(_xlfn.XLOOKUP($A291,TRIM(SUBSTITUTE('worker file'!$A$2:$A$406,_xlfn.UNICHAR(160)," ")),'worker file'!$M$2:$M$406,0),_xlfn.XLOOKUP($B291,TRIM('pay group &amp; schedule'!$A$2:$A$6),'pay group &amp; schedule'!$D$2:$D$6,0))</f>
        <v>46311</v>
      </c>
      <c r="N291" s="43" t="str">
        <f aca="false" t="array" ref="N291:N291">_xlfn.LET(_xlpm.t,_xlfn.XLOOKUP($A291,TRIM(SUBSTITUTE('worker file'!$A$2:$A$406,_xlfn.UNICHAR(160)," ")),'worker file'!$N$2:$N$406,""),IF(N(_xlpm.t)=0,"",_xlpm.t))</f>
        <v/>
      </c>
    </row>
    <row r="292" customFormat="false" ht="15" hidden="false" customHeight="false" outlineLevel="0" collapsed="false">
      <c r="A292" s="39" t="s">
        <v>200</v>
      </c>
      <c r="B292" s="40" t="str">
        <f aca="false" t="array" ref="B292:B292">_xlfn.XLOOKUP($A292,TRIM(SUBSTITUTE('worker file'!$A$2:$A$406,_xlfn.UNICHAR(160)," ")),'worker file'!$L$2:$L$406,"Not found")</f>
        <v>US Semi-monthly</v>
      </c>
      <c r="C292" s="40" t="str">
        <f aca="false" t="array" ref="C292:C292">_xlfn.XLOOKUP($A292,TRIM(SUBSTITUTE('worker file'!$A$2:$A$406,_xlfn.UNICHAR(160)," ")),'worker file'!$D$2:$D$406,"Not found")</f>
        <v>CA</v>
      </c>
      <c r="D292" s="40" t="str">
        <f aca="false" t="array" ref="D292:D292">_xlfn.XLOOKUP($A292,TRIM(SUBSTITUTE('worker file'!$A$2:$A$406,_xlfn.UNICHAR(160)," ")),'worker file'!$Q$2:$Q$406,"Not found")</f>
        <v>Active</v>
      </c>
      <c r="E292" s="39" t="s">
        <v>618</v>
      </c>
      <c r="F292" s="38" t="str">
        <f aca="false">_xlfn.XLOOKUP($E292,$A$5:$A$8,$B$5:$B$8,"")</f>
        <v>401(k) Employee Deferral</v>
      </c>
      <c r="G292" s="38" t="str">
        <f aca="false">_xlfn.XLOOKUP($E292,$A$5:$A$8,$D$5:$D$8,"")</f>
        <v>Pre-tax (exempt from FIT/SIT; subject to FICA)</v>
      </c>
      <c r="H292" s="38" t="str">
        <f aca="false">_xlfn.XLOOKUP($E292,$A$5:$A$8,$E$5:$E$8,"")</f>
        <v>Percent</v>
      </c>
      <c r="I292" s="41" t="n">
        <v>0.03</v>
      </c>
      <c r="J292" s="42" t="str">
        <f aca="false">IF($H292="Flat",_xlfn.XLOOKUP($E292,$A$5:$A$8,$F$5:$F$8,""),"")</f>
        <v/>
      </c>
      <c r="K292" s="38" t="str">
        <f aca="false">_xlfn.XLOOKUP($E292,$A$5:$A$8,$G$5:$G$8,"")</f>
        <v>Gross pay</v>
      </c>
      <c r="L292" s="38" t="str">
        <f aca="false">_xlfn.XLOOKUP($E292,$A$5:$A$8,$H$5:$H$8,"")</f>
        <v>Every pay period (ongoing)</v>
      </c>
      <c r="M292" s="43" t="n">
        <f aca="false" t="array" ref="M292:M292">MAX(_xlfn.XLOOKUP($A292,TRIM(SUBSTITUTE('worker file'!$A$2:$A$406,_xlfn.UNICHAR(160)," ")),'worker file'!$M$2:$M$406,0),_xlfn.XLOOKUP($B292,TRIM('pay group &amp; schedule'!$A$2:$A$6),'pay group &amp; schedule'!$D$2:$D$6,0))</f>
        <v>46311</v>
      </c>
      <c r="N292" s="43" t="str">
        <f aca="false" t="array" ref="N292:N292">_xlfn.LET(_xlpm.t,_xlfn.XLOOKUP($A292,TRIM(SUBSTITUTE('worker file'!$A$2:$A$406,_xlfn.UNICHAR(160)," ")),'worker file'!$N$2:$N$406,""),IF(N(_xlpm.t)=0,"",_xlpm.t))</f>
        <v/>
      </c>
    </row>
    <row r="293" customFormat="false" ht="15" hidden="false" customHeight="false" outlineLevel="0" collapsed="false">
      <c r="A293" s="39" t="s">
        <v>200</v>
      </c>
      <c r="B293" s="40" t="str">
        <f aca="false" t="array" ref="B293:B293">_xlfn.XLOOKUP($A293,TRIM(SUBSTITUTE('worker file'!$A$2:$A$406,_xlfn.UNICHAR(160)," ")),'worker file'!$L$2:$L$406,"Not found")</f>
        <v>US Semi-monthly</v>
      </c>
      <c r="C293" s="40" t="str">
        <f aca="false" t="array" ref="C293:C293">_xlfn.XLOOKUP($A293,TRIM(SUBSTITUTE('worker file'!$A$2:$A$406,_xlfn.UNICHAR(160)," ")),'worker file'!$D$2:$D$406,"Not found")</f>
        <v>CA</v>
      </c>
      <c r="D293" s="40" t="str">
        <f aca="false" t="array" ref="D293:D293">_xlfn.XLOOKUP($A293,TRIM(SUBSTITUTE('worker file'!$A$2:$A$406,_xlfn.UNICHAR(160)," ")),'worker file'!$Q$2:$Q$406,"Not found")</f>
        <v>Active</v>
      </c>
      <c r="E293" s="39" t="s">
        <v>626</v>
      </c>
      <c r="F293" s="38" t="str">
        <f aca="false">_xlfn.XLOOKUP($E293,$A$5:$A$8,$B$5:$B$8,"")</f>
        <v>Medical (Health) – Employee</v>
      </c>
      <c r="G293" s="38" t="str">
        <f aca="false">_xlfn.XLOOKUP($E293,$A$5:$A$8,$D$5:$D$8,"")</f>
        <v>Pre-tax Section 125 (exempt from FIT/SIT/FICA)</v>
      </c>
      <c r="H293" s="38" t="str">
        <f aca="false">_xlfn.XLOOKUP($E293,$A$5:$A$8,$E$5:$E$8,"")</f>
        <v>Flat</v>
      </c>
      <c r="I293" s="44" t="str">
        <f aca="false">IF($H293="Percent",_xlfn.XLOOKUP($E293,$A$5:$A$8,$F$5:$F$8,""),"")</f>
        <v/>
      </c>
      <c r="J293" s="42" t="n">
        <f aca="false">IF($H293="Flat",_xlfn.XLOOKUP($E293,$A$5:$A$8,$F$5:$F$8,""),"")</f>
        <v>200</v>
      </c>
      <c r="K293" s="38" t="str">
        <f aca="false">_xlfn.XLOOKUP($E293,$A$5:$A$8,$G$5:$G$8,"")</f>
        <v>Per pay period</v>
      </c>
      <c r="L293" s="38" t="str">
        <f aca="false">_xlfn.XLOOKUP($E293,$A$5:$A$8,$H$5:$H$8,"")</f>
        <v>Every pay period (ongoing)</v>
      </c>
      <c r="M293" s="43" t="n">
        <f aca="false" t="array" ref="M293:M293">MAX(_xlfn.XLOOKUP($A293,TRIM(SUBSTITUTE('worker file'!$A$2:$A$406,_xlfn.UNICHAR(160)," ")),'worker file'!$M$2:$M$406,0),_xlfn.XLOOKUP($B293,TRIM('pay group &amp; schedule'!$A$2:$A$6),'pay group &amp; schedule'!$D$2:$D$6,0))</f>
        <v>46311</v>
      </c>
      <c r="N293" s="43" t="str">
        <f aca="false" t="array" ref="N293:N293">_xlfn.LET(_xlpm.t,_xlfn.XLOOKUP($A293,TRIM(SUBSTITUTE('worker file'!$A$2:$A$406,_xlfn.UNICHAR(160)," ")),'worker file'!$N$2:$N$406,""),IF(N(_xlpm.t)=0,"",_xlpm.t))</f>
        <v/>
      </c>
    </row>
    <row r="294" customFormat="false" ht="15" hidden="false" customHeight="false" outlineLevel="0" collapsed="false">
      <c r="A294" s="39" t="s">
        <v>200</v>
      </c>
      <c r="B294" s="40" t="str">
        <f aca="false" t="array" ref="B294:B294">_xlfn.XLOOKUP($A294,TRIM(SUBSTITUTE('worker file'!$A$2:$A$406,_xlfn.UNICHAR(160)," ")),'worker file'!$L$2:$L$406,"Not found")</f>
        <v>US Semi-monthly</v>
      </c>
      <c r="C294" s="40" t="str">
        <f aca="false" t="array" ref="C294:C294">_xlfn.XLOOKUP($A294,TRIM(SUBSTITUTE('worker file'!$A$2:$A$406,_xlfn.UNICHAR(160)," ")),'worker file'!$D$2:$D$406,"Not found")</f>
        <v>CA</v>
      </c>
      <c r="D294" s="40" t="str">
        <f aca="false" t="array" ref="D294:D294">_xlfn.XLOOKUP($A294,TRIM(SUBSTITUTE('worker file'!$A$2:$A$406,_xlfn.UNICHAR(160)," ")),'worker file'!$Q$2:$Q$406,"Not found")</f>
        <v>Active</v>
      </c>
      <c r="E294" s="39" t="s">
        <v>632</v>
      </c>
      <c r="F294" s="38" t="str">
        <f aca="false">_xlfn.XLOOKUP($E294,$A$5:$A$8,$B$5:$B$8,"")</f>
        <v>Dental – Employee</v>
      </c>
      <c r="G294" s="38" t="str">
        <f aca="false">_xlfn.XLOOKUP($E294,$A$5:$A$8,$D$5:$D$8,"")</f>
        <v>Pre-tax Section 125 (exempt from FIT/SIT/FICA)</v>
      </c>
      <c r="H294" s="38" t="str">
        <f aca="false">_xlfn.XLOOKUP($E294,$A$5:$A$8,$E$5:$E$8,"")</f>
        <v>Flat</v>
      </c>
      <c r="I294" s="44" t="str">
        <f aca="false">IF($H294="Percent",_xlfn.XLOOKUP($E294,$A$5:$A$8,$F$5:$F$8,""),"")</f>
        <v/>
      </c>
      <c r="J294" s="42" t="n">
        <f aca="false">IF($H294="Flat",_xlfn.XLOOKUP($E294,$A$5:$A$8,$F$5:$F$8,""),"")</f>
        <v>44</v>
      </c>
      <c r="K294" s="38" t="str">
        <f aca="false">_xlfn.XLOOKUP($E294,$A$5:$A$8,$G$5:$G$8,"")</f>
        <v>Per pay period</v>
      </c>
      <c r="L294" s="38" t="str">
        <f aca="false">_xlfn.XLOOKUP($E294,$A$5:$A$8,$H$5:$H$8,"")</f>
        <v>Every pay period (ongoing)</v>
      </c>
      <c r="M294" s="43" t="n">
        <f aca="false" t="array" ref="M294:M294">MAX(_xlfn.XLOOKUP($A294,TRIM(SUBSTITUTE('worker file'!$A$2:$A$406,_xlfn.UNICHAR(160)," ")),'worker file'!$M$2:$M$406,0),_xlfn.XLOOKUP($B294,TRIM('pay group &amp; schedule'!$A$2:$A$6),'pay group &amp; schedule'!$D$2:$D$6,0))</f>
        <v>46311</v>
      </c>
      <c r="N294" s="43" t="str">
        <f aca="false" t="array" ref="N294:N294">_xlfn.LET(_xlpm.t,_xlfn.XLOOKUP($A294,TRIM(SUBSTITUTE('worker file'!$A$2:$A$406,_xlfn.UNICHAR(160)," ")),'worker file'!$N$2:$N$406,""),IF(N(_xlpm.t)=0,"",_xlpm.t))</f>
        <v/>
      </c>
    </row>
    <row r="295" customFormat="false" ht="15" hidden="false" customHeight="false" outlineLevel="0" collapsed="false">
      <c r="A295" s="39" t="s">
        <v>200</v>
      </c>
      <c r="B295" s="40" t="str">
        <f aca="false" t="array" ref="B295:B295">_xlfn.XLOOKUP($A295,TRIM(SUBSTITUTE('worker file'!$A$2:$A$406,_xlfn.UNICHAR(160)," ")),'worker file'!$L$2:$L$406,"Not found")</f>
        <v>US Semi-monthly</v>
      </c>
      <c r="C295" s="40" t="str">
        <f aca="false" t="array" ref="C295:C295">_xlfn.XLOOKUP($A295,TRIM(SUBSTITUTE('worker file'!$A$2:$A$406,_xlfn.UNICHAR(160)," ")),'worker file'!$D$2:$D$406,"Not found")</f>
        <v>CA</v>
      </c>
      <c r="D295" s="40" t="str">
        <f aca="false" t="array" ref="D295:D295">_xlfn.XLOOKUP($A295,TRIM(SUBSTITUTE('worker file'!$A$2:$A$406,_xlfn.UNICHAR(160)," ")),'worker file'!$Q$2:$Q$406,"Not found")</f>
        <v>Active</v>
      </c>
      <c r="E295" s="39" t="s">
        <v>634</v>
      </c>
      <c r="F295" s="38" t="str">
        <f aca="false">_xlfn.XLOOKUP($E295,$A$5:$A$8,$B$5:$B$8,"")</f>
        <v>Vision – Employee</v>
      </c>
      <c r="G295" s="38" t="str">
        <f aca="false">_xlfn.XLOOKUP($E295,$A$5:$A$8,$D$5:$D$8,"")</f>
        <v>Pre-tax Section 125 (exempt from FIT/SIT/FICA)</v>
      </c>
      <c r="H295" s="38" t="str">
        <f aca="false">_xlfn.XLOOKUP($E295,$A$5:$A$8,$E$5:$E$8,"")</f>
        <v>Flat</v>
      </c>
      <c r="I295" s="44" t="str">
        <f aca="false">IF($H295="Percent",_xlfn.XLOOKUP($E295,$A$5:$A$8,$F$5:$F$8,""),"")</f>
        <v/>
      </c>
      <c r="J295" s="42" t="n">
        <f aca="false">IF($H295="Flat",_xlfn.XLOOKUP($E295,$A$5:$A$8,$F$5:$F$8,""),"")</f>
        <v>30</v>
      </c>
      <c r="K295" s="38" t="str">
        <f aca="false">_xlfn.XLOOKUP($E295,$A$5:$A$8,$G$5:$G$8,"")</f>
        <v>Per pay period</v>
      </c>
      <c r="L295" s="38" t="str">
        <f aca="false">_xlfn.XLOOKUP($E295,$A$5:$A$8,$H$5:$H$8,"")</f>
        <v>Every pay period (ongoing)</v>
      </c>
      <c r="M295" s="43" t="n">
        <f aca="false" t="array" ref="M295:M295">MAX(_xlfn.XLOOKUP($A295,TRIM(SUBSTITUTE('worker file'!$A$2:$A$406,_xlfn.UNICHAR(160)," ")),'worker file'!$M$2:$M$406,0),_xlfn.XLOOKUP($B295,TRIM('pay group &amp; schedule'!$A$2:$A$6),'pay group &amp; schedule'!$D$2:$D$6,0))</f>
        <v>46311</v>
      </c>
      <c r="N295" s="43" t="str">
        <f aca="false" t="array" ref="N295:N295">_xlfn.LET(_xlpm.t,_xlfn.XLOOKUP($A295,TRIM(SUBSTITUTE('worker file'!$A$2:$A$406,_xlfn.UNICHAR(160)," ")),'worker file'!$N$2:$N$406,""),IF(N(_xlpm.t)=0,"",_xlpm.t))</f>
        <v/>
      </c>
    </row>
    <row r="296" customFormat="false" ht="15" hidden="false" customHeight="false" outlineLevel="0" collapsed="false">
      <c r="A296" s="39" t="s">
        <v>201</v>
      </c>
      <c r="B296" s="40" t="str">
        <f aca="false" t="array" ref="B296:B296">_xlfn.XLOOKUP($A296,TRIM(SUBSTITUTE('worker file'!$A$2:$A$406,_xlfn.UNICHAR(160)," ")),'worker file'!$L$2:$L$406,"Not found")</f>
        <v>US Biweekly</v>
      </c>
      <c r="C296" s="40" t="str">
        <f aca="false" t="array" ref="C296:C296">_xlfn.XLOOKUP($A296,TRIM(SUBSTITUTE('worker file'!$A$2:$A$406,_xlfn.UNICHAR(160)," ")),'worker file'!$D$2:$D$406,"Not found")</f>
        <v>CA</v>
      </c>
      <c r="D296" s="40" t="str">
        <f aca="false" t="array" ref="D296:D296">_xlfn.XLOOKUP($A296,TRIM(SUBSTITUTE('worker file'!$A$2:$A$406,_xlfn.UNICHAR(160)," ")),'worker file'!$Q$2:$Q$406,"Not found")</f>
        <v>Active</v>
      </c>
      <c r="E296" s="39" t="s">
        <v>618</v>
      </c>
      <c r="F296" s="38" t="str">
        <f aca="false">_xlfn.XLOOKUP($E296,$A$5:$A$8,$B$5:$B$8,"")</f>
        <v>401(k) Employee Deferral</v>
      </c>
      <c r="G296" s="38" t="str">
        <f aca="false">_xlfn.XLOOKUP($E296,$A$5:$A$8,$D$5:$D$8,"")</f>
        <v>Pre-tax (exempt from FIT/SIT; subject to FICA)</v>
      </c>
      <c r="H296" s="38" t="str">
        <f aca="false">_xlfn.XLOOKUP($E296,$A$5:$A$8,$E$5:$E$8,"")</f>
        <v>Percent</v>
      </c>
      <c r="I296" s="41" t="n">
        <v>0</v>
      </c>
      <c r="J296" s="42" t="str">
        <f aca="false">IF($H296="Flat",_xlfn.XLOOKUP($E296,$A$5:$A$8,$F$5:$F$8,""),"")</f>
        <v/>
      </c>
      <c r="K296" s="38" t="str">
        <f aca="false">_xlfn.XLOOKUP($E296,$A$5:$A$8,$G$5:$G$8,"")</f>
        <v>Gross pay</v>
      </c>
      <c r="L296" s="38" t="str">
        <f aca="false">_xlfn.XLOOKUP($E296,$A$5:$A$8,$H$5:$H$8,"")</f>
        <v>Every pay period (ongoing)</v>
      </c>
      <c r="M296" s="43" t="n">
        <f aca="false" t="array" ref="M296:M296">MAX(_xlfn.XLOOKUP($A296,TRIM(SUBSTITUTE('worker file'!$A$2:$A$406,_xlfn.UNICHAR(160)," ")),'worker file'!$M$2:$M$406,0),_xlfn.XLOOKUP($B296,TRIM('pay group &amp; schedule'!$A$2:$A$6),'pay group &amp; schedule'!$D$2:$D$6,0))</f>
        <v>46299</v>
      </c>
      <c r="N296" s="43" t="str">
        <f aca="false" t="array" ref="N296:N296">_xlfn.LET(_xlpm.t,_xlfn.XLOOKUP($A296,TRIM(SUBSTITUTE('worker file'!$A$2:$A$406,_xlfn.UNICHAR(160)," ")),'worker file'!$N$2:$N$406,""),IF(N(_xlpm.t)=0,"",_xlpm.t))</f>
        <v/>
      </c>
    </row>
    <row r="297" customFormat="false" ht="15" hidden="false" customHeight="false" outlineLevel="0" collapsed="false">
      <c r="A297" s="39" t="s">
        <v>201</v>
      </c>
      <c r="B297" s="40" t="str">
        <f aca="false" t="array" ref="B297:B297">_xlfn.XLOOKUP($A297,TRIM(SUBSTITUTE('worker file'!$A$2:$A$406,_xlfn.UNICHAR(160)," ")),'worker file'!$L$2:$L$406,"Not found")</f>
        <v>US Biweekly</v>
      </c>
      <c r="C297" s="40" t="str">
        <f aca="false" t="array" ref="C297:C297">_xlfn.XLOOKUP($A297,TRIM(SUBSTITUTE('worker file'!$A$2:$A$406,_xlfn.UNICHAR(160)," ")),'worker file'!$D$2:$D$406,"Not found")</f>
        <v>CA</v>
      </c>
      <c r="D297" s="40" t="str">
        <f aca="false" t="array" ref="D297:D297">_xlfn.XLOOKUP($A297,TRIM(SUBSTITUTE('worker file'!$A$2:$A$406,_xlfn.UNICHAR(160)," ")),'worker file'!$Q$2:$Q$406,"Not found")</f>
        <v>Active</v>
      </c>
      <c r="E297" s="39" t="s">
        <v>626</v>
      </c>
      <c r="F297" s="38" t="str">
        <f aca="false">_xlfn.XLOOKUP($E297,$A$5:$A$8,$B$5:$B$8,"")</f>
        <v>Medical (Health) – Employee</v>
      </c>
      <c r="G297" s="38" t="str">
        <f aca="false">_xlfn.XLOOKUP($E297,$A$5:$A$8,$D$5:$D$8,"")</f>
        <v>Pre-tax Section 125 (exempt from FIT/SIT/FICA)</v>
      </c>
      <c r="H297" s="38" t="str">
        <f aca="false">_xlfn.XLOOKUP($E297,$A$5:$A$8,$E$5:$E$8,"")</f>
        <v>Flat</v>
      </c>
      <c r="I297" s="44" t="str">
        <f aca="false">IF($H297="Percent",_xlfn.XLOOKUP($E297,$A$5:$A$8,$F$5:$F$8,""),"")</f>
        <v/>
      </c>
      <c r="J297" s="42" t="n">
        <f aca="false">IF($H297="Flat",_xlfn.XLOOKUP($E297,$A$5:$A$8,$F$5:$F$8,""),"")</f>
        <v>200</v>
      </c>
      <c r="K297" s="38" t="str">
        <f aca="false">_xlfn.XLOOKUP($E297,$A$5:$A$8,$G$5:$G$8,"")</f>
        <v>Per pay period</v>
      </c>
      <c r="L297" s="38" t="str">
        <f aca="false">_xlfn.XLOOKUP($E297,$A$5:$A$8,$H$5:$H$8,"")</f>
        <v>Every pay period (ongoing)</v>
      </c>
      <c r="M297" s="43" t="n">
        <f aca="false" t="array" ref="M297:M297">MAX(_xlfn.XLOOKUP($A297,TRIM(SUBSTITUTE('worker file'!$A$2:$A$406,_xlfn.UNICHAR(160)," ")),'worker file'!$M$2:$M$406,0),_xlfn.XLOOKUP($B297,TRIM('pay group &amp; schedule'!$A$2:$A$6),'pay group &amp; schedule'!$D$2:$D$6,0))</f>
        <v>46299</v>
      </c>
      <c r="N297" s="43" t="str">
        <f aca="false" t="array" ref="N297:N297">_xlfn.LET(_xlpm.t,_xlfn.XLOOKUP($A297,TRIM(SUBSTITUTE('worker file'!$A$2:$A$406,_xlfn.UNICHAR(160)," ")),'worker file'!$N$2:$N$406,""),IF(N(_xlpm.t)=0,"",_xlpm.t))</f>
        <v/>
      </c>
    </row>
    <row r="298" customFormat="false" ht="15" hidden="false" customHeight="false" outlineLevel="0" collapsed="false">
      <c r="A298" s="39" t="s">
        <v>201</v>
      </c>
      <c r="B298" s="40" t="str">
        <f aca="false" t="array" ref="B298:B298">_xlfn.XLOOKUP($A298,TRIM(SUBSTITUTE('worker file'!$A$2:$A$406,_xlfn.UNICHAR(160)," ")),'worker file'!$L$2:$L$406,"Not found")</f>
        <v>US Biweekly</v>
      </c>
      <c r="C298" s="40" t="str">
        <f aca="false" t="array" ref="C298:C298">_xlfn.XLOOKUP($A298,TRIM(SUBSTITUTE('worker file'!$A$2:$A$406,_xlfn.UNICHAR(160)," ")),'worker file'!$D$2:$D$406,"Not found")</f>
        <v>CA</v>
      </c>
      <c r="D298" s="40" t="str">
        <f aca="false" t="array" ref="D298:D298">_xlfn.XLOOKUP($A298,TRIM(SUBSTITUTE('worker file'!$A$2:$A$406,_xlfn.UNICHAR(160)," ")),'worker file'!$Q$2:$Q$406,"Not found")</f>
        <v>Active</v>
      </c>
      <c r="E298" s="39" t="s">
        <v>632</v>
      </c>
      <c r="F298" s="38" t="str">
        <f aca="false">_xlfn.XLOOKUP($E298,$A$5:$A$8,$B$5:$B$8,"")</f>
        <v>Dental – Employee</v>
      </c>
      <c r="G298" s="38" t="str">
        <f aca="false">_xlfn.XLOOKUP($E298,$A$5:$A$8,$D$5:$D$8,"")</f>
        <v>Pre-tax Section 125 (exempt from FIT/SIT/FICA)</v>
      </c>
      <c r="H298" s="38" t="str">
        <f aca="false">_xlfn.XLOOKUP($E298,$A$5:$A$8,$E$5:$E$8,"")</f>
        <v>Flat</v>
      </c>
      <c r="I298" s="44" t="str">
        <f aca="false">IF($H298="Percent",_xlfn.XLOOKUP($E298,$A$5:$A$8,$F$5:$F$8,""),"")</f>
        <v/>
      </c>
      <c r="J298" s="42" t="n">
        <f aca="false">IF($H298="Flat",_xlfn.XLOOKUP($E298,$A$5:$A$8,$F$5:$F$8,""),"")</f>
        <v>44</v>
      </c>
      <c r="K298" s="38" t="str">
        <f aca="false">_xlfn.XLOOKUP($E298,$A$5:$A$8,$G$5:$G$8,"")</f>
        <v>Per pay period</v>
      </c>
      <c r="L298" s="38" t="str">
        <f aca="false">_xlfn.XLOOKUP($E298,$A$5:$A$8,$H$5:$H$8,"")</f>
        <v>Every pay period (ongoing)</v>
      </c>
      <c r="M298" s="43" t="n">
        <f aca="false" t="array" ref="M298:M298">MAX(_xlfn.XLOOKUP($A298,TRIM(SUBSTITUTE('worker file'!$A$2:$A$406,_xlfn.UNICHAR(160)," ")),'worker file'!$M$2:$M$406,0),_xlfn.XLOOKUP($B298,TRIM('pay group &amp; schedule'!$A$2:$A$6),'pay group &amp; schedule'!$D$2:$D$6,0))</f>
        <v>46299</v>
      </c>
      <c r="N298" s="43" t="str">
        <f aca="false" t="array" ref="N298:N298">_xlfn.LET(_xlpm.t,_xlfn.XLOOKUP($A298,TRIM(SUBSTITUTE('worker file'!$A$2:$A$406,_xlfn.UNICHAR(160)," ")),'worker file'!$N$2:$N$406,""),IF(N(_xlpm.t)=0,"",_xlpm.t))</f>
        <v/>
      </c>
    </row>
    <row r="299" customFormat="false" ht="15" hidden="false" customHeight="false" outlineLevel="0" collapsed="false">
      <c r="A299" s="39" t="s">
        <v>201</v>
      </c>
      <c r="B299" s="40" t="str">
        <f aca="false" t="array" ref="B299:B299">_xlfn.XLOOKUP($A299,TRIM(SUBSTITUTE('worker file'!$A$2:$A$406,_xlfn.UNICHAR(160)," ")),'worker file'!$L$2:$L$406,"Not found")</f>
        <v>US Biweekly</v>
      </c>
      <c r="C299" s="40" t="str">
        <f aca="false" t="array" ref="C299:C299">_xlfn.XLOOKUP($A299,TRIM(SUBSTITUTE('worker file'!$A$2:$A$406,_xlfn.UNICHAR(160)," ")),'worker file'!$D$2:$D$406,"Not found")</f>
        <v>CA</v>
      </c>
      <c r="D299" s="40" t="str">
        <f aca="false" t="array" ref="D299:D299">_xlfn.XLOOKUP($A299,TRIM(SUBSTITUTE('worker file'!$A$2:$A$406,_xlfn.UNICHAR(160)," ")),'worker file'!$Q$2:$Q$406,"Not found")</f>
        <v>Active</v>
      </c>
      <c r="E299" s="39" t="s">
        <v>634</v>
      </c>
      <c r="F299" s="38" t="str">
        <f aca="false">_xlfn.XLOOKUP($E299,$A$5:$A$8,$B$5:$B$8,"")</f>
        <v>Vision – Employee</v>
      </c>
      <c r="G299" s="38" t="str">
        <f aca="false">_xlfn.XLOOKUP($E299,$A$5:$A$8,$D$5:$D$8,"")</f>
        <v>Pre-tax Section 125 (exempt from FIT/SIT/FICA)</v>
      </c>
      <c r="H299" s="38" t="str">
        <f aca="false">_xlfn.XLOOKUP($E299,$A$5:$A$8,$E$5:$E$8,"")</f>
        <v>Flat</v>
      </c>
      <c r="I299" s="44" t="str">
        <f aca="false">IF($H299="Percent",_xlfn.XLOOKUP($E299,$A$5:$A$8,$F$5:$F$8,""),"")</f>
        <v/>
      </c>
      <c r="J299" s="42" t="n">
        <f aca="false">IF($H299="Flat",_xlfn.XLOOKUP($E299,$A$5:$A$8,$F$5:$F$8,""),"")</f>
        <v>30</v>
      </c>
      <c r="K299" s="38" t="str">
        <f aca="false">_xlfn.XLOOKUP($E299,$A$5:$A$8,$G$5:$G$8,"")</f>
        <v>Per pay period</v>
      </c>
      <c r="L299" s="38" t="str">
        <f aca="false">_xlfn.XLOOKUP($E299,$A$5:$A$8,$H$5:$H$8,"")</f>
        <v>Every pay period (ongoing)</v>
      </c>
      <c r="M299" s="43" t="n">
        <f aca="false" t="array" ref="M299:M299">MAX(_xlfn.XLOOKUP($A299,TRIM(SUBSTITUTE('worker file'!$A$2:$A$406,_xlfn.UNICHAR(160)," ")),'worker file'!$M$2:$M$406,0),_xlfn.XLOOKUP($B299,TRIM('pay group &amp; schedule'!$A$2:$A$6),'pay group &amp; schedule'!$D$2:$D$6,0))</f>
        <v>46299</v>
      </c>
      <c r="N299" s="43" t="str">
        <f aca="false" t="array" ref="N299:N299">_xlfn.LET(_xlpm.t,_xlfn.XLOOKUP($A299,TRIM(SUBSTITUTE('worker file'!$A$2:$A$406,_xlfn.UNICHAR(160)," ")),'worker file'!$N$2:$N$406,""),IF(N(_xlpm.t)=0,"",_xlpm.t))</f>
        <v/>
      </c>
    </row>
    <row r="300" customFormat="false" ht="15" hidden="false" customHeight="false" outlineLevel="0" collapsed="false">
      <c r="A300" s="39" t="s">
        <v>202</v>
      </c>
      <c r="B300" s="40" t="str">
        <f aca="false" t="array" ref="B300:B300">_xlfn.XLOOKUP($A300,TRIM(SUBSTITUTE('worker file'!$A$2:$A$406,_xlfn.UNICHAR(160)," ")),'worker file'!$L$2:$L$406,"Not found")</f>
        <v>US Semi-monthly</v>
      </c>
      <c r="C300" s="40" t="str">
        <f aca="false" t="array" ref="C300:C300">_xlfn.XLOOKUP($A300,TRIM(SUBSTITUTE('worker file'!$A$2:$A$406,_xlfn.UNICHAR(160)," ")),'worker file'!$D$2:$D$406,"Not found")</f>
        <v>TX</v>
      </c>
      <c r="D300" s="40" t="str">
        <f aca="false" t="array" ref="D300:D300">_xlfn.XLOOKUP($A300,TRIM(SUBSTITUTE('worker file'!$A$2:$A$406,_xlfn.UNICHAR(160)," ")),'worker file'!$Q$2:$Q$406,"Not found")</f>
        <v>Active</v>
      </c>
      <c r="E300" s="39" t="s">
        <v>618</v>
      </c>
      <c r="F300" s="38" t="str">
        <f aca="false">_xlfn.XLOOKUP($E300,$A$5:$A$8,$B$5:$B$8,"")</f>
        <v>401(k) Employee Deferral</v>
      </c>
      <c r="G300" s="38" t="str">
        <f aca="false">_xlfn.XLOOKUP($E300,$A$5:$A$8,$D$5:$D$8,"")</f>
        <v>Pre-tax (exempt from FIT/SIT; subject to FICA)</v>
      </c>
      <c r="H300" s="38" t="str">
        <f aca="false">_xlfn.XLOOKUP($E300,$A$5:$A$8,$E$5:$E$8,"")</f>
        <v>Percent</v>
      </c>
      <c r="I300" s="41" t="n">
        <v>0.05</v>
      </c>
      <c r="J300" s="42" t="str">
        <f aca="false">IF($H300="Flat",_xlfn.XLOOKUP($E300,$A$5:$A$8,$F$5:$F$8,""),"")</f>
        <v/>
      </c>
      <c r="K300" s="38" t="str">
        <f aca="false">_xlfn.XLOOKUP($E300,$A$5:$A$8,$G$5:$G$8,"")</f>
        <v>Gross pay</v>
      </c>
      <c r="L300" s="38" t="str">
        <f aca="false">_xlfn.XLOOKUP($E300,$A$5:$A$8,$H$5:$H$8,"")</f>
        <v>Every pay period (ongoing)</v>
      </c>
      <c r="M300" s="43" t="n">
        <f aca="false" t="array" ref="M300:M300">MAX(_xlfn.XLOOKUP($A300,TRIM(SUBSTITUTE('worker file'!$A$2:$A$406,_xlfn.UNICHAR(160)," ")),'worker file'!$M$2:$M$406,0),_xlfn.XLOOKUP($B300,TRIM('pay group &amp; schedule'!$A$2:$A$6),'pay group &amp; schedule'!$D$2:$D$6,0))</f>
        <v>46311</v>
      </c>
      <c r="N300" s="43" t="str">
        <f aca="false" t="array" ref="N300:N300">_xlfn.LET(_xlpm.t,_xlfn.XLOOKUP($A300,TRIM(SUBSTITUTE('worker file'!$A$2:$A$406,_xlfn.UNICHAR(160)," ")),'worker file'!$N$2:$N$406,""),IF(N(_xlpm.t)=0,"",_xlpm.t))</f>
        <v/>
      </c>
    </row>
    <row r="301" customFormat="false" ht="15" hidden="false" customHeight="false" outlineLevel="0" collapsed="false">
      <c r="A301" s="39" t="s">
        <v>202</v>
      </c>
      <c r="B301" s="40" t="str">
        <f aca="false" t="array" ref="B301:B301">_xlfn.XLOOKUP($A301,TRIM(SUBSTITUTE('worker file'!$A$2:$A$406,_xlfn.UNICHAR(160)," ")),'worker file'!$L$2:$L$406,"Not found")</f>
        <v>US Semi-monthly</v>
      </c>
      <c r="C301" s="40" t="str">
        <f aca="false" t="array" ref="C301:C301">_xlfn.XLOOKUP($A301,TRIM(SUBSTITUTE('worker file'!$A$2:$A$406,_xlfn.UNICHAR(160)," ")),'worker file'!$D$2:$D$406,"Not found")</f>
        <v>TX</v>
      </c>
      <c r="D301" s="40" t="str">
        <f aca="false" t="array" ref="D301:D301">_xlfn.XLOOKUP($A301,TRIM(SUBSTITUTE('worker file'!$A$2:$A$406,_xlfn.UNICHAR(160)," ")),'worker file'!$Q$2:$Q$406,"Not found")</f>
        <v>Active</v>
      </c>
      <c r="E301" s="39" t="s">
        <v>626</v>
      </c>
      <c r="F301" s="38" t="str">
        <f aca="false">_xlfn.XLOOKUP($E301,$A$5:$A$8,$B$5:$B$8,"")</f>
        <v>Medical (Health) – Employee</v>
      </c>
      <c r="G301" s="38" t="str">
        <f aca="false">_xlfn.XLOOKUP($E301,$A$5:$A$8,$D$5:$D$8,"")</f>
        <v>Pre-tax Section 125 (exempt from FIT/SIT/FICA)</v>
      </c>
      <c r="H301" s="38" t="str">
        <f aca="false">_xlfn.XLOOKUP($E301,$A$5:$A$8,$E$5:$E$8,"")</f>
        <v>Flat</v>
      </c>
      <c r="I301" s="44" t="str">
        <f aca="false">IF($H301="Percent",_xlfn.XLOOKUP($E301,$A$5:$A$8,$F$5:$F$8,""),"")</f>
        <v/>
      </c>
      <c r="J301" s="42" t="n">
        <f aca="false">IF($H301="Flat",_xlfn.XLOOKUP($E301,$A$5:$A$8,$F$5:$F$8,""),"")</f>
        <v>200</v>
      </c>
      <c r="K301" s="38" t="str">
        <f aca="false">_xlfn.XLOOKUP($E301,$A$5:$A$8,$G$5:$G$8,"")</f>
        <v>Per pay period</v>
      </c>
      <c r="L301" s="38" t="str">
        <f aca="false">_xlfn.XLOOKUP($E301,$A$5:$A$8,$H$5:$H$8,"")</f>
        <v>Every pay period (ongoing)</v>
      </c>
      <c r="M301" s="43" t="n">
        <f aca="false" t="array" ref="M301:M301">MAX(_xlfn.XLOOKUP($A301,TRIM(SUBSTITUTE('worker file'!$A$2:$A$406,_xlfn.UNICHAR(160)," ")),'worker file'!$M$2:$M$406,0),_xlfn.XLOOKUP($B301,TRIM('pay group &amp; schedule'!$A$2:$A$6),'pay group &amp; schedule'!$D$2:$D$6,0))</f>
        <v>46311</v>
      </c>
      <c r="N301" s="43" t="str">
        <f aca="false" t="array" ref="N301:N301">_xlfn.LET(_xlpm.t,_xlfn.XLOOKUP($A301,TRIM(SUBSTITUTE('worker file'!$A$2:$A$406,_xlfn.UNICHAR(160)," ")),'worker file'!$N$2:$N$406,""),IF(N(_xlpm.t)=0,"",_xlpm.t))</f>
        <v/>
      </c>
    </row>
    <row r="302" customFormat="false" ht="15" hidden="false" customHeight="false" outlineLevel="0" collapsed="false">
      <c r="A302" s="39" t="s">
        <v>202</v>
      </c>
      <c r="B302" s="40" t="str">
        <f aca="false" t="array" ref="B302:B302">_xlfn.XLOOKUP($A302,TRIM(SUBSTITUTE('worker file'!$A$2:$A$406,_xlfn.UNICHAR(160)," ")),'worker file'!$L$2:$L$406,"Not found")</f>
        <v>US Semi-monthly</v>
      </c>
      <c r="C302" s="40" t="str">
        <f aca="false" t="array" ref="C302:C302">_xlfn.XLOOKUP($A302,TRIM(SUBSTITUTE('worker file'!$A$2:$A$406,_xlfn.UNICHAR(160)," ")),'worker file'!$D$2:$D$406,"Not found")</f>
        <v>TX</v>
      </c>
      <c r="D302" s="40" t="str">
        <f aca="false" t="array" ref="D302:D302">_xlfn.XLOOKUP($A302,TRIM(SUBSTITUTE('worker file'!$A$2:$A$406,_xlfn.UNICHAR(160)," ")),'worker file'!$Q$2:$Q$406,"Not found")</f>
        <v>Active</v>
      </c>
      <c r="E302" s="39" t="s">
        <v>632</v>
      </c>
      <c r="F302" s="38" t="str">
        <f aca="false">_xlfn.XLOOKUP($E302,$A$5:$A$8,$B$5:$B$8,"")</f>
        <v>Dental – Employee</v>
      </c>
      <c r="G302" s="38" t="str">
        <f aca="false">_xlfn.XLOOKUP($E302,$A$5:$A$8,$D$5:$D$8,"")</f>
        <v>Pre-tax Section 125 (exempt from FIT/SIT/FICA)</v>
      </c>
      <c r="H302" s="38" t="str">
        <f aca="false">_xlfn.XLOOKUP($E302,$A$5:$A$8,$E$5:$E$8,"")</f>
        <v>Flat</v>
      </c>
      <c r="I302" s="44" t="str">
        <f aca="false">IF($H302="Percent",_xlfn.XLOOKUP($E302,$A$5:$A$8,$F$5:$F$8,""),"")</f>
        <v/>
      </c>
      <c r="J302" s="42" t="n">
        <f aca="false">IF($H302="Flat",_xlfn.XLOOKUP($E302,$A$5:$A$8,$F$5:$F$8,""),"")</f>
        <v>44</v>
      </c>
      <c r="K302" s="38" t="str">
        <f aca="false">_xlfn.XLOOKUP($E302,$A$5:$A$8,$G$5:$G$8,"")</f>
        <v>Per pay period</v>
      </c>
      <c r="L302" s="38" t="str">
        <f aca="false">_xlfn.XLOOKUP($E302,$A$5:$A$8,$H$5:$H$8,"")</f>
        <v>Every pay period (ongoing)</v>
      </c>
      <c r="M302" s="43" t="n">
        <f aca="false" t="array" ref="M302:M302">MAX(_xlfn.XLOOKUP($A302,TRIM(SUBSTITUTE('worker file'!$A$2:$A$406,_xlfn.UNICHAR(160)," ")),'worker file'!$M$2:$M$406,0),_xlfn.XLOOKUP($B302,TRIM('pay group &amp; schedule'!$A$2:$A$6),'pay group &amp; schedule'!$D$2:$D$6,0))</f>
        <v>46311</v>
      </c>
      <c r="N302" s="43" t="str">
        <f aca="false" t="array" ref="N302:N302">_xlfn.LET(_xlpm.t,_xlfn.XLOOKUP($A302,TRIM(SUBSTITUTE('worker file'!$A$2:$A$406,_xlfn.UNICHAR(160)," ")),'worker file'!$N$2:$N$406,""),IF(N(_xlpm.t)=0,"",_xlpm.t))</f>
        <v/>
      </c>
    </row>
    <row r="303" customFormat="false" ht="15" hidden="false" customHeight="false" outlineLevel="0" collapsed="false">
      <c r="A303" s="39" t="s">
        <v>202</v>
      </c>
      <c r="B303" s="40" t="str">
        <f aca="false" t="array" ref="B303:B303">_xlfn.XLOOKUP($A303,TRIM(SUBSTITUTE('worker file'!$A$2:$A$406,_xlfn.UNICHAR(160)," ")),'worker file'!$L$2:$L$406,"Not found")</f>
        <v>US Semi-monthly</v>
      </c>
      <c r="C303" s="40" t="str">
        <f aca="false" t="array" ref="C303:C303">_xlfn.XLOOKUP($A303,TRIM(SUBSTITUTE('worker file'!$A$2:$A$406,_xlfn.UNICHAR(160)," ")),'worker file'!$D$2:$D$406,"Not found")</f>
        <v>TX</v>
      </c>
      <c r="D303" s="40" t="str">
        <f aca="false" t="array" ref="D303:D303">_xlfn.XLOOKUP($A303,TRIM(SUBSTITUTE('worker file'!$A$2:$A$406,_xlfn.UNICHAR(160)," ")),'worker file'!$Q$2:$Q$406,"Not found")</f>
        <v>Active</v>
      </c>
      <c r="E303" s="39" t="s">
        <v>634</v>
      </c>
      <c r="F303" s="38" t="str">
        <f aca="false">_xlfn.XLOOKUP($E303,$A$5:$A$8,$B$5:$B$8,"")</f>
        <v>Vision – Employee</v>
      </c>
      <c r="G303" s="38" t="str">
        <f aca="false">_xlfn.XLOOKUP($E303,$A$5:$A$8,$D$5:$D$8,"")</f>
        <v>Pre-tax Section 125 (exempt from FIT/SIT/FICA)</v>
      </c>
      <c r="H303" s="38" t="str">
        <f aca="false">_xlfn.XLOOKUP($E303,$A$5:$A$8,$E$5:$E$8,"")</f>
        <v>Flat</v>
      </c>
      <c r="I303" s="44" t="str">
        <f aca="false">IF($H303="Percent",_xlfn.XLOOKUP($E303,$A$5:$A$8,$F$5:$F$8,""),"")</f>
        <v/>
      </c>
      <c r="J303" s="42" t="n">
        <f aca="false">IF($H303="Flat",_xlfn.XLOOKUP($E303,$A$5:$A$8,$F$5:$F$8,""),"")</f>
        <v>30</v>
      </c>
      <c r="K303" s="38" t="str">
        <f aca="false">_xlfn.XLOOKUP($E303,$A$5:$A$8,$G$5:$G$8,"")</f>
        <v>Per pay period</v>
      </c>
      <c r="L303" s="38" t="str">
        <f aca="false">_xlfn.XLOOKUP($E303,$A$5:$A$8,$H$5:$H$8,"")</f>
        <v>Every pay period (ongoing)</v>
      </c>
      <c r="M303" s="43" t="n">
        <f aca="false" t="array" ref="M303:M303">MAX(_xlfn.XLOOKUP($A303,TRIM(SUBSTITUTE('worker file'!$A$2:$A$406,_xlfn.UNICHAR(160)," ")),'worker file'!$M$2:$M$406,0),_xlfn.XLOOKUP($B303,TRIM('pay group &amp; schedule'!$A$2:$A$6),'pay group &amp; schedule'!$D$2:$D$6,0))</f>
        <v>46311</v>
      </c>
      <c r="N303" s="43" t="str">
        <f aca="false" t="array" ref="N303:N303">_xlfn.LET(_xlpm.t,_xlfn.XLOOKUP($A303,TRIM(SUBSTITUTE('worker file'!$A$2:$A$406,_xlfn.UNICHAR(160)," ")),'worker file'!$N$2:$N$406,""),IF(N(_xlpm.t)=0,"",_xlpm.t))</f>
        <v/>
      </c>
    </row>
    <row r="304" customFormat="false" ht="15" hidden="false" customHeight="false" outlineLevel="0" collapsed="false">
      <c r="A304" s="39" t="s">
        <v>203</v>
      </c>
      <c r="B304" s="40" t="str">
        <f aca="false" t="array" ref="B304:B304">_xlfn.XLOOKUP($A304,TRIM(SUBSTITUTE('worker file'!$A$2:$A$406,_xlfn.UNICHAR(160)," ")),'worker file'!$L$2:$L$406,"Not found")</f>
        <v>US Semi-monthly</v>
      </c>
      <c r="C304" s="40" t="str">
        <f aca="false" t="array" ref="C304:C304">_xlfn.XLOOKUP($A304,TRIM(SUBSTITUTE('worker file'!$A$2:$A$406,_xlfn.UNICHAR(160)," ")),'worker file'!$D$2:$D$406,"Not found")</f>
        <v>WA</v>
      </c>
      <c r="D304" s="40" t="str">
        <f aca="false" t="array" ref="D304:D304">_xlfn.XLOOKUP($A304,TRIM(SUBSTITUTE('worker file'!$A$2:$A$406,_xlfn.UNICHAR(160)," ")),'worker file'!$Q$2:$Q$406,"Not found")</f>
        <v>Active</v>
      </c>
      <c r="E304" s="39" t="s">
        <v>618</v>
      </c>
      <c r="F304" s="38" t="str">
        <f aca="false">_xlfn.XLOOKUP($E304,$A$5:$A$8,$B$5:$B$8,"")</f>
        <v>401(k) Employee Deferral</v>
      </c>
      <c r="G304" s="38" t="str">
        <f aca="false">_xlfn.XLOOKUP($E304,$A$5:$A$8,$D$5:$D$8,"")</f>
        <v>Pre-tax (exempt from FIT/SIT; subject to FICA)</v>
      </c>
      <c r="H304" s="38" t="str">
        <f aca="false">_xlfn.XLOOKUP($E304,$A$5:$A$8,$E$5:$E$8,"")</f>
        <v>Percent</v>
      </c>
      <c r="I304" s="41" t="n">
        <v>0.02</v>
      </c>
      <c r="J304" s="42" t="str">
        <f aca="false">IF($H304="Flat",_xlfn.XLOOKUP($E304,$A$5:$A$8,$F$5:$F$8,""),"")</f>
        <v/>
      </c>
      <c r="K304" s="38" t="str">
        <f aca="false">_xlfn.XLOOKUP($E304,$A$5:$A$8,$G$5:$G$8,"")</f>
        <v>Gross pay</v>
      </c>
      <c r="L304" s="38" t="str">
        <f aca="false">_xlfn.XLOOKUP($E304,$A$5:$A$8,$H$5:$H$8,"")</f>
        <v>Every pay period (ongoing)</v>
      </c>
      <c r="M304" s="43" t="n">
        <f aca="false" t="array" ref="M304:M304">MAX(_xlfn.XLOOKUP($A304,TRIM(SUBSTITUTE('worker file'!$A$2:$A$406,_xlfn.UNICHAR(160)," ")),'worker file'!$M$2:$M$406,0),_xlfn.XLOOKUP($B304,TRIM('pay group &amp; schedule'!$A$2:$A$6),'pay group &amp; schedule'!$D$2:$D$6,0))</f>
        <v>46311</v>
      </c>
      <c r="N304" s="43" t="str">
        <f aca="false" t="array" ref="N304:N304">_xlfn.LET(_xlpm.t,_xlfn.XLOOKUP($A304,TRIM(SUBSTITUTE('worker file'!$A$2:$A$406,_xlfn.UNICHAR(160)," ")),'worker file'!$N$2:$N$406,""),IF(N(_xlpm.t)=0,"",_xlpm.t))</f>
        <v/>
      </c>
    </row>
    <row r="305" customFormat="false" ht="15" hidden="false" customHeight="false" outlineLevel="0" collapsed="false">
      <c r="A305" s="39" t="s">
        <v>203</v>
      </c>
      <c r="B305" s="40" t="str">
        <f aca="false" t="array" ref="B305:B305">_xlfn.XLOOKUP($A305,TRIM(SUBSTITUTE('worker file'!$A$2:$A$406,_xlfn.UNICHAR(160)," ")),'worker file'!$L$2:$L$406,"Not found")</f>
        <v>US Semi-monthly</v>
      </c>
      <c r="C305" s="40" t="str">
        <f aca="false" t="array" ref="C305:C305">_xlfn.XLOOKUP($A305,TRIM(SUBSTITUTE('worker file'!$A$2:$A$406,_xlfn.UNICHAR(160)," ")),'worker file'!$D$2:$D$406,"Not found")</f>
        <v>WA</v>
      </c>
      <c r="D305" s="40" t="str">
        <f aca="false" t="array" ref="D305:D305">_xlfn.XLOOKUP($A305,TRIM(SUBSTITUTE('worker file'!$A$2:$A$406,_xlfn.UNICHAR(160)," ")),'worker file'!$Q$2:$Q$406,"Not found")</f>
        <v>Active</v>
      </c>
      <c r="E305" s="39" t="s">
        <v>626</v>
      </c>
      <c r="F305" s="38" t="str">
        <f aca="false">_xlfn.XLOOKUP($E305,$A$5:$A$8,$B$5:$B$8,"")</f>
        <v>Medical (Health) – Employee</v>
      </c>
      <c r="G305" s="38" t="str">
        <f aca="false">_xlfn.XLOOKUP($E305,$A$5:$A$8,$D$5:$D$8,"")</f>
        <v>Pre-tax Section 125 (exempt from FIT/SIT/FICA)</v>
      </c>
      <c r="H305" s="38" t="str">
        <f aca="false">_xlfn.XLOOKUP($E305,$A$5:$A$8,$E$5:$E$8,"")</f>
        <v>Flat</v>
      </c>
      <c r="I305" s="44" t="str">
        <f aca="false">IF($H305="Percent",_xlfn.XLOOKUP($E305,$A$5:$A$8,$F$5:$F$8,""),"")</f>
        <v/>
      </c>
      <c r="J305" s="42" t="n">
        <f aca="false">IF($H305="Flat",_xlfn.XLOOKUP($E305,$A$5:$A$8,$F$5:$F$8,""),"")</f>
        <v>200</v>
      </c>
      <c r="K305" s="38" t="str">
        <f aca="false">_xlfn.XLOOKUP($E305,$A$5:$A$8,$G$5:$G$8,"")</f>
        <v>Per pay period</v>
      </c>
      <c r="L305" s="38" t="str">
        <f aca="false">_xlfn.XLOOKUP($E305,$A$5:$A$8,$H$5:$H$8,"")</f>
        <v>Every pay period (ongoing)</v>
      </c>
      <c r="M305" s="43" t="n">
        <f aca="false" t="array" ref="M305:M305">MAX(_xlfn.XLOOKUP($A305,TRIM(SUBSTITUTE('worker file'!$A$2:$A$406,_xlfn.UNICHAR(160)," ")),'worker file'!$M$2:$M$406,0),_xlfn.XLOOKUP($B305,TRIM('pay group &amp; schedule'!$A$2:$A$6),'pay group &amp; schedule'!$D$2:$D$6,0))</f>
        <v>46311</v>
      </c>
      <c r="N305" s="43" t="str">
        <f aca="false" t="array" ref="N305:N305">_xlfn.LET(_xlpm.t,_xlfn.XLOOKUP($A305,TRIM(SUBSTITUTE('worker file'!$A$2:$A$406,_xlfn.UNICHAR(160)," ")),'worker file'!$N$2:$N$406,""),IF(N(_xlpm.t)=0,"",_xlpm.t))</f>
        <v/>
      </c>
    </row>
    <row r="306" customFormat="false" ht="15" hidden="false" customHeight="false" outlineLevel="0" collapsed="false">
      <c r="A306" s="39" t="s">
        <v>203</v>
      </c>
      <c r="B306" s="40" t="str">
        <f aca="false" t="array" ref="B306:B306">_xlfn.XLOOKUP($A306,TRIM(SUBSTITUTE('worker file'!$A$2:$A$406,_xlfn.UNICHAR(160)," ")),'worker file'!$L$2:$L$406,"Not found")</f>
        <v>US Semi-monthly</v>
      </c>
      <c r="C306" s="40" t="str">
        <f aca="false" t="array" ref="C306:C306">_xlfn.XLOOKUP($A306,TRIM(SUBSTITUTE('worker file'!$A$2:$A$406,_xlfn.UNICHAR(160)," ")),'worker file'!$D$2:$D$406,"Not found")</f>
        <v>WA</v>
      </c>
      <c r="D306" s="40" t="str">
        <f aca="false" t="array" ref="D306:D306">_xlfn.XLOOKUP($A306,TRIM(SUBSTITUTE('worker file'!$A$2:$A$406,_xlfn.UNICHAR(160)," ")),'worker file'!$Q$2:$Q$406,"Not found")</f>
        <v>Active</v>
      </c>
      <c r="E306" s="39" t="s">
        <v>632</v>
      </c>
      <c r="F306" s="38" t="str">
        <f aca="false">_xlfn.XLOOKUP($E306,$A$5:$A$8,$B$5:$B$8,"")</f>
        <v>Dental – Employee</v>
      </c>
      <c r="G306" s="38" t="str">
        <f aca="false">_xlfn.XLOOKUP($E306,$A$5:$A$8,$D$5:$D$8,"")</f>
        <v>Pre-tax Section 125 (exempt from FIT/SIT/FICA)</v>
      </c>
      <c r="H306" s="38" t="str">
        <f aca="false">_xlfn.XLOOKUP($E306,$A$5:$A$8,$E$5:$E$8,"")</f>
        <v>Flat</v>
      </c>
      <c r="I306" s="44" t="str">
        <f aca="false">IF($H306="Percent",_xlfn.XLOOKUP($E306,$A$5:$A$8,$F$5:$F$8,""),"")</f>
        <v/>
      </c>
      <c r="J306" s="42" t="n">
        <f aca="false">IF($H306="Flat",_xlfn.XLOOKUP($E306,$A$5:$A$8,$F$5:$F$8,""),"")</f>
        <v>44</v>
      </c>
      <c r="K306" s="38" t="str">
        <f aca="false">_xlfn.XLOOKUP($E306,$A$5:$A$8,$G$5:$G$8,"")</f>
        <v>Per pay period</v>
      </c>
      <c r="L306" s="38" t="str">
        <f aca="false">_xlfn.XLOOKUP($E306,$A$5:$A$8,$H$5:$H$8,"")</f>
        <v>Every pay period (ongoing)</v>
      </c>
      <c r="M306" s="43" t="n">
        <f aca="false" t="array" ref="M306:M306">MAX(_xlfn.XLOOKUP($A306,TRIM(SUBSTITUTE('worker file'!$A$2:$A$406,_xlfn.UNICHAR(160)," ")),'worker file'!$M$2:$M$406,0),_xlfn.XLOOKUP($B306,TRIM('pay group &amp; schedule'!$A$2:$A$6),'pay group &amp; schedule'!$D$2:$D$6,0))</f>
        <v>46311</v>
      </c>
      <c r="N306" s="43" t="str">
        <f aca="false" t="array" ref="N306:N306">_xlfn.LET(_xlpm.t,_xlfn.XLOOKUP($A306,TRIM(SUBSTITUTE('worker file'!$A$2:$A$406,_xlfn.UNICHAR(160)," ")),'worker file'!$N$2:$N$406,""),IF(N(_xlpm.t)=0,"",_xlpm.t))</f>
        <v/>
      </c>
    </row>
    <row r="307" customFormat="false" ht="15" hidden="false" customHeight="false" outlineLevel="0" collapsed="false">
      <c r="A307" s="39" t="s">
        <v>203</v>
      </c>
      <c r="B307" s="40" t="str">
        <f aca="false" t="array" ref="B307:B307">_xlfn.XLOOKUP($A307,TRIM(SUBSTITUTE('worker file'!$A$2:$A$406,_xlfn.UNICHAR(160)," ")),'worker file'!$L$2:$L$406,"Not found")</f>
        <v>US Semi-monthly</v>
      </c>
      <c r="C307" s="40" t="str">
        <f aca="false" t="array" ref="C307:C307">_xlfn.XLOOKUP($A307,TRIM(SUBSTITUTE('worker file'!$A$2:$A$406,_xlfn.UNICHAR(160)," ")),'worker file'!$D$2:$D$406,"Not found")</f>
        <v>WA</v>
      </c>
      <c r="D307" s="40" t="str">
        <f aca="false" t="array" ref="D307:D307">_xlfn.XLOOKUP($A307,TRIM(SUBSTITUTE('worker file'!$A$2:$A$406,_xlfn.UNICHAR(160)," ")),'worker file'!$Q$2:$Q$406,"Not found")</f>
        <v>Active</v>
      </c>
      <c r="E307" s="39" t="s">
        <v>634</v>
      </c>
      <c r="F307" s="38" t="str">
        <f aca="false">_xlfn.XLOOKUP($E307,$A$5:$A$8,$B$5:$B$8,"")</f>
        <v>Vision – Employee</v>
      </c>
      <c r="G307" s="38" t="str">
        <f aca="false">_xlfn.XLOOKUP($E307,$A$5:$A$8,$D$5:$D$8,"")</f>
        <v>Pre-tax Section 125 (exempt from FIT/SIT/FICA)</v>
      </c>
      <c r="H307" s="38" t="str">
        <f aca="false">_xlfn.XLOOKUP($E307,$A$5:$A$8,$E$5:$E$8,"")</f>
        <v>Flat</v>
      </c>
      <c r="I307" s="44" t="str">
        <f aca="false">IF($H307="Percent",_xlfn.XLOOKUP($E307,$A$5:$A$8,$F$5:$F$8,""),"")</f>
        <v/>
      </c>
      <c r="J307" s="42" t="n">
        <f aca="false">IF($H307="Flat",_xlfn.XLOOKUP($E307,$A$5:$A$8,$F$5:$F$8,""),"")</f>
        <v>30</v>
      </c>
      <c r="K307" s="38" t="str">
        <f aca="false">_xlfn.XLOOKUP($E307,$A$5:$A$8,$G$5:$G$8,"")</f>
        <v>Per pay period</v>
      </c>
      <c r="L307" s="38" t="str">
        <f aca="false">_xlfn.XLOOKUP($E307,$A$5:$A$8,$H$5:$H$8,"")</f>
        <v>Every pay period (ongoing)</v>
      </c>
      <c r="M307" s="43" t="n">
        <f aca="false" t="array" ref="M307:M307">MAX(_xlfn.XLOOKUP($A307,TRIM(SUBSTITUTE('worker file'!$A$2:$A$406,_xlfn.UNICHAR(160)," ")),'worker file'!$M$2:$M$406,0),_xlfn.XLOOKUP($B307,TRIM('pay group &amp; schedule'!$A$2:$A$6),'pay group &amp; schedule'!$D$2:$D$6,0))</f>
        <v>46311</v>
      </c>
      <c r="N307" s="43" t="str">
        <f aca="false" t="array" ref="N307:N307">_xlfn.LET(_xlpm.t,_xlfn.XLOOKUP($A307,TRIM(SUBSTITUTE('worker file'!$A$2:$A$406,_xlfn.UNICHAR(160)," ")),'worker file'!$N$2:$N$406,""),IF(N(_xlpm.t)=0,"",_xlpm.t))</f>
        <v/>
      </c>
    </row>
    <row r="308" customFormat="false" ht="15" hidden="false" customHeight="false" outlineLevel="0" collapsed="false">
      <c r="A308" s="39" t="s">
        <v>204</v>
      </c>
      <c r="B308" s="40" t="str">
        <f aca="false" t="array" ref="B308:B308">_xlfn.XLOOKUP($A308,TRIM(SUBSTITUTE('worker file'!$A$2:$A$406,_xlfn.UNICHAR(160)," ")),'worker file'!$L$2:$L$406,"Not found")</f>
        <v>US Semi-monthly</v>
      </c>
      <c r="C308" s="40" t="str">
        <f aca="false" t="array" ref="C308:C308">_xlfn.XLOOKUP($A308,TRIM(SUBSTITUTE('worker file'!$A$2:$A$406,_xlfn.UNICHAR(160)," ")),'worker file'!$D$2:$D$406,"Not found")</f>
        <v>CA</v>
      </c>
      <c r="D308" s="40" t="str">
        <f aca="false" t="array" ref="D308:D308">_xlfn.XLOOKUP($A308,TRIM(SUBSTITUTE('worker file'!$A$2:$A$406,_xlfn.UNICHAR(160)," ")),'worker file'!$Q$2:$Q$406,"Not found")</f>
        <v>Active</v>
      </c>
      <c r="E308" s="39" t="s">
        <v>618</v>
      </c>
      <c r="F308" s="38" t="str">
        <f aca="false">_xlfn.XLOOKUP($E308,$A$5:$A$8,$B$5:$B$8,"")</f>
        <v>401(k) Employee Deferral</v>
      </c>
      <c r="G308" s="38" t="str">
        <f aca="false">_xlfn.XLOOKUP($E308,$A$5:$A$8,$D$5:$D$8,"")</f>
        <v>Pre-tax (exempt from FIT/SIT; subject to FICA)</v>
      </c>
      <c r="H308" s="38" t="str">
        <f aca="false">_xlfn.XLOOKUP($E308,$A$5:$A$8,$E$5:$E$8,"")</f>
        <v>Percent</v>
      </c>
      <c r="I308" s="41" t="n">
        <v>0.07</v>
      </c>
      <c r="J308" s="42" t="str">
        <f aca="false">IF($H308="Flat",_xlfn.XLOOKUP($E308,$A$5:$A$8,$F$5:$F$8,""),"")</f>
        <v/>
      </c>
      <c r="K308" s="38" t="str">
        <f aca="false">_xlfn.XLOOKUP($E308,$A$5:$A$8,$G$5:$G$8,"")</f>
        <v>Gross pay</v>
      </c>
      <c r="L308" s="38" t="str">
        <f aca="false">_xlfn.XLOOKUP($E308,$A$5:$A$8,$H$5:$H$8,"")</f>
        <v>Every pay period (ongoing)</v>
      </c>
      <c r="M308" s="43" t="n">
        <f aca="false" t="array" ref="M308:M308">MAX(_xlfn.XLOOKUP($A308,TRIM(SUBSTITUTE('worker file'!$A$2:$A$406,_xlfn.UNICHAR(160)," ")),'worker file'!$M$2:$M$406,0),_xlfn.XLOOKUP($B308,TRIM('pay group &amp; schedule'!$A$2:$A$6),'pay group &amp; schedule'!$D$2:$D$6,0))</f>
        <v>46311</v>
      </c>
      <c r="N308" s="43" t="str">
        <f aca="false" t="array" ref="N308:N308">_xlfn.LET(_xlpm.t,_xlfn.XLOOKUP($A308,TRIM(SUBSTITUTE('worker file'!$A$2:$A$406,_xlfn.UNICHAR(160)," ")),'worker file'!$N$2:$N$406,""),IF(N(_xlpm.t)=0,"",_xlpm.t))</f>
        <v/>
      </c>
    </row>
    <row r="309" customFormat="false" ht="15" hidden="false" customHeight="false" outlineLevel="0" collapsed="false">
      <c r="A309" s="39" t="s">
        <v>204</v>
      </c>
      <c r="B309" s="40" t="str">
        <f aca="false" t="array" ref="B309:B309">_xlfn.XLOOKUP($A309,TRIM(SUBSTITUTE('worker file'!$A$2:$A$406,_xlfn.UNICHAR(160)," ")),'worker file'!$L$2:$L$406,"Not found")</f>
        <v>US Semi-monthly</v>
      </c>
      <c r="C309" s="40" t="str">
        <f aca="false" t="array" ref="C309:C309">_xlfn.XLOOKUP($A309,TRIM(SUBSTITUTE('worker file'!$A$2:$A$406,_xlfn.UNICHAR(160)," ")),'worker file'!$D$2:$D$406,"Not found")</f>
        <v>CA</v>
      </c>
      <c r="D309" s="40" t="str">
        <f aca="false" t="array" ref="D309:D309">_xlfn.XLOOKUP($A309,TRIM(SUBSTITUTE('worker file'!$A$2:$A$406,_xlfn.UNICHAR(160)," ")),'worker file'!$Q$2:$Q$406,"Not found")</f>
        <v>Active</v>
      </c>
      <c r="E309" s="39" t="s">
        <v>626</v>
      </c>
      <c r="F309" s="38" t="str">
        <f aca="false">_xlfn.XLOOKUP($E309,$A$5:$A$8,$B$5:$B$8,"")</f>
        <v>Medical (Health) – Employee</v>
      </c>
      <c r="G309" s="38" t="str">
        <f aca="false">_xlfn.XLOOKUP($E309,$A$5:$A$8,$D$5:$D$8,"")</f>
        <v>Pre-tax Section 125 (exempt from FIT/SIT/FICA)</v>
      </c>
      <c r="H309" s="38" t="str">
        <f aca="false">_xlfn.XLOOKUP($E309,$A$5:$A$8,$E$5:$E$8,"")</f>
        <v>Flat</v>
      </c>
      <c r="I309" s="44" t="str">
        <f aca="false">IF($H309="Percent",_xlfn.XLOOKUP($E309,$A$5:$A$8,$F$5:$F$8,""),"")</f>
        <v/>
      </c>
      <c r="J309" s="42" t="n">
        <f aca="false">IF($H309="Flat",_xlfn.XLOOKUP($E309,$A$5:$A$8,$F$5:$F$8,""),"")</f>
        <v>200</v>
      </c>
      <c r="K309" s="38" t="str">
        <f aca="false">_xlfn.XLOOKUP($E309,$A$5:$A$8,$G$5:$G$8,"")</f>
        <v>Per pay period</v>
      </c>
      <c r="L309" s="38" t="str">
        <f aca="false">_xlfn.XLOOKUP($E309,$A$5:$A$8,$H$5:$H$8,"")</f>
        <v>Every pay period (ongoing)</v>
      </c>
      <c r="M309" s="43" t="n">
        <f aca="false" t="array" ref="M309:M309">MAX(_xlfn.XLOOKUP($A309,TRIM(SUBSTITUTE('worker file'!$A$2:$A$406,_xlfn.UNICHAR(160)," ")),'worker file'!$M$2:$M$406,0),_xlfn.XLOOKUP($B309,TRIM('pay group &amp; schedule'!$A$2:$A$6),'pay group &amp; schedule'!$D$2:$D$6,0))</f>
        <v>46311</v>
      </c>
      <c r="N309" s="43" t="str">
        <f aca="false" t="array" ref="N309:N309">_xlfn.LET(_xlpm.t,_xlfn.XLOOKUP($A309,TRIM(SUBSTITUTE('worker file'!$A$2:$A$406,_xlfn.UNICHAR(160)," ")),'worker file'!$N$2:$N$406,""),IF(N(_xlpm.t)=0,"",_xlpm.t))</f>
        <v/>
      </c>
    </row>
    <row r="310" customFormat="false" ht="15" hidden="false" customHeight="false" outlineLevel="0" collapsed="false">
      <c r="A310" s="39" t="s">
        <v>204</v>
      </c>
      <c r="B310" s="40" t="str">
        <f aca="false" t="array" ref="B310:B310">_xlfn.XLOOKUP($A310,TRIM(SUBSTITUTE('worker file'!$A$2:$A$406,_xlfn.UNICHAR(160)," ")),'worker file'!$L$2:$L$406,"Not found")</f>
        <v>US Semi-monthly</v>
      </c>
      <c r="C310" s="40" t="str">
        <f aca="false" t="array" ref="C310:C310">_xlfn.XLOOKUP($A310,TRIM(SUBSTITUTE('worker file'!$A$2:$A$406,_xlfn.UNICHAR(160)," ")),'worker file'!$D$2:$D$406,"Not found")</f>
        <v>CA</v>
      </c>
      <c r="D310" s="40" t="str">
        <f aca="false" t="array" ref="D310:D310">_xlfn.XLOOKUP($A310,TRIM(SUBSTITUTE('worker file'!$A$2:$A$406,_xlfn.UNICHAR(160)," ")),'worker file'!$Q$2:$Q$406,"Not found")</f>
        <v>Active</v>
      </c>
      <c r="E310" s="39" t="s">
        <v>632</v>
      </c>
      <c r="F310" s="38" t="str">
        <f aca="false">_xlfn.XLOOKUP($E310,$A$5:$A$8,$B$5:$B$8,"")</f>
        <v>Dental – Employee</v>
      </c>
      <c r="G310" s="38" t="str">
        <f aca="false">_xlfn.XLOOKUP($E310,$A$5:$A$8,$D$5:$D$8,"")</f>
        <v>Pre-tax Section 125 (exempt from FIT/SIT/FICA)</v>
      </c>
      <c r="H310" s="38" t="str">
        <f aca="false">_xlfn.XLOOKUP($E310,$A$5:$A$8,$E$5:$E$8,"")</f>
        <v>Flat</v>
      </c>
      <c r="I310" s="44" t="str">
        <f aca="false">IF($H310="Percent",_xlfn.XLOOKUP($E310,$A$5:$A$8,$F$5:$F$8,""),"")</f>
        <v/>
      </c>
      <c r="J310" s="42" t="n">
        <f aca="false">IF($H310="Flat",_xlfn.XLOOKUP($E310,$A$5:$A$8,$F$5:$F$8,""),"")</f>
        <v>44</v>
      </c>
      <c r="K310" s="38" t="str">
        <f aca="false">_xlfn.XLOOKUP($E310,$A$5:$A$8,$G$5:$G$8,"")</f>
        <v>Per pay period</v>
      </c>
      <c r="L310" s="38" t="str">
        <f aca="false">_xlfn.XLOOKUP($E310,$A$5:$A$8,$H$5:$H$8,"")</f>
        <v>Every pay period (ongoing)</v>
      </c>
      <c r="M310" s="43" t="n">
        <f aca="false" t="array" ref="M310:M310">MAX(_xlfn.XLOOKUP($A310,TRIM(SUBSTITUTE('worker file'!$A$2:$A$406,_xlfn.UNICHAR(160)," ")),'worker file'!$M$2:$M$406,0),_xlfn.XLOOKUP($B310,TRIM('pay group &amp; schedule'!$A$2:$A$6),'pay group &amp; schedule'!$D$2:$D$6,0))</f>
        <v>46311</v>
      </c>
      <c r="N310" s="43" t="str">
        <f aca="false" t="array" ref="N310:N310">_xlfn.LET(_xlpm.t,_xlfn.XLOOKUP($A310,TRIM(SUBSTITUTE('worker file'!$A$2:$A$406,_xlfn.UNICHAR(160)," ")),'worker file'!$N$2:$N$406,""),IF(N(_xlpm.t)=0,"",_xlpm.t))</f>
        <v/>
      </c>
    </row>
    <row r="311" customFormat="false" ht="15" hidden="false" customHeight="false" outlineLevel="0" collapsed="false">
      <c r="A311" s="39" t="s">
        <v>204</v>
      </c>
      <c r="B311" s="40" t="str">
        <f aca="false" t="array" ref="B311:B311">_xlfn.XLOOKUP($A311,TRIM(SUBSTITUTE('worker file'!$A$2:$A$406,_xlfn.UNICHAR(160)," ")),'worker file'!$L$2:$L$406,"Not found")</f>
        <v>US Semi-monthly</v>
      </c>
      <c r="C311" s="40" t="str">
        <f aca="false" t="array" ref="C311:C311">_xlfn.XLOOKUP($A311,TRIM(SUBSTITUTE('worker file'!$A$2:$A$406,_xlfn.UNICHAR(160)," ")),'worker file'!$D$2:$D$406,"Not found")</f>
        <v>CA</v>
      </c>
      <c r="D311" s="40" t="str">
        <f aca="false" t="array" ref="D311:D311">_xlfn.XLOOKUP($A311,TRIM(SUBSTITUTE('worker file'!$A$2:$A$406,_xlfn.UNICHAR(160)," ")),'worker file'!$Q$2:$Q$406,"Not found")</f>
        <v>Active</v>
      </c>
      <c r="E311" s="39" t="s">
        <v>634</v>
      </c>
      <c r="F311" s="38" t="str">
        <f aca="false">_xlfn.XLOOKUP($E311,$A$5:$A$8,$B$5:$B$8,"")</f>
        <v>Vision – Employee</v>
      </c>
      <c r="G311" s="38" t="str">
        <f aca="false">_xlfn.XLOOKUP($E311,$A$5:$A$8,$D$5:$D$8,"")</f>
        <v>Pre-tax Section 125 (exempt from FIT/SIT/FICA)</v>
      </c>
      <c r="H311" s="38" t="str">
        <f aca="false">_xlfn.XLOOKUP($E311,$A$5:$A$8,$E$5:$E$8,"")</f>
        <v>Flat</v>
      </c>
      <c r="I311" s="44" t="str">
        <f aca="false">IF($H311="Percent",_xlfn.XLOOKUP($E311,$A$5:$A$8,$F$5:$F$8,""),"")</f>
        <v/>
      </c>
      <c r="J311" s="42" t="n">
        <f aca="false">IF($H311="Flat",_xlfn.XLOOKUP($E311,$A$5:$A$8,$F$5:$F$8,""),"")</f>
        <v>30</v>
      </c>
      <c r="K311" s="38" t="str">
        <f aca="false">_xlfn.XLOOKUP($E311,$A$5:$A$8,$G$5:$G$8,"")</f>
        <v>Per pay period</v>
      </c>
      <c r="L311" s="38" t="str">
        <f aca="false">_xlfn.XLOOKUP($E311,$A$5:$A$8,$H$5:$H$8,"")</f>
        <v>Every pay period (ongoing)</v>
      </c>
      <c r="M311" s="43" t="n">
        <f aca="false" t="array" ref="M311:M311">MAX(_xlfn.XLOOKUP($A311,TRIM(SUBSTITUTE('worker file'!$A$2:$A$406,_xlfn.UNICHAR(160)," ")),'worker file'!$M$2:$M$406,0),_xlfn.XLOOKUP($B311,TRIM('pay group &amp; schedule'!$A$2:$A$6),'pay group &amp; schedule'!$D$2:$D$6,0))</f>
        <v>46311</v>
      </c>
      <c r="N311" s="43" t="str">
        <f aca="false" t="array" ref="N311:N311">_xlfn.LET(_xlpm.t,_xlfn.XLOOKUP($A311,TRIM(SUBSTITUTE('worker file'!$A$2:$A$406,_xlfn.UNICHAR(160)," ")),'worker file'!$N$2:$N$406,""),IF(N(_xlpm.t)=0,"",_xlpm.t))</f>
        <v/>
      </c>
    </row>
    <row r="312" customFormat="false" ht="15" hidden="false" customHeight="false" outlineLevel="0" collapsed="false">
      <c r="A312" s="39" t="s">
        <v>205</v>
      </c>
      <c r="B312" s="40" t="str">
        <f aca="false" t="array" ref="B312:B312">_xlfn.XLOOKUP($A312,TRIM(SUBSTITUTE('worker file'!$A$2:$A$406,_xlfn.UNICHAR(160)," ")),'worker file'!$L$2:$L$406,"Not found")</f>
        <v>US Semi-monthly</v>
      </c>
      <c r="C312" s="40" t="str">
        <f aca="false" t="array" ref="C312:C312">_xlfn.XLOOKUP($A312,TRIM(SUBSTITUTE('worker file'!$A$2:$A$406,_xlfn.UNICHAR(160)," ")),'worker file'!$D$2:$D$406,"Not found")</f>
        <v>CA</v>
      </c>
      <c r="D312" s="40" t="str">
        <f aca="false" t="array" ref="D312:D312">_xlfn.XLOOKUP($A312,TRIM(SUBSTITUTE('worker file'!$A$2:$A$406,_xlfn.UNICHAR(160)," ")),'worker file'!$Q$2:$Q$406,"Not found")</f>
        <v>Active</v>
      </c>
      <c r="E312" s="39" t="s">
        <v>618</v>
      </c>
      <c r="F312" s="38" t="str">
        <f aca="false">_xlfn.XLOOKUP($E312,$A$5:$A$8,$B$5:$B$8,"")</f>
        <v>401(k) Employee Deferral</v>
      </c>
      <c r="G312" s="38" t="str">
        <f aca="false">_xlfn.XLOOKUP($E312,$A$5:$A$8,$D$5:$D$8,"")</f>
        <v>Pre-tax (exempt from FIT/SIT; subject to FICA)</v>
      </c>
      <c r="H312" s="38" t="str">
        <f aca="false">_xlfn.XLOOKUP($E312,$A$5:$A$8,$E$5:$E$8,"")</f>
        <v>Percent</v>
      </c>
      <c r="I312" s="41" t="n">
        <v>0.04</v>
      </c>
      <c r="J312" s="42" t="str">
        <f aca="false">IF($H312="Flat",_xlfn.XLOOKUP($E312,$A$5:$A$8,$F$5:$F$8,""),"")</f>
        <v/>
      </c>
      <c r="K312" s="38" t="str">
        <f aca="false">_xlfn.XLOOKUP($E312,$A$5:$A$8,$G$5:$G$8,"")</f>
        <v>Gross pay</v>
      </c>
      <c r="L312" s="38" t="str">
        <f aca="false">_xlfn.XLOOKUP($E312,$A$5:$A$8,$H$5:$H$8,"")</f>
        <v>Every pay period (ongoing)</v>
      </c>
      <c r="M312" s="43" t="n">
        <f aca="false" t="array" ref="M312:M312">MAX(_xlfn.XLOOKUP($A312,TRIM(SUBSTITUTE('worker file'!$A$2:$A$406,_xlfn.UNICHAR(160)," ")),'worker file'!$M$2:$M$406,0),_xlfn.XLOOKUP($B312,TRIM('pay group &amp; schedule'!$A$2:$A$6),'pay group &amp; schedule'!$D$2:$D$6,0))</f>
        <v>46311</v>
      </c>
      <c r="N312" s="43" t="str">
        <f aca="false" t="array" ref="N312:N312">_xlfn.LET(_xlpm.t,_xlfn.XLOOKUP($A312,TRIM(SUBSTITUTE('worker file'!$A$2:$A$406,_xlfn.UNICHAR(160)," ")),'worker file'!$N$2:$N$406,""),IF(N(_xlpm.t)=0,"",_xlpm.t))</f>
        <v/>
      </c>
    </row>
    <row r="313" customFormat="false" ht="15" hidden="false" customHeight="false" outlineLevel="0" collapsed="false">
      <c r="A313" s="39" t="s">
        <v>205</v>
      </c>
      <c r="B313" s="40" t="str">
        <f aca="false" t="array" ref="B313:B313">_xlfn.XLOOKUP($A313,TRIM(SUBSTITUTE('worker file'!$A$2:$A$406,_xlfn.UNICHAR(160)," ")),'worker file'!$L$2:$L$406,"Not found")</f>
        <v>US Semi-monthly</v>
      </c>
      <c r="C313" s="40" t="str">
        <f aca="false" t="array" ref="C313:C313">_xlfn.XLOOKUP($A313,TRIM(SUBSTITUTE('worker file'!$A$2:$A$406,_xlfn.UNICHAR(160)," ")),'worker file'!$D$2:$D$406,"Not found")</f>
        <v>CA</v>
      </c>
      <c r="D313" s="40" t="str">
        <f aca="false" t="array" ref="D313:D313">_xlfn.XLOOKUP($A313,TRIM(SUBSTITUTE('worker file'!$A$2:$A$406,_xlfn.UNICHAR(160)," ")),'worker file'!$Q$2:$Q$406,"Not found")</f>
        <v>Active</v>
      </c>
      <c r="E313" s="39" t="s">
        <v>626</v>
      </c>
      <c r="F313" s="38" t="str">
        <f aca="false">_xlfn.XLOOKUP($E313,$A$5:$A$8,$B$5:$B$8,"")</f>
        <v>Medical (Health) – Employee</v>
      </c>
      <c r="G313" s="38" t="str">
        <f aca="false">_xlfn.XLOOKUP($E313,$A$5:$A$8,$D$5:$D$8,"")</f>
        <v>Pre-tax Section 125 (exempt from FIT/SIT/FICA)</v>
      </c>
      <c r="H313" s="38" t="str">
        <f aca="false">_xlfn.XLOOKUP($E313,$A$5:$A$8,$E$5:$E$8,"")</f>
        <v>Flat</v>
      </c>
      <c r="I313" s="44" t="str">
        <f aca="false">IF($H313="Percent",_xlfn.XLOOKUP($E313,$A$5:$A$8,$F$5:$F$8,""),"")</f>
        <v/>
      </c>
      <c r="J313" s="42" t="n">
        <f aca="false">IF($H313="Flat",_xlfn.XLOOKUP($E313,$A$5:$A$8,$F$5:$F$8,""),"")</f>
        <v>200</v>
      </c>
      <c r="K313" s="38" t="str">
        <f aca="false">_xlfn.XLOOKUP($E313,$A$5:$A$8,$G$5:$G$8,"")</f>
        <v>Per pay period</v>
      </c>
      <c r="L313" s="38" t="str">
        <f aca="false">_xlfn.XLOOKUP($E313,$A$5:$A$8,$H$5:$H$8,"")</f>
        <v>Every pay period (ongoing)</v>
      </c>
      <c r="M313" s="43" t="n">
        <f aca="false" t="array" ref="M313:M313">MAX(_xlfn.XLOOKUP($A313,TRIM(SUBSTITUTE('worker file'!$A$2:$A$406,_xlfn.UNICHAR(160)," ")),'worker file'!$M$2:$M$406,0),_xlfn.XLOOKUP($B313,TRIM('pay group &amp; schedule'!$A$2:$A$6),'pay group &amp; schedule'!$D$2:$D$6,0))</f>
        <v>46311</v>
      </c>
      <c r="N313" s="43" t="str">
        <f aca="false" t="array" ref="N313:N313">_xlfn.LET(_xlpm.t,_xlfn.XLOOKUP($A313,TRIM(SUBSTITUTE('worker file'!$A$2:$A$406,_xlfn.UNICHAR(160)," ")),'worker file'!$N$2:$N$406,""),IF(N(_xlpm.t)=0,"",_xlpm.t))</f>
        <v/>
      </c>
    </row>
    <row r="314" customFormat="false" ht="15" hidden="false" customHeight="false" outlineLevel="0" collapsed="false">
      <c r="A314" s="39" t="s">
        <v>205</v>
      </c>
      <c r="B314" s="40" t="str">
        <f aca="false" t="array" ref="B314:B314">_xlfn.XLOOKUP($A314,TRIM(SUBSTITUTE('worker file'!$A$2:$A$406,_xlfn.UNICHAR(160)," ")),'worker file'!$L$2:$L$406,"Not found")</f>
        <v>US Semi-monthly</v>
      </c>
      <c r="C314" s="40" t="str">
        <f aca="false" t="array" ref="C314:C314">_xlfn.XLOOKUP($A314,TRIM(SUBSTITUTE('worker file'!$A$2:$A$406,_xlfn.UNICHAR(160)," ")),'worker file'!$D$2:$D$406,"Not found")</f>
        <v>CA</v>
      </c>
      <c r="D314" s="40" t="str">
        <f aca="false" t="array" ref="D314:D314">_xlfn.XLOOKUP($A314,TRIM(SUBSTITUTE('worker file'!$A$2:$A$406,_xlfn.UNICHAR(160)," ")),'worker file'!$Q$2:$Q$406,"Not found")</f>
        <v>Active</v>
      </c>
      <c r="E314" s="39" t="s">
        <v>632</v>
      </c>
      <c r="F314" s="38" t="str">
        <f aca="false">_xlfn.XLOOKUP($E314,$A$5:$A$8,$B$5:$B$8,"")</f>
        <v>Dental – Employee</v>
      </c>
      <c r="G314" s="38" t="str">
        <f aca="false">_xlfn.XLOOKUP($E314,$A$5:$A$8,$D$5:$D$8,"")</f>
        <v>Pre-tax Section 125 (exempt from FIT/SIT/FICA)</v>
      </c>
      <c r="H314" s="38" t="str">
        <f aca="false">_xlfn.XLOOKUP($E314,$A$5:$A$8,$E$5:$E$8,"")</f>
        <v>Flat</v>
      </c>
      <c r="I314" s="44" t="str">
        <f aca="false">IF($H314="Percent",_xlfn.XLOOKUP($E314,$A$5:$A$8,$F$5:$F$8,""),"")</f>
        <v/>
      </c>
      <c r="J314" s="42" t="n">
        <f aca="false">IF($H314="Flat",_xlfn.XLOOKUP($E314,$A$5:$A$8,$F$5:$F$8,""),"")</f>
        <v>44</v>
      </c>
      <c r="K314" s="38" t="str">
        <f aca="false">_xlfn.XLOOKUP($E314,$A$5:$A$8,$G$5:$G$8,"")</f>
        <v>Per pay period</v>
      </c>
      <c r="L314" s="38" t="str">
        <f aca="false">_xlfn.XLOOKUP($E314,$A$5:$A$8,$H$5:$H$8,"")</f>
        <v>Every pay period (ongoing)</v>
      </c>
      <c r="M314" s="43" t="n">
        <f aca="false" t="array" ref="M314:M314">MAX(_xlfn.XLOOKUP($A314,TRIM(SUBSTITUTE('worker file'!$A$2:$A$406,_xlfn.UNICHAR(160)," ")),'worker file'!$M$2:$M$406,0),_xlfn.XLOOKUP($B314,TRIM('pay group &amp; schedule'!$A$2:$A$6),'pay group &amp; schedule'!$D$2:$D$6,0))</f>
        <v>46311</v>
      </c>
      <c r="N314" s="43" t="str">
        <f aca="false" t="array" ref="N314:N314">_xlfn.LET(_xlpm.t,_xlfn.XLOOKUP($A314,TRIM(SUBSTITUTE('worker file'!$A$2:$A$406,_xlfn.UNICHAR(160)," ")),'worker file'!$N$2:$N$406,""),IF(N(_xlpm.t)=0,"",_xlpm.t))</f>
        <v/>
      </c>
    </row>
    <row r="315" customFormat="false" ht="15" hidden="false" customHeight="false" outlineLevel="0" collapsed="false">
      <c r="A315" s="39" t="s">
        <v>205</v>
      </c>
      <c r="B315" s="40" t="str">
        <f aca="false" t="array" ref="B315:B315">_xlfn.XLOOKUP($A315,TRIM(SUBSTITUTE('worker file'!$A$2:$A$406,_xlfn.UNICHAR(160)," ")),'worker file'!$L$2:$L$406,"Not found")</f>
        <v>US Semi-monthly</v>
      </c>
      <c r="C315" s="40" t="str">
        <f aca="false" t="array" ref="C315:C315">_xlfn.XLOOKUP($A315,TRIM(SUBSTITUTE('worker file'!$A$2:$A$406,_xlfn.UNICHAR(160)," ")),'worker file'!$D$2:$D$406,"Not found")</f>
        <v>CA</v>
      </c>
      <c r="D315" s="40" t="str">
        <f aca="false" t="array" ref="D315:D315">_xlfn.XLOOKUP($A315,TRIM(SUBSTITUTE('worker file'!$A$2:$A$406,_xlfn.UNICHAR(160)," ")),'worker file'!$Q$2:$Q$406,"Not found")</f>
        <v>Active</v>
      </c>
      <c r="E315" s="39" t="s">
        <v>634</v>
      </c>
      <c r="F315" s="38" t="str">
        <f aca="false">_xlfn.XLOOKUP($E315,$A$5:$A$8,$B$5:$B$8,"")</f>
        <v>Vision – Employee</v>
      </c>
      <c r="G315" s="38" t="str">
        <f aca="false">_xlfn.XLOOKUP($E315,$A$5:$A$8,$D$5:$D$8,"")</f>
        <v>Pre-tax Section 125 (exempt from FIT/SIT/FICA)</v>
      </c>
      <c r="H315" s="38" t="str">
        <f aca="false">_xlfn.XLOOKUP($E315,$A$5:$A$8,$E$5:$E$8,"")</f>
        <v>Flat</v>
      </c>
      <c r="I315" s="44" t="str">
        <f aca="false">IF($H315="Percent",_xlfn.XLOOKUP($E315,$A$5:$A$8,$F$5:$F$8,""),"")</f>
        <v/>
      </c>
      <c r="J315" s="42" t="n">
        <f aca="false">IF($H315="Flat",_xlfn.XLOOKUP($E315,$A$5:$A$8,$F$5:$F$8,""),"")</f>
        <v>30</v>
      </c>
      <c r="K315" s="38" t="str">
        <f aca="false">_xlfn.XLOOKUP($E315,$A$5:$A$8,$G$5:$G$8,"")</f>
        <v>Per pay period</v>
      </c>
      <c r="L315" s="38" t="str">
        <f aca="false">_xlfn.XLOOKUP($E315,$A$5:$A$8,$H$5:$H$8,"")</f>
        <v>Every pay period (ongoing)</v>
      </c>
      <c r="M315" s="43" t="n">
        <f aca="false" t="array" ref="M315:M315">MAX(_xlfn.XLOOKUP($A315,TRIM(SUBSTITUTE('worker file'!$A$2:$A$406,_xlfn.UNICHAR(160)," ")),'worker file'!$M$2:$M$406,0),_xlfn.XLOOKUP($B315,TRIM('pay group &amp; schedule'!$A$2:$A$6),'pay group &amp; schedule'!$D$2:$D$6,0))</f>
        <v>46311</v>
      </c>
      <c r="N315" s="43" t="str">
        <f aca="false" t="array" ref="N315:N315">_xlfn.LET(_xlpm.t,_xlfn.XLOOKUP($A315,TRIM(SUBSTITUTE('worker file'!$A$2:$A$406,_xlfn.UNICHAR(160)," ")),'worker file'!$N$2:$N$406,""),IF(N(_xlpm.t)=0,"",_xlpm.t))</f>
        <v/>
      </c>
    </row>
    <row r="316" customFormat="false" ht="15" hidden="false" customHeight="false" outlineLevel="0" collapsed="false">
      <c r="A316" s="39" t="s">
        <v>206</v>
      </c>
      <c r="B316" s="40" t="str">
        <f aca="false" t="array" ref="B316:B316">_xlfn.XLOOKUP($A316,TRIM(SUBSTITUTE('worker file'!$A$2:$A$406,_xlfn.UNICHAR(160)," ")),'worker file'!$L$2:$L$406,"Not found")</f>
        <v>US Semi-monthly</v>
      </c>
      <c r="C316" s="40" t="str">
        <f aca="false" t="array" ref="C316:C316">_xlfn.XLOOKUP($A316,TRIM(SUBSTITUTE('worker file'!$A$2:$A$406,_xlfn.UNICHAR(160)," ")),'worker file'!$D$2:$D$406,"Not found")</f>
        <v>WA</v>
      </c>
      <c r="D316" s="40" t="str">
        <f aca="false" t="array" ref="D316:D316">_xlfn.XLOOKUP($A316,TRIM(SUBSTITUTE('worker file'!$A$2:$A$406,_xlfn.UNICHAR(160)," ")),'worker file'!$Q$2:$Q$406,"Not found")</f>
        <v>Active</v>
      </c>
      <c r="E316" s="39" t="s">
        <v>618</v>
      </c>
      <c r="F316" s="38" t="str">
        <f aca="false">_xlfn.XLOOKUP($E316,$A$5:$A$8,$B$5:$B$8,"")</f>
        <v>401(k) Employee Deferral</v>
      </c>
      <c r="G316" s="38" t="str">
        <f aca="false">_xlfn.XLOOKUP($E316,$A$5:$A$8,$D$5:$D$8,"")</f>
        <v>Pre-tax (exempt from FIT/SIT; subject to FICA)</v>
      </c>
      <c r="H316" s="38" t="str">
        <f aca="false">_xlfn.XLOOKUP($E316,$A$5:$A$8,$E$5:$E$8,"")</f>
        <v>Percent</v>
      </c>
      <c r="I316" s="41" t="n">
        <v>0.01</v>
      </c>
      <c r="J316" s="42" t="str">
        <f aca="false">IF($H316="Flat",_xlfn.XLOOKUP($E316,$A$5:$A$8,$F$5:$F$8,""),"")</f>
        <v/>
      </c>
      <c r="K316" s="38" t="str">
        <f aca="false">_xlfn.XLOOKUP($E316,$A$5:$A$8,$G$5:$G$8,"")</f>
        <v>Gross pay</v>
      </c>
      <c r="L316" s="38" t="str">
        <f aca="false">_xlfn.XLOOKUP($E316,$A$5:$A$8,$H$5:$H$8,"")</f>
        <v>Every pay period (ongoing)</v>
      </c>
      <c r="M316" s="43" t="n">
        <f aca="false" t="array" ref="M316:M316">MAX(_xlfn.XLOOKUP($A316,TRIM(SUBSTITUTE('worker file'!$A$2:$A$406,_xlfn.UNICHAR(160)," ")),'worker file'!$M$2:$M$406,0),_xlfn.XLOOKUP($B316,TRIM('pay group &amp; schedule'!$A$2:$A$6),'pay group &amp; schedule'!$D$2:$D$6,0))</f>
        <v>46311</v>
      </c>
      <c r="N316" s="43" t="str">
        <f aca="false" t="array" ref="N316:N316">_xlfn.LET(_xlpm.t,_xlfn.XLOOKUP($A316,TRIM(SUBSTITUTE('worker file'!$A$2:$A$406,_xlfn.UNICHAR(160)," ")),'worker file'!$N$2:$N$406,""),IF(N(_xlpm.t)=0,"",_xlpm.t))</f>
        <v/>
      </c>
    </row>
    <row r="317" customFormat="false" ht="15" hidden="false" customHeight="false" outlineLevel="0" collapsed="false">
      <c r="A317" s="39" t="s">
        <v>206</v>
      </c>
      <c r="B317" s="40" t="str">
        <f aca="false" t="array" ref="B317:B317">_xlfn.XLOOKUP($A317,TRIM(SUBSTITUTE('worker file'!$A$2:$A$406,_xlfn.UNICHAR(160)," ")),'worker file'!$L$2:$L$406,"Not found")</f>
        <v>US Semi-monthly</v>
      </c>
      <c r="C317" s="40" t="str">
        <f aca="false" t="array" ref="C317:C317">_xlfn.XLOOKUP($A317,TRIM(SUBSTITUTE('worker file'!$A$2:$A$406,_xlfn.UNICHAR(160)," ")),'worker file'!$D$2:$D$406,"Not found")</f>
        <v>WA</v>
      </c>
      <c r="D317" s="40" t="str">
        <f aca="false" t="array" ref="D317:D317">_xlfn.XLOOKUP($A317,TRIM(SUBSTITUTE('worker file'!$A$2:$A$406,_xlfn.UNICHAR(160)," ")),'worker file'!$Q$2:$Q$406,"Not found")</f>
        <v>Active</v>
      </c>
      <c r="E317" s="39" t="s">
        <v>626</v>
      </c>
      <c r="F317" s="38" t="str">
        <f aca="false">_xlfn.XLOOKUP($E317,$A$5:$A$8,$B$5:$B$8,"")</f>
        <v>Medical (Health) – Employee</v>
      </c>
      <c r="G317" s="38" t="str">
        <f aca="false">_xlfn.XLOOKUP($E317,$A$5:$A$8,$D$5:$D$8,"")</f>
        <v>Pre-tax Section 125 (exempt from FIT/SIT/FICA)</v>
      </c>
      <c r="H317" s="38" t="str">
        <f aca="false">_xlfn.XLOOKUP($E317,$A$5:$A$8,$E$5:$E$8,"")</f>
        <v>Flat</v>
      </c>
      <c r="I317" s="44" t="str">
        <f aca="false">IF($H317="Percent",_xlfn.XLOOKUP($E317,$A$5:$A$8,$F$5:$F$8,""),"")</f>
        <v/>
      </c>
      <c r="J317" s="42" t="n">
        <f aca="false">IF($H317="Flat",_xlfn.XLOOKUP($E317,$A$5:$A$8,$F$5:$F$8,""),"")</f>
        <v>200</v>
      </c>
      <c r="K317" s="38" t="str">
        <f aca="false">_xlfn.XLOOKUP($E317,$A$5:$A$8,$G$5:$G$8,"")</f>
        <v>Per pay period</v>
      </c>
      <c r="L317" s="38" t="str">
        <f aca="false">_xlfn.XLOOKUP($E317,$A$5:$A$8,$H$5:$H$8,"")</f>
        <v>Every pay period (ongoing)</v>
      </c>
      <c r="M317" s="43" t="n">
        <f aca="false" t="array" ref="M317:M317">MAX(_xlfn.XLOOKUP($A317,TRIM(SUBSTITUTE('worker file'!$A$2:$A$406,_xlfn.UNICHAR(160)," ")),'worker file'!$M$2:$M$406,0),_xlfn.XLOOKUP($B317,TRIM('pay group &amp; schedule'!$A$2:$A$6),'pay group &amp; schedule'!$D$2:$D$6,0))</f>
        <v>46311</v>
      </c>
      <c r="N317" s="43" t="str">
        <f aca="false" t="array" ref="N317:N317">_xlfn.LET(_xlpm.t,_xlfn.XLOOKUP($A317,TRIM(SUBSTITUTE('worker file'!$A$2:$A$406,_xlfn.UNICHAR(160)," ")),'worker file'!$N$2:$N$406,""),IF(N(_xlpm.t)=0,"",_xlpm.t))</f>
        <v/>
      </c>
    </row>
    <row r="318" customFormat="false" ht="15" hidden="false" customHeight="false" outlineLevel="0" collapsed="false">
      <c r="A318" s="39" t="s">
        <v>206</v>
      </c>
      <c r="B318" s="40" t="str">
        <f aca="false" t="array" ref="B318:B318">_xlfn.XLOOKUP($A318,TRIM(SUBSTITUTE('worker file'!$A$2:$A$406,_xlfn.UNICHAR(160)," ")),'worker file'!$L$2:$L$406,"Not found")</f>
        <v>US Semi-monthly</v>
      </c>
      <c r="C318" s="40" t="str">
        <f aca="false" t="array" ref="C318:C318">_xlfn.XLOOKUP($A318,TRIM(SUBSTITUTE('worker file'!$A$2:$A$406,_xlfn.UNICHAR(160)," ")),'worker file'!$D$2:$D$406,"Not found")</f>
        <v>WA</v>
      </c>
      <c r="D318" s="40" t="str">
        <f aca="false" t="array" ref="D318:D318">_xlfn.XLOOKUP($A318,TRIM(SUBSTITUTE('worker file'!$A$2:$A$406,_xlfn.UNICHAR(160)," ")),'worker file'!$Q$2:$Q$406,"Not found")</f>
        <v>Active</v>
      </c>
      <c r="E318" s="39" t="s">
        <v>632</v>
      </c>
      <c r="F318" s="38" t="str">
        <f aca="false">_xlfn.XLOOKUP($E318,$A$5:$A$8,$B$5:$B$8,"")</f>
        <v>Dental – Employee</v>
      </c>
      <c r="G318" s="38" t="str">
        <f aca="false">_xlfn.XLOOKUP($E318,$A$5:$A$8,$D$5:$D$8,"")</f>
        <v>Pre-tax Section 125 (exempt from FIT/SIT/FICA)</v>
      </c>
      <c r="H318" s="38" t="str">
        <f aca="false">_xlfn.XLOOKUP($E318,$A$5:$A$8,$E$5:$E$8,"")</f>
        <v>Flat</v>
      </c>
      <c r="I318" s="44" t="str">
        <f aca="false">IF($H318="Percent",_xlfn.XLOOKUP($E318,$A$5:$A$8,$F$5:$F$8,""),"")</f>
        <v/>
      </c>
      <c r="J318" s="42" t="n">
        <f aca="false">IF($H318="Flat",_xlfn.XLOOKUP($E318,$A$5:$A$8,$F$5:$F$8,""),"")</f>
        <v>44</v>
      </c>
      <c r="K318" s="38" t="str">
        <f aca="false">_xlfn.XLOOKUP($E318,$A$5:$A$8,$G$5:$G$8,"")</f>
        <v>Per pay period</v>
      </c>
      <c r="L318" s="38" t="str">
        <f aca="false">_xlfn.XLOOKUP($E318,$A$5:$A$8,$H$5:$H$8,"")</f>
        <v>Every pay period (ongoing)</v>
      </c>
      <c r="M318" s="43" t="n">
        <f aca="false" t="array" ref="M318:M318">MAX(_xlfn.XLOOKUP($A318,TRIM(SUBSTITUTE('worker file'!$A$2:$A$406,_xlfn.UNICHAR(160)," ")),'worker file'!$M$2:$M$406,0),_xlfn.XLOOKUP($B318,TRIM('pay group &amp; schedule'!$A$2:$A$6),'pay group &amp; schedule'!$D$2:$D$6,0))</f>
        <v>46311</v>
      </c>
      <c r="N318" s="43" t="str">
        <f aca="false" t="array" ref="N318:N318">_xlfn.LET(_xlpm.t,_xlfn.XLOOKUP($A318,TRIM(SUBSTITUTE('worker file'!$A$2:$A$406,_xlfn.UNICHAR(160)," ")),'worker file'!$N$2:$N$406,""),IF(N(_xlpm.t)=0,"",_xlpm.t))</f>
        <v/>
      </c>
    </row>
    <row r="319" customFormat="false" ht="15" hidden="false" customHeight="false" outlineLevel="0" collapsed="false">
      <c r="A319" s="39" t="s">
        <v>206</v>
      </c>
      <c r="B319" s="40" t="str">
        <f aca="false" t="array" ref="B319:B319">_xlfn.XLOOKUP($A319,TRIM(SUBSTITUTE('worker file'!$A$2:$A$406,_xlfn.UNICHAR(160)," ")),'worker file'!$L$2:$L$406,"Not found")</f>
        <v>US Semi-monthly</v>
      </c>
      <c r="C319" s="40" t="str">
        <f aca="false" t="array" ref="C319:C319">_xlfn.XLOOKUP($A319,TRIM(SUBSTITUTE('worker file'!$A$2:$A$406,_xlfn.UNICHAR(160)," ")),'worker file'!$D$2:$D$406,"Not found")</f>
        <v>WA</v>
      </c>
      <c r="D319" s="40" t="str">
        <f aca="false" t="array" ref="D319:D319">_xlfn.XLOOKUP($A319,TRIM(SUBSTITUTE('worker file'!$A$2:$A$406,_xlfn.UNICHAR(160)," ")),'worker file'!$Q$2:$Q$406,"Not found")</f>
        <v>Active</v>
      </c>
      <c r="E319" s="39" t="s">
        <v>634</v>
      </c>
      <c r="F319" s="38" t="str">
        <f aca="false">_xlfn.XLOOKUP($E319,$A$5:$A$8,$B$5:$B$8,"")</f>
        <v>Vision – Employee</v>
      </c>
      <c r="G319" s="38" t="str">
        <f aca="false">_xlfn.XLOOKUP($E319,$A$5:$A$8,$D$5:$D$8,"")</f>
        <v>Pre-tax Section 125 (exempt from FIT/SIT/FICA)</v>
      </c>
      <c r="H319" s="38" t="str">
        <f aca="false">_xlfn.XLOOKUP($E319,$A$5:$A$8,$E$5:$E$8,"")</f>
        <v>Flat</v>
      </c>
      <c r="I319" s="44" t="str">
        <f aca="false">IF($H319="Percent",_xlfn.XLOOKUP($E319,$A$5:$A$8,$F$5:$F$8,""),"")</f>
        <v/>
      </c>
      <c r="J319" s="42" t="n">
        <f aca="false">IF($H319="Flat",_xlfn.XLOOKUP($E319,$A$5:$A$8,$F$5:$F$8,""),"")</f>
        <v>30</v>
      </c>
      <c r="K319" s="38" t="str">
        <f aca="false">_xlfn.XLOOKUP($E319,$A$5:$A$8,$G$5:$G$8,"")</f>
        <v>Per pay period</v>
      </c>
      <c r="L319" s="38" t="str">
        <f aca="false">_xlfn.XLOOKUP($E319,$A$5:$A$8,$H$5:$H$8,"")</f>
        <v>Every pay period (ongoing)</v>
      </c>
      <c r="M319" s="43" t="n">
        <f aca="false" t="array" ref="M319:M319">MAX(_xlfn.XLOOKUP($A319,TRIM(SUBSTITUTE('worker file'!$A$2:$A$406,_xlfn.UNICHAR(160)," ")),'worker file'!$M$2:$M$406,0),_xlfn.XLOOKUP($B319,TRIM('pay group &amp; schedule'!$A$2:$A$6),'pay group &amp; schedule'!$D$2:$D$6,0))</f>
        <v>46311</v>
      </c>
      <c r="N319" s="43" t="str">
        <f aca="false" t="array" ref="N319:N319">_xlfn.LET(_xlpm.t,_xlfn.XLOOKUP($A319,TRIM(SUBSTITUTE('worker file'!$A$2:$A$406,_xlfn.UNICHAR(160)," ")),'worker file'!$N$2:$N$406,""),IF(N(_xlpm.t)=0,"",_xlpm.t))</f>
        <v/>
      </c>
    </row>
    <row r="320" customFormat="false" ht="15" hidden="false" customHeight="false" outlineLevel="0" collapsed="false">
      <c r="A320" s="39" t="s">
        <v>208</v>
      </c>
      <c r="B320" s="40" t="str">
        <f aca="false" t="array" ref="B320:B320">_xlfn.XLOOKUP($A320,TRIM(SUBSTITUTE('worker file'!$A$2:$A$406,_xlfn.UNICHAR(160)," ")),'worker file'!$L$2:$L$406,"Not found")</f>
        <v>US Semi-monthly</v>
      </c>
      <c r="C320" s="40" t="str">
        <f aca="false" t="array" ref="C320:C320">_xlfn.XLOOKUP($A320,TRIM(SUBSTITUTE('worker file'!$A$2:$A$406,_xlfn.UNICHAR(160)," ")),'worker file'!$D$2:$D$406,"Not found")</f>
        <v>CA</v>
      </c>
      <c r="D320" s="40" t="str">
        <f aca="false" t="array" ref="D320:D320">_xlfn.XLOOKUP($A320,TRIM(SUBSTITUTE('worker file'!$A$2:$A$406,_xlfn.UNICHAR(160)," ")),'worker file'!$Q$2:$Q$406,"Not found")</f>
        <v>Active</v>
      </c>
      <c r="E320" s="39" t="s">
        <v>618</v>
      </c>
      <c r="F320" s="38" t="str">
        <f aca="false">_xlfn.XLOOKUP($E320,$A$5:$A$8,$B$5:$B$8,"")</f>
        <v>401(k) Employee Deferral</v>
      </c>
      <c r="G320" s="38" t="str">
        <f aca="false">_xlfn.XLOOKUP($E320,$A$5:$A$8,$D$5:$D$8,"")</f>
        <v>Pre-tax (exempt from FIT/SIT; subject to FICA)</v>
      </c>
      <c r="H320" s="38" t="str">
        <f aca="false">_xlfn.XLOOKUP($E320,$A$5:$A$8,$E$5:$E$8,"")</f>
        <v>Percent</v>
      </c>
      <c r="I320" s="41" t="n">
        <v>0.06</v>
      </c>
      <c r="J320" s="42" t="str">
        <f aca="false">IF($H320="Flat",_xlfn.XLOOKUP($E320,$A$5:$A$8,$F$5:$F$8,""),"")</f>
        <v/>
      </c>
      <c r="K320" s="38" t="str">
        <f aca="false">_xlfn.XLOOKUP($E320,$A$5:$A$8,$G$5:$G$8,"")</f>
        <v>Gross pay</v>
      </c>
      <c r="L320" s="38" t="str">
        <f aca="false">_xlfn.XLOOKUP($E320,$A$5:$A$8,$H$5:$H$8,"")</f>
        <v>Every pay period (ongoing)</v>
      </c>
      <c r="M320" s="43" t="n">
        <f aca="false" t="array" ref="M320:M320">MAX(_xlfn.XLOOKUP($A320,TRIM(SUBSTITUTE('worker file'!$A$2:$A$406,_xlfn.UNICHAR(160)," ")),'worker file'!$M$2:$M$406,0),_xlfn.XLOOKUP($B320,TRIM('pay group &amp; schedule'!$A$2:$A$6),'pay group &amp; schedule'!$D$2:$D$6,0))</f>
        <v>46311</v>
      </c>
      <c r="N320" s="43" t="str">
        <f aca="false" t="array" ref="N320:N320">_xlfn.LET(_xlpm.t,_xlfn.XLOOKUP($A320,TRIM(SUBSTITUTE('worker file'!$A$2:$A$406,_xlfn.UNICHAR(160)," ")),'worker file'!$N$2:$N$406,""),IF(N(_xlpm.t)=0,"",_xlpm.t))</f>
        <v/>
      </c>
    </row>
    <row r="321" customFormat="false" ht="15" hidden="false" customHeight="false" outlineLevel="0" collapsed="false">
      <c r="A321" s="39" t="s">
        <v>208</v>
      </c>
      <c r="B321" s="40" t="str">
        <f aca="false" t="array" ref="B321:B321">_xlfn.XLOOKUP($A321,TRIM(SUBSTITUTE('worker file'!$A$2:$A$406,_xlfn.UNICHAR(160)," ")),'worker file'!$L$2:$L$406,"Not found")</f>
        <v>US Semi-monthly</v>
      </c>
      <c r="C321" s="40" t="str">
        <f aca="false" t="array" ref="C321:C321">_xlfn.XLOOKUP($A321,TRIM(SUBSTITUTE('worker file'!$A$2:$A$406,_xlfn.UNICHAR(160)," ")),'worker file'!$D$2:$D$406,"Not found")</f>
        <v>CA</v>
      </c>
      <c r="D321" s="40" t="str">
        <f aca="false" t="array" ref="D321:D321">_xlfn.XLOOKUP($A321,TRIM(SUBSTITUTE('worker file'!$A$2:$A$406,_xlfn.UNICHAR(160)," ")),'worker file'!$Q$2:$Q$406,"Not found")</f>
        <v>Active</v>
      </c>
      <c r="E321" s="39" t="s">
        <v>626</v>
      </c>
      <c r="F321" s="38" t="str">
        <f aca="false">_xlfn.XLOOKUP($E321,$A$5:$A$8,$B$5:$B$8,"")</f>
        <v>Medical (Health) – Employee</v>
      </c>
      <c r="G321" s="38" t="str">
        <f aca="false">_xlfn.XLOOKUP($E321,$A$5:$A$8,$D$5:$D$8,"")</f>
        <v>Pre-tax Section 125 (exempt from FIT/SIT/FICA)</v>
      </c>
      <c r="H321" s="38" t="str">
        <f aca="false">_xlfn.XLOOKUP($E321,$A$5:$A$8,$E$5:$E$8,"")</f>
        <v>Flat</v>
      </c>
      <c r="I321" s="44" t="str">
        <f aca="false">IF($H321="Percent",_xlfn.XLOOKUP($E321,$A$5:$A$8,$F$5:$F$8,""),"")</f>
        <v/>
      </c>
      <c r="J321" s="42" t="n">
        <f aca="false">IF($H321="Flat",_xlfn.XLOOKUP($E321,$A$5:$A$8,$F$5:$F$8,""),"")</f>
        <v>200</v>
      </c>
      <c r="K321" s="38" t="str">
        <f aca="false">_xlfn.XLOOKUP($E321,$A$5:$A$8,$G$5:$G$8,"")</f>
        <v>Per pay period</v>
      </c>
      <c r="L321" s="38" t="str">
        <f aca="false">_xlfn.XLOOKUP($E321,$A$5:$A$8,$H$5:$H$8,"")</f>
        <v>Every pay period (ongoing)</v>
      </c>
      <c r="M321" s="43" t="n">
        <f aca="false" t="array" ref="M321:M321">MAX(_xlfn.XLOOKUP($A321,TRIM(SUBSTITUTE('worker file'!$A$2:$A$406,_xlfn.UNICHAR(160)," ")),'worker file'!$M$2:$M$406,0),_xlfn.XLOOKUP($B321,TRIM('pay group &amp; schedule'!$A$2:$A$6),'pay group &amp; schedule'!$D$2:$D$6,0))</f>
        <v>46311</v>
      </c>
      <c r="N321" s="43" t="str">
        <f aca="false" t="array" ref="N321:N321">_xlfn.LET(_xlpm.t,_xlfn.XLOOKUP($A321,TRIM(SUBSTITUTE('worker file'!$A$2:$A$406,_xlfn.UNICHAR(160)," ")),'worker file'!$N$2:$N$406,""),IF(N(_xlpm.t)=0,"",_xlpm.t))</f>
        <v/>
      </c>
    </row>
    <row r="322" customFormat="false" ht="15" hidden="false" customHeight="false" outlineLevel="0" collapsed="false">
      <c r="A322" s="39" t="s">
        <v>208</v>
      </c>
      <c r="B322" s="40" t="str">
        <f aca="false" t="array" ref="B322:B322">_xlfn.XLOOKUP($A322,TRIM(SUBSTITUTE('worker file'!$A$2:$A$406,_xlfn.UNICHAR(160)," ")),'worker file'!$L$2:$L$406,"Not found")</f>
        <v>US Semi-monthly</v>
      </c>
      <c r="C322" s="40" t="str">
        <f aca="false" t="array" ref="C322:C322">_xlfn.XLOOKUP($A322,TRIM(SUBSTITUTE('worker file'!$A$2:$A$406,_xlfn.UNICHAR(160)," ")),'worker file'!$D$2:$D$406,"Not found")</f>
        <v>CA</v>
      </c>
      <c r="D322" s="40" t="str">
        <f aca="false" t="array" ref="D322:D322">_xlfn.XLOOKUP($A322,TRIM(SUBSTITUTE('worker file'!$A$2:$A$406,_xlfn.UNICHAR(160)," ")),'worker file'!$Q$2:$Q$406,"Not found")</f>
        <v>Active</v>
      </c>
      <c r="E322" s="39" t="s">
        <v>632</v>
      </c>
      <c r="F322" s="38" t="str">
        <f aca="false">_xlfn.XLOOKUP($E322,$A$5:$A$8,$B$5:$B$8,"")</f>
        <v>Dental – Employee</v>
      </c>
      <c r="G322" s="38" t="str">
        <f aca="false">_xlfn.XLOOKUP($E322,$A$5:$A$8,$D$5:$D$8,"")</f>
        <v>Pre-tax Section 125 (exempt from FIT/SIT/FICA)</v>
      </c>
      <c r="H322" s="38" t="str">
        <f aca="false">_xlfn.XLOOKUP($E322,$A$5:$A$8,$E$5:$E$8,"")</f>
        <v>Flat</v>
      </c>
      <c r="I322" s="44" t="str">
        <f aca="false">IF($H322="Percent",_xlfn.XLOOKUP($E322,$A$5:$A$8,$F$5:$F$8,""),"")</f>
        <v/>
      </c>
      <c r="J322" s="42" t="n">
        <f aca="false">IF($H322="Flat",_xlfn.XLOOKUP($E322,$A$5:$A$8,$F$5:$F$8,""),"")</f>
        <v>44</v>
      </c>
      <c r="K322" s="38" t="str">
        <f aca="false">_xlfn.XLOOKUP($E322,$A$5:$A$8,$G$5:$G$8,"")</f>
        <v>Per pay period</v>
      </c>
      <c r="L322" s="38" t="str">
        <f aca="false">_xlfn.XLOOKUP($E322,$A$5:$A$8,$H$5:$H$8,"")</f>
        <v>Every pay period (ongoing)</v>
      </c>
      <c r="M322" s="43" t="n">
        <f aca="false" t="array" ref="M322:M322">MAX(_xlfn.XLOOKUP($A322,TRIM(SUBSTITUTE('worker file'!$A$2:$A$406,_xlfn.UNICHAR(160)," ")),'worker file'!$M$2:$M$406,0),_xlfn.XLOOKUP($B322,TRIM('pay group &amp; schedule'!$A$2:$A$6),'pay group &amp; schedule'!$D$2:$D$6,0))</f>
        <v>46311</v>
      </c>
      <c r="N322" s="43" t="str">
        <f aca="false" t="array" ref="N322:N322">_xlfn.LET(_xlpm.t,_xlfn.XLOOKUP($A322,TRIM(SUBSTITUTE('worker file'!$A$2:$A$406,_xlfn.UNICHAR(160)," ")),'worker file'!$N$2:$N$406,""),IF(N(_xlpm.t)=0,"",_xlpm.t))</f>
        <v/>
      </c>
    </row>
    <row r="323" customFormat="false" ht="15" hidden="false" customHeight="false" outlineLevel="0" collapsed="false">
      <c r="A323" s="39" t="s">
        <v>208</v>
      </c>
      <c r="B323" s="40" t="str">
        <f aca="false" t="array" ref="B323:B323">_xlfn.XLOOKUP($A323,TRIM(SUBSTITUTE('worker file'!$A$2:$A$406,_xlfn.UNICHAR(160)," ")),'worker file'!$L$2:$L$406,"Not found")</f>
        <v>US Semi-monthly</v>
      </c>
      <c r="C323" s="40" t="str">
        <f aca="false" t="array" ref="C323:C323">_xlfn.XLOOKUP($A323,TRIM(SUBSTITUTE('worker file'!$A$2:$A$406,_xlfn.UNICHAR(160)," ")),'worker file'!$D$2:$D$406,"Not found")</f>
        <v>CA</v>
      </c>
      <c r="D323" s="40" t="str">
        <f aca="false" t="array" ref="D323:D323">_xlfn.XLOOKUP($A323,TRIM(SUBSTITUTE('worker file'!$A$2:$A$406,_xlfn.UNICHAR(160)," ")),'worker file'!$Q$2:$Q$406,"Not found")</f>
        <v>Active</v>
      </c>
      <c r="E323" s="39" t="s">
        <v>634</v>
      </c>
      <c r="F323" s="38" t="str">
        <f aca="false">_xlfn.XLOOKUP($E323,$A$5:$A$8,$B$5:$B$8,"")</f>
        <v>Vision – Employee</v>
      </c>
      <c r="G323" s="38" t="str">
        <f aca="false">_xlfn.XLOOKUP($E323,$A$5:$A$8,$D$5:$D$8,"")</f>
        <v>Pre-tax Section 125 (exempt from FIT/SIT/FICA)</v>
      </c>
      <c r="H323" s="38" t="str">
        <f aca="false">_xlfn.XLOOKUP($E323,$A$5:$A$8,$E$5:$E$8,"")</f>
        <v>Flat</v>
      </c>
      <c r="I323" s="44" t="str">
        <f aca="false">IF($H323="Percent",_xlfn.XLOOKUP($E323,$A$5:$A$8,$F$5:$F$8,""),"")</f>
        <v/>
      </c>
      <c r="J323" s="42" t="n">
        <f aca="false">IF($H323="Flat",_xlfn.XLOOKUP($E323,$A$5:$A$8,$F$5:$F$8,""),"")</f>
        <v>30</v>
      </c>
      <c r="K323" s="38" t="str">
        <f aca="false">_xlfn.XLOOKUP($E323,$A$5:$A$8,$G$5:$G$8,"")</f>
        <v>Per pay period</v>
      </c>
      <c r="L323" s="38" t="str">
        <f aca="false">_xlfn.XLOOKUP($E323,$A$5:$A$8,$H$5:$H$8,"")</f>
        <v>Every pay period (ongoing)</v>
      </c>
      <c r="M323" s="43" t="n">
        <f aca="false" t="array" ref="M323:M323">MAX(_xlfn.XLOOKUP($A323,TRIM(SUBSTITUTE('worker file'!$A$2:$A$406,_xlfn.UNICHAR(160)," ")),'worker file'!$M$2:$M$406,0),_xlfn.XLOOKUP($B323,TRIM('pay group &amp; schedule'!$A$2:$A$6),'pay group &amp; schedule'!$D$2:$D$6,0))</f>
        <v>46311</v>
      </c>
      <c r="N323" s="43" t="str">
        <f aca="false" t="array" ref="N323:N323">_xlfn.LET(_xlpm.t,_xlfn.XLOOKUP($A323,TRIM(SUBSTITUTE('worker file'!$A$2:$A$406,_xlfn.UNICHAR(160)," ")),'worker file'!$N$2:$N$406,""),IF(N(_xlpm.t)=0,"",_xlpm.t))</f>
        <v/>
      </c>
    </row>
    <row r="324" customFormat="false" ht="15" hidden="false" customHeight="false" outlineLevel="0" collapsed="false">
      <c r="A324" s="39" t="s">
        <v>210</v>
      </c>
      <c r="B324" s="40" t="str">
        <f aca="false" t="array" ref="B324:B324">_xlfn.XLOOKUP($A324,TRIM(SUBSTITUTE('worker file'!$A$2:$A$406,_xlfn.UNICHAR(160)," ")),'worker file'!$L$2:$L$406,"Not found")</f>
        <v>US Semi-monthly</v>
      </c>
      <c r="C324" s="40" t="str">
        <f aca="false" t="array" ref="C324:C324">_xlfn.XLOOKUP($A324,TRIM(SUBSTITUTE('worker file'!$A$2:$A$406,_xlfn.UNICHAR(160)," ")),'worker file'!$D$2:$D$406,"Not found")</f>
        <v>CA</v>
      </c>
      <c r="D324" s="40" t="str">
        <f aca="false" t="array" ref="D324:D324">_xlfn.XLOOKUP($A324,TRIM(SUBSTITUTE('worker file'!$A$2:$A$406,_xlfn.UNICHAR(160)," ")),'worker file'!$Q$2:$Q$406,"Not found")</f>
        <v>Active</v>
      </c>
      <c r="E324" s="39" t="s">
        <v>618</v>
      </c>
      <c r="F324" s="38" t="str">
        <f aca="false">_xlfn.XLOOKUP($E324,$A$5:$A$8,$B$5:$B$8,"")</f>
        <v>401(k) Employee Deferral</v>
      </c>
      <c r="G324" s="38" t="str">
        <f aca="false">_xlfn.XLOOKUP($E324,$A$5:$A$8,$D$5:$D$8,"")</f>
        <v>Pre-tax (exempt from FIT/SIT; subject to FICA)</v>
      </c>
      <c r="H324" s="38" t="str">
        <f aca="false">_xlfn.XLOOKUP($E324,$A$5:$A$8,$E$5:$E$8,"")</f>
        <v>Percent</v>
      </c>
      <c r="I324" s="41" t="n">
        <v>0.03</v>
      </c>
      <c r="J324" s="42" t="str">
        <f aca="false">IF($H324="Flat",_xlfn.XLOOKUP($E324,$A$5:$A$8,$F$5:$F$8,""),"")</f>
        <v/>
      </c>
      <c r="K324" s="38" t="str">
        <f aca="false">_xlfn.XLOOKUP($E324,$A$5:$A$8,$G$5:$G$8,"")</f>
        <v>Gross pay</v>
      </c>
      <c r="L324" s="38" t="str">
        <f aca="false">_xlfn.XLOOKUP($E324,$A$5:$A$8,$H$5:$H$8,"")</f>
        <v>Every pay period (ongoing)</v>
      </c>
      <c r="M324" s="43" t="n">
        <f aca="false" t="array" ref="M324:M324">MAX(_xlfn.XLOOKUP($A324,TRIM(SUBSTITUTE('worker file'!$A$2:$A$406,_xlfn.UNICHAR(160)," ")),'worker file'!$M$2:$M$406,0),_xlfn.XLOOKUP($B324,TRIM('pay group &amp; schedule'!$A$2:$A$6),'pay group &amp; schedule'!$D$2:$D$6,0))</f>
        <v>46311</v>
      </c>
      <c r="N324" s="43" t="str">
        <f aca="false" t="array" ref="N324:N324">_xlfn.LET(_xlpm.t,_xlfn.XLOOKUP($A324,TRIM(SUBSTITUTE('worker file'!$A$2:$A$406,_xlfn.UNICHAR(160)," ")),'worker file'!$N$2:$N$406,""),IF(N(_xlpm.t)=0,"",_xlpm.t))</f>
        <v/>
      </c>
    </row>
    <row r="325" customFormat="false" ht="15" hidden="false" customHeight="false" outlineLevel="0" collapsed="false">
      <c r="A325" s="39" t="s">
        <v>210</v>
      </c>
      <c r="B325" s="40" t="str">
        <f aca="false" t="array" ref="B325:B325">_xlfn.XLOOKUP($A325,TRIM(SUBSTITUTE('worker file'!$A$2:$A$406,_xlfn.UNICHAR(160)," ")),'worker file'!$L$2:$L$406,"Not found")</f>
        <v>US Semi-monthly</v>
      </c>
      <c r="C325" s="40" t="str">
        <f aca="false" t="array" ref="C325:C325">_xlfn.XLOOKUP($A325,TRIM(SUBSTITUTE('worker file'!$A$2:$A$406,_xlfn.UNICHAR(160)," ")),'worker file'!$D$2:$D$406,"Not found")</f>
        <v>CA</v>
      </c>
      <c r="D325" s="40" t="str">
        <f aca="false" t="array" ref="D325:D325">_xlfn.XLOOKUP($A325,TRIM(SUBSTITUTE('worker file'!$A$2:$A$406,_xlfn.UNICHAR(160)," ")),'worker file'!$Q$2:$Q$406,"Not found")</f>
        <v>Active</v>
      </c>
      <c r="E325" s="39" t="s">
        <v>626</v>
      </c>
      <c r="F325" s="38" t="str">
        <f aca="false">_xlfn.XLOOKUP($E325,$A$5:$A$8,$B$5:$B$8,"")</f>
        <v>Medical (Health) – Employee</v>
      </c>
      <c r="G325" s="38" t="str">
        <f aca="false">_xlfn.XLOOKUP($E325,$A$5:$A$8,$D$5:$D$8,"")</f>
        <v>Pre-tax Section 125 (exempt from FIT/SIT/FICA)</v>
      </c>
      <c r="H325" s="38" t="str">
        <f aca="false">_xlfn.XLOOKUP($E325,$A$5:$A$8,$E$5:$E$8,"")</f>
        <v>Flat</v>
      </c>
      <c r="I325" s="44" t="str">
        <f aca="false">IF($H325="Percent",_xlfn.XLOOKUP($E325,$A$5:$A$8,$F$5:$F$8,""),"")</f>
        <v/>
      </c>
      <c r="J325" s="42" t="n">
        <f aca="false">IF($H325="Flat",_xlfn.XLOOKUP($E325,$A$5:$A$8,$F$5:$F$8,""),"")</f>
        <v>200</v>
      </c>
      <c r="K325" s="38" t="str">
        <f aca="false">_xlfn.XLOOKUP($E325,$A$5:$A$8,$G$5:$G$8,"")</f>
        <v>Per pay period</v>
      </c>
      <c r="L325" s="38" t="str">
        <f aca="false">_xlfn.XLOOKUP($E325,$A$5:$A$8,$H$5:$H$8,"")</f>
        <v>Every pay period (ongoing)</v>
      </c>
      <c r="M325" s="43" t="n">
        <f aca="false" t="array" ref="M325:M325">MAX(_xlfn.XLOOKUP($A325,TRIM(SUBSTITUTE('worker file'!$A$2:$A$406,_xlfn.UNICHAR(160)," ")),'worker file'!$M$2:$M$406,0),_xlfn.XLOOKUP($B325,TRIM('pay group &amp; schedule'!$A$2:$A$6),'pay group &amp; schedule'!$D$2:$D$6,0))</f>
        <v>46311</v>
      </c>
      <c r="N325" s="43" t="str">
        <f aca="false" t="array" ref="N325:N325">_xlfn.LET(_xlpm.t,_xlfn.XLOOKUP($A325,TRIM(SUBSTITUTE('worker file'!$A$2:$A$406,_xlfn.UNICHAR(160)," ")),'worker file'!$N$2:$N$406,""),IF(N(_xlpm.t)=0,"",_xlpm.t))</f>
        <v/>
      </c>
    </row>
    <row r="326" customFormat="false" ht="15" hidden="false" customHeight="false" outlineLevel="0" collapsed="false">
      <c r="A326" s="39" t="s">
        <v>210</v>
      </c>
      <c r="B326" s="40" t="str">
        <f aca="false" t="array" ref="B326:B326">_xlfn.XLOOKUP($A326,TRIM(SUBSTITUTE('worker file'!$A$2:$A$406,_xlfn.UNICHAR(160)," ")),'worker file'!$L$2:$L$406,"Not found")</f>
        <v>US Semi-monthly</v>
      </c>
      <c r="C326" s="40" t="str">
        <f aca="false" t="array" ref="C326:C326">_xlfn.XLOOKUP($A326,TRIM(SUBSTITUTE('worker file'!$A$2:$A$406,_xlfn.UNICHAR(160)," ")),'worker file'!$D$2:$D$406,"Not found")</f>
        <v>CA</v>
      </c>
      <c r="D326" s="40" t="str">
        <f aca="false" t="array" ref="D326:D326">_xlfn.XLOOKUP($A326,TRIM(SUBSTITUTE('worker file'!$A$2:$A$406,_xlfn.UNICHAR(160)," ")),'worker file'!$Q$2:$Q$406,"Not found")</f>
        <v>Active</v>
      </c>
      <c r="E326" s="39" t="s">
        <v>632</v>
      </c>
      <c r="F326" s="38" t="str">
        <f aca="false">_xlfn.XLOOKUP($E326,$A$5:$A$8,$B$5:$B$8,"")</f>
        <v>Dental – Employee</v>
      </c>
      <c r="G326" s="38" t="str">
        <f aca="false">_xlfn.XLOOKUP($E326,$A$5:$A$8,$D$5:$D$8,"")</f>
        <v>Pre-tax Section 125 (exempt from FIT/SIT/FICA)</v>
      </c>
      <c r="H326" s="38" t="str">
        <f aca="false">_xlfn.XLOOKUP($E326,$A$5:$A$8,$E$5:$E$8,"")</f>
        <v>Flat</v>
      </c>
      <c r="I326" s="44" t="str">
        <f aca="false">IF($H326="Percent",_xlfn.XLOOKUP($E326,$A$5:$A$8,$F$5:$F$8,""),"")</f>
        <v/>
      </c>
      <c r="J326" s="42" t="n">
        <f aca="false">IF($H326="Flat",_xlfn.XLOOKUP($E326,$A$5:$A$8,$F$5:$F$8,""),"")</f>
        <v>44</v>
      </c>
      <c r="K326" s="38" t="str">
        <f aca="false">_xlfn.XLOOKUP($E326,$A$5:$A$8,$G$5:$G$8,"")</f>
        <v>Per pay period</v>
      </c>
      <c r="L326" s="38" t="str">
        <f aca="false">_xlfn.XLOOKUP($E326,$A$5:$A$8,$H$5:$H$8,"")</f>
        <v>Every pay period (ongoing)</v>
      </c>
      <c r="M326" s="43" t="n">
        <f aca="false" t="array" ref="M326:M326">MAX(_xlfn.XLOOKUP($A326,TRIM(SUBSTITUTE('worker file'!$A$2:$A$406,_xlfn.UNICHAR(160)," ")),'worker file'!$M$2:$M$406,0),_xlfn.XLOOKUP($B326,TRIM('pay group &amp; schedule'!$A$2:$A$6),'pay group &amp; schedule'!$D$2:$D$6,0))</f>
        <v>46311</v>
      </c>
      <c r="N326" s="43" t="str">
        <f aca="false" t="array" ref="N326:N326">_xlfn.LET(_xlpm.t,_xlfn.XLOOKUP($A326,TRIM(SUBSTITUTE('worker file'!$A$2:$A$406,_xlfn.UNICHAR(160)," ")),'worker file'!$N$2:$N$406,""),IF(N(_xlpm.t)=0,"",_xlpm.t))</f>
        <v/>
      </c>
    </row>
    <row r="327" customFormat="false" ht="15" hidden="false" customHeight="false" outlineLevel="0" collapsed="false">
      <c r="A327" s="39" t="s">
        <v>210</v>
      </c>
      <c r="B327" s="40" t="str">
        <f aca="false" t="array" ref="B327:B327">_xlfn.XLOOKUP($A327,TRIM(SUBSTITUTE('worker file'!$A$2:$A$406,_xlfn.UNICHAR(160)," ")),'worker file'!$L$2:$L$406,"Not found")</f>
        <v>US Semi-monthly</v>
      </c>
      <c r="C327" s="40" t="str">
        <f aca="false" t="array" ref="C327:C327">_xlfn.XLOOKUP($A327,TRIM(SUBSTITUTE('worker file'!$A$2:$A$406,_xlfn.UNICHAR(160)," ")),'worker file'!$D$2:$D$406,"Not found")</f>
        <v>CA</v>
      </c>
      <c r="D327" s="40" t="str">
        <f aca="false" t="array" ref="D327:D327">_xlfn.XLOOKUP($A327,TRIM(SUBSTITUTE('worker file'!$A$2:$A$406,_xlfn.UNICHAR(160)," ")),'worker file'!$Q$2:$Q$406,"Not found")</f>
        <v>Active</v>
      </c>
      <c r="E327" s="39" t="s">
        <v>634</v>
      </c>
      <c r="F327" s="38" t="str">
        <f aca="false">_xlfn.XLOOKUP($E327,$A$5:$A$8,$B$5:$B$8,"")</f>
        <v>Vision – Employee</v>
      </c>
      <c r="G327" s="38" t="str">
        <f aca="false">_xlfn.XLOOKUP($E327,$A$5:$A$8,$D$5:$D$8,"")</f>
        <v>Pre-tax Section 125 (exempt from FIT/SIT/FICA)</v>
      </c>
      <c r="H327" s="38" t="str">
        <f aca="false">_xlfn.XLOOKUP($E327,$A$5:$A$8,$E$5:$E$8,"")</f>
        <v>Flat</v>
      </c>
      <c r="I327" s="44" t="str">
        <f aca="false">IF($H327="Percent",_xlfn.XLOOKUP($E327,$A$5:$A$8,$F$5:$F$8,""),"")</f>
        <v/>
      </c>
      <c r="J327" s="42" t="n">
        <f aca="false">IF($H327="Flat",_xlfn.XLOOKUP($E327,$A$5:$A$8,$F$5:$F$8,""),"")</f>
        <v>30</v>
      </c>
      <c r="K327" s="38" t="str">
        <f aca="false">_xlfn.XLOOKUP($E327,$A$5:$A$8,$G$5:$G$8,"")</f>
        <v>Per pay period</v>
      </c>
      <c r="L327" s="38" t="str">
        <f aca="false">_xlfn.XLOOKUP($E327,$A$5:$A$8,$H$5:$H$8,"")</f>
        <v>Every pay period (ongoing)</v>
      </c>
      <c r="M327" s="43" t="n">
        <f aca="false" t="array" ref="M327:M327">MAX(_xlfn.XLOOKUP($A327,TRIM(SUBSTITUTE('worker file'!$A$2:$A$406,_xlfn.UNICHAR(160)," ")),'worker file'!$M$2:$M$406,0),_xlfn.XLOOKUP($B327,TRIM('pay group &amp; schedule'!$A$2:$A$6),'pay group &amp; schedule'!$D$2:$D$6,0))</f>
        <v>46311</v>
      </c>
      <c r="N327" s="43" t="str">
        <f aca="false" t="array" ref="N327:N327">_xlfn.LET(_xlpm.t,_xlfn.XLOOKUP($A327,TRIM(SUBSTITUTE('worker file'!$A$2:$A$406,_xlfn.UNICHAR(160)," ")),'worker file'!$N$2:$N$406,""),IF(N(_xlpm.t)=0,"",_xlpm.t))</f>
        <v/>
      </c>
    </row>
    <row r="328" customFormat="false" ht="15" hidden="false" customHeight="false" outlineLevel="0" collapsed="false">
      <c r="A328" s="39" t="s">
        <v>211</v>
      </c>
      <c r="B328" s="40" t="str">
        <f aca="false" t="array" ref="B328:B328">_xlfn.XLOOKUP($A328,TRIM(SUBSTITUTE('worker file'!$A$2:$A$406,_xlfn.UNICHAR(160)," ")),'worker file'!$L$2:$L$406,"Not found")</f>
        <v>US Biweekly</v>
      </c>
      <c r="C328" s="40" t="str">
        <f aca="false" t="array" ref="C328:C328">_xlfn.XLOOKUP($A328,TRIM(SUBSTITUTE('worker file'!$A$2:$A$406,_xlfn.UNICHAR(160)," ")),'worker file'!$D$2:$D$406,"Not found")</f>
        <v>CA</v>
      </c>
      <c r="D328" s="40" t="str">
        <f aca="false" t="array" ref="D328:D328">_xlfn.XLOOKUP($A328,TRIM(SUBSTITUTE('worker file'!$A$2:$A$406,_xlfn.UNICHAR(160)," ")),'worker file'!$Q$2:$Q$406,"Not found")</f>
        <v>Active</v>
      </c>
      <c r="E328" s="39" t="s">
        <v>626</v>
      </c>
      <c r="F328" s="38" t="str">
        <f aca="false">_xlfn.XLOOKUP($E328,$A$5:$A$8,$B$5:$B$8,"")</f>
        <v>Medical (Health) – Employee</v>
      </c>
      <c r="G328" s="38" t="str">
        <f aca="false">_xlfn.XLOOKUP($E328,$A$5:$A$8,$D$5:$D$8,"")</f>
        <v>Pre-tax Section 125 (exempt from FIT/SIT/FICA)</v>
      </c>
      <c r="H328" s="38" t="str">
        <f aca="false">_xlfn.XLOOKUP($E328,$A$5:$A$8,$E$5:$E$8,"")</f>
        <v>Flat</v>
      </c>
      <c r="I328" s="44" t="str">
        <f aca="false">IF($H328="Percent",_xlfn.XLOOKUP($E328,$A$5:$A$8,$F$5:$F$8,""),"")</f>
        <v/>
      </c>
      <c r="J328" s="42" t="n">
        <f aca="false">IF($H328="Flat",_xlfn.XLOOKUP($E328,$A$5:$A$8,$F$5:$F$8,""),"")</f>
        <v>200</v>
      </c>
      <c r="K328" s="38" t="str">
        <f aca="false">_xlfn.XLOOKUP($E328,$A$5:$A$8,$G$5:$G$8,"")</f>
        <v>Per pay period</v>
      </c>
      <c r="L328" s="38" t="str">
        <f aca="false">_xlfn.XLOOKUP($E328,$A$5:$A$8,$H$5:$H$8,"")</f>
        <v>Every pay period (ongoing)</v>
      </c>
      <c r="M328" s="43" t="n">
        <f aca="false" t="array" ref="M328:M328">MAX(_xlfn.XLOOKUP($A328,TRIM(SUBSTITUTE('worker file'!$A$2:$A$406,_xlfn.UNICHAR(160)," ")),'worker file'!$M$2:$M$406,0),_xlfn.XLOOKUP($B328,TRIM('pay group &amp; schedule'!$A$2:$A$6),'pay group &amp; schedule'!$D$2:$D$6,0))</f>
        <v>46299</v>
      </c>
      <c r="N328" s="43" t="str">
        <f aca="false" t="array" ref="N328:N328">_xlfn.LET(_xlpm.t,_xlfn.XLOOKUP($A328,TRIM(SUBSTITUTE('worker file'!$A$2:$A$406,_xlfn.UNICHAR(160)," ")),'worker file'!$N$2:$N$406,""),IF(N(_xlpm.t)=0,"",_xlpm.t))</f>
        <v/>
      </c>
    </row>
    <row r="329" customFormat="false" ht="15" hidden="false" customHeight="false" outlineLevel="0" collapsed="false">
      <c r="A329" s="39" t="s">
        <v>211</v>
      </c>
      <c r="B329" s="40" t="str">
        <f aca="false" t="array" ref="B329:B329">_xlfn.XLOOKUP($A329,TRIM(SUBSTITUTE('worker file'!$A$2:$A$406,_xlfn.UNICHAR(160)," ")),'worker file'!$L$2:$L$406,"Not found")</f>
        <v>US Biweekly</v>
      </c>
      <c r="C329" s="40" t="str">
        <f aca="false" t="array" ref="C329:C329">_xlfn.XLOOKUP($A329,TRIM(SUBSTITUTE('worker file'!$A$2:$A$406,_xlfn.UNICHAR(160)," ")),'worker file'!$D$2:$D$406,"Not found")</f>
        <v>CA</v>
      </c>
      <c r="D329" s="40" t="str">
        <f aca="false" t="array" ref="D329:D329">_xlfn.XLOOKUP($A329,TRIM(SUBSTITUTE('worker file'!$A$2:$A$406,_xlfn.UNICHAR(160)," ")),'worker file'!$Q$2:$Q$406,"Not found")</f>
        <v>Active</v>
      </c>
      <c r="E329" s="39" t="s">
        <v>632</v>
      </c>
      <c r="F329" s="38" t="str">
        <f aca="false">_xlfn.XLOOKUP($E329,$A$5:$A$8,$B$5:$B$8,"")</f>
        <v>Dental – Employee</v>
      </c>
      <c r="G329" s="38" t="str">
        <f aca="false">_xlfn.XLOOKUP($E329,$A$5:$A$8,$D$5:$D$8,"")</f>
        <v>Pre-tax Section 125 (exempt from FIT/SIT/FICA)</v>
      </c>
      <c r="H329" s="38" t="str">
        <f aca="false">_xlfn.XLOOKUP($E329,$A$5:$A$8,$E$5:$E$8,"")</f>
        <v>Flat</v>
      </c>
      <c r="I329" s="44" t="str">
        <f aca="false">IF($H329="Percent",_xlfn.XLOOKUP($E329,$A$5:$A$8,$F$5:$F$8,""),"")</f>
        <v/>
      </c>
      <c r="J329" s="42" t="n">
        <f aca="false">IF($H329="Flat",_xlfn.XLOOKUP($E329,$A$5:$A$8,$F$5:$F$8,""),"")</f>
        <v>44</v>
      </c>
      <c r="K329" s="38" t="str">
        <f aca="false">_xlfn.XLOOKUP($E329,$A$5:$A$8,$G$5:$G$8,"")</f>
        <v>Per pay period</v>
      </c>
      <c r="L329" s="38" t="str">
        <f aca="false">_xlfn.XLOOKUP($E329,$A$5:$A$8,$H$5:$H$8,"")</f>
        <v>Every pay period (ongoing)</v>
      </c>
      <c r="M329" s="43" t="n">
        <f aca="false" t="array" ref="M329:M329">MAX(_xlfn.XLOOKUP($A329,TRIM(SUBSTITUTE('worker file'!$A$2:$A$406,_xlfn.UNICHAR(160)," ")),'worker file'!$M$2:$M$406,0),_xlfn.XLOOKUP($B329,TRIM('pay group &amp; schedule'!$A$2:$A$6),'pay group &amp; schedule'!$D$2:$D$6,0))</f>
        <v>46299</v>
      </c>
      <c r="N329" s="43" t="str">
        <f aca="false" t="array" ref="N329:N329">_xlfn.LET(_xlpm.t,_xlfn.XLOOKUP($A329,TRIM(SUBSTITUTE('worker file'!$A$2:$A$406,_xlfn.UNICHAR(160)," ")),'worker file'!$N$2:$N$406,""),IF(N(_xlpm.t)=0,"",_xlpm.t))</f>
        <v/>
      </c>
    </row>
    <row r="330" customFormat="false" ht="15" hidden="false" customHeight="false" outlineLevel="0" collapsed="false">
      <c r="A330" s="39" t="s">
        <v>211</v>
      </c>
      <c r="B330" s="40" t="str">
        <f aca="false" t="array" ref="B330:B330">_xlfn.XLOOKUP($A330,TRIM(SUBSTITUTE('worker file'!$A$2:$A$406,_xlfn.UNICHAR(160)," ")),'worker file'!$L$2:$L$406,"Not found")</f>
        <v>US Biweekly</v>
      </c>
      <c r="C330" s="40" t="str">
        <f aca="false" t="array" ref="C330:C330">_xlfn.XLOOKUP($A330,TRIM(SUBSTITUTE('worker file'!$A$2:$A$406,_xlfn.UNICHAR(160)," ")),'worker file'!$D$2:$D$406,"Not found")</f>
        <v>CA</v>
      </c>
      <c r="D330" s="40" t="str">
        <f aca="false" t="array" ref="D330:D330">_xlfn.XLOOKUP($A330,TRIM(SUBSTITUTE('worker file'!$A$2:$A$406,_xlfn.UNICHAR(160)," ")),'worker file'!$Q$2:$Q$406,"Not found")</f>
        <v>Active</v>
      </c>
      <c r="E330" s="39" t="s">
        <v>634</v>
      </c>
      <c r="F330" s="38" t="str">
        <f aca="false">_xlfn.XLOOKUP($E330,$A$5:$A$8,$B$5:$B$8,"")</f>
        <v>Vision – Employee</v>
      </c>
      <c r="G330" s="38" t="str">
        <f aca="false">_xlfn.XLOOKUP($E330,$A$5:$A$8,$D$5:$D$8,"")</f>
        <v>Pre-tax Section 125 (exempt from FIT/SIT/FICA)</v>
      </c>
      <c r="H330" s="38" t="str">
        <f aca="false">_xlfn.XLOOKUP($E330,$A$5:$A$8,$E$5:$E$8,"")</f>
        <v>Flat</v>
      </c>
      <c r="I330" s="44" t="str">
        <f aca="false">IF($H330="Percent",_xlfn.XLOOKUP($E330,$A$5:$A$8,$F$5:$F$8,""),"")</f>
        <v/>
      </c>
      <c r="J330" s="42" t="n">
        <f aca="false">IF($H330="Flat",_xlfn.XLOOKUP($E330,$A$5:$A$8,$F$5:$F$8,""),"")</f>
        <v>30</v>
      </c>
      <c r="K330" s="38" t="str">
        <f aca="false">_xlfn.XLOOKUP($E330,$A$5:$A$8,$G$5:$G$8,"")</f>
        <v>Per pay period</v>
      </c>
      <c r="L330" s="38" t="str">
        <f aca="false">_xlfn.XLOOKUP($E330,$A$5:$A$8,$H$5:$H$8,"")</f>
        <v>Every pay period (ongoing)</v>
      </c>
      <c r="M330" s="43" t="n">
        <f aca="false" t="array" ref="M330:M330">MAX(_xlfn.XLOOKUP($A330,TRIM(SUBSTITUTE('worker file'!$A$2:$A$406,_xlfn.UNICHAR(160)," ")),'worker file'!$M$2:$M$406,0),_xlfn.XLOOKUP($B330,TRIM('pay group &amp; schedule'!$A$2:$A$6),'pay group &amp; schedule'!$D$2:$D$6,0))</f>
        <v>46299</v>
      </c>
      <c r="N330" s="43" t="str">
        <f aca="false" t="array" ref="N330:N330">_xlfn.LET(_xlpm.t,_xlfn.XLOOKUP($A330,TRIM(SUBSTITUTE('worker file'!$A$2:$A$406,_xlfn.UNICHAR(160)," ")),'worker file'!$N$2:$N$406,""),IF(N(_xlpm.t)=0,"",_xlpm.t))</f>
        <v/>
      </c>
    </row>
    <row r="331" customFormat="false" ht="15" hidden="false" customHeight="false" outlineLevel="0" collapsed="false">
      <c r="A331" s="39" t="s">
        <v>212</v>
      </c>
      <c r="B331" s="40" t="str">
        <f aca="false" t="array" ref="B331:B331">_xlfn.XLOOKUP($A331,TRIM(SUBSTITUTE('worker file'!$A$2:$A$406,_xlfn.UNICHAR(160)," ")),'worker file'!$L$2:$L$406,"Not found")</f>
        <v>US Semi-monthly</v>
      </c>
      <c r="C331" s="40" t="str">
        <f aca="false" t="array" ref="C331:C331">_xlfn.XLOOKUP($A331,TRIM(SUBSTITUTE('worker file'!$A$2:$A$406,_xlfn.UNICHAR(160)," ")),'worker file'!$D$2:$D$406,"Not found")</f>
        <v>CA</v>
      </c>
      <c r="D331" s="40" t="str">
        <f aca="false" t="array" ref="D331:D331">_xlfn.XLOOKUP($A331,TRIM(SUBSTITUTE('worker file'!$A$2:$A$406,_xlfn.UNICHAR(160)," ")),'worker file'!$Q$2:$Q$406,"Not found")</f>
        <v>Active</v>
      </c>
      <c r="E331" s="39" t="s">
        <v>618</v>
      </c>
      <c r="F331" s="38" t="str">
        <f aca="false">_xlfn.XLOOKUP($E331,$A$5:$A$8,$B$5:$B$8,"")</f>
        <v>401(k) Employee Deferral</v>
      </c>
      <c r="G331" s="38" t="str">
        <f aca="false">_xlfn.XLOOKUP($E331,$A$5:$A$8,$D$5:$D$8,"")</f>
        <v>Pre-tax (exempt from FIT/SIT; subject to FICA)</v>
      </c>
      <c r="H331" s="38" t="str">
        <f aca="false">_xlfn.XLOOKUP($E331,$A$5:$A$8,$E$5:$E$8,"")</f>
        <v>Percent</v>
      </c>
      <c r="I331" s="41" t="n">
        <v>0.05</v>
      </c>
      <c r="J331" s="42" t="str">
        <f aca="false">IF($H331="Flat",_xlfn.XLOOKUP($E331,$A$5:$A$8,$F$5:$F$8,""),"")</f>
        <v/>
      </c>
      <c r="K331" s="38" t="str">
        <f aca="false">_xlfn.XLOOKUP($E331,$A$5:$A$8,$G$5:$G$8,"")</f>
        <v>Gross pay</v>
      </c>
      <c r="L331" s="38" t="str">
        <f aca="false">_xlfn.XLOOKUP($E331,$A$5:$A$8,$H$5:$H$8,"")</f>
        <v>Every pay period (ongoing)</v>
      </c>
      <c r="M331" s="43" t="n">
        <f aca="false" t="array" ref="M331:M331">MAX(_xlfn.XLOOKUP($A331,TRIM(SUBSTITUTE('worker file'!$A$2:$A$406,_xlfn.UNICHAR(160)," ")),'worker file'!$M$2:$M$406,0),_xlfn.XLOOKUP($B331,TRIM('pay group &amp; schedule'!$A$2:$A$6),'pay group &amp; schedule'!$D$2:$D$6,0))</f>
        <v>46311</v>
      </c>
      <c r="N331" s="43" t="str">
        <f aca="false" t="array" ref="N331:N331">_xlfn.LET(_xlpm.t,_xlfn.XLOOKUP($A331,TRIM(SUBSTITUTE('worker file'!$A$2:$A$406,_xlfn.UNICHAR(160)," ")),'worker file'!$N$2:$N$406,""),IF(N(_xlpm.t)=0,"",_xlpm.t))</f>
        <v/>
      </c>
    </row>
    <row r="332" customFormat="false" ht="15" hidden="false" customHeight="false" outlineLevel="0" collapsed="false">
      <c r="A332" s="39" t="s">
        <v>212</v>
      </c>
      <c r="B332" s="40" t="str">
        <f aca="false" t="array" ref="B332:B332">_xlfn.XLOOKUP($A332,TRIM(SUBSTITUTE('worker file'!$A$2:$A$406,_xlfn.UNICHAR(160)," ")),'worker file'!$L$2:$L$406,"Not found")</f>
        <v>US Semi-monthly</v>
      </c>
      <c r="C332" s="40" t="str">
        <f aca="false" t="array" ref="C332:C332">_xlfn.XLOOKUP($A332,TRIM(SUBSTITUTE('worker file'!$A$2:$A$406,_xlfn.UNICHAR(160)," ")),'worker file'!$D$2:$D$406,"Not found")</f>
        <v>CA</v>
      </c>
      <c r="D332" s="40" t="str">
        <f aca="false" t="array" ref="D332:D332">_xlfn.XLOOKUP($A332,TRIM(SUBSTITUTE('worker file'!$A$2:$A$406,_xlfn.UNICHAR(160)," ")),'worker file'!$Q$2:$Q$406,"Not found")</f>
        <v>Active</v>
      </c>
      <c r="E332" s="39" t="s">
        <v>626</v>
      </c>
      <c r="F332" s="38" t="str">
        <f aca="false">_xlfn.XLOOKUP($E332,$A$5:$A$8,$B$5:$B$8,"")</f>
        <v>Medical (Health) – Employee</v>
      </c>
      <c r="G332" s="38" t="str">
        <f aca="false">_xlfn.XLOOKUP($E332,$A$5:$A$8,$D$5:$D$8,"")</f>
        <v>Pre-tax Section 125 (exempt from FIT/SIT/FICA)</v>
      </c>
      <c r="H332" s="38" t="str">
        <f aca="false">_xlfn.XLOOKUP($E332,$A$5:$A$8,$E$5:$E$8,"")</f>
        <v>Flat</v>
      </c>
      <c r="I332" s="44" t="str">
        <f aca="false">IF($H332="Percent",_xlfn.XLOOKUP($E332,$A$5:$A$8,$F$5:$F$8,""),"")</f>
        <v/>
      </c>
      <c r="J332" s="42" t="n">
        <f aca="false">IF($H332="Flat",_xlfn.XLOOKUP($E332,$A$5:$A$8,$F$5:$F$8,""),"")</f>
        <v>200</v>
      </c>
      <c r="K332" s="38" t="str">
        <f aca="false">_xlfn.XLOOKUP($E332,$A$5:$A$8,$G$5:$G$8,"")</f>
        <v>Per pay period</v>
      </c>
      <c r="L332" s="38" t="str">
        <f aca="false">_xlfn.XLOOKUP($E332,$A$5:$A$8,$H$5:$H$8,"")</f>
        <v>Every pay period (ongoing)</v>
      </c>
      <c r="M332" s="43" t="n">
        <f aca="false" t="array" ref="M332:M332">MAX(_xlfn.XLOOKUP($A332,TRIM(SUBSTITUTE('worker file'!$A$2:$A$406,_xlfn.UNICHAR(160)," ")),'worker file'!$M$2:$M$406,0),_xlfn.XLOOKUP($B332,TRIM('pay group &amp; schedule'!$A$2:$A$6),'pay group &amp; schedule'!$D$2:$D$6,0))</f>
        <v>46311</v>
      </c>
      <c r="N332" s="43" t="str">
        <f aca="false" t="array" ref="N332:N332">_xlfn.LET(_xlpm.t,_xlfn.XLOOKUP($A332,TRIM(SUBSTITUTE('worker file'!$A$2:$A$406,_xlfn.UNICHAR(160)," ")),'worker file'!$N$2:$N$406,""),IF(N(_xlpm.t)=0,"",_xlpm.t))</f>
        <v/>
      </c>
    </row>
    <row r="333" customFormat="false" ht="15" hidden="false" customHeight="false" outlineLevel="0" collapsed="false">
      <c r="A333" s="39" t="s">
        <v>212</v>
      </c>
      <c r="B333" s="40" t="str">
        <f aca="false" t="array" ref="B333:B333">_xlfn.XLOOKUP($A333,TRIM(SUBSTITUTE('worker file'!$A$2:$A$406,_xlfn.UNICHAR(160)," ")),'worker file'!$L$2:$L$406,"Not found")</f>
        <v>US Semi-monthly</v>
      </c>
      <c r="C333" s="40" t="str">
        <f aca="false" t="array" ref="C333:C333">_xlfn.XLOOKUP($A333,TRIM(SUBSTITUTE('worker file'!$A$2:$A$406,_xlfn.UNICHAR(160)," ")),'worker file'!$D$2:$D$406,"Not found")</f>
        <v>CA</v>
      </c>
      <c r="D333" s="40" t="str">
        <f aca="false" t="array" ref="D333:D333">_xlfn.XLOOKUP($A333,TRIM(SUBSTITUTE('worker file'!$A$2:$A$406,_xlfn.UNICHAR(160)," ")),'worker file'!$Q$2:$Q$406,"Not found")</f>
        <v>Active</v>
      </c>
      <c r="E333" s="39" t="s">
        <v>632</v>
      </c>
      <c r="F333" s="38" t="str">
        <f aca="false">_xlfn.XLOOKUP($E333,$A$5:$A$8,$B$5:$B$8,"")</f>
        <v>Dental – Employee</v>
      </c>
      <c r="G333" s="38" t="str">
        <f aca="false">_xlfn.XLOOKUP($E333,$A$5:$A$8,$D$5:$D$8,"")</f>
        <v>Pre-tax Section 125 (exempt from FIT/SIT/FICA)</v>
      </c>
      <c r="H333" s="38" t="str">
        <f aca="false">_xlfn.XLOOKUP($E333,$A$5:$A$8,$E$5:$E$8,"")</f>
        <v>Flat</v>
      </c>
      <c r="I333" s="44" t="str">
        <f aca="false">IF($H333="Percent",_xlfn.XLOOKUP($E333,$A$5:$A$8,$F$5:$F$8,""),"")</f>
        <v/>
      </c>
      <c r="J333" s="42" t="n">
        <f aca="false">IF($H333="Flat",_xlfn.XLOOKUP($E333,$A$5:$A$8,$F$5:$F$8,""),"")</f>
        <v>44</v>
      </c>
      <c r="K333" s="38" t="str">
        <f aca="false">_xlfn.XLOOKUP($E333,$A$5:$A$8,$G$5:$G$8,"")</f>
        <v>Per pay period</v>
      </c>
      <c r="L333" s="38" t="str">
        <f aca="false">_xlfn.XLOOKUP($E333,$A$5:$A$8,$H$5:$H$8,"")</f>
        <v>Every pay period (ongoing)</v>
      </c>
      <c r="M333" s="43" t="n">
        <f aca="false" t="array" ref="M333:M333">MAX(_xlfn.XLOOKUP($A333,TRIM(SUBSTITUTE('worker file'!$A$2:$A$406,_xlfn.UNICHAR(160)," ")),'worker file'!$M$2:$M$406,0),_xlfn.XLOOKUP($B333,TRIM('pay group &amp; schedule'!$A$2:$A$6),'pay group &amp; schedule'!$D$2:$D$6,0))</f>
        <v>46311</v>
      </c>
      <c r="N333" s="43" t="str">
        <f aca="false" t="array" ref="N333:N333">_xlfn.LET(_xlpm.t,_xlfn.XLOOKUP($A333,TRIM(SUBSTITUTE('worker file'!$A$2:$A$406,_xlfn.UNICHAR(160)," ")),'worker file'!$N$2:$N$406,""),IF(N(_xlpm.t)=0,"",_xlpm.t))</f>
        <v/>
      </c>
    </row>
    <row r="334" customFormat="false" ht="15" hidden="false" customHeight="false" outlineLevel="0" collapsed="false">
      <c r="A334" s="39" t="s">
        <v>212</v>
      </c>
      <c r="B334" s="40" t="str">
        <f aca="false" t="array" ref="B334:B334">_xlfn.XLOOKUP($A334,TRIM(SUBSTITUTE('worker file'!$A$2:$A$406,_xlfn.UNICHAR(160)," ")),'worker file'!$L$2:$L$406,"Not found")</f>
        <v>US Semi-monthly</v>
      </c>
      <c r="C334" s="40" t="str">
        <f aca="false" t="array" ref="C334:C334">_xlfn.XLOOKUP($A334,TRIM(SUBSTITUTE('worker file'!$A$2:$A$406,_xlfn.UNICHAR(160)," ")),'worker file'!$D$2:$D$406,"Not found")</f>
        <v>CA</v>
      </c>
      <c r="D334" s="40" t="str">
        <f aca="false" t="array" ref="D334:D334">_xlfn.XLOOKUP($A334,TRIM(SUBSTITUTE('worker file'!$A$2:$A$406,_xlfn.UNICHAR(160)," ")),'worker file'!$Q$2:$Q$406,"Not found")</f>
        <v>Active</v>
      </c>
      <c r="E334" s="39" t="s">
        <v>634</v>
      </c>
      <c r="F334" s="38" t="str">
        <f aca="false">_xlfn.XLOOKUP($E334,$A$5:$A$8,$B$5:$B$8,"")</f>
        <v>Vision – Employee</v>
      </c>
      <c r="G334" s="38" t="str">
        <f aca="false">_xlfn.XLOOKUP($E334,$A$5:$A$8,$D$5:$D$8,"")</f>
        <v>Pre-tax Section 125 (exempt from FIT/SIT/FICA)</v>
      </c>
      <c r="H334" s="38" t="str">
        <f aca="false">_xlfn.XLOOKUP($E334,$A$5:$A$8,$E$5:$E$8,"")</f>
        <v>Flat</v>
      </c>
      <c r="I334" s="44" t="str">
        <f aca="false">IF($H334="Percent",_xlfn.XLOOKUP($E334,$A$5:$A$8,$F$5:$F$8,""),"")</f>
        <v/>
      </c>
      <c r="J334" s="42" t="n">
        <f aca="false">IF($H334="Flat",_xlfn.XLOOKUP($E334,$A$5:$A$8,$F$5:$F$8,""),"")</f>
        <v>30</v>
      </c>
      <c r="K334" s="38" t="str">
        <f aca="false">_xlfn.XLOOKUP($E334,$A$5:$A$8,$G$5:$G$8,"")</f>
        <v>Per pay period</v>
      </c>
      <c r="L334" s="38" t="str">
        <f aca="false">_xlfn.XLOOKUP($E334,$A$5:$A$8,$H$5:$H$8,"")</f>
        <v>Every pay period (ongoing)</v>
      </c>
      <c r="M334" s="43" t="n">
        <f aca="false" t="array" ref="M334:M334">MAX(_xlfn.XLOOKUP($A334,TRIM(SUBSTITUTE('worker file'!$A$2:$A$406,_xlfn.UNICHAR(160)," ")),'worker file'!$M$2:$M$406,0),_xlfn.XLOOKUP($B334,TRIM('pay group &amp; schedule'!$A$2:$A$6),'pay group &amp; schedule'!$D$2:$D$6,0))</f>
        <v>46311</v>
      </c>
      <c r="N334" s="43" t="str">
        <f aca="false" t="array" ref="N334:N334">_xlfn.LET(_xlpm.t,_xlfn.XLOOKUP($A334,TRIM(SUBSTITUTE('worker file'!$A$2:$A$406,_xlfn.UNICHAR(160)," ")),'worker file'!$N$2:$N$406,""),IF(N(_xlpm.t)=0,"",_xlpm.t))</f>
        <v/>
      </c>
    </row>
    <row r="335" customFormat="false" ht="15" hidden="false" customHeight="false" outlineLevel="0" collapsed="false">
      <c r="A335" s="39" t="s">
        <v>213</v>
      </c>
      <c r="B335" s="40" t="str">
        <f aca="false" t="array" ref="B335:B335">_xlfn.XLOOKUP($A335,TRIM(SUBSTITUTE('worker file'!$A$2:$A$406,_xlfn.UNICHAR(160)," ")),'worker file'!$L$2:$L$406,"Not found")</f>
        <v>US Semi-monthly</v>
      </c>
      <c r="C335" s="40" t="str">
        <f aca="false" t="array" ref="C335:C335">_xlfn.XLOOKUP($A335,TRIM(SUBSTITUTE('worker file'!$A$2:$A$406,_xlfn.UNICHAR(160)," ")),'worker file'!$D$2:$D$406,"Not found")</f>
        <v>CA</v>
      </c>
      <c r="D335" s="40" t="str">
        <f aca="false" t="array" ref="D335:D335">_xlfn.XLOOKUP($A335,TRIM(SUBSTITUTE('worker file'!$A$2:$A$406,_xlfn.UNICHAR(160)," ")),'worker file'!$Q$2:$Q$406,"Not found")</f>
        <v>Active</v>
      </c>
      <c r="E335" s="39" t="s">
        <v>618</v>
      </c>
      <c r="F335" s="38" t="str">
        <f aca="false">_xlfn.XLOOKUP($E335,$A$5:$A$8,$B$5:$B$8,"")</f>
        <v>401(k) Employee Deferral</v>
      </c>
      <c r="G335" s="38" t="str">
        <f aca="false">_xlfn.XLOOKUP($E335,$A$5:$A$8,$D$5:$D$8,"")</f>
        <v>Pre-tax (exempt from FIT/SIT; subject to FICA)</v>
      </c>
      <c r="H335" s="38" t="str">
        <f aca="false">_xlfn.XLOOKUP($E335,$A$5:$A$8,$E$5:$E$8,"")</f>
        <v>Percent</v>
      </c>
      <c r="I335" s="41" t="n">
        <v>0.02</v>
      </c>
      <c r="J335" s="42" t="str">
        <f aca="false">IF($H335="Flat",_xlfn.XLOOKUP($E335,$A$5:$A$8,$F$5:$F$8,""),"")</f>
        <v/>
      </c>
      <c r="K335" s="38" t="str">
        <f aca="false">_xlfn.XLOOKUP($E335,$A$5:$A$8,$G$5:$G$8,"")</f>
        <v>Gross pay</v>
      </c>
      <c r="L335" s="38" t="str">
        <f aca="false">_xlfn.XLOOKUP($E335,$A$5:$A$8,$H$5:$H$8,"")</f>
        <v>Every pay period (ongoing)</v>
      </c>
      <c r="M335" s="43" t="n">
        <f aca="false" t="array" ref="M335:M335">MAX(_xlfn.XLOOKUP($A335,TRIM(SUBSTITUTE('worker file'!$A$2:$A$406,_xlfn.UNICHAR(160)," ")),'worker file'!$M$2:$M$406,0),_xlfn.XLOOKUP($B335,TRIM('pay group &amp; schedule'!$A$2:$A$6),'pay group &amp; schedule'!$D$2:$D$6,0))</f>
        <v>46311</v>
      </c>
      <c r="N335" s="43" t="str">
        <f aca="false" t="array" ref="N335:N335">_xlfn.LET(_xlpm.t,_xlfn.XLOOKUP($A335,TRIM(SUBSTITUTE('worker file'!$A$2:$A$406,_xlfn.UNICHAR(160)," ")),'worker file'!$N$2:$N$406,""),IF(N(_xlpm.t)=0,"",_xlpm.t))</f>
        <v/>
      </c>
    </row>
    <row r="336" customFormat="false" ht="15" hidden="false" customHeight="false" outlineLevel="0" collapsed="false">
      <c r="A336" s="39" t="s">
        <v>213</v>
      </c>
      <c r="B336" s="40" t="str">
        <f aca="false" t="array" ref="B336:B336">_xlfn.XLOOKUP($A336,TRIM(SUBSTITUTE('worker file'!$A$2:$A$406,_xlfn.UNICHAR(160)," ")),'worker file'!$L$2:$L$406,"Not found")</f>
        <v>US Semi-monthly</v>
      </c>
      <c r="C336" s="40" t="str">
        <f aca="false" t="array" ref="C336:C336">_xlfn.XLOOKUP($A336,TRIM(SUBSTITUTE('worker file'!$A$2:$A$406,_xlfn.UNICHAR(160)," ")),'worker file'!$D$2:$D$406,"Not found")</f>
        <v>CA</v>
      </c>
      <c r="D336" s="40" t="str">
        <f aca="false" t="array" ref="D336:D336">_xlfn.XLOOKUP($A336,TRIM(SUBSTITUTE('worker file'!$A$2:$A$406,_xlfn.UNICHAR(160)," ")),'worker file'!$Q$2:$Q$406,"Not found")</f>
        <v>Active</v>
      </c>
      <c r="E336" s="39" t="s">
        <v>626</v>
      </c>
      <c r="F336" s="38" t="str">
        <f aca="false">_xlfn.XLOOKUP($E336,$A$5:$A$8,$B$5:$B$8,"")</f>
        <v>Medical (Health) – Employee</v>
      </c>
      <c r="G336" s="38" t="str">
        <f aca="false">_xlfn.XLOOKUP($E336,$A$5:$A$8,$D$5:$D$8,"")</f>
        <v>Pre-tax Section 125 (exempt from FIT/SIT/FICA)</v>
      </c>
      <c r="H336" s="38" t="str">
        <f aca="false">_xlfn.XLOOKUP($E336,$A$5:$A$8,$E$5:$E$8,"")</f>
        <v>Flat</v>
      </c>
      <c r="I336" s="44" t="str">
        <f aca="false">IF($H336="Percent",_xlfn.XLOOKUP($E336,$A$5:$A$8,$F$5:$F$8,""),"")</f>
        <v/>
      </c>
      <c r="J336" s="42" t="n">
        <f aca="false">IF($H336="Flat",_xlfn.XLOOKUP($E336,$A$5:$A$8,$F$5:$F$8,""),"")</f>
        <v>200</v>
      </c>
      <c r="K336" s="38" t="str">
        <f aca="false">_xlfn.XLOOKUP($E336,$A$5:$A$8,$G$5:$G$8,"")</f>
        <v>Per pay period</v>
      </c>
      <c r="L336" s="38" t="str">
        <f aca="false">_xlfn.XLOOKUP($E336,$A$5:$A$8,$H$5:$H$8,"")</f>
        <v>Every pay period (ongoing)</v>
      </c>
      <c r="M336" s="43" t="n">
        <f aca="false" t="array" ref="M336:M336">MAX(_xlfn.XLOOKUP($A336,TRIM(SUBSTITUTE('worker file'!$A$2:$A$406,_xlfn.UNICHAR(160)," ")),'worker file'!$M$2:$M$406,0),_xlfn.XLOOKUP($B336,TRIM('pay group &amp; schedule'!$A$2:$A$6),'pay group &amp; schedule'!$D$2:$D$6,0))</f>
        <v>46311</v>
      </c>
      <c r="N336" s="43" t="str">
        <f aca="false" t="array" ref="N336:N336">_xlfn.LET(_xlpm.t,_xlfn.XLOOKUP($A336,TRIM(SUBSTITUTE('worker file'!$A$2:$A$406,_xlfn.UNICHAR(160)," ")),'worker file'!$N$2:$N$406,""),IF(N(_xlpm.t)=0,"",_xlpm.t))</f>
        <v/>
      </c>
    </row>
    <row r="337" customFormat="false" ht="15" hidden="false" customHeight="false" outlineLevel="0" collapsed="false">
      <c r="A337" s="39" t="s">
        <v>213</v>
      </c>
      <c r="B337" s="40" t="str">
        <f aca="false" t="array" ref="B337:B337">_xlfn.XLOOKUP($A337,TRIM(SUBSTITUTE('worker file'!$A$2:$A$406,_xlfn.UNICHAR(160)," ")),'worker file'!$L$2:$L$406,"Not found")</f>
        <v>US Semi-monthly</v>
      </c>
      <c r="C337" s="40" t="str">
        <f aca="false" t="array" ref="C337:C337">_xlfn.XLOOKUP($A337,TRIM(SUBSTITUTE('worker file'!$A$2:$A$406,_xlfn.UNICHAR(160)," ")),'worker file'!$D$2:$D$406,"Not found")</f>
        <v>CA</v>
      </c>
      <c r="D337" s="40" t="str">
        <f aca="false" t="array" ref="D337:D337">_xlfn.XLOOKUP($A337,TRIM(SUBSTITUTE('worker file'!$A$2:$A$406,_xlfn.UNICHAR(160)," ")),'worker file'!$Q$2:$Q$406,"Not found")</f>
        <v>Active</v>
      </c>
      <c r="E337" s="39" t="s">
        <v>632</v>
      </c>
      <c r="F337" s="38" t="str">
        <f aca="false">_xlfn.XLOOKUP($E337,$A$5:$A$8,$B$5:$B$8,"")</f>
        <v>Dental – Employee</v>
      </c>
      <c r="G337" s="38" t="str">
        <f aca="false">_xlfn.XLOOKUP($E337,$A$5:$A$8,$D$5:$D$8,"")</f>
        <v>Pre-tax Section 125 (exempt from FIT/SIT/FICA)</v>
      </c>
      <c r="H337" s="38" t="str">
        <f aca="false">_xlfn.XLOOKUP($E337,$A$5:$A$8,$E$5:$E$8,"")</f>
        <v>Flat</v>
      </c>
      <c r="I337" s="44" t="str">
        <f aca="false">IF($H337="Percent",_xlfn.XLOOKUP($E337,$A$5:$A$8,$F$5:$F$8,""),"")</f>
        <v/>
      </c>
      <c r="J337" s="42" t="n">
        <f aca="false">IF($H337="Flat",_xlfn.XLOOKUP($E337,$A$5:$A$8,$F$5:$F$8,""),"")</f>
        <v>44</v>
      </c>
      <c r="K337" s="38" t="str">
        <f aca="false">_xlfn.XLOOKUP($E337,$A$5:$A$8,$G$5:$G$8,"")</f>
        <v>Per pay period</v>
      </c>
      <c r="L337" s="38" t="str">
        <f aca="false">_xlfn.XLOOKUP($E337,$A$5:$A$8,$H$5:$H$8,"")</f>
        <v>Every pay period (ongoing)</v>
      </c>
      <c r="M337" s="43" t="n">
        <f aca="false" t="array" ref="M337:M337">MAX(_xlfn.XLOOKUP($A337,TRIM(SUBSTITUTE('worker file'!$A$2:$A$406,_xlfn.UNICHAR(160)," ")),'worker file'!$M$2:$M$406,0),_xlfn.XLOOKUP($B337,TRIM('pay group &amp; schedule'!$A$2:$A$6),'pay group &amp; schedule'!$D$2:$D$6,0))</f>
        <v>46311</v>
      </c>
      <c r="N337" s="43" t="str">
        <f aca="false" t="array" ref="N337:N337">_xlfn.LET(_xlpm.t,_xlfn.XLOOKUP($A337,TRIM(SUBSTITUTE('worker file'!$A$2:$A$406,_xlfn.UNICHAR(160)," ")),'worker file'!$N$2:$N$406,""),IF(N(_xlpm.t)=0,"",_xlpm.t))</f>
        <v/>
      </c>
    </row>
    <row r="338" customFormat="false" ht="15" hidden="false" customHeight="false" outlineLevel="0" collapsed="false">
      <c r="A338" s="39" t="s">
        <v>213</v>
      </c>
      <c r="B338" s="40" t="str">
        <f aca="false" t="array" ref="B338:B338">_xlfn.XLOOKUP($A338,TRIM(SUBSTITUTE('worker file'!$A$2:$A$406,_xlfn.UNICHAR(160)," ")),'worker file'!$L$2:$L$406,"Not found")</f>
        <v>US Semi-monthly</v>
      </c>
      <c r="C338" s="40" t="str">
        <f aca="false" t="array" ref="C338:C338">_xlfn.XLOOKUP($A338,TRIM(SUBSTITUTE('worker file'!$A$2:$A$406,_xlfn.UNICHAR(160)," ")),'worker file'!$D$2:$D$406,"Not found")</f>
        <v>CA</v>
      </c>
      <c r="D338" s="40" t="str">
        <f aca="false" t="array" ref="D338:D338">_xlfn.XLOOKUP($A338,TRIM(SUBSTITUTE('worker file'!$A$2:$A$406,_xlfn.UNICHAR(160)," ")),'worker file'!$Q$2:$Q$406,"Not found")</f>
        <v>Active</v>
      </c>
      <c r="E338" s="39" t="s">
        <v>634</v>
      </c>
      <c r="F338" s="38" t="str">
        <f aca="false">_xlfn.XLOOKUP($E338,$A$5:$A$8,$B$5:$B$8,"")</f>
        <v>Vision – Employee</v>
      </c>
      <c r="G338" s="38" t="str">
        <f aca="false">_xlfn.XLOOKUP($E338,$A$5:$A$8,$D$5:$D$8,"")</f>
        <v>Pre-tax Section 125 (exempt from FIT/SIT/FICA)</v>
      </c>
      <c r="H338" s="38" t="str">
        <f aca="false">_xlfn.XLOOKUP($E338,$A$5:$A$8,$E$5:$E$8,"")</f>
        <v>Flat</v>
      </c>
      <c r="I338" s="44" t="str">
        <f aca="false">IF($H338="Percent",_xlfn.XLOOKUP($E338,$A$5:$A$8,$F$5:$F$8,""),"")</f>
        <v/>
      </c>
      <c r="J338" s="42" t="n">
        <f aca="false">IF($H338="Flat",_xlfn.XLOOKUP($E338,$A$5:$A$8,$F$5:$F$8,""),"")</f>
        <v>30</v>
      </c>
      <c r="K338" s="38" t="str">
        <f aca="false">_xlfn.XLOOKUP($E338,$A$5:$A$8,$G$5:$G$8,"")</f>
        <v>Per pay period</v>
      </c>
      <c r="L338" s="38" t="str">
        <f aca="false">_xlfn.XLOOKUP($E338,$A$5:$A$8,$H$5:$H$8,"")</f>
        <v>Every pay period (ongoing)</v>
      </c>
      <c r="M338" s="43" t="n">
        <f aca="false" t="array" ref="M338:M338">MAX(_xlfn.XLOOKUP($A338,TRIM(SUBSTITUTE('worker file'!$A$2:$A$406,_xlfn.UNICHAR(160)," ")),'worker file'!$M$2:$M$406,0),_xlfn.XLOOKUP($B338,TRIM('pay group &amp; schedule'!$A$2:$A$6),'pay group &amp; schedule'!$D$2:$D$6,0))</f>
        <v>46311</v>
      </c>
      <c r="N338" s="43" t="str">
        <f aca="false" t="array" ref="N338:N338">_xlfn.LET(_xlpm.t,_xlfn.XLOOKUP($A338,TRIM(SUBSTITUTE('worker file'!$A$2:$A$406,_xlfn.UNICHAR(160)," ")),'worker file'!$N$2:$N$406,""),IF(N(_xlpm.t)=0,"",_xlpm.t))</f>
        <v/>
      </c>
    </row>
    <row r="339" customFormat="false" ht="15" hidden="false" customHeight="false" outlineLevel="0" collapsed="false">
      <c r="A339" s="39" t="s">
        <v>215</v>
      </c>
      <c r="B339" s="40" t="str">
        <f aca="false" t="array" ref="B339:B339">_xlfn.XLOOKUP($A339,TRIM(SUBSTITUTE('worker file'!$A$2:$A$406,_xlfn.UNICHAR(160)," ")),'worker file'!$L$2:$L$406,"Not found")</f>
        <v>US Semi-monthly</v>
      </c>
      <c r="C339" s="40" t="str">
        <f aca="false" t="array" ref="C339:C339">_xlfn.XLOOKUP($A339,TRIM(SUBSTITUTE('worker file'!$A$2:$A$406,_xlfn.UNICHAR(160)," ")),'worker file'!$D$2:$D$406,"Not found")</f>
        <v>IL</v>
      </c>
      <c r="D339" s="40" t="str">
        <f aca="false" t="array" ref="D339:D339">_xlfn.XLOOKUP($A339,TRIM(SUBSTITUTE('worker file'!$A$2:$A$406,_xlfn.UNICHAR(160)," ")),'worker file'!$Q$2:$Q$406,"Not found")</f>
        <v>Active</v>
      </c>
      <c r="E339" s="39" t="s">
        <v>618</v>
      </c>
      <c r="F339" s="38" t="str">
        <f aca="false">_xlfn.XLOOKUP($E339,$A$5:$A$8,$B$5:$B$8,"")</f>
        <v>401(k) Employee Deferral</v>
      </c>
      <c r="G339" s="38" t="str">
        <f aca="false">_xlfn.XLOOKUP($E339,$A$5:$A$8,$D$5:$D$8,"")</f>
        <v>Pre-tax (exempt from FIT/SIT; subject to FICA)</v>
      </c>
      <c r="H339" s="38" t="str">
        <f aca="false">_xlfn.XLOOKUP($E339,$A$5:$A$8,$E$5:$E$8,"")</f>
        <v>Percent</v>
      </c>
      <c r="I339" s="41" t="n">
        <v>0.07</v>
      </c>
      <c r="J339" s="42" t="str">
        <f aca="false">IF($H339="Flat",_xlfn.XLOOKUP($E339,$A$5:$A$8,$F$5:$F$8,""),"")</f>
        <v/>
      </c>
      <c r="K339" s="38" t="str">
        <f aca="false">_xlfn.XLOOKUP($E339,$A$5:$A$8,$G$5:$G$8,"")</f>
        <v>Gross pay</v>
      </c>
      <c r="L339" s="38" t="str">
        <f aca="false">_xlfn.XLOOKUP($E339,$A$5:$A$8,$H$5:$H$8,"")</f>
        <v>Every pay period (ongoing)</v>
      </c>
      <c r="M339" s="43" t="n">
        <f aca="false" t="array" ref="M339:M339">MAX(_xlfn.XLOOKUP($A339,TRIM(SUBSTITUTE('worker file'!$A$2:$A$406,_xlfn.UNICHAR(160)," ")),'worker file'!$M$2:$M$406,0),_xlfn.XLOOKUP($B339,TRIM('pay group &amp; schedule'!$A$2:$A$6),'pay group &amp; schedule'!$D$2:$D$6,0))</f>
        <v>46311</v>
      </c>
      <c r="N339" s="43" t="str">
        <f aca="false" t="array" ref="N339:N339">_xlfn.LET(_xlpm.t,_xlfn.XLOOKUP($A339,TRIM(SUBSTITUTE('worker file'!$A$2:$A$406,_xlfn.UNICHAR(160)," ")),'worker file'!$N$2:$N$406,""),IF(N(_xlpm.t)=0,"",_xlpm.t))</f>
        <v/>
      </c>
    </row>
    <row r="340" customFormat="false" ht="15" hidden="false" customHeight="false" outlineLevel="0" collapsed="false">
      <c r="A340" s="39" t="s">
        <v>215</v>
      </c>
      <c r="B340" s="40" t="str">
        <f aca="false" t="array" ref="B340:B340">_xlfn.XLOOKUP($A340,TRIM(SUBSTITUTE('worker file'!$A$2:$A$406,_xlfn.UNICHAR(160)," ")),'worker file'!$L$2:$L$406,"Not found")</f>
        <v>US Semi-monthly</v>
      </c>
      <c r="C340" s="40" t="str">
        <f aca="false" t="array" ref="C340:C340">_xlfn.XLOOKUP($A340,TRIM(SUBSTITUTE('worker file'!$A$2:$A$406,_xlfn.UNICHAR(160)," ")),'worker file'!$D$2:$D$406,"Not found")</f>
        <v>IL</v>
      </c>
      <c r="D340" s="40" t="str">
        <f aca="false" t="array" ref="D340:D340">_xlfn.XLOOKUP($A340,TRIM(SUBSTITUTE('worker file'!$A$2:$A$406,_xlfn.UNICHAR(160)," ")),'worker file'!$Q$2:$Q$406,"Not found")</f>
        <v>Active</v>
      </c>
      <c r="E340" s="39" t="s">
        <v>626</v>
      </c>
      <c r="F340" s="38" t="str">
        <f aca="false">_xlfn.XLOOKUP($E340,$A$5:$A$8,$B$5:$B$8,"")</f>
        <v>Medical (Health) – Employee</v>
      </c>
      <c r="G340" s="38" t="str">
        <f aca="false">_xlfn.XLOOKUP($E340,$A$5:$A$8,$D$5:$D$8,"")</f>
        <v>Pre-tax Section 125 (exempt from FIT/SIT/FICA)</v>
      </c>
      <c r="H340" s="38" t="str">
        <f aca="false">_xlfn.XLOOKUP($E340,$A$5:$A$8,$E$5:$E$8,"")</f>
        <v>Flat</v>
      </c>
      <c r="I340" s="44" t="str">
        <f aca="false">IF($H340="Percent",_xlfn.XLOOKUP($E340,$A$5:$A$8,$F$5:$F$8,""),"")</f>
        <v/>
      </c>
      <c r="J340" s="42" t="n">
        <f aca="false">IF($H340="Flat",_xlfn.XLOOKUP($E340,$A$5:$A$8,$F$5:$F$8,""),"")</f>
        <v>200</v>
      </c>
      <c r="K340" s="38" t="str">
        <f aca="false">_xlfn.XLOOKUP($E340,$A$5:$A$8,$G$5:$G$8,"")</f>
        <v>Per pay period</v>
      </c>
      <c r="L340" s="38" t="str">
        <f aca="false">_xlfn.XLOOKUP($E340,$A$5:$A$8,$H$5:$H$8,"")</f>
        <v>Every pay period (ongoing)</v>
      </c>
      <c r="M340" s="43" t="n">
        <f aca="false" t="array" ref="M340:M340">MAX(_xlfn.XLOOKUP($A340,TRIM(SUBSTITUTE('worker file'!$A$2:$A$406,_xlfn.UNICHAR(160)," ")),'worker file'!$M$2:$M$406,0),_xlfn.XLOOKUP($B340,TRIM('pay group &amp; schedule'!$A$2:$A$6),'pay group &amp; schedule'!$D$2:$D$6,0))</f>
        <v>46311</v>
      </c>
      <c r="N340" s="43" t="str">
        <f aca="false" t="array" ref="N340:N340">_xlfn.LET(_xlpm.t,_xlfn.XLOOKUP($A340,TRIM(SUBSTITUTE('worker file'!$A$2:$A$406,_xlfn.UNICHAR(160)," ")),'worker file'!$N$2:$N$406,""),IF(N(_xlpm.t)=0,"",_xlpm.t))</f>
        <v/>
      </c>
    </row>
    <row r="341" customFormat="false" ht="15" hidden="false" customHeight="false" outlineLevel="0" collapsed="false">
      <c r="A341" s="39" t="s">
        <v>215</v>
      </c>
      <c r="B341" s="40" t="str">
        <f aca="false" t="array" ref="B341:B341">_xlfn.XLOOKUP($A341,TRIM(SUBSTITUTE('worker file'!$A$2:$A$406,_xlfn.UNICHAR(160)," ")),'worker file'!$L$2:$L$406,"Not found")</f>
        <v>US Semi-monthly</v>
      </c>
      <c r="C341" s="40" t="str">
        <f aca="false" t="array" ref="C341:C341">_xlfn.XLOOKUP($A341,TRIM(SUBSTITUTE('worker file'!$A$2:$A$406,_xlfn.UNICHAR(160)," ")),'worker file'!$D$2:$D$406,"Not found")</f>
        <v>IL</v>
      </c>
      <c r="D341" s="40" t="str">
        <f aca="false" t="array" ref="D341:D341">_xlfn.XLOOKUP($A341,TRIM(SUBSTITUTE('worker file'!$A$2:$A$406,_xlfn.UNICHAR(160)," ")),'worker file'!$Q$2:$Q$406,"Not found")</f>
        <v>Active</v>
      </c>
      <c r="E341" s="39" t="s">
        <v>632</v>
      </c>
      <c r="F341" s="38" t="str">
        <f aca="false">_xlfn.XLOOKUP($E341,$A$5:$A$8,$B$5:$B$8,"")</f>
        <v>Dental – Employee</v>
      </c>
      <c r="G341" s="38" t="str">
        <f aca="false">_xlfn.XLOOKUP($E341,$A$5:$A$8,$D$5:$D$8,"")</f>
        <v>Pre-tax Section 125 (exempt from FIT/SIT/FICA)</v>
      </c>
      <c r="H341" s="38" t="str">
        <f aca="false">_xlfn.XLOOKUP($E341,$A$5:$A$8,$E$5:$E$8,"")</f>
        <v>Flat</v>
      </c>
      <c r="I341" s="44" t="str">
        <f aca="false">IF($H341="Percent",_xlfn.XLOOKUP($E341,$A$5:$A$8,$F$5:$F$8,""),"")</f>
        <v/>
      </c>
      <c r="J341" s="42" t="n">
        <f aca="false">IF($H341="Flat",_xlfn.XLOOKUP($E341,$A$5:$A$8,$F$5:$F$8,""),"")</f>
        <v>44</v>
      </c>
      <c r="K341" s="38" t="str">
        <f aca="false">_xlfn.XLOOKUP($E341,$A$5:$A$8,$G$5:$G$8,"")</f>
        <v>Per pay period</v>
      </c>
      <c r="L341" s="38" t="str">
        <f aca="false">_xlfn.XLOOKUP($E341,$A$5:$A$8,$H$5:$H$8,"")</f>
        <v>Every pay period (ongoing)</v>
      </c>
      <c r="M341" s="43" t="n">
        <f aca="false" t="array" ref="M341:M341">MAX(_xlfn.XLOOKUP($A341,TRIM(SUBSTITUTE('worker file'!$A$2:$A$406,_xlfn.UNICHAR(160)," ")),'worker file'!$M$2:$M$406,0),_xlfn.XLOOKUP($B341,TRIM('pay group &amp; schedule'!$A$2:$A$6),'pay group &amp; schedule'!$D$2:$D$6,0))</f>
        <v>46311</v>
      </c>
      <c r="N341" s="43" t="str">
        <f aca="false" t="array" ref="N341:N341">_xlfn.LET(_xlpm.t,_xlfn.XLOOKUP($A341,TRIM(SUBSTITUTE('worker file'!$A$2:$A$406,_xlfn.UNICHAR(160)," ")),'worker file'!$N$2:$N$406,""),IF(N(_xlpm.t)=0,"",_xlpm.t))</f>
        <v/>
      </c>
    </row>
    <row r="342" customFormat="false" ht="15" hidden="false" customHeight="false" outlineLevel="0" collapsed="false">
      <c r="A342" s="39" t="s">
        <v>215</v>
      </c>
      <c r="B342" s="40" t="str">
        <f aca="false" t="array" ref="B342:B342">_xlfn.XLOOKUP($A342,TRIM(SUBSTITUTE('worker file'!$A$2:$A$406,_xlfn.UNICHAR(160)," ")),'worker file'!$L$2:$L$406,"Not found")</f>
        <v>US Semi-monthly</v>
      </c>
      <c r="C342" s="40" t="str">
        <f aca="false" t="array" ref="C342:C342">_xlfn.XLOOKUP($A342,TRIM(SUBSTITUTE('worker file'!$A$2:$A$406,_xlfn.UNICHAR(160)," ")),'worker file'!$D$2:$D$406,"Not found")</f>
        <v>IL</v>
      </c>
      <c r="D342" s="40" t="str">
        <f aca="false" t="array" ref="D342:D342">_xlfn.XLOOKUP($A342,TRIM(SUBSTITUTE('worker file'!$A$2:$A$406,_xlfn.UNICHAR(160)," ")),'worker file'!$Q$2:$Q$406,"Not found")</f>
        <v>Active</v>
      </c>
      <c r="E342" s="39" t="s">
        <v>634</v>
      </c>
      <c r="F342" s="38" t="str">
        <f aca="false">_xlfn.XLOOKUP($E342,$A$5:$A$8,$B$5:$B$8,"")</f>
        <v>Vision – Employee</v>
      </c>
      <c r="G342" s="38" t="str">
        <f aca="false">_xlfn.XLOOKUP($E342,$A$5:$A$8,$D$5:$D$8,"")</f>
        <v>Pre-tax Section 125 (exempt from FIT/SIT/FICA)</v>
      </c>
      <c r="H342" s="38" t="str">
        <f aca="false">_xlfn.XLOOKUP($E342,$A$5:$A$8,$E$5:$E$8,"")</f>
        <v>Flat</v>
      </c>
      <c r="I342" s="44" t="str">
        <f aca="false">IF($H342="Percent",_xlfn.XLOOKUP($E342,$A$5:$A$8,$F$5:$F$8,""),"")</f>
        <v/>
      </c>
      <c r="J342" s="42" t="n">
        <f aca="false">IF($H342="Flat",_xlfn.XLOOKUP($E342,$A$5:$A$8,$F$5:$F$8,""),"")</f>
        <v>30</v>
      </c>
      <c r="K342" s="38" t="str">
        <f aca="false">_xlfn.XLOOKUP($E342,$A$5:$A$8,$G$5:$G$8,"")</f>
        <v>Per pay period</v>
      </c>
      <c r="L342" s="38" t="str">
        <f aca="false">_xlfn.XLOOKUP($E342,$A$5:$A$8,$H$5:$H$8,"")</f>
        <v>Every pay period (ongoing)</v>
      </c>
      <c r="M342" s="43" t="n">
        <f aca="false" t="array" ref="M342:M342">MAX(_xlfn.XLOOKUP($A342,TRIM(SUBSTITUTE('worker file'!$A$2:$A$406,_xlfn.UNICHAR(160)," ")),'worker file'!$M$2:$M$406,0),_xlfn.XLOOKUP($B342,TRIM('pay group &amp; schedule'!$A$2:$A$6),'pay group &amp; schedule'!$D$2:$D$6,0))</f>
        <v>46311</v>
      </c>
      <c r="N342" s="43" t="str">
        <f aca="false" t="array" ref="N342:N342">_xlfn.LET(_xlpm.t,_xlfn.XLOOKUP($A342,TRIM(SUBSTITUTE('worker file'!$A$2:$A$406,_xlfn.UNICHAR(160)," ")),'worker file'!$N$2:$N$406,""),IF(N(_xlpm.t)=0,"",_xlpm.t))</f>
        <v/>
      </c>
    </row>
    <row r="343" customFormat="false" ht="15" hidden="false" customHeight="false" outlineLevel="0" collapsed="false">
      <c r="A343" s="39" t="s">
        <v>216</v>
      </c>
      <c r="B343" s="40" t="str">
        <f aca="false" t="array" ref="B343:B343">_xlfn.XLOOKUP($A343,TRIM(SUBSTITUTE('worker file'!$A$2:$A$406,_xlfn.UNICHAR(160)," ")),'worker file'!$L$2:$L$406,"Not found")</f>
        <v>US Semi-monthly</v>
      </c>
      <c r="C343" s="40" t="str">
        <f aca="false" t="array" ref="C343:C343">_xlfn.XLOOKUP($A343,TRIM(SUBSTITUTE('worker file'!$A$2:$A$406,_xlfn.UNICHAR(160)," ")),'worker file'!$D$2:$D$406,"Not found")</f>
        <v>WA</v>
      </c>
      <c r="D343" s="40" t="str">
        <f aca="false" t="array" ref="D343:D343">_xlfn.XLOOKUP($A343,TRIM(SUBSTITUTE('worker file'!$A$2:$A$406,_xlfn.UNICHAR(160)," ")),'worker file'!$Q$2:$Q$406,"Not found")</f>
        <v>Active</v>
      </c>
      <c r="E343" s="39" t="s">
        <v>618</v>
      </c>
      <c r="F343" s="38" t="str">
        <f aca="false">_xlfn.XLOOKUP($E343,$A$5:$A$8,$B$5:$B$8,"")</f>
        <v>401(k) Employee Deferral</v>
      </c>
      <c r="G343" s="38" t="str">
        <f aca="false">_xlfn.XLOOKUP($E343,$A$5:$A$8,$D$5:$D$8,"")</f>
        <v>Pre-tax (exempt from FIT/SIT; subject to FICA)</v>
      </c>
      <c r="H343" s="38" t="str">
        <f aca="false">_xlfn.XLOOKUP($E343,$A$5:$A$8,$E$5:$E$8,"")</f>
        <v>Percent</v>
      </c>
      <c r="I343" s="41" t="n">
        <v>0.04</v>
      </c>
      <c r="J343" s="42" t="str">
        <f aca="false">IF($H343="Flat",_xlfn.XLOOKUP($E343,$A$5:$A$8,$F$5:$F$8,""),"")</f>
        <v/>
      </c>
      <c r="K343" s="38" t="str">
        <f aca="false">_xlfn.XLOOKUP($E343,$A$5:$A$8,$G$5:$G$8,"")</f>
        <v>Gross pay</v>
      </c>
      <c r="L343" s="38" t="str">
        <f aca="false">_xlfn.XLOOKUP($E343,$A$5:$A$8,$H$5:$H$8,"")</f>
        <v>Every pay period (ongoing)</v>
      </c>
      <c r="M343" s="43" t="n">
        <f aca="false" t="array" ref="M343:M343">MAX(_xlfn.XLOOKUP($A343,TRIM(SUBSTITUTE('worker file'!$A$2:$A$406,_xlfn.UNICHAR(160)," ")),'worker file'!$M$2:$M$406,0),_xlfn.XLOOKUP($B343,TRIM('pay group &amp; schedule'!$A$2:$A$6),'pay group &amp; schedule'!$D$2:$D$6,0))</f>
        <v>46311</v>
      </c>
      <c r="N343" s="43" t="str">
        <f aca="false" t="array" ref="N343:N343">_xlfn.LET(_xlpm.t,_xlfn.XLOOKUP($A343,TRIM(SUBSTITUTE('worker file'!$A$2:$A$406,_xlfn.UNICHAR(160)," ")),'worker file'!$N$2:$N$406,""),IF(N(_xlpm.t)=0,"",_xlpm.t))</f>
        <v/>
      </c>
    </row>
    <row r="344" customFormat="false" ht="15" hidden="false" customHeight="false" outlineLevel="0" collapsed="false">
      <c r="A344" s="39" t="s">
        <v>216</v>
      </c>
      <c r="B344" s="40" t="str">
        <f aca="false" t="array" ref="B344:B344">_xlfn.XLOOKUP($A344,TRIM(SUBSTITUTE('worker file'!$A$2:$A$406,_xlfn.UNICHAR(160)," ")),'worker file'!$L$2:$L$406,"Not found")</f>
        <v>US Semi-monthly</v>
      </c>
      <c r="C344" s="40" t="str">
        <f aca="false" t="array" ref="C344:C344">_xlfn.XLOOKUP($A344,TRIM(SUBSTITUTE('worker file'!$A$2:$A$406,_xlfn.UNICHAR(160)," ")),'worker file'!$D$2:$D$406,"Not found")</f>
        <v>WA</v>
      </c>
      <c r="D344" s="40" t="str">
        <f aca="false" t="array" ref="D344:D344">_xlfn.XLOOKUP($A344,TRIM(SUBSTITUTE('worker file'!$A$2:$A$406,_xlfn.UNICHAR(160)," ")),'worker file'!$Q$2:$Q$406,"Not found")</f>
        <v>Active</v>
      </c>
      <c r="E344" s="39" t="s">
        <v>626</v>
      </c>
      <c r="F344" s="38" t="str">
        <f aca="false">_xlfn.XLOOKUP($E344,$A$5:$A$8,$B$5:$B$8,"")</f>
        <v>Medical (Health) – Employee</v>
      </c>
      <c r="G344" s="38" t="str">
        <f aca="false">_xlfn.XLOOKUP($E344,$A$5:$A$8,$D$5:$D$8,"")</f>
        <v>Pre-tax Section 125 (exempt from FIT/SIT/FICA)</v>
      </c>
      <c r="H344" s="38" t="str">
        <f aca="false">_xlfn.XLOOKUP($E344,$A$5:$A$8,$E$5:$E$8,"")</f>
        <v>Flat</v>
      </c>
      <c r="I344" s="44" t="str">
        <f aca="false">IF($H344="Percent",_xlfn.XLOOKUP($E344,$A$5:$A$8,$F$5:$F$8,""),"")</f>
        <v/>
      </c>
      <c r="J344" s="42" t="n">
        <f aca="false">IF($H344="Flat",_xlfn.XLOOKUP($E344,$A$5:$A$8,$F$5:$F$8,""),"")</f>
        <v>200</v>
      </c>
      <c r="K344" s="38" t="str">
        <f aca="false">_xlfn.XLOOKUP($E344,$A$5:$A$8,$G$5:$G$8,"")</f>
        <v>Per pay period</v>
      </c>
      <c r="L344" s="38" t="str">
        <f aca="false">_xlfn.XLOOKUP($E344,$A$5:$A$8,$H$5:$H$8,"")</f>
        <v>Every pay period (ongoing)</v>
      </c>
      <c r="M344" s="43" t="n">
        <f aca="false" t="array" ref="M344:M344">MAX(_xlfn.XLOOKUP($A344,TRIM(SUBSTITUTE('worker file'!$A$2:$A$406,_xlfn.UNICHAR(160)," ")),'worker file'!$M$2:$M$406,0),_xlfn.XLOOKUP($B344,TRIM('pay group &amp; schedule'!$A$2:$A$6),'pay group &amp; schedule'!$D$2:$D$6,0))</f>
        <v>46311</v>
      </c>
      <c r="N344" s="43" t="str">
        <f aca="false" t="array" ref="N344:N344">_xlfn.LET(_xlpm.t,_xlfn.XLOOKUP($A344,TRIM(SUBSTITUTE('worker file'!$A$2:$A$406,_xlfn.UNICHAR(160)," ")),'worker file'!$N$2:$N$406,""),IF(N(_xlpm.t)=0,"",_xlpm.t))</f>
        <v/>
      </c>
    </row>
    <row r="345" customFormat="false" ht="15" hidden="false" customHeight="false" outlineLevel="0" collapsed="false">
      <c r="A345" s="39" t="s">
        <v>216</v>
      </c>
      <c r="B345" s="40" t="str">
        <f aca="false" t="array" ref="B345:B345">_xlfn.XLOOKUP($A345,TRIM(SUBSTITUTE('worker file'!$A$2:$A$406,_xlfn.UNICHAR(160)," ")),'worker file'!$L$2:$L$406,"Not found")</f>
        <v>US Semi-monthly</v>
      </c>
      <c r="C345" s="40" t="str">
        <f aca="false" t="array" ref="C345:C345">_xlfn.XLOOKUP($A345,TRIM(SUBSTITUTE('worker file'!$A$2:$A$406,_xlfn.UNICHAR(160)," ")),'worker file'!$D$2:$D$406,"Not found")</f>
        <v>WA</v>
      </c>
      <c r="D345" s="40" t="str">
        <f aca="false" t="array" ref="D345:D345">_xlfn.XLOOKUP($A345,TRIM(SUBSTITUTE('worker file'!$A$2:$A$406,_xlfn.UNICHAR(160)," ")),'worker file'!$Q$2:$Q$406,"Not found")</f>
        <v>Active</v>
      </c>
      <c r="E345" s="39" t="s">
        <v>632</v>
      </c>
      <c r="F345" s="38" t="str">
        <f aca="false">_xlfn.XLOOKUP($E345,$A$5:$A$8,$B$5:$B$8,"")</f>
        <v>Dental – Employee</v>
      </c>
      <c r="G345" s="38" t="str">
        <f aca="false">_xlfn.XLOOKUP($E345,$A$5:$A$8,$D$5:$D$8,"")</f>
        <v>Pre-tax Section 125 (exempt from FIT/SIT/FICA)</v>
      </c>
      <c r="H345" s="38" t="str">
        <f aca="false">_xlfn.XLOOKUP($E345,$A$5:$A$8,$E$5:$E$8,"")</f>
        <v>Flat</v>
      </c>
      <c r="I345" s="44" t="str">
        <f aca="false">IF($H345="Percent",_xlfn.XLOOKUP($E345,$A$5:$A$8,$F$5:$F$8,""),"")</f>
        <v/>
      </c>
      <c r="J345" s="42" t="n">
        <f aca="false">IF($H345="Flat",_xlfn.XLOOKUP($E345,$A$5:$A$8,$F$5:$F$8,""),"")</f>
        <v>44</v>
      </c>
      <c r="K345" s="38" t="str">
        <f aca="false">_xlfn.XLOOKUP($E345,$A$5:$A$8,$G$5:$G$8,"")</f>
        <v>Per pay period</v>
      </c>
      <c r="L345" s="38" t="str">
        <f aca="false">_xlfn.XLOOKUP($E345,$A$5:$A$8,$H$5:$H$8,"")</f>
        <v>Every pay period (ongoing)</v>
      </c>
      <c r="M345" s="43" t="n">
        <f aca="false" t="array" ref="M345:M345">MAX(_xlfn.XLOOKUP($A345,TRIM(SUBSTITUTE('worker file'!$A$2:$A$406,_xlfn.UNICHAR(160)," ")),'worker file'!$M$2:$M$406,0),_xlfn.XLOOKUP($B345,TRIM('pay group &amp; schedule'!$A$2:$A$6),'pay group &amp; schedule'!$D$2:$D$6,0))</f>
        <v>46311</v>
      </c>
      <c r="N345" s="43" t="str">
        <f aca="false" t="array" ref="N345:N345">_xlfn.LET(_xlpm.t,_xlfn.XLOOKUP($A345,TRIM(SUBSTITUTE('worker file'!$A$2:$A$406,_xlfn.UNICHAR(160)," ")),'worker file'!$N$2:$N$406,""),IF(N(_xlpm.t)=0,"",_xlpm.t))</f>
        <v/>
      </c>
    </row>
    <row r="346" customFormat="false" ht="15" hidden="false" customHeight="false" outlineLevel="0" collapsed="false">
      <c r="A346" s="39" t="s">
        <v>216</v>
      </c>
      <c r="B346" s="40" t="str">
        <f aca="false" t="array" ref="B346:B346">_xlfn.XLOOKUP($A346,TRIM(SUBSTITUTE('worker file'!$A$2:$A$406,_xlfn.UNICHAR(160)," ")),'worker file'!$L$2:$L$406,"Not found")</f>
        <v>US Semi-monthly</v>
      </c>
      <c r="C346" s="40" t="str">
        <f aca="false" t="array" ref="C346:C346">_xlfn.XLOOKUP($A346,TRIM(SUBSTITUTE('worker file'!$A$2:$A$406,_xlfn.UNICHAR(160)," ")),'worker file'!$D$2:$D$406,"Not found")</f>
        <v>WA</v>
      </c>
      <c r="D346" s="40" t="str">
        <f aca="false" t="array" ref="D346:D346">_xlfn.XLOOKUP($A346,TRIM(SUBSTITUTE('worker file'!$A$2:$A$406,_xlfn.UNICHAR(160)," ")),'worker file'!$Q$2:$Q$406,"Not found")</f>
        <v>Active</v>
      </c>
      <c r="E346" s="39" t="s">
        <v>634</v>
      </c>
      <c r="F346" s="38" t="str">
        <f aca="false">_xlfn.XLOOKUP($E346,$A$5:$A$8,$B$5:$B$8,"")</f>
        <v>Vision – Employee</v>
      </c>
      <c r="G346" s="38" t="str">
        <f aca="false">_xlfn.XLOOKUP($E346,$A$5:$A$8,$D$5:$D$8,"")</f>
        <v>Pre-tax Section 125 (exempt from FIT/SIT/FICA)</v>
      </c>
      <c r="H346" s="38" t="str">
        <f aca="false">_xlfn.XLOOKUP($E346,$A$5:$A$8,$E$5:$E$8,"")</f>
        <v>Flat</v>
      </c>
      <c r="I346" s="44" t="str">
        <f aca="false">IF($H346="Percent",_xlfn.XLOOKUP($E346,$A$5:$A$8,$F$5:$F$8,""),"")</f>
        <v/>
      </c>
      <c r="J346" s="42" t="n">
        <f aca="false">IF($H346="Flat",_xlfn.XLOOKUP($E346,$A$5:$A$8,$F$5:$F$8,""),"")</f>
        <v>30</v>
      </c>
      <c r="K346" s="38" t="str">
        <f aca="false">_xlfn.XLOOKUP($E346,$A$5:$A$8,$G$5:$G$8,"")</f>
        <v>Per pay period</v>
      </c>
      <c r="L346" s="38" t="str">
        <f aca="false">_xlfn.XLOOKUP($E346,$A$5:$A$8,$H$5:$H$8,"")</f>
        <v>Every pay period (ongoing)</v>
      </c>
      <c r="M346" s="43" t="n">
        <f aca="false" t="array" ref="M346:M346">MAX(_xlfn.XLOOKUP($A346,TRIM(SUBSTITUTE('worker file'!$A$2:$A$406,_xlfn.UNICHAR(160)," ")),'worker file'!$M$2:$M$406,0),_xlfn.XLOOKUP($B346,TRIM('pay group &amp; schedule'!$A$2:$A$6),'pay group &amp; schedule'!$D$2:$D$6,0))</f>
        <v>46311</v>
      </c>
      <c r="N346" s="43" t="str">
        <f aca="false" t="array" ref="N346:N346">_xlfn.LET(_xlpm.t,_xlfn.XLOOKUP($A346,TRIM(SUBSTITUTE('worker file'!$A$2:$A$406,_xlfn.UNICHAR(160)," ")),'worker file'!$N$2:$N$406,""),IF(N(_xlpm.t)=0,"",_xlpm.t))</f>
        <v/>
      </c>
    </row>
    <row r="347" customFormat="false" ht="15" hidden="false" customHeight="false" outlineLevel="0" collapsed="false">
      <c r="A347" s="39" t="s">
        <v>219</v>
      </c>
      <c r="B347" s="40" t="str">
        <f aca="false" t="array" ref="B347:B347">_xlfn.XLOOKUP($A347,TRIM(SUBSTITUTE('worker file'!$A$2:$A$406,_xlfn.UNICHAR(160)," ")),'worker file'!$L$2:$L$406,"Not found")</f>
        <v>US Biweekly</v>
      </c>
      <c r="C347" s="40" t="str">
        <f aca="false" t="array" ref="C347:C347">_xlfn.XLOOKUP($A347,TRIM(SUBSTITUTE('worker file'!$A$2:$A$406,_xlfn.UNICHAR(160)," ")),'worker file'!$D$2:$D$406,"Not found")</f>
        <v>TX</v>
      </c>
      <c r="D347" s="40" t="str">
        <f aca="false" t="array" ref="D347:D347">_xlfn.XLOOKUP($A347,TRIM(SUBSTITUTE('worker file'!$A$2:$A$406,_xlfn.UNICHAR(160)," ")),'worker file'!$Q$2:$Q$406,"Not found")</f>
        <v>Active</v>
      </c>
      <c r="E347" s="39" t="s">
        <v>618</v>
      </c>
      <c r="F347" s="38" t="str">
        <f aca="false">_xlfn.XLOOKUP($E347,$A$5:$A$8,$B$5:$B$8,"")</f>
        <v>401(k) Employee Deferral</v>
      </c>
      <c r="G347" s="38" t="str">
        <f aca="false">_xlfn.XLOOKUP($E347,$A$5:$A$8,$D$5:$D$8,"")</f>
        <v>Pre-tax (exempt from FIT/SIT; subject to FICA)</v>
      </c>
      <c r="H347" s="38" t="str">
        <f aca="false">_xlfn.XLOOKUP($E347,$A$5:$A$8,$E$5:$E$8,"")</f>
        <v>Percent</v>
      </c>
      <c r="I347" s="41" t="n">
        <v>0.01</v>
      </c>
      <c r="J347" s="42" t="str">
        <f aca="false">IF($H347="Flat",_xlfn.XLOOKUP($E347,$A$5:$A$8,$F$5:$F$8,""),"")</f>
        <v/>
      </c>
      <c r="K347" s="38" t="str">
        <f aca="false">_xlfn.XLOOKUP($E347,$A$5:$A$8,$G$5:$G$8,"")</f>
        <v>Gross pay</v>
      </c>
      <c r="L347" s="38" t="str">
        <f aca="false">_xlfn.XLOOKUP($E347,$A$5:$A$8,$H$5:$H$8,"")</f>
        <v>Every pay period (ongoing)</v>
      </c>
      <c r="M347" s="43" t="n">
        <f aca="false" t="array" ref="M347:M347">MAX(_xlfn.XLOOKUP($A347,TRIM(SUBSTITUTE('worker file'!$A$2:$A$406,_xlfn.UNICHAR(160)," ")),'worker file'!$M$2:$M$406,0),_xlfn.XLOOKUP($B347,TRIM('pay group &amp; schedule'!$A$2:$A$6),'pay group &amp; schedule'!$D$2:$D$6,0))</f>
        <v>46299</v>
      </c>
      <c r="N347" s="43" t="str">
        <f aca="false" t="array" ref="N347:N347">_xlfn.LET(_xlpm.t,_xlfn.XLOOKUP($A347,TRIM(SUBSTITUTE('worker file'!$A$2:$A$406,_xlfn.UNICHAR(160)," ")),'worker file'!$N$2:$N$406,""),IF(N(_xlpm.t)=0,"",_xlpm.t))</f>
        <v/>
      </c>
    </row>
    <row r="348" customFormat="false" ht="15" hidden="false" customHeight="false" outlineLevel="0" collapsed="false">
      <c r="A348" s="39" t="s">
        <v>219</v>
      </c>
      <c r="B348" s="40" t="str">
        <f aca="false" t="array" ref="B348:B348">_xlfn.XLOOKUP($A348,TRIM(SUBSTITUTE('worker file'!$A$2:$A$406,_xlfn.UNICHAR(160)," ")),'worker file'!$L$2:$L$406,"Not found")</f>
        <v>US Biweekly</v>
      </c>
      <c r="C348" s="40" t="str">
        <f aca="false" t="array" ref="C348:C348">_xlfn.XLOOKUP($A348,TRIM(SUBSTITUTE('worker file'!$A$2:$A$406,_xlfn.UNICHAR(160)," ")),'worker file'!$D$2:$D$406,"Not found")</f>
        <v>TX</v>
      </c>
      <c r="D348" s="40" t="str">
        <f aca="false" t="array" ref="D348:D348">_xlfn.XLOOKUP($A348,TRIM(SUBSTITUTE('worker file'!$A$2:$A$406,_xlfn.UNICHAR(160)," ")),'worker file'!$Q$2:$Q$406,"Not found")</f>
        <v>Active</v>
      </c>
      <c r="E348" s="39" t="s">
        <v>626</v>
      </c>
      <c r="F348" s="38" t="str">
        <f aca="false">_xlfn.XLOOKUP($E348,$A$5:$A$8,$B$5:$B$8,"")</f>
        <v>Medical (Health) – Employee</v>
      </c>
      <c r="G348" s="38" t="str">
        <f aca="false">_xlfn.XLOOKUP($E348,$A$5:$A$8,$D$5:$D$8,"")</f>
        <v>Pre-tax Section 125 (exempt from FIT/SIT/FICA)</v>
      </c>
      <c r="H348" s="38" t="str">
        <f aca="false">_xlfn.XLOOKUP($E348,$A$5:$A$8,$E$5:$E$8,"")</f>
        <v>Flat</v>
      </c>
      <c r="I348" s="44" t="str">
        <f aca="false">IF($H348="Percent",_xlfn.XLOOKUP($E348,$A$5:$A$8,$F$5:$F$8,""),"")</f>
        <v/>
      </c>
      <c r="J348" s="42" t="n">
        <f aca="false">IF($H348="Flat",_xlfn.XLOOKUP($E348,$A$5:$A$8,$F$5:$F$8,""),"")</f>
        <v>200</v>
      </c>
      <c r="K348" s="38" t="str">
        <f aca="false">_xlfn.XLOOKUP($E348,$A$5:$A$8,$G$5:$G$8,"")</f>
        <v>Per pay period</v>
      </c>
      <c r="L348" s="38" t="str">
        <f aca="false">_xlfn.XLOOKUP($E348,$A$5:$A$8,$H$5:$H$8,"")</f>
        <v>Every pay period (ongoing)</v>
      </c>
      <c r="M348" s="43" t="n">
        <f aca="false" t="array" ref="M348:M348">MAX(_xlfn.XLOOKUP($A348,TRIM(SUBSTITUTE('worker file'!$A$2:$A$406,_xlfn.UNICHAR(160)," ")),'worker file'!$M$2:$M$406,0),_xlfn.XLOOKUP($B348,TRIM('pay group &amp; schedule'!$A$2:$A$6),'pay group &amp; schedule'!$D$2:$D$6,0))</f>
        <v>46299</v>
      </c>
      <c r="N348" s="43" t="str">
        <f aca="false" t="array" ref="N348:N348">_xlfn.LET(_xlpm.t,_xlfn.XLOOKUP($A348,TRIM(SUBSTITUTE('worker file'!$A$2:$A$406,_xlfn.UNICHAR(160)," ")),'worker file'!$N$2:$N$406,""),IF(N(_xlpm.t)=0,"",_xlpm.t))</f>
        <v/>
      </c>
    </row>
    <row r="349" customFormat="false" ht="15" hidden="false" customHeight="false" outlineLevel="0" collapsed="false">
      <c r="A349" s="39" t="s">
        <v>219</v>
      </c>
      <c r="B349" s="40" t="str">
        <f aca="false" t="array" ref="B349:B349">_xlfn.XLOOKUP($A349,TRIM(SUBSTITUTE('worker file'!$A$2:$A$406,_xlfn.UNICHAR(160)," ")),'worker file'!$L$2:$L$406,"Not found")</f>
        <v>US Biweekly</v>
      </c>
      <c r="C349" s="40" t="str">
        <f aca="false" t="array" ref="C349:C349">_xlfn.XLOOKUP($A349,TRIM(SUBSTITUTE('worker file'!$A$2:$A$406,_xlfn.UNICHAR(160)," ")),'worker file'!$D$2:$D$406,"Not found")</f>
        <v>TX</v>
      </c>
      <c r="D349" s="40" t="str">
        <f aca="false" t="array" ref="D349:D349">_xlfn.XLOOKUP($A349,TRIM(SUBSTITUTE('worker file'!$A$2:$A$406,_xlfn.UNICHAR(160)," ")),'worker file'!$Q$2:$Q$406,"Not found")</f>
        <v>Active</v>
      </c>
      <c r="E349" s="39" t="s">
        <v>632</v>
      </c>
      <c r="F349" s="38" t="str">
        <f aca="false">_xlfn.XLOOKUP($E349,$A$5:$A$8,$B$5:$B$8,"")</f>
        <v>Dental – Employee</v>
      </c>
      <c r="G349" s="38" t="str">
        <f aca="false">_xlfn.XLOOKUP($E349,$A$5:$A$8,$D$5:$D$8,"")</f>
        <v>Pre-tax Section 125 (exempt from FIT/SIT/FICA)</v>
      </c>
      <c r="H349" s="38" t="str">
        <f aca="false">_xlfn.XLOOKUP($E349,$A$5:$A$8,$E$5:$E$8,"")</f>
        <v>Flat</v>
      </c>
      <c r="I349" s="44" t="str">
        <f aca="false">IF($H349="Percent",_xlfn.XLOOKUP($E349,$A$5:$A$8,$F$5:$F$8,""),"")</f>
        <v/>
      </c>
      <c r="J349" s="42" t="n">
        <f aca="false">IF($H349="Flat",_xlfn.XLOOKUP($E349,$A$5:$A$8,$F$5:$F$8,""),"")</f>
        <v>44</v>
      </c>
      <c r="K349" s="38" t="str">
        <f aca="false">_xlfn.XLOOKUP($E349,$A$5:$A$8,$G$5:$G$8,"")</f>
        <v>Per pay period</v>
      </c>
      <c r="L349" s="38" t="str">
        <f aca="false">_xlfn.XLOOKUP($E349,$A$5:$A$8,$H$5:$H$8,"")</f>
        <v>Every pay period (ongoing)</v>
      </c>
      <c r="M349" s="43" t="n">
        <f aca="false" t="array" ref="M349:M349">MAX(_xlfn.XLOOKUP($A349,TRIM(SUBSTITUTE('worker file'!$A$2:$A$406,_xlfn.UNICHAR(160)," ")),'worker file'!$M$2:$M$406,0),_xlfn.XLOOKUP($B349,TRIM('pay group &amp; schedule'!$A$2:$A$6),'pay group &amp; schedule'!$D$2:$D$6,0))</f>
        <v>46299</v>
      </c>
      <c r="N349" s="43" t="str">
        <f aca="false" t="array" ref="N349:N349">_xlfn.LET(_xlpm.t,_xlfn.XLOOKUP($A349,TRIM(SUBSTITUTE('worker file'!$A$2:$A$406,_xlfn.UNICHAR(160)," ")),'worker file'!$N$2:$N$406,""),IF(N(_xlpm.t)=0,"",_xlpm.t))</f>
        <v/>
      </c>
    </row>
    <row r="350" customFormat="false" ht="15" hidden="false" customHeight="false" outlineLevel="0" collapsed="false">
      <c r="A350" s="39" t="s">
        <v>219</v>
      </c>
      <c r="B350" s="40" t="str">
        <f aca="false" t="array" ref="B350:B350">_xlfn.XLOOKUP($A350,TRIM(SUBSTITUTE('worker file'!$A$2:$A$406,_xlfn.UNICHAR(160)," ")),'worker file'!$L$2:$L$406,"Not found")</f>
        <v>US Biweekly</v>
      </c>
      <c r="C350" s="40" t="str">
        <f aca="false" t="array" ref="C350:C350">_xlfn.XLOOKUP($A350,TRIM(SUBSTITUTE('worker file'!$A$2:$A$406,_xlfn.UNICHAR(160)," ")),'worker file'!$D$2:$D$406,"Not found")</f>
        <v>TX</v>
      </c>
      <c r="D350" s="40" t="str">
        <f aca="false" t="array" ref="D350:D350">_xlfn.XLOOKUP($A350,TRIM(SUBSTITUTE('worker file'!$A$2:$A$406,_xlfn.UNICHAR(160)," ")),'worker file'!$Q$2:$Q$406,"Not found")</f>
        <v>Active</v>
      </c>
      <c r="E350" s="39" t="s">
        <v>634</v>
      </c>
      <c r="F350" s="38" t="str">
        <f aca="false">_xlfn.XLOOKUP($E350,$A$5:$A$8,$B$5:$B$8,"")</f>
        <v>Vision – Employee</v>
      </c>
      <c r="G350" s="38" t="str">
        <f aca="false">_xlfn.XLOOKUP($E350,$A$5:$A$8,$D$5:$D$8,"")</f>
        <v>Pre-tax Section 125 (exempt from FIT/SIT/FICA)</v>
      </c>
      <c r="H350" s="38" t="str">
        <f aca="false">_xlfn.XLOOKUP($E350,$A$5:$A$8,$E$5:$E$8,"")</f>
        <v>Flat</v>
      </c>
      <c r="I350" s="44" t="str">
        <f aca="false">IF($H350="Percent",_xlfn.XLOOKUP($E350,$A$5:$A$8,$F$5:$F$8,""),"")</f>
        <v/>
      </c>
      <c r="J350" s="42" t="n">
        <f aca="false">IF($H350="Flat",_xlfn.XLOOKUP($E350,$A$5:$A$8,$F$5:$F$8,""),"")</f>
        <v>30</v>
      </c>
      <c r="K350" s="38" t="str">
        <f aca="false">_xlfn.XLOOKUP($E350,$A$5:$A$8,$G$5:$G$8,"")</f>
        <v>Per pay period</v>
      </c>
      <c r="L350" s="38" t="str">
        <f aca="false">_xlfn.XLOOKUP($E350,$A$5:$A$8,$H$5:$H$8,"")</f>
        <v>Every pay period (ongoing)</v>
      </c>
      <c r="M350" s="43" t="n">
        <f aca="false" t="array" ref="M350:M350">MAX(_xlfn.XLOOKUP($A350,TRIM(SUBSTITUTE('worker file'!$A$2:$A$406,_xlfn.UNICHAR(160)," ")),'worker file'!$M$2:$M$406,0),_xlfn.XLOOKUP($B350,TRIM('pay group &amp; schedule'!$A$2:$A$6),'pay group &amp; schedule'!$D$2:$D$6,0))</f>
        <v>46299</v>
      </c>
      <c r="N350" s="43" t="str">
        <f aca="false" t="array" ref="N350:N350">_xlfn.LET(_xlpm.t,_xlfn.XLOOKUP($A350,TRIM(SUBSTITUTE('worker file'!$A$2:$A$406,_xlfn.UNICHAR(160)," ")),'worker file'!$N$2:$N$406,""),IF(N(_xlpm.t)=0,"",_xlpm.t))</f>
        <v/>
      </c>
    </row>
    <row r="351" customFormat="false" ht="15" hidden="false" customHeight="false" outlineLevel="0" collapsed="false">
      <c r="A351" s="39" t="s">
        <v>220</v>
      </c>
      <c r="B351" s="40" t="str">
        <f aca="false" t="array" ref="B351:B351">_xlfn.XLOOKUP($A351,TRIM(SUBSTITUTE('worker file'!$A$2:$A$406,_xlfn.UNICHAR(160)," ")),'worker file'!$L$2:$L$406,"Not found")</f>
        <v>US Semi-monthly</v>
      </c>
      <c r="C351" s="40" t="str">
        <f aca="false" t="array" ref="C351:C351">_xlfn.XLOOKUP($A351,TRIM(SUBSTITUTE('worker file'!$A$2:$A$406,_xlfn.UNICHAR(160)," ")),'worker file'!$D$2:$D$406,"Not found")</f>
        <v>CA</v>
      </c>
      <c r="D351" s="40" t="str">
        <f aca="false" t="array" ref="D351:D351">_xlfn.XLOOKUP($A351,TRIM(SUBSTITUTE('worker file'!$A$2:$A$406,_xlfn.UNICHAR(160)," ")),'worker file'!$Q$2:$Q$406,"Not found")</f>
        <v>Active</v>
      </c>
      <c r="E351" s="39" t="s">
        <v>618</v>
      </c>
      <c r="F351" s="38" t="str">
        <f aca="false">_xlfn.XLOOKUP($E351,$A$5:$A$8,$B$5:$B$8,"")</f>
        <v>401(k) Employee Deferral</v>
      </c>
      <c r="G351" s="38" t="str">
        <f aca="false">_xlfn.XLOOKUP($E351,$A$5:$A$8,$D$5:$D$8,"")</f>
        <v>Pre-tax (exempt from FIT/SIT; subject to FICA)</v>
      </c>
      <c r="H351" s="38" t="str">
        <f aca="false">_xlfn.XLOOKUP($E351,$A$5:$A$8,$E$5:$E$8,"")</f>
        <v>Percent</v>
      </c>
      <c r="I351" s="41" t="n">
        <v>0.06</v>
      </c>
      <c r="J351" s="42" t="str">
        <f aca="false">IF($H351="Flat",_xlfn.XLOOKUP($E351,$A$5:$A$8,$F$5:$F$8,""),"")</f>
        <v/>
      </c>
      <c r="K351" s="38" t="str">
        <f aca="false">_xlfn.XLOOKUP($E351,$A$5:$A$8,$G$5:$G$8,"")</f>
        <v>Gross pay</v>
      </c>
      <c r="L351" s="38" t="str">
        <f aca="false">_xlfn.XLOOKUP($E351,$A$5:$A$8,$H$5:$H$8,"")</f>
        <v>Every pay period (ongoing)</v>
      </c>
      <c r="M351" s="43" t="n">
        <f aca="false" t="array" ref="M351:M351">MAX(_xlfn.XLOOKUP($A351,TRIM(SUBSTITUTE('worker file'!$A$2:$A$406,_xlfn.UNICHAR(160)," ")),'worker file'!$M$2:$M$406,0),_xlfn.XLOOKUP($B351,TRIM('pay group &amp; schedule'!$A$2:$A$6),'pay group &amp; schedule'!$D$2:$D$6,0))</f>
        <v>46311</v>
      </c>
      <c r="N351" s="43" t="str">
        <f aca="false" t="array" ref="N351:N351">_xlfn.LET(_xlpm.t,_xlfn.XLOOKUP($A351,TRIM(SUBSTITUTE('worker file'!$A$2:$A$406,_xlfn.UNICHAR(160)," ")),'worker file'!$N$2:$N$406,""),IF(N(_xlpm.t)=0,"",_xlpm.t))</f>
        <v/>
      </c>
    </row>
    <row r="352" customFormat="false" ht="15" hidden="false" customHeight="false" outlineLevel="0" collapsed="false">
      <c r="A352" s="39" t="s">
        <v>220</v>
      </c>
      <c r="B352" s="40" t="str">
        <f aca="false" t="array" ref="B352:B352">_xlfn.XLOOKUP($A352,TRIM(SUBSTITUTE('worker file'!$A$2:$A$406,_xlfn.UNICHAR(160)," ")),'worker file'!$L$2:$L$406,"Not found")</f>
        <v>US Semi-monthly</v>
      </c>
      <c r="C352" s="40" t="str">
        <f aca="false" t="array" ref="C352:C352">_xlfn.XLOOKUP($A352,TRIM(SUBSTITUTE('worker file'!$A$2:$A$406,_xlfn.UNICHAR(160)," ")),'worker file'!$D$2:$D$406,"Not found")</f>
        <v>CA</v>
      </c>
      <c r="D352" s="40" t="str">
        <f aca="false" t="array" ref="D352:D352">_xlfn.XLOOKUP($A352,TRIM(SUBSTITUTE('worker file'!$A$2:$A$406,_xlfn.UNICHAR(160)," ")),'worker file'!$Q$2:$Q$406,"Not found")</f>
        <v>Active</v>
      </c>
      <c r="E352" s="39" t="s">
        <v>626</v>
      </c>
      <c r="F352" s="38" t="str">
        <f aca="false">_xlfn.XLOOKUP($E352,$A$5:$A$8,$B$5:$B$8,"")</f>
        <v>Medical (Health) – Employee</v>
      </c>
      <c r="G352" s="38" t="str">
        <f aca="false">_xlfn.XLOOKUP($E352,$A$5:$A$8,$D$5:$D$8,"")</f>
        <v>Pre-tax Section 125 (exempt from FIT/SIT/FICA)</v>
      </c>
      <c r="H352" s="38" t="str">
        <f aca="false">_xlfn.XLOOKUP($E352,$A$5:$A$8,$E$5:$E$8,"")</f>
        <v>Flat</v>
      </c>
      <c r="I352" s="44" t="str">
        <f aca="false">IF($H352="Percent",_xlfn.XLOOKUP($E352,$A$5:$A$8,$F$5:$F$8,""),"")</f>
        <v/>
      </c>
      <c r="J352" s="42" t="n">
        <f aca="false">IF($H352="Flat",_xlfn.XLOOKUP($E352,$A$5:$A$8,$F$5:$F$8,""),"")</f>
        <v>200</v>
      </c>
      <c r="K352" s="38" t="str">
        <f aca="false">_xlfn.XLOOKUP($E352,$A$5:$A$8,$G$5:$G$8,"")</f>
        <v>Per pay period</v>
      </c>
      <c r="L352" s="38" t="str">
        <f aca="false">_xlfn.XLOOKUP($E352,$A$5:$A$8,$H$5:$H$8,"")</f>
        <v>Every pay period (ongoing)</v>
      </c>
      <c r="M352" s="43" t="n">
        <f aca="false" t="array" ref="M352:M352">MAX(_xlfn.XLOOKUP($A352,TRIM(SUBSTITUTE('worker file'!$A$2:$A$406,_xlfn.UNICHAR(160)," ")),'worker file'!$M$2:$M$406,0),_xlfn.XLOOKUP($B352,TRIM('pay group &amp; schedule'!$A$2:$A$6),'pay group &amp; schedule'!$D$2:$D$6,0))</f>
        <v>46311</v>
      </c>
      <c r="N352" s="43" t="str">
        <f aca="false" t="array" ref="N352:N352">_xlfn.LET(_xlpm.t,_xlfn.XLOOKUP($A352,TRIM(SUBSTITUTE('worker file'!$A$2:$A$406,_xlfn.UNICHAR(160)," ")),'worker file'!$N$2:$N$406,""),IF(N(_xlpm.t)=0,"",_xlpm.t))</f>
        <v/>
      </c>
    </row>
    <row r="353" customFormat="false" ht="15" hidden="false" customHeight="false" outlineLevel="0" collapsed="false">
      <c r="A353" s="39" t="s">
        <v>220</v>
      </c>
      <c r="B353" s="40" t="str">
        <f aca="false" t="array" ref="B353:B353">_xlfn.XLOOKUP($A353,TRIM(SUBSTITUTE('worker file'!$A$2:$A$406,_xlfn.UNICHAR(160)," ")),'worker file'!$L$2:$L$406,"Not found")</f>
        <v>US Semi-monthly</v>
      </c>
      <c r="C353" s="40" t="str">
        <f aca="false" t="array" ref="C353:C353">_xlfn.XLOOKUP($A353,TRIM(SUBSTITUTE('worker file'!$A$2:$A$406,_xlfn.UNICHAR(160)," ")),'worker file'!$D$2:$D$406,"Not found")</f>
        <v>CA</v>
      </c>
      <c r="D353" s="40" t="str">
        <f aca="false" t="array" ref="D353:D353">_xlfn.XLOOKUP($A353,TRIM(SUBSTITUTE('worker file'!$A$2:$A$406,_xlfn.UNICHAR(160)," ")),'worker file'!$Q$2:$Q$406,"Not found")</f>
        <v>Active</v>
      </c>
      <c r="E353" s="39" t="s">
        <v>632</v>
      </c>
      <c r="F353" s="38" t="str">
        <f aca="false">_xlfn.XLOOKUP($E353,$A$5:$A$8,$B$5:$B$8,"")</f>
        <v>Dental – Employee</v>
      </c>
      <c r="G353" s="38" t="str">
        <f aca="false">_xlfn.XLOOKUP($E353,$A$5:$A$8,$D$5:$D$8,"")</f>
        <v>Pre-tax Section 125 (exempt from FIT/SIT/FICA)</v>
      </c>
      <c r="H353" s="38" t="str">
        <f aca="false">_xlfn.XLOOKUP($E353,$A$5:$A$8,$E$5:$E$8,"")</f>
        <v>Flat</v>
      </c>
      <c r="I353" s="44" t="str">
        <f aca="false">IF($H353="Percent",_xlfn.XLOOKUP($E353,$A$5:$A$8,$F$5:$F$8,""),"")</f>
        <v/>
      </c>
      <c r="J353" s="42" t="n">
        <f aca="false">IF($H353="Flat",_xlfn.XLOOKUP($E353,$A$5:$A$8,$F$5:$F$8,""),"")</f>
        <v>44</v>
      </c>
      <c r="K353" s="38" t="str">
        <f aca="false">_xlfn.XLOOKUP($E353,$A$5:$A$8,$G$5:$G$8,"")</f>
        <v>Per pay period</v>
      </c>
      <c r="L353" s="38" t="str">
        <f aca="false">_xlfn.XLOOKUP($E353,$A$5:$A$8,$H$5:$H$8,"")</f>
        <v>Every pay period (ongoing)</v>
      </c>
      <c r="M353" s="43" t="n">
        <f aca="false" t="array" ref="M353:M353">MAX(_xlfn.XLOOKUP($A353,TRIM(SUBSTITUTE('worker file'!$A$2:$A$406,_xlfn.UNICHAR(160)," ")),'worker file'!$M$2:$M$406,0),_xlfn.XLOOKUP($B353,TRIM('pay group &amp; schedule'!$A$2:$A$6),'pay group &amp; schedule'!$D$2:$D$6,0))</f>
        <v>46311</v>
      </c>
      <c r="N353" s="43" t="str">
        <f aca="false" t="array" ref="N353:N353">_xlfn.LET(_xlpm.t,_xlfn.XLOOKUP($A353,TRIM(SUBSTITUTE('worker file'!$A$2:$A$406,_xlfn.UNICHAR(160)," ")),'worker file'!$N$2:$N$406,""),IF(N(_xlpm.t)=0,"",_xlpm.t))</f>
        <v/>
      </c>
    </row>
    <row r="354" customFormat="false" ht="15" hidden="false" customHeight="false" outlineLevel="0" collapsed="false">
      <c r="A354" s="39" t="s">
        <v>220</v>
      </c>
      <c r="B354" s="40" t="str">
        <f aca="false" t="array" ref="B354:B354">_xlfn.XLOOKUP($A354,TRIM(SUBSTITUTE('worker file'!$A$2:$A$406,_xlfn.UNICHAR(160)," ")),'worker file'!$L$2:$L$406,"Not found")</f>
        <v>US Semi-monthly</v>
      </c>
      <c r="C354" s="40" t="str">
        <f aca="false" t="array" ref="C354:C354">_xlfn.XLOOKUP($A354,TRIM(SUBSTITUTE('worker file'!$A$2:$A$406,_xlfn.UNICHAR(160)," ")),'worker file'!$D$2:$D$406,"Not found")</f>
        <v>CA</v>
      </c>
      <c r="D354" s="40" t="str">
        <f aca="false" t="array" ref="D354:D354">_xlfn.XLOOKUP($A354,TRIM(SUBSTITUTE('worker file'!$A$2:$A$406,_xlfn.UNICHAR(160)," ")),'worker file'!$Q$2:$Q$406,"Not found")</f>
        <v>Active</v>
      </c>
      <c r="E354" s="39" t="s">
        <v>634</v>
      </c>
      <c r="F354" s="38" t="str">
        <f aca="false">_xlfn.XLOOKUP($E354,$A$5:$A$8,$B$5:$B$8,"")</f>
        <v>Vision – Employee</v>
      </c>
      <c r="G354" s="38" t="str">
        <f aca="false">_xlfn.XLOOKUP($E354,$A$5:$A$8,$D$5:$D$8,"")</f>
        <v>Pre-tax Section 125 (exempt from FIT/SIT/FICA)</v>
      </c>
      <c r="H354" s="38" t="str">
        <f aca="false">_xlfn.XLOOKUP($E354,$A$5:$A$8,$E$5:$E$8,"")</f>
        <v>Flat</v>
      </c>
      <c r="I354" s="44" t="str">
        <f aca="false">IF($H354="Percent",_xlfn.XLOOKUP($E354,$A$5:$A$8,$F$5:$F$8,""),"")</f>
        <v/>
      </c>
      <c r="J354" s="42" t="n">
        <f aca="false">IF($H354="Flat",_xlfn.XLOOKUP($E354,$A$5:$A$8,$F$5:$F$8,""),"")</f>
        <v>30</v>
      </c>
      <c r="K354" s="38" t="str">
        <f aca="false">_xlfn.XLOOKUP($E354,$A$5:$A$8,$G$5:$G$8,"")</f>
        <v>Per pay period</v>
      </c>
      <c r="L354" s="38" t="str">
        <f aca="false">_xlfn.XLOOKUP($E354,$A$5:$A$8,$H$5:$H$8,"")</f>
        <v>Every pay period (ongoing)</v>
      </c>
      <c r="M354" s="43" t="n">
        <f aca="false" t="array" ref="M354:M354">MAX(_xlfn.XLOOKUP($A354,TRIM(SUBSTITUTE('worker file'!$A$2:$A$406,_xlfn.UNICHAR(160)," ")),'worker file'!$M$2:$M$406,0),_xlfn.XLOOKUP($B354,TRIM('pay group &amp; schedule'!$A$2:$A$6),'pay group &amp; schedule'!$D$2:$D$6,0))</f>
        <v>46311</v>
      </c>
      <c r="N354" s="43" t="str">
        <f aca="false" t="array" ref="N354:N354">_xlfn.LET(_xlpm.t,_xlfn.XLOOKUP($A354,TRIM(SUBSTITUTE('worker file'!$A$2:$A$406,_xlfn.UNICHAR(160)," ")),'worker file'!$N$2:$N$406,""),IF(N(_xlpm.t)=0,"",_xlpm.t))</f>
        <v/>
      </c>
    </row>
    <row r="355" customFormat="false" ht="15" hidden="false" customHeight="false" outlineLevel="0" collapsed="false">
      <c r="A355" s="39" t="s">
        <v>222</v>
      </c>
      <c r="B355" s="40" t="str">
        <f aca="false" t="array" ref="B355:B355">_xlfn.XLOOKUP($A355,TRIM(SUBSTITUTE('worker file'!$A$2:$A$406,_xlfn.UNICHAR(160)," ")),'worker file'!$L$2:$L$406,"Not found")</f>
        <v>US Semi-monthly</v>
      </c>
      <c r="C355" s="40" t="str">
        <f aca="false" t="array" ref="C355:C355">_xlfn.XLOOKUP($A355,TRIM(SUBSTITUTE('worker file'!$A$2:$A$406,_xlfn.UNICHAR(160)," ")),'worker file'!$D$2:$D$406,"Not found")</f>
        <v>MA</v>
      </c>
      <c r="D355" s="40" t="str">
        <f aca="false" t="array" ref="D355:D355">_xlfn.XLOOKUP($A355,TRIM(SUBSTITUTE('worker file'!$A$2:$A$406,_xlfn.UNICHAR(160)," ")),'worker file'!$Q$2:$Q$406,"Not found")</f>
        <v>Active</v>
      </c>
      <c r="E355" s="39" t="s">
        <v>618</v>
      </c>
      <c r="F355" s="38" t="str">
        <f aca="false">_xlfn.XLOOKUP($E355,$A$5:$A$8,$B$5:$B$8,"")</f>
        <v>401(k) Employee Deferral</v>
      </c>
      <c r="G355" s="38" t="str">
        <f aca="false">_xlfn.XLOOKUP($E355,$A$5:$A$8,$D$5:$D$8,"")</f>
        <v>Pre-tax (exempt from FIT/SIT; subject to FICA)</v>
      </c>
      <c r="H355" s="38" t="str">
        <f aca="false">_xlfn.XLOOKUP($E355,$A$5:$A$8,$E$5:$E$8,"")</f>
        <v>Percent</v>
      </c>
      <c r="I355" s="41" t="n">
        <v>0.03</v>
      </c>
      <c r="J355" s="42" t="str">
        <f aca="false">IF($H355="Flat",_xlfn.XLOOKUP($E355,$A$5:$A$8,$F$5:$F$8,""),"")</f>
        <v/>
      </c>
      <c r="K355" s="38" t="str">
        <f aca="false">_xlfn.XLOOKUP($E355,$A$5:$A$8,$G$5:$G$8,"")</f>
        <v>Gross pay</v>
      </c>
      <c r="L355" s="38" t="str">
        <f aca="false">_xlfn.XLOOKUP($E355,$A$5:$A$8,$H$5:$H$8,"")</f>
        <v>Every pay period (ongoing)</v>
      </c>
      <c r="M355" s="43" t="n">
        <f aca="false" t="array" ref="M355:M355">MAX(_xlfn.XLOOKUP($A355,TRIM(SUBSTITUTE('worker file'!$A$2:$A$406,_xlfn.UNICHAR(160)," ")),'worker file'!$M$2:$M$406,0),_xlfn.XLOOKUP($B355,TRIM('pay group &amp; schedule'!$A$2:$A$6),'pay group &amp; schedule'!$D$2:$D$6,0))</f>
        <v>46311</v>
      </c>
      <c r="N355" s="43" t="str">
        <f aca="false" t="array" ref="N355:N355">_xlfn.LET(_xlpm.t,_xlfn.XLOOKUP($A355,TRIM(SUBSTITUTE('worker file'!$A$2:$A$406,_xlfn.UNICHAR(160)," ")),'worker file'!$N$2:$N$406,""),IF(N(_xlpm.t)=0,"",_xlpm.t))</f>
        <v/>
      </c>
    </row>
    <row r="356" customFormat="false" ht="15" hidden="false" customHeight="false" outlineLevel="0" collapsed="false">
      <c r="A356" s="39" t="s">
        <v>222</v>
      </c>
      <c r="B356" s="40" t="str">
        <f aca="false" t="array" ref="B356:B356">_xlfn.XLOOKUP($A356,TRIM(SUBSTITUTE('worker file'!$A$2:$A$406,_xlfn.UNICHAR(160)," ")),'worker file'!$L$2:$L$406,"Not found")</f>
        <v>US Semi-monthly</v>
      </c>
      <c r="C356" s="40" t="str">
        <f aca="false" t="array" ref="C356:C356">_xlfn.XLOOKUP($A356,TRIM(SUBSTITUTE('worker file'!$A$2:$A$406,_xlfn.UNICHAR(160)," ")),'worker file'!$D$2:$D$406,"Not found")</f>
        <v>MA</v>
      </c>
      <c r="D356" s="40" t="str">
        <f aca="false" t="array" ref="D356:D356">_xlfn.XLOOKUP($A356,TRIM(SUBSTITUTE('worker file'!$A$2:$A$406,_xlfn.UNICHAR(160)," ")),'worker file'!$Q$2:$Q$406,"Not found")</f>
        <v>Active</v>
      </c>
      <c r="E356" s="39" t="s">
        <v>626</v>
      </c>
      <c r="F356" s="38" t="str">
        <f aca="false">_xlfn.XLOOKUP($E356,$A$5:$A$8,$B$5:$B$8,"")</f>
        <v>Medical (Health) – Employee</v>
      </c>
      <c r="G356" s="38" t="str">
        <f aca="false">_xlfn.XLOOKUP($E356,$A$5:$A$8,$D$5:$D$8,"")</f>
        <v>Pre-tax Section 125 (exempt from FIT/SIT/FICA)</v>
      </c>
      <c r="H356" s="38" t="str">
        <f aca="false">_xlfn.XLOOKUP($E356,$A$5:$A$8,$E$5:$E$8,"")</f>
        <v>Flat</v>
      </c>
      <c r="I356" s="44" t="str">
        <f aca="false">IF($H356="Percent",_xlfn.XLOOKUP($E356,$A$5:$A$8,$F$5:$F$8,""),"")</f>
        <v/>
      </c>
      <c r="J356" s="42" t="n">
        <f aca="false">IF($H356="Flat",_xlfn.XLOOKUP($E356,$A$5:$A$8,$F$5:$F$8,""),"")</f>
        <v>200</v>
      </c>
      <c r="K356" s="38" t="str">
        <f aca="false">_xlfn.XLOOKUP($E356,$A$5:$A$8,$G$5:$G$8,"")</f>
        <v>Per pay period</v>
      </c>
      <c r="L356" s="38" t="str">
        <f aca="false">_xlfn.XLOOKUP($E356,$A$5:$A$8,$H$5:$H$8,"")</f>
        <v>Every pay period (ongoing)</v>
      </c>
      <c r="M356" s="43" t="n">
        <f aca="false" t="array" ref="M356:M356">MAX(_xlfn.XLOOKUP($A356,TRIM(SUBSTITUTE('worker file'!$A$2:$A$406,_xlfn.UNICHAR(160)," ")),'worker file'!$M$2:$M$406,0),_xlfn.XLOOKUP($B356,TRIM('pay group &amp; schedule'!$A$2:$A$6),'pay group &amp; schedule'!$D$2:$D$6,0))</f>
        <v>46311</v>
      </c>
      <c r="N356" s="43" t="str">
        <f aca="false" t="array" ref="N356:N356">_xlfn.LET(_xlpm.t,_xlfn.XLOOKUP($A356,TRIM(SUBSTITUTE('worker file'!$A$2:$A$406,_xlfn.UNICHAR(160)," ")),'worker file'!$N$2:$N$406,""),IF(N(_xlpm.t)=0,"",_xlpm.t))</f>
        <v/>
      </c>
    </row>
    <row r="357" customFormat="false" ht="15" hidden="false" customHeight="false" outlineLevel="0" collapsed="false">
      <c r="A357" s="39" t="s">
        <v>222</v>
      </c>
      <c r="B357" s="40" t="str">
        <f aca="false" t="array" ref="B357:B357">_xlfn.XLOOKUP($A357,TRIM(SUBSTITUTE('worker file'!$A$2:$A$406,_xlfn.UNICHAR(160)," ")),'worker file'!$L$2:$L$406,"Not found")</f>
        <v>US Semi-monthly</v>
      </c>
      <c r="C357" s="40" t="str">
        <f aca="false" t="array" ref="C357:C357">_xlfn.XLOOKUP($A357,TRIM(SUBSTITUTE('worker file'!$A$2:$A$406,_xlfn.UNICHAR(160)," ")),'worker file'!$D$2:$D$406,"Not found")</f>
        <v>MA</v>
      </c>
      <c r="D357" s="40" t="str">
        <f aca="false" t="array" ref="D357:D357">_xlfn.XLOOKUP($A357,TRIM(SUBSTITUTE('worker file'!$A$2:$A$406,_xlfn.UNICHAR(160)," ")),'worker file'!$Q$2:$Q$406,"Not found")</f>
        <v>Active</v>
      </c>
      <c r="E357" s="39" t="s">
        <v>632</v>
      </c>
      <c r="F357" s="38" t="str">
        <f aca="false">_xlfn.XLOOKUP($E357,$A$5:$A$8,$B$5:$B$8,"")</f>
        <v>Dental – Employee</v>
      </c>
      <c r="G357" s="38" t="str">
        <f aca="false">_xlfn.XLOOKUP($E357,$A$5:$A$8,$D$5:$D$8,"")</f>
        <v>Pre-tax Section 125 (exempt from FIT/SIT/FICA)</v>
      </c>
      <c r="H357" s="38" t="str">
        <f aca="false">_xlfn.XLOOKUP($E357,$A$5:$A$8,$E$5:$E$8,"")</f>
        <v>Flat</v>
      </c>
      <c r="I357" s="44" t="str">
        <f aca="false">IF($H357="Percent",_xlfn.XLOOKUP($E357,$A$5:$A$8,$F$5:$F$8,""),"")</f>
        <v/>
      </c>
      <c r="J357" s="42" t="n">
        <f aca="false">IF($H357="Flat",_xlfn.XLOOKUP($E357,$A$5:$A$8,$F$5:$F$8,""),"")</f>
        <v>44</v>
      </c>
      <c r="K357" s="38" t="str">
        <f aca="false">_xlfn.XLOOKUP($E357,$A$5:$A$8,$G$5:$G$8,"")</f>
        <v>Per pay period</v>
      </c>
      <c r="L357" s="38" t="str">
        <f aca="false">_xlfn.XLOOKUP($E357,$A$5:$A$8,$H$5:$H$8,"")</f>
        <v>Every pay period (ongoing)</v>
      </c>
      <c r="M357" s="43" t="n">
        <f aca="false" t="array" ref="M357:M357">MAX(_xlfn.XLOOKUP($A357,TRIM(SUBSTITUTE('worker file'!$A$2:$A$406,_xlfn.UNICHAR(160)," ")),'worker file'!$M$2:$M$406,0),_xlfn.XLOOKUP($B357,TRIM('pay group &amp; schedule'!$A$2:$A$6),'pay group &amp; schedule'!$D$2:$D$6,0))</f>
        <v>46311</v>
      </c>
      <c r="N357" s="43" t="str">
        <f aca="false" t="array" ref="N357:N357">_xlfn.LET(_xlpm.t,_xlfn.XLOOKUP($A357,TRIM(SUBSTITUTE('worker file'!$A$2:$A$406,_xlfn.UNICHAR(160)," ")),'worker file'!$N$2:$N$406,""),IF(N(_xlpm.t)=0,"",_xlpm.t))</f>
        <v/>
      </c>
    </row>
    <row r="358" customFormat="false" ht="15" hidden="false" customHeight="false" outlineLevel="0" collapsed="false">
      <c r="A358" s="39" t="s">
        <v>222</v>
      </c>
      <c r="B358" s="40" t="str">
        <f aca="false" t="array" ref="B358:B358">_xlfn.XLOOKUP($A358,TRIM(SUBSTITUTE('worker file'!$A$2:$A$406,_xlfn.UNICHAR(160)," ")),'worker file'!$L$2:$L$406,"Not found")</f>
        <v>US Semi-monthly</v>
      </c>
      <c r="C358" s="40" t="str">
        <f aca="false" t="array" ref="C358:C358">_xlfn.XLOOKUP($A358,TRIM(SUBSTITUTE('worker file'!$A$2:$A$406,_xlfn.UNICHAR(160)," ")),'worker file'!$D$2:$D$406,"Not found")</f>
        <v>MA</v>
      </c>
      <c r="D358" s="40" t="str">
        <f aca="false" t="array" ref="D358:D358">_xlfn.XLOOKUP($A358,TRIM(SUBSTITUTE('worker file'!$A$2:$A$406,_xlfn.UNICHAR(160)," ")),'worker file'!$Q$2:$Q$406,"Not found")</f>
        <v>Active</v>
      </c>
      <c r="E358" s="39" t="s">
        <v>634</v>
      </c>
      <c r="F358" s="38" t="str">
        <f aca="false">_xlfn.XLOOKUP($E358,$A$5:$A$8,$B$5:$B$8,"")</f>
        <v>Vision – Employee</v>
      </c>
      <c r="G358" s="38" t="str">
        <f aca="false">_xlfn.XLOOKUP($E358,$A$5:$A$8,$D$5:$D$8,"")</f>
        <v>Pre-tax Section 125 (exempt from FIT/SIT/FICA)</v>
      </c>
      <c r="H358" s="38" t="str">
        <f aca="false">_xlfn.XLOOKUP($E358,$A$5:$A$8,$E$5:$E$8,"")</f>
        <v>Flat</v>
      </c>
      <c r="I358" s="44" t="str">
        <f aca="false">IF($H358="Percent",_xlfn.XLOOKUP($E358,$A$5:$A$8,$F$5:$F$8,""),"")</f>
        <v/>
      </c>
      <c r="J358" s="42" t="n">
        <f aca="false">IF($H358="Flat",_xlfn.XLOOKUP($E358,$A$5:$A$8,$F$5:$F$8,""),"")</f>
        <v>30</v>
      </c>
      <c r="K358" s="38" t="str">
        <f aca="false">_xlfn.XLOOKUP($E358,$A$5:$A$8,$G$5:$G$8,"")</f>
        <v>Per pay period</v>
      </c>
      <c r="L358" s="38" t="str">
        <f aca="false">_xlfn.XLOOKUP($E358,$A$5:$A$8,$H$5:$H$8,"")</f>
        <v>Every pay period (ongoing)</v>
      </c>
      <c r="M358" s="43" t="n">
        <f aca="false" t="array" ref="M358:M358">MAX(_xlfn.XLOOKUP($A358,TRIM(SUBSTITUTE('worker file'!$A$2:$A$406,_xlfn.UNICHAR(160)," ")),'worker file'!$M$2:$M$406,0),_xlfn.XLOOKUP($B358,TRIM('pay group &amp; schedule'!$A$2:$A$6),'pay group &amp; schedule'!$D$2:$D$6,0))</f>
        <v>46311</v>
      </c>
      <c r="N358" s="43" t="str">
        <f aca="false" t="array" ref="N358:N358">_xlfn.LET(_xlpm.t,_xlfn.XLOOKUP($A358,TRIM(SUBSTITUTE('worker file'!$A$2:$A$406,_xlfn.UNICHAR(160)," ")),'worker file'!$N$2:$N$406,""),IF(N(_xlpm.t)=0,"",_xlpm.t))</f>
        <v/>
      </c>
    </row>
    <row r="359" customFormat="false" ht="15" hidden="false" customHeight="false" outlineLevel="0" collapsed="false">
      <c r="A359" s="39" t="s">
        <v>226</v>
      </c>
      <c r="B359" s="40" t="str">
        <f aca="false" t="array" ref="B359:B359">_xlfn.XLOOKUP($A359,TRIM(SUBSTITUTE('worker file'!$A$2:$A$406,_xlfn.UNICHAR(160)," ")),'worker file'!$L$2:$L$406,"Not found")</f>
        <v>US Semi-monthly</v>
      </c>
      <c r="C359" s="40" t="str">
        <f aca="false" t="array" ref="C359:C359">_xlfn.XLOOKUP($A359,TRIM(SUBSTITUTE('worker file'!$A$2:$A$406,_xlfn.UNICHAR(160)," ")),'worker file'!$D$2:$D$406,"Not found")</f>
        <v>WA</v>
      </c>
      <c r="D359" s="40" t="str">
        <f aca="false" t="array" ref="D359:D359">_xlfn.XLOOKUP($A359,TRIM(SUBSTITUTE('worker file'!$A$2:$A$406,_xlfn.UNICHAR(160)," ")),'worker file'!$Q$2:$Q$406,"Not found")</f>
        <v>Active</v>
      </c>
      <c r="E359" s="39" t="s">
        <v>618</v>
      </c>
      <c r="F359" s="38" t="str">
        <f aca="false">_xlfn.XLOOKUP($E359,$A$5:$A$8,$B$5:$B$8,"")</f>
        <v>401(k) Employee Deferral</v>
      </c>
      <c r="G359" s="38" t="str">
        <f aca="false">_xlfn.XLOOKUP($E359,$A$5:$A$8,$D$5:$D$8,"")</f>
        <v>Pre-tax (exempt from FIT/SIT; subject to FICA)</v>
      </c>
      <c r="H359" s="38" t="str">
        <f aca="false">_xlfn.XLOOKUP($E359,$A$5:$A$8,$E$5:$E$8,"")</f>
        <v>Percent</v>
      </c>
      <c r="I359" s="41" t="n">
        <v>0</v>
      </c>
      <c r="J359" s="42" t="str">
        <f aca="false">IF($H359="Flat",_xlfn.XLOOKUP($E359,$A$5:$A$8,$F$5:$F$8,""),"")</f>
        <v/>
      </c>
      <c r="K359" s="38" t="str">
        <f aca="false">_xlfn.XLOOKUP($E359,$A$5:$A$8,$G$5:$G$8,"")</f>
        <v>Gross pay</v>
      </c>
      <c r="L359" s="38" t="str">
        <f aca="false">_xlfn.XLOOKUP($E359,$A$5:$A$8,$H$5:$H$8,"")</f>
        <v>Every pay period (ongoing)</v>
      </c>
      <c r="M359" s="43" t="n">
        <f aca="false" t="array" ref="M359:M359">MAX(_xlfn.XLOOKUP($A359,TRIM(SUBSTITUTE('worker file'!$A$2:$A$406,_xlfn.UNICHAR(160)," ")),'worker file'!$M$2:$M$406,0),_xlfn.XLOOKUP($B359,TRIM('pay group &amp; schedule'!$A$2:$A$6),'pay group &amp; schedule'!$D$2:$D$6,0))</f>
        <v>46311</v>
      </c>
      <c r="N359" s="43" t="str">
        <f aca="false" t="array" ref="N359:N359">_xlfn.LET(_xlpm.t,_xlfn.XLOOKUP($A359,TRIM(SUBSTITUTE('worker file'!$A$2:$A$406,_xlfn.UNICHAR(160)," ")),'worker file'!$N$2:$N$406,""),IF(N(_xlpm.t)=0,"",_xlpm.t))</f>
        <v/>
      </c>
    </row>
    <row r="360" customFormat="false" ht="15" hidden="false" customHeight="false" outlineLevel="0" collapsed="false">
      <c r="A360" s="39" t="s">
        <v>226</v>
      </c>
      <c r="B360" s="40" t="str">
        <f aca="false" t="array" ref="B360:B360">_xlfn.XLOOKUP($A360,TRIM(SUBSTITUTE('worker file'!$A$2:$A$406,_xlfn.UNICHAR(160)," ")),'worker file'!$L$2:$L$406,"Not found")</f>
        <v>US Semi-monthly</v>
      </c>
      <c r="C360" s="40" t="str">
        <f aca="false" t="array" ref="C360:C360">_xlfn.XLOOKUP($A360,TRIM(SUBSTITUTE('worker file'!$A$2:$A$406,_xlfn.UNICHAR(160)," ")),'worker file'!$D$2:$D$406,"Not found")</f>
        <v>WA</v>
      </c>
      <c r="D360" s="40" t="str">
        <f aca="false" t="array" ref="D360:D360">_xlfn.XLOOKUP($A360,TRIM(SUBSTITUTE('worker file'!$A$2:$A$406,_xlfn.UNICHAR(160)," ")),'worker file'!$Q$2:$Q$406,"Not found")</f>
        <v>Active</v>
      </c>
      <c r="E360" s="39" t="s">
        <v>626</v>
      </c>
      <c r="F360" s="38" t="str">
        <f aca="false">_xlfn.XLOOKUP($E360,$A$5:$A$8,$B$5:$B$8,"")</f>
        <v>Medical (Health) – Employee</v>
      </c>
      <c r="G360" s="38" t="str">
        <f aca="false">_xlfn.XLOOKUP($E360,$A$5:$A$8,$D$5:$D$8,"")</f>
        <v>Pre-tax Section 125 (exempt from FIT/SIT/FICA)</v>
      </c>
      <c r="H360" s="38" t="str">
        <f aca="false">_xlfn.XLOOKUP($E360,$A$5:$A$8,$E$5:$E$8,"")</f>
        <v>Flat</v>
      </c>
      <c r="I360" s="44" t="str">
        <f aca="false">IF($H360="Percent",_xlfn.XLOOKUP($E360,$A$5:$A$8,$F$5:$F$8,""),"")</f>
        <v/>
      </c>
      <c r="J360" s="42" t="n">
        <f aca="false">IF($H360="Flat",_xlfn.XLOOKUP($E360,$A$5:$A$8,$F$5:$F$8,""),"")</f>
        <v>200</v>
      </c>
      <c r="K360" s="38" t="str">
        <f aca="false">_xlfn.XLOOKUP($E360,$A$5:$A$8,$G$5:$G$8,"")</f>
        <v>Per pay period</v>
      </c>
      <c r="L360" s="38" t="str">
        <f aca="false">_xlfn.XLOOKUP($E360,$A$5:$A$8,$H$5:$H$8,"")</f>
        <v>Every pay period (ongoing)</v>
      </c>
      <c r="M360" s="43" t="n">
        <f aca="false" t="array" ref="M360:M360">MAX(_xlfn.XLOOKUP($A360,TRIM(SUBSTITUTE('worker file'!$A$2:$A$406,_xlfn.UNICHAR(160)," ")),'worker file'!$M$2:$M$406,0),_xlfn.XLOOKUP($B360,TRIM('pay group &amp; schedule'!$A$2:$A$6),'pay group &amp; schedule'!$D$2:$D$6,0))</f>
        <v>46311</v>
      </c>
      <c r="N360" s="43" t="str">
        <f aca="false" t="array" ref="N360:N360">_xlfn.LET(_xlpm.t,_xlfn.XLOOKUP($A360,TRIM(SUBSTITUTE('worker file'!$A$2:$A$406,_xlfn.UNICHAR(160)," ")),'worker file'!$N$2:$N$406,""),IF(N(_xlpm.t)=0,"",_xlpm.t))</f>
        <v/>
      </c>
    </row>
    <row r="361" customFormat="false" ht="15" hidden="false" customHeight="false" outlineLevel="0" collapsed="false">
      <c r="A361" s="39" t="s">
        <v>226</v>
      </c>
      <c r="B361" s="40" t="str">
        <f aca="false" t="array" ref="B361:B361">_xlfn.XLOOKUP($A361,TRIM(SUBSTITUTE('worker file'!$A$2:$A$406,_xlfn.UNICHAR(160)," ")),'worker file'!$L$2:$L$406,"Not found")</f>
        <v>US Semi-monthly</v>
      </c>
      <c r="C361" s="40" t="str">
        <f aca="false" t="array" ref="C361:C361">_xlfn.XLOOKUP($A361,TRIM(SUBSTITUTE('worker file'!$A$2:$A$406,_xlfn.UNICHAR(160)," ")),'worker file'!$D$2:$D$406,"Not found")</f>
        <v>WA</v>
      </c>
      <c r="D361" s="40" t="str">
        <f aca="false" t="array" ref="D361:D361">_xlfn.XLOOKUP($A361,TRIM(SUBSTITUTE('worker file'!$A$2:$A$406,_xlfn.UNICHAR(160)," ")),'worker file'!$Q$2:$Q$406,"Not found")</f>
        <v>Active</v>
      </c>
      <c r="E361" s="39" t="s">
        <v>632</v>
      </c>
      <c r="F361" s="38" t="str">
        <f aca="false">_xlfn.XLOOKUP($E361,$A$5:$A$8,$B$5:$B$8,"")</f>
        <v>Dental – Employee</v>
      </c>
      <c r="G361" s="38" t="str">
        <f aca="false">_xlfn.XLOOKUP($E361,$A$5:$A$8,$D$5:$D$8,"")</f>
        <v>Pre-tax Section 125 (exempt from FIT/SIT/FICA)</v>
      </c>
      <c r="H361" s="38" t="str">
        <f aca="false">_xlfn.XLOOKUP($E361,$A$5:$A$8,$E$5:$E$8,"")</f>
        <v>Flat</v>
      </c>
      <c r="I361" s="44" t="str">
        <f aca="false">IF($H361="Percent",_xlfn.XLOOKUP($E361,$A$5:$A$8,$F$5:$F$8,""),"")</f>
        <v/>
      </c>
      <c r="J361" s="42" t="n">
        <f aca="false">IF($H361="Flat",_xlfn.XLOOKUP($E361,$A$5:$A$8,$F$5:$F$8,""),"")</f>
        <v>44</v>
      </c>
      <c r="K361" s="38" t="str">
        <f aca="false">_xlfn.XLOOKUP($E361,$A$5:$A$8,$G$5:$G$8,"")</f>
        <v>Per pay period</v>
      </c>
      <c r="L361" s="38" t="str">
        <f aca="false">_xlfn.XLOOKUP($E361,$A$5:$A$8,$H$5:$H$8,"")</f>
        <v>Every pay period (ongoing)</v>
      </c>
      <c r="M361" s="43" t="n">
        <f aca="false" t="array" ref="M361:M361">MAX(_xlfn.XLOOKUP($A361,TRIM(SUBSTITUTE('worker file'!$A$2:$A$406,_xlfn.UNICHAR(160)," ")),'worker file'!$M$2:$M$406,0),_xlfn.XLOOKUP($B361,TRIM('pay group &amp; schedule'!$A$2:$A$6),'pay group &amp; schedule'!$D$2:$D$6,0))</f>
        <v>46311</v>
      </c>
      <c r="N361" s="43" t="str">
        <f aca="false" t="array" ref="N361:N361">_xlfn.LET(_xlpm.t,_xlfn.XLOOKUP($A361,TRIM(SUBSTITUTE('worker file'!$A$2:$A$406,_xlfn.UNICHAR(160)," ")),'worker file'!$N$2:$N$406,""),IF(N(_xlpm.t)=0,"",_xlpm.t))</f>
        <v/>
      </c>
    </row>
    <row r="362" customFormat="false" ht="15" hidden="false" customHeight="false" outlineLevel="0" collapsed="false">
      <c r="A362" s="39" t="s">
        <v>226</v>
      </c>
      <c r="B362" s="40" t="str">
        <f aca="false" t="array" ref="B362:B362">_xlfn.XLOOKUP($A362,TRIM(SUBSTITUTE('worker file'!$A$2:$A$406,_xlfn.UNICHAR(160)," ")),'worker file'!$L$2:$L$406,"Not found")</f>
        <v>US Semi-monthly</v>
      </c>
      <c r="C362" s="40" t="str">
        <f aca="false" t="array" ref="C362:C362">_xlfn.XLOOKUP($A362,TRIM(SUBSTITUTE('worker file'!$A$2:$A$406,_xlfn.UNICHAR(160)," ")),'worker file'!$D$2:$D$406,"Not found")</f>
        <v>WA</v>
      </c>
      <c r="D362" s="40" t="str">
        <f aca="false" t="array" ref="D362:D362">_xlfn.XLOOKUP($A362,TRIM(SUBSTITUTE('worker file'!$A$2:$A$406,_xlfn.UNICHAR(160)," ")),'worker file'!$Q$2:$Q$406,"Not found")</f>
        <v>Active</v>
      </c>
      <c r="E362" s="39" t="s">
        <v>634</v>
      </c>
      <c r="F362" s="38" t="str">
        <f aca="false">_xlfn.XLOOKUP($E362,$A$5:$A$8,$B$5:$B$8,"")</f>
        <v>Vision – Employee</v>
      </c>
      <c r="G362" s="38" t="str">
        <f aca="false">_xlfn.XLOOKUP($E362,$A$5:$A$8,$D$5:$D$8,"")</f>
        <v>Pre-tax Section 125 (exempt from FIT/SIT/FICA)</v>
      </c>
      <c r="H362" s="38" t="str">
        <f aca="false">_xlfn.XLOOKUP($E362,$A$5:$A$8,$E$5:$E$8,"")</f>
        <v>Flat</v>
      </c>
      <c r="I362" s="44" t="str">
        <f aca="false">IF($H362="Percent",_xlfn.XLOOKUP($E362,$A$5:$A$8,$F$5:$F$8,""),"")</f>
        <v/>
      </c>
      <c r="J362" s="42" t="n">
        <f aca="false">IF($H362="Flat",_xlfn.XLOOKUP($E362,$A$5:$A$8,$F$5:$F$8,""),"")</f>
        <v>30</v>
      </c>
      <c r="K362" s="38" t="str">
        <f aca="false">_xlfn.XLOOKUP($E362,$A$5:$A$8,$G$5:$G$8,"")</f>
        <v>Per pay period</v>
      </c>
      <c r="L362" s="38" t="str">
        <f aca="false">_xlfn.XLOOKUP($E362,$A$5:$A$8,$H$5:$H$8,"")</f>
        <v>Every pay period (ongoing)</v>
      </c>
      <c r="M362" s="43" t="n">
        <f aca="false" t="array" ref="M362:M362">MAX(_xlfn.XLOOKUP($A362,TRIM(SUBSTITUTE('worker file'!$A$2:$A$406,_xlfn.UNICHAR(160)," ")),'worker file'!$M$2:$M$406,0),_xlfn.XLOOKUP($B362,TRIM('pay group &amp; schedule'!$A$2:$A$6),'pay group &amp; schedule'!$D$2:$D$6,0))</f>
        <v>46311</v>
      </c>
      <c r="N362" s="43" t="str">
        <f aca="false" t="array" ref="N362:N362">_xlfn.LET(_xlpm.t,_xlfn.XLOOKUP($A362,TRIM(SUBSTITUTE('worker file'!$A$2:$A$406,_xlfn.UNICHAR(160)," ")),'worker file'!$N$2:$N$406,""),IF(N(_xlpm.t)=0,"",_xlpm.t))</f>
        <v/>
      </c>
    </row>
    <row r="363" customFormat="false" ht="15" hidden="false" customHeight="false" outlineLevel="0" collapsed="false">
      <c r="A363" s="39" t="s">
        <v>227</v>
      </c>
      <c r="B363" s="40" t="str">
        <f aca="false" t="array" ref="B363:B363">_xlfn.XLOOKUP($A363,TRIM(SUBSTITUTE('worker file'!$A$2:$A$406,_xlfn.UNICHAR(160)," ")),'worker file'!$L$2:$L$406,"Not found")</f>
        <v>US Semi-monthly</v>
      </c>
      <c r="C363" s="40" t="str">
        <f aca="false" t="array" ref="C363:C363">_xlfn.XLOOKUP($A363,TRIM(SUBSTITUTE('worker file'!$A$2:$A$406,_xlfn.UNICHAR(160)," ")),'worker file'!$D$2:$D$406,"Not found")</f>
        <v>CA</v>
      </c>
      <c r="D363" s="40" t="str">
        <f aca="false" t="array" ref="D363:D363">_xlfn.XLOOKUP($A363,TRIM(SUBSTITUTE('worker file'!$A$2:$A$406,_xlfn.UNICHAR(160)," ")),'worker file'!$Q$2:$Q$406,"Not found")</f>
        <v>Active</v>
      </c>
      <c r="E363" s="39" t="s">
        <v>618</v>
      </c>
      <c r="F363" s="38" t="str">
        <f aca="false">_xlfn.XLOOKUP($E363,$A$5:$A$8,$B$5:$B$8,"")</f>
        <v>401(k) Employee Deferral</v>
      </c>
      <c r="G363" s="38" t="str">
        <f aca="false">_xlfn.XLOOKUP($E363,$A$5:$A$8,$D$5:$D$8,"")</f>
        <v>Pre-tax (exempt from FIT/SIT; subject to FICA)</v>
      </c>
      <c r="H363" s="38" t="str">
        <f aca="false">_xlfn.XLOOKUP($E363,$A$5:$A$8,$E$5:$E$8,"")</f>
        <v>Percent</v>
      </c>
      <c r="I363" s="41" t="n">
        <v>0.05</v>
      </c>
      <c r="J363" s="42" t="str">
        <f aca="false">IF($H363="Flat",_xlfn.XLOOKUP($E363,$A$5:$A$8,$F$5:$F$8,""),"")</f>
        <v/>
      </c>
      <c r="K363" s="38" t="str">
        <f aca="false">_xlfn.XLOOKUP($E363,$A$5:$A$8,$G$5:$G$8,"")</f>
        <v>Gross pay</v>
      </c>
      <c r="L363" s="38" t="str">
        <f aca="false">_xlfn.XLOOKUP($E363,$A$5:$A$8,$H$5:$H$8,"")</f>
        <v>Every pay period (ongoing)</v>
      </c>
      <c r="M363" s="43" t="n">
        <f aca="false" t="array" ref="M363:M363">MAX(_xlfn.XLOOKUP($A363,TRIM(SUBSTITUTE('worker file'!$A$2:$A$406,_xlfn.UNICHAR(160)," ")),'worker file'!$M$2:$M$406,0),_xlfn.XLOOKUP($B363,TRIM('pay group &amp; schedule'!$A$2:$A$6),'pay group &amp; schedule'!$D$2:$D$6,0))</f>
        <v>46311</v>
      </c>
      <c r="N363" s="43" t="str">
        <f aca="false" t="array" ref="N363:N363">_xlfn.LET(_xlpm.t,_xlfn.XLOOKUP($A363,TRIM(SUBSTITUTE('worker file'!$A$2:$A$406,_xlfn.UNICHAR(160)," ")),'worker file'!$N$2:$N$406,""),IF(N(_xlpm.t)=0,"",_xlpm.t))</f>
        <v/>
      </c>
    </row>
    <row r="364" customFormat="false" ht="15" hidden="false" customHeight="false" outlineLevel="0" collapsed="false">
      <c r="A364" s="39" t="s">
        <v>227</v>
      </c>
      <c r="B364" s="40" t="str">
        <f aca="false" t="array" ref="B364:B364">_xlfn.XLOOKUP($A364,TRIM(SUBSTITUTE('worker file'!$A$2:$A$406,_xlfn.UNICHAR(160)," ")),'worker file'!$L$2:$L$406,"Not found")</f>
        <v>US Semi-monthly</v>
      </c>
      <c r="C364" s="40" t="str">
        <f aca="false" t="array" ref="C364:C364">_xlfn.XLOOKUP($A364,TRIM(SUBSTITUTE('worker file'!$A$2:$A$406,_xlfn.UNICHAR(160)," ")),'worker file'!$D$2:$D$406,"Not found")</f>
        <v>CA</v>
      </c>
      <c r="D364" s="40" t="str">
        <f aca="false" t="array" ref="D364:D364">_xlfn.XLOOKUP($A364,TRIM(SUBSTITUTE('worker file'!$A$2:$A$406,_xlfn.UNICHAR(160)," ")),'worker file'!$Q$2:$Q$406,"Not found")</f>
        <v>Active</v>
      </c>
      <c r="E364" s="39" t="s">
        <v>626</v>
      </c>
      <c r="F364" s="38" t="str">
        <f aca="false">_xlfn.XLOOKUP($E364,$A$5:$A$8,$B$5:$B$8,"")</f>
        <v>Medical (Health) – Employee</v>
      </c>
      <c r="G364" s="38" t="str">
        <f aca="false">_xlfn.XLOOKUP($E364,$A$5:$A$8,$D$5:$D$8,"")</f>
        <v>Pre-tax Section 125 (exempt from FIT/SIT/FICA)</v>
      </c>
      <c r="H364" s="38" t="str">
        <f aca="false">_xlfn.XLOOKUP($E364,$A$5:$A$8,$E$5:$E$8,"")</f>
        <v>Flat</v>
      </c>
      <c r="I364" s="44" t="str">
        <f aca="false">IF($H364="Percent",_xlfn.XLOOKUP($E364,$A$5:$A$8,$F$5:$F$8,""),"")</f>
        <v/>
      </c>
      <c r="J364" s="42" t="n">
        <f aca="false">IF($H364="Flat",_xlfn.XLOOKUP($E364,$A$5:$A$8,$F$5:$F$8,""),"")</f>
        <v>200</v>
      </c>
      <c r="K364" s="38" t="str">
        <f aca="false">_xlfn.XLOOKUP($E364,$A$5:$A$8,$G$5:$G$8,"")</f>
        <v>Per pay period</v>
      </c>
      <c r="L364" s="38" t="str">
        <f aca="false">_xlfn.XLOOKUP($E364,$A$5:$A$8,$H$5:$H$8,"")</f>
        <v>Every pay period (ongoing)</v>
      </c>
      <c r="M364" s="43" t="n">
        <f aca="false" t="array" ref="M364:M364">MAX(_xlfn.XLOOKUP($A364,TRIM(SUBSTITUTE('worker file'!$A$2:$A$406,_xlfn.UNICHAR(160)," ")),'worker file'!$M$2:$M$406,0),_xlfn.XLOOKUP($B364,TRIM('pay group &amp; schedule'!$A$2:$A$6),'pay group &amp; schedule'!$D$2:$D$6,0))</f>
        <v>46311</v>
      </c>
      <c r="N364" s="43" t="str">
        <f aca="false" t="array" ref="N364:N364">_xlfn.LET(_xlpm.t,_xlfn.XLOOKUP($A364,TRIM(SUBSTITUTE('worker file'!$A$2:$A$406,_xlfn.UNICHAR(160)," ")),'worker file'!$N$2:$N$406,""),IF(N(_xlpm.t)=0,"",_xlpm.t))</f>
        <v/>
      </c>
    </row>
    <row r="365" customFormat="false" ht="15" hidden="false" customHeight="false" outlineLevel="0" collapsed="false">
      <c r="A365" s="39" t="s">
        <v>227</v>
      </c>
      <c r="B365" s="40" t="str">
        <f aca="false" t="array" ref="B365:B365">_xlfn.XLOOKUP($A365,TRIM(SUBSTITUTE('worker file'!$A$2:$A$406,_xlfn.UNICHAR(160)," ")),'worker file'!$L$2:$L$406,"Not found")</f>
        <v>US Semi-monthly</v>
      </c>
      <c r="C365" s="40" t="str">
        <f aca="false" t="array" ref="C365:C365">_xlfn.XLOOKUP($A365,TRIM(SUBSTITUTE('worker file'!$A$2:$A$406,_xlfn.UNICHAR(160)," ")),'worker file'!$D$2:$D$406,"Not found")</f>
        <v>CA</v>
      </c>
      <c r="D365" s="40" t="str">
        <f aca="false" t="array" ref="D365:D365">_xlfn.XLOOKUP($A365,TRIM(SUBSTITUTE('worker file'!$A$2:$A$406,_xlfn.UNICHAR(160)," ")),'worker file'!$Q$2:$Q$406,"Not found")</f>
        <v>Active</v>
      </c>
      <c r="E365" s="39" t="s">
        <v>632</v>
      </c>
      <c r="F365" s="38" t="str">
        <f aca="false">_xlfn.XLOOKUP($E365,$A$5:$A$8,$B$5:$B$8,"")</f>
        <v>Dental – Employee</v>
      </c>
      <c r="G365" s="38" t="str">
        <f aca="false">_xlfn.XLOOKUP($E365,$A$5:$A$8,$D$5:$D$8,"")</f>
        <v>Pre-tax Section 125 (exempt from FIT/SIT/FICA)</v>
      </c>
      <c r="H365" s="38" t="str">
        <f aca="false">_xlfn.XLOOKUP($E365,$A$5:$A$8,$E$5:$E$8,"")</f>
        <v>Flat</v>
      </c>
      <c r="I365" s="44" t="str">
        <f aca="false">IF($H365="Percent",_xlfn.XLOOKUP($E365,$A$5:$A$8,$F$5:$F$8,""),"")</f>
        <v/>
      </c>
      <c r="J365" s="42" t="n">
        <f aca="false">IF($H365="Flat",_xlfn.XLOOKUP($E365,$A$5:$A$8,$F$5:$F$8,""),"")</f>
        <v>44</v>
      </c>
      <c r="K365" s="38" t="str">
        <f aca="false">_xlfn.XLOOKUP($E365,$A$5:$A$8,$G$5:$G$8,"")</f>
        <v>Per pay period</v>
      </c>
      <c r="L365" s="38" t="str">
        <f aca="false">_xlfn.XLOOKUP($E365,$A$5:$A$8,$H$5:$H$8,"")</f>
        <v>Every pay period (ongoing)</v>
      </c>
      <c r="M365" s="43" t="n">
        <f aca="false" t="array" ref="M365:M365">MAX(_xlfn.XLOOKUP($A365,TRIM(SUBSTITUTE('worker file'!$A$2:$A$406,_xlfn.UNICHAR(160)," ")),'worker file'!$M$2:$M$406,0),_xlfn.XLOOKUP($B365,TRIM('pay group &amp; schedule'!$A$2:$A$6),'pay group &amp; schedule'!$D$2:$D$6,0))</f>
        <v>46311</v>
      </c>
      <c r="N365" s="43" t="str">
        <f aca="false" t="array" ref="N365:N365">_xlfn.LET(_xlpm.t,_xlfn.XLOOKUP($A365,TRIM(SUBSTITUTE('worker file'!$A$2:$A$406,_xlfn.UNICHAR(160)," ")),'worker file'!$N$2:$N$406,""),IF(N(_xlpm.t)=0,"",_xlpm.t))</f>
        <v/>
      </c>
    </row>
    <row r="366" customFormat="false" ht="15" hidden="false" customHeight="false" outlineLevel="0" collapsed="false">
      <c r="A366" s="39" t="s">
        <v>227</v>
      </c>
      <c r="B366" s="40" t="str">
        <f aca="false" t="array" ref="B366:B366">_xlfn.XLOOKUP($A366,TRIM(SUBSTITUTE('worker file'!$A$2:$A$406,_xlfn.UNICHAR(160)," ")),'worker file'!$L$2:$L$406,"Not found")</f>
        <v>US Semi-monthly</v>
      </c>
      <c r="C366" s="40" t="str">
        <f aca="false" t="array" ref="C366:C366">_xlfn.XLOOKUP($A366,TRIM(SUBSTITUTE('worker file'!$A$2:$A$406,_xlfn.UNICHAR(160)," ")),'worker file'!$D$2:$D$406,"Not found")</f>
        <v>CA</v>
      </c>
      <c r="D366" s="40" t="str">
        <f aca="false" t="array" ref="D366:D366">_xlfn.XLOOKUP($A366,TRIM(SUBSTITUTE('worker file'!$A$2:$A$406,_xlfn.UNICHAR(160)," ")),'worker file'!$Q$2:$Q$406,"Not found")</f>
        <v>Active</v>
      </c>
      <c r="E366" s="39" t="s">
        <v>634</v>
      </c>
      <c r="F366" s="38" t="str">
        <f aca="false">_xlfn.XLOOKUP($E366,$A$5:$A$8,$B$5:$B$8,"")</f>
        <v>Vision – Employee</v>
      </c>
      <c r="G366" s="38" t="str">
        <f aca="false">_xlfn.XLOOKUP($E366,$A$5:$A$8,$D$5:$D$8,"")</f>
        <v>Pre-tax Section 125 (exempt from FIT/SIT/FICA)</v>
      </c>
      <c r="H366" s="38" t="str">
        <f aca="false">_xlfn.XLOOKUP($E366,$A$5:$A$8,$E$5:$E$8,"")</f>
        <v>Flat</v>
      </c>
      <c r="I366" s="44" t="str">
        <f aca="false">IF($H366="Percent",_xlfn.XLOOKUP($E366,$A$5:$A$8,$F$5:$F$8,""),"")</f>
        <v/>
      </c>
      <c r="J366" s="42" t="n">
        <f aca="false">IF($H366="Flat",_xlfn.XLOOKUP($E366,$A$5:$A$8,$F$5:$F$8,""),"")</f>
        <v>30</v>
      </c>
      <c r="K366" s="38" t="str">
        <f aca="false">_xlfn.XLOOKUP($E366,$A$5:$A$8,$G$5:$G$8,"")</f>
        <v>Per pay period</v>
      </c>
      <c r="L366" s="38" t="str">
        <f aca="false">_xlfn.XLOOKUP($E366,$A$5:$A$8,$H$5:$H$8,"")</f>
        <v>Every pay period (ongoing)</v>
      </c>
      <c r="M366" s="43" t="n">
        <f aca="false" t="array" ref="M366:M366">MAX(_xlfn.XLOOKUP($A366,TRIM(SUBSTITUTE('worker file'!$A$2:$A$406,_xlfn.UNICHAR(160)," ")),'worker file'!$M$2:$M$406,0),_xlfn.XLOOKUP($B366,TRIM('pay group &amp; schedule'!$A$2:$A$6),'pay group &amp; schedule'!$D$2:$D$6,0))</f>
        <v>46311</v>
      </c>
      <c r="N366" s="43" t="str">
        <f aca="false" t="array" ref="N366:N366">_xlfn.LET(_xlpm.t,_xlfn.XLOOKUP($A366,TRIM(SUBSTITUTE('worker file'!$A$2:$A$406,_xlfn.UNICHAR(160)," ")),'worker file'!$N$2:$N$406,""),IF(N(_xlpm.t)=0,"",_xlpm.t))</f>
        <v/>
      </c>
    </row>
    <row r="367" customFormat="false" ht="15" hidden="false" customHeight="false" outlineLevel="0" collapsed="false">
      <c r="A367" s="39" t="s">
        <v>228</v>
      </c>
      <c r="B367" s="40" t="str">
        <f aca="false" t="array" ref="B367:B367">_xlfn.XLOOKUP($A367,TRIM(SUBSTITUTE('worker file'!$A$2:$A$406,_xlfn.UNICHAR(160)," ")),'worker file'!$L$2:$L$406,"Not found")</f>
        <v>US Semi-monthly</v>
      </c>
      <c r="C367" s="40" t="str">
        <f aca="false" t="array" ref="C367:C367">_xlfn.XLOOKUP($A367,TRIM(SUBSTITUTE('worker file'!$A$2:$A$406,_xlfn.UNICHAR(160)," ")),'worker file'!$D$2:$D$406,"Not found")</f>
        <v>WA</v>
      </c>
      <c r="D367" s="40" t="str">
        <f aca="false" t="array" ref="D367:D367">_xlfn.XLOOKUP($A367,TRIM(SUBSTITUTE('worker file'!$A$2:$A$406,_xlfn.UNICHAR(160)," ")),'worker file'!$Q$2:$Q$406,"Not found")</f>
        <v>Active</v>
      </c>
      <c r="E367" s="39" t="s">
        <v>626</v>
      </c>
      <c r="F367" s="38" t="str">
        <f aca="false">_xlfn.XLOOKUP($E367,$A$5:$A$8,$B$5:$B$8,"")</f>
        <v>Medical (Health) – Employee</v>
      </c>
      <c r="G367" s="38" t="str">
        <f aca="false">_xlfn.XLOOKUP($E367,$A$5:$A$8,$D$5:$D$8,"")</f>
        <v>Pre-tax Section 125 (exempt from FIT/SIT/FICA)</v>
      </c>
      <c r="H367" s="38" t="str">
        <f aca="false">_xlfn.XLOOKUP($E367,$A$5:$A$8,$E$5:$E$8,"")</f>
        <v>Flat</v>
      </c>
      <c r="I367" s="44" t="str">
        <f aca="false">IF($H367="Percent",_xlfn.XLOOKUP($E367,$A$5:$A$8,$F$5:$F$8,""),"")</f>
        <v/>
      </c>
      <c r="J367" s="42" t="n">
        <f aca="false">IF($H367="Flat",_xlfn.XLOOKUP($E367,$A$5:$A$8,$F$5:$F$8,""),"")</f>
        <v>200</v>
      </c>
      <c r="K367" s="38" t="str">
        <f aca="false">_xlfn.XLOOKUP($E367,$A$5:$A$8,$G$5:$G$8,"")</f>
        <v>Per pay period</v>
      </c>
      <c r="L367" s="38" t="str">
        <f aca="false">_xlfn.XLOOKUP($E367,$A$5:$A$8,$H$5:$H$8,"")</f>
        <v>Every pay period (ongoing)</v>
      </c>
      <c r="M367" s="43" t="n">
        <f aca="false" t="array" ref="M367:M367">MAX(_xlfn.XLOOKUP($A367,TRIM(SUBSTITUTE('worker file'!$A$2:$A$406,_xlfn.UNICHAR(160)," ")),'worker file'!$M$2:$M$406,0),_xlfn.XLOOKUP($B367,TRIM('pay group &amp; schedule'!$A$2:$A$6),'pay group &amp; schedule'!$D$2:$D$6,0))</f>
        <v>46311</v>
      </c>
      <c r="N367" s="43" t="str">
        <f aca="false" t="array" ref="N367:N367">_xlfn.LET(_xlpm.t,_xlfn.XLOOKUP($A367,TRIM(SUBSTITUTE('worker file'!$A$2:$A$406,_xlfn.UNICHAR(160)," ")),'worker file'!$N$2:$N$406,""),IF(N(_xlpm.t)=0,"",_xlpm.t))</f>
        <v/>
      </c>
    </row>
    <row r="368" customFormat="false" ht="15" hidden="false" customHeight="false" outlineLevel="0" collapsed="false">
      <c r="A368" s="39" t="s">
        <v>228</v>
      </c>
      <c r="B368" s="40" t="str">
        <f aca="false" t="array" ref="B368:B368">_xlfn.XLOOKUP($A368,TRIM(SUBSTITUTE('worker file'!$A$2:$A$406,_xlfn.UNICHAR(160)," ")),'worker file'!$L$2:$L$406,"Not found")</f>
        <v>US Semi-monthly</v>
      </c>
      <c r="C368" s="40" t="str">
        <f aca="false" t="array" ref="C368:C368">_xlfn.XLOOKUP($A368,TRIM(SUBSTITUTE('worker file'!$A$2:$A$406,_xlfn.UNICHAR(160)," ")),'worker file'!$D$2:$D$406,"Not found")</f>
        <v>WA</v>
      </c>
      <c r="D368" s="40" t="str">
        <f aca="false" t="array" ref="D368:D368">_xlfn.XLOOKUP($A368,TRIM(SUBSTITUTE('worker file'!$A$2:$A$406,_xlfn.UNICHAR(160)," ")),'worker file'!$Q$2:$Q$406,"Not found")</f>
        <v>Active</v>
      </c>
      <c r="E368" s="39" t="s">
        <v>632</v>
      </c>
      <c r="F368" s="38" t="str">
        <f aca="false">_xlfn.XLOOKUP($E368,$A$5:$A$8,$B$5:$B$8,"")</f>
        <v>Dental – Employee</v>
      </c>
      <c r="G368" s="38" t="str">
        <f aca="false">_xlfn.XLOOKUP($E368,$A$5:$A$8,$D$5:$D$8,"")</f>
        <v>Pre-tax Section 125 (exempt from FIT/SIT/FICA)</v>
      </c>
      <c r="H368" s="38" t="str">
        <f aca="false">_xlfn.XLOOKUP($E368,$A$5:$A$8,$E$5:$E$8,"")</f>
        <v>Flat</v>
      </c>
      <c r="I368" s="44" t="str">
        <f aca="false">IF($H368="Percent",_xlfn.XLOOKUP($E368,$A$5:$A$8,$F$5:$F$8,""),"")</f>
        <v/>
      </c>
      <c r="J368" s="42" t="n">
        <f aca="false">IF($H368="Flat",_xlfn.XLOOKUP($E368,$A$5:$A$8,$F$5:$F$8,""),"")</f>
        <v>44</v>
      </c>
      <c r="K368" s="38" t="str">
        <f aca="false">_xlfn.XLOOKUP($E368,$A$5:$A$8,$G$5:$G$8,"")</f>
        <v>Per pay period</v>
      </c>
      <c r="L368" s="38" t="str">
        <f aca="false">_xlfn.XLOOKUP($E368,$A$5:$A$8,$H$5:$H$8,"")</f>
        <v>Every pay period (ongoing)</v>
      </c>
      <c r="M368" s="43" t="n">
        <f aca="false" t="array" ref="M368:M368">MAX(_xlfn.XLOOKUP($A368,TRIM(SUBSTITUTE('worker file'!$A$2:$A$406,_xlfn.UNICHAR(160)," ")),'worker file'!$M$2:$M$406,0),_xlfn.XLOOKUP($B368,TRIM('pay group &amp; schedule'!$A$2:$A$6),'pay group &amp; schedule'!$D$2:$D$6,0))</f>
        <v>46311</v>
      </c>
      <c r="N368" s="43" t="str">
        <f aca="false" t="array" ref="N368:N368">_xlfn.LET(_xlpm.t,_xlfn.XLOOKUP($A368,TRIM(SUBSTITUTE('worker file'!$A$2:$A$406,_xlfn.UNICHAR(160)," ")),'worker file'!$N$2:$N$406,""),IF(N(_xlpm.t)=0,"",_xlpm.t))</f>
        <v/>
      </c>
    </row>
    <row r="369" customFormat="false" ht="15" hidden="false" customHeight="false" outlineLevel="0" collapsed="false">
      <c r="A369" s="39" t="s">
        <v>228</v>
      </c>
      <c r="B369" s="40" t="str">
        <f aca="false" t="array" ref="B369:B369">_xlfn.XLOOKUP($A369,TRIM(SUBSTITUTE('worker file'!$A$2:$A$406,_xlfn.UNICHAR(160)," ")),'worker file'!$L$2:$L$406,"Not found")</f>
        <v>US Semi-monthly</v>
      </c>
      <c r="C369" s="40" t="str">
        <f aca="false" t="array" ref="C369:C369">_xlfn.XLOOKUP($A369,TRIM(SUBSTITUTE('worker file'!$A$2:$A$406,_xlfn.UNICHAR(160)," ")),'worker file'!$D$2:$D$406,"Not found")</f>
        <v>WA</v>
      </c>
      <c r="D369" s="40" t="str">
        <f aca="false" t="array" ref="D369:D369">_xlfn.XLOOKUP($A369,TRIM(SUBSTITUTE('worker file'!$A$2:$A$406,_xlfn.UNICHAR(160)," ")),'worker file'!$Q$2:$Q$406,"Not found")</f>
        <v>Active</v>
      </c>
      <c r="E369" s="39" t="s">
        <v>634</v>
      </c>
      <c r="F369" s="38" t="str">
        <f aca="false">_xlfn.XLOOKUP($E369,$A$5:$A$8,$B$5:$B$8,"")</f>
        <v>Vision – Employee</v>
      </c>
      <c r="G369" s="38" t="str">
        <f aca="false">_xlfn.XLOOKUP($E369,$A$5:$A$8,$D$5:$D$8,"")</f>
        <v>Pre-tax Section 125 (exempt from FIT/SIT/FICA)</v>
      </c>
      <c r="H369" s="38" t="str">
        <f aca="false">_xlfn.XLOOKUP($E369,$A$5:$A$8,$E$5:$E$8,"")</f>
        <v>Flat</v>
      </c>
      <c r="I369" s="44" t="str">
        <f aca="false">IF($H369="Percent",_xlfn.XLOOKUP($E369,$A$5:$A$8,$F$5:$F$8,""),"")</f>
        <v/>
      </c>
      <c r="J369" s="42" t="n">
        <f aca="false">IF($H369="Flat",_xlfn.XLOOKUP($E369,$A$5:$A$8,$F$5:$F$8,""),"")</f>
        <v>30</v>
      </c>
      <c r="K369" s="38" t="str">
        <f aca="false">_xlfn.XLOOKUP($E369,$A$5:$A$8,$G$5:$G$8,"")</f>
        <v>Per pay period</v>
      </c>
      <c r="L369" s="38" t="str">
        <f aca="false">_xlfn.XLOOKUP($E369,$A$5:$A$8,$H$5:$H$8,"")</f>
        <v>Every pay period (ongoing)</v>
      </c>
      <c r="M369" s="43" t="n">
        <f aca="false" t="array" ref="M369:M369">MAX(_xlfn.XLOOKUP($A369,TRIM(SUBSTITUTE('worker file'!$A$2:$A$406,_xlfn.UNICHAR(160)," ")),'worker file'!$M$2:$M$406,0),_xlfn.XLOOKUP($B369,TRIM('pay group &amp; schedule'!$A$2:$A$6),'pay group &amp; schedule'!$D$2:$D$6,0))</f>
        <v>46311</v>
      </c>
      <c r="N369" s="43" t="str">
        <f aca="false" t="array" ref="N369:N369">_xlfn.LET(_xlpm.t,_xlfn.XLOOKUP($A369,TRIM(SUBSTITUTE('worker file'!$A$2:$A$406,_xlfn.UNICHAR(160)," ")),'worker file'!$N$2:$N$406,""),IF(N(_xlpm.t)=0,"",_xlpm.t))</f>
        <v/>
      </c>
    </row>
    <row r="370" customFormat="false" ht="15" hidden="false" customHeight="false" outlineLevel="0" collapsed="false">
      <c r="A370" s="39" t="s">
        <v>229</v>
      </c>
      <c r="B370" s="40" t="str">
        <f aca="false" t="array" ref="B370:B370">_xlfn.XLOOKUP($A370,TRIM(SUBSTITUTE('worker file'!$A$2:$A$406,_xlfn.UNICHAR(160)," ")),'worker file'!$L$2:$L$406,"Not found")</f>
        <v>US Semi-monthly</v>
      </c>
      <c r="C370" s="40" t="str">
        <f aca="false" t="array" ref="C370:C370">_xlfn.XLOOKUP($A370,TRIM(SUBSTITUTE('worker file'!$A$2:$A$406,_xlfn.UNICHAR(160)," ")),'worker file'!$D$2:$D$406,"Not found")</f>
        <v>CA</v>
      </c>
      <c r="D370" s="40" t="str">
        <f aca="false" t="array" ref="D370:D370">_xlfn.XLOOKUP($A370,TRIM(SUBSTITUTE('worker file'!$A$2:$A$406,_xlfn.UNICHAR(160)," ")),'worker file'!$Q$2:$Q$406,"Not found")</f>
        <v>Active</v>
      </c>
      <c r="E370" s="39" t="s">
        <v>618</v>
      </c>
      <c r="F370" s="38" t="str">
        <f aca="false">_xlfn.XLOOKUP($E370,$A$5:$A$8,$B$5:$B$8,"")</f>
        <v>401(k) Employee Deferral</v>
      </c>
      <c r="G370" s="38" t="str">
        <f aca="false">_xlfn.XLOOKUP($E370,$A$5:$A$8,$D$5:$D$8,"")</f>
        <v>Pre-tax (exempt from FIT/SIT; subject to FICA)</v>
      </c>
      <c r="H370" s="38" t="str">
        <f aca="false">_xlfn.XLOOKUP($E370,$A$5:$A$8,$E$5:$E$8,"")</f>
        <v>Percent</v>
      </c>
      <c r="I370" s="41" t="n">
        <v>0.07</v>
      </c>
      <c r="J370" s="42" t="str">
        <f aca="false">IF($H370="Flat",_xlfn.XLOOKUP($E370,$A$5:$A$8,$F$5:$F$8,""),"")</f>
        <v/>
      </c>
      <c r="K370" s="38" t="str">
        <f aca="false">_xlfn.XLOOKUP($E370,$A$5:$A$8,$G$5:$G$8,"")</f>
        <v>Gross pay</v>
      </c>
      <c r="L370" s="38" t="str">
        <f aca="false">_xlfn.XLOOKUP($E370,$A$5:$A$8,$H$5:$H$8,"")</f>
        <v>Every pay period (ongoing)</v>
      </c>
      <c r="M370" s="43" t="n">
        <f aca="false" t="array" ref="M370:M370">MAX(_xlfn.XLOOKUP($A370,TRIM(SUBSTITUTE('worker file'!$A$2:$A$406,_xlfn.UNICHAR(160)," ")),'worker file'!$M$2:$M$406,0),_xlfn.XLOOKUP($B370,TRIM('pay group &amp; schedule'!$A$2:$A$6),'pay group &amp; schedule'!$D$2:$D$6,0))</f>
        <v>46311</v>
      </c>
      <c r="N370" s="43" t="str">
        <f aca="false" t="array" ref="N370:N370">_xlfn.LET(_xlpm.t,_xlfn.XLOOKUP($A370,TRIM(SUBSTITUTE('worker file'!$A$2:$A$406,_xlfn.UNICHAR(160)," ")),'worker file'!$N$2:$N$406,""),IF(N(_xlpm.t)=0,"",_xlpm.t))</f>
        <v/>
      </c>
    </row>
    <row r="371" customFormat="false" ht="15" hidden="false" customHeight="false" outlineLevel="0" collapsed="false">
      <c r="A371" s="39" t="s">
        <v>229</v>
      </c>
      <c r="B371" s="40" t="str">
        <f aca="false" t="array" ref="B371:B371">_xlfn.XLOOKUP($A371,TRIM(SUBSTITUTE('worker file'!$A$2:$A$406,_xlfn.UNICHAR(160)," ")),'worker file'!$L$2:$L$406,"Not found")</f>
        <v>US Semi-monthly</v>
      </c>
      <c r="C371" s="40" t="str">
        <f aca="false" t="array" ref="C371:C371">_xlfn.XLOOKUP($A371,TRIM(SUBSTITUTE('worker file'!$A$2:$A$406,_xlfn.UNICHAR(160)," ")),'worker file'!$D$2:$D$406,"Not found")</f>
        <v>CA</v>
      </c>
      <c r="D371" s="40" t="str">
        <f aca="false" t="array" ref="D371:D371">_xlfn.XLOOKUP($A371,TRIM(SUBSTITUTE('worker file'!$A$2:$A$406,_xlfn.UNICHAR(160)," ")),'worker file'!$Q$2:$Q$406,"Not found")</f>
        <v>Active</v>
      </c>
      <c r="E371" s="39" t="s">
        <v>626</v>
      </c>
      <c r="F371" s="38" t="str">
        <f aca="false">_xlfn.XLOOKUP($E371,$A$5:$A$8,$B$5:$B$8,"")</f>
        <v>Medical (Health) – Employee</v>
      </c>
      <c r="G371" s="38" t="str">
        <f aca="false">_xlfn.XLOOKUP($E371,$A$5:$A$8,$D$5:$D$8,"")</f>
        <v>Pre-tax Section 125 (exempt from FIT/SIT/FICA)</v>
      </c>
      <c r="H371" s="38" t="str">
        <f aca="false">_xlfn.XLOOKUP($E371,$A$5:$A$8,$E$5:$E$8,"")</f>
        <v>Flat</v>
      </c>
      <c r="I371" s="44" t="str">
        <f aca="false">IF($H371="Percent",_xlfn.XLOOKUP($E371,$A$5:$A$8,$F$5:$F$8,""),"")</f>
        <v/>
      </c>
      <c r="J371" s="42" t="n">
        <f aca="false">IF($H371="Flat",_xlfn.XLOOKUP($E371,$A$5:$A$8,$F$5:$F$8,""),"")</f>
        <v>200</v>
      </c>
      <c r="K371" s="38" t="str">
        <f aca="false">_xlfn.XLOOKUP($E371,$A$5:$A$8,$G$5:$G$8,"")</f>
        <v>Per pay period</v>
      </c>
      <c r="L371" s="38" t="str">
        <f aca="false">_xlfn.XLOOKUP($E371,$A$5:$A$8,$H$5:$H$8,"")</f>
        <v>Every pay period (ongoing)</v>
      </c>
      <c r="M371" s="43" t="n">
        <f aca="false" t="array" ref="M371:M371">MAX(_xlfn.XLOOKUP($A371,TRIM(SUBSTITUTE('worker file'!$A$2:$A$406,_xlfn.UNICHAR(160)," ")),'worker file'!$M$2:$M$406,0),_xlfn.XLOOKUP($B371,TRIM('pay group &amp; schedule'!$A$2:$A$6),'pay group &amp; schedule'!$D$2:$D$6,0))</f>
        <v>46311</v>
      </c>
      <c r="N371" s="43" t="str">
        <f aca="false" t="array" ref="N371:N371">_xlfn.LET(_xlpm.t,_xlfn.XLOOKUP($A371,TRIM(SUBSTITUTE('worker file'!$A$2:$A$406,_xlfn.UNICHAR(160)," ")),'worker file'!$N$2:$N$406,""),IF(N(_xlpm.t)=0,"",_xlpm.t))</f>
        <v/>
      </c>
    </row>
    <row r="372" customFormat="false" ht="15" hidden="false" customHeight="false" outlineLevel="0" collapsed="false">
      <c r="A372" s="39" t="s">
        <v>229</v>
      </c>
      <c r="B372" s="40" t="str">
        <f aca="false" t="array" ref="B372:B372">_xlfn.XLOOKUP($A372,TRIM(SUBSTITUTE('worker file'!$A$2:$A$406,_xlfn.UNICHAR(160)," ")),'worker file'!$L$2:$L$406,"Not found")</f>
        <v>US Semi-monthly</v>
      </c>
      <c r="C372" s="40" t="str">
        <f aca="false" t="array" ref="C372:C372">_xlfn.XLOOKUP($A372,TRIM(SUBSTITUTE('worker file'!$A$2:$A$406,_xlfn.UNICHAR(160)," ")),'worker file'!$D$2:$D$406,"Not found")</f>
        <v>CA</v>
      </c>
      <c r="D372" s="40" t="str">
        <f aca="false" t="array" ref="D372:D372">_xlfn.XLOOKUP($A372,TRIM(SUBSTITUTE('worker file'!$A$2:$A$406,_xlfn.UNICHAR(160)," ")),'worker file'!$Q$2:$Q$406,"Not found")</f>
        <v>Active</v>
      </c>
      <c r="E372" s="39" t="s">
        <v>632</v>
      </c>
      <c r="F372" s="38" t="str">
        <f aca="false">_xlfn.XLOOKUP($E372,$A$5:$A$8,$B$5:$B$8,"")</f>
        <v>Dental – Employee</v>
      </c>
      <c r="G372" s="38" t="str">
        <f aca="false">_xlfn.XLOOKUP($E372,$A$5:$A$8,$D$5:$D$8,"")</f>
        <v>Pre-tax Section 125 (exempt from FIT/SIT/FICA)</v>
      </c>
      <c r="H372" s="38" t="str">
        <f aca="false">_xlfn.XLOOKUP($E372,$A$5:$A$8,$E$5:$E$8,"")</f>
        <v>Flat</v>
      </c>
      <c r="I372" s="44" t="str">
        <f aca="false">IF($H372="Percent",_xlfn.XLOOKUP($E372,$A$5:$A$8,$F$5:$F$8,""),"")</f>
        <v/>
      </c>
      <c r="J372" s="42" t="n">
        <f aca="false">IF($H372="Flat",_xlfn.XLOOKUP($E372,$A$5:$A$8,$F$5:$F$8,""),"")</f>
        <v>44</v>
      </c>
      <c r="K372" s="38" t="str">
        <f aca="false">_xlfn.XLOOKUP($E372,$A$5:$A$8,$G$5:$G$8,"")</f>
        <v>Per pay period</v>
      </c>
      <c r="L372" s="38" t="str">
        <f aca="false">_xlfn.XLOOKUP($E372,$A$5:$A$8,$H$5:$H$8,"")</f>
        <v>Every pay period (ongoing)</v>
      </c>
      <c r="M372" s="43" t="n">
        <f aca="false" t="array" ref="M372:M372">MAX(_xlfn.XLOOKUP($A372,TRIM(SUBSTITUTE('worker file'!$A$2:$A$406,_xlfn.UNICHAR(160)," ")),'worker file'!$M$2:$M$406,0),_xlfn.XLOOKUP($B372,TRIM('pay group &amp; schedule'!$A$2:$A$6),'pay group &amp; schedule'!$D$2:$D$6,0))</f>
        <v>46311</v>
      </c>
      <c r="N372" s="43" t="str">
        <f aca="false" t="array" ref="N372:N372">_xlfn.LET(_xlpm.t,_xlfn.XLOOKUP($A372,TRIM(SUBSTITUTE('worker file'!$A$2:$A$406,_xlfn.UNICHAR(160)," ")),'worker file'!$N$2:$N$406,""),IF(N(_xlpm.t)=0,"",_xlpm.t))</f>
        <v/>
      </c>
    </row>
    <row r="373" customFormat="false" ht="15" hidden="false" customHeight="false" outlineLevel="0" collapsed="false">
      <c r="A373" s="39" t="s">
        <v>229</v>
      </c>
      <c r="B373" s="40" t="str">
        <f aca="false" t="array" ref="B373:B373">_xlfn.XLOOKUP($A373,TRIM(SUBSTITUTE('worker file'!$A$2:$A$406,_xlfn.UNICHAR(160)," ")),'worker file'!$L$2:$L$406,"Not found")</f>
        <v>US Semi-monthly</v>
      </c>
      <c r="C373" s="40" t="str">
        <f aca="false" t="array" ref="C373:C373">_xlfn.XLOOKUP($A373,TRIM(SUBSTITUTE('worker file'!$A$2:$A$406,_xlfn.UNICHAR(160)," ")),'worker file'!$D$2:$D$406,"Not found")</f>
        <v>CA</v>
      </c>
      <c r="D373" s="40" t="str">
        <f aca="false" t="array" ref="D373:D373">_xlfn.XLOOKUP($A373,TRIM(SUBSTITUTE('worker file'!$A$2:$A$406,_xlfn.UNICHAR(160)," ")),'worker file'!$Q$2:$Q$406,"Not found")</f>
        <v>Active</v>
      </c>
      <c r="E373" s="39" t="s">
        <v>634</v>
      </c>
      <c r="F373" s="38" t="str">
        <f aca="false">_xlfn.XLOOKUP($E373,$A$5:$A$8,$B$5:$B$8,"")</f>
        <v>Vision – Employee</v>
      </c>
      <c r="G373" s="38" t="str">
        <f aca="false">_xlfn.XLOOKUP($E373,$A$5:$A$8,$D$5:$D$8,"")</f>
        <v>Pre-tax Section 125 (exempt from FIT/SIT/FICA)</v>
      </c>
      <c r="H373" s="38" t="str">
        <f aca="false">_xlfn.XLOOKUP($E373,$A$5:$A$8,$E$5:$E$8,"")</f>
        <v>Flat</v>
      </c>
      <c r="I373" s="44" t="str">
        <f aca="false">IF($H373="Percent",_xlfn.XLOOKUP($E373,$A$5:$A$8,$F$5:$F$8,""),"")</f>
        <v/>
      </c>
      <c r="J373" s="42" t="n">
        <f aca="false">IF($H373="Flat",_xlfn.XLOOKUP($E373,$A$5:$A$8,$F$5:$F$8,""),"")</f>
        <v>30</v>
      </c>
      <c r="K373" s="38" t="str">
        <f aca="false">_xlfn.XLOOKUP($E373,$A$5:$A$8,$G$5:$G$8,"")</f>
        <v>Per pay period</v>
      </c>
      <c r="L373" s="38" t="str">
        <f aca="false">_xlfn.XLOOKUP($E373,$A$5:$A$8,$H$5:$H$8,"")</f>
        <v>Every pay period (ongoing)</v>
      </c>
      <c r="M373" s="43" t="n">
        <f aca="false" t="array" ref="M373:M373">MAX(_xlfn.XLOOKUP($A373,TRIM(SUBSTITUTE('worker file'!$A$2:$A$406,_xlfn.UNICHAR(160)," ")),'worker file'!$M$2:$M$406,0),_xlfn.XLOOKUP($B373,TRIM('pay group &amp; schedule'!$A$2:$A$6),'pay group &amp; schedule'!$D$2:$D$6,0))</f>
        <v>46311</v>
      </c>
      <c r="N373" s="43" t="str">
        <f aca="false" t="array" ref="N373:N373">_xlfn.LET(_xlpm.t,_xlfn.XLOOKUP($A373,TRIM(SUBSTITUTE('worker file'!$A$2:$A$406,_xlfn.UNICHAR(160)," ")),'worker file'!$N$2:$N$406,""),IF(N(_xlpm.t)=0,"",_xlpm.t))</f>
        <v/>
      </c>
    </row>
    <row r="374" customFormat="false" ht="15" hidden="false" customHeight="false" outlineLevel="0" collapsed="false">
      <c r="A374" s="39" t="s">
        <v>230</v>
      </c>
      <c r="B374" s="40" t="str">
        <f aca="false" t="array" ref="B374:B374">_xlfn.XLOOKUP($A374,TRIM(SUBSTITUTE('worker file'!$A$2:$A$406,_xlfn.UNICHAR(160)," ")),'worker file'!$L$2:$L$406,"Not found")</f>
        <v>US Semi-monthly</v>
      </c>
      <c r="C374" s="40" t="str">
        <f aca="false" t="array" ref="C374:C374">_xlfn.XLOOKUP($A374,TRIM(SUBSTITUTE('worker file'!$A$2:$A$406,_xlfn.UNICHAR(160)," ")),'worker file'!$D$2:$D$406,"Not found")</f>
        <v>CA</v>
      </c>
      <c r="D374" s="40" t="str">
        <f aca="false" t="array" ref="D374:D374">_xlfn.XLOOKUP($A374,TRIM(SUBSTITUTE('worker file'!$A$2:$A$406,_xlfn.UNICHAR(160)," ")),'worker file'!$Q$2:$Q$406,"Not found")</f>
        <v>Active</v>
      </c>
      <c r="E374" s="39" t="s">
        <v>618</v>
      </c>
      <c r="F374" s="38" t="str">
        <f aca="false">_xlfn.XLOOKUP($E374,$A$5:$A$8,$B$5:$B$8,"")</f>
        <v>401(k) Employee Deferral</v>
      </c>
      <c r="G374" s="38" t="str">
        <f aca="false">_xlfn.XLOOKUP($E374,$A$5:$A$8,$D$5:$D$8,"")</f>
        <v>Pre-tax (exempt from FIT/SIT; subject to FICA)</v>
      </c>
      <c r="H374" s="38" t="str">
        <f aca="false">_xlfn.XLOOKUP($E374,$A$5:$A$8,$E$5:$E$8,"")</f>
        <v>Percent</v>
      </c>
      <c r="I374" s="41" t="n">
        <v>0.04</v>
      </c>
      <c r="J374" s="42" t="str">
        <f aca="false">IF($H374="Flat",_xlfn.XLOOKUP($E374,$A$5:$A$8,$F$5:$F$8,""),"")</f>
        <v/>
      </c>
      <c r="K374" s="38" t="str">
        <f aca="false">_xlfn.XLOOKUP($E374,$A$5:$A$8,$G$5:$G$8,"")</f>
        <v>Gross pay</v>
      </c>
      <c r="L374" s="38" t="str">
        <f aca="false">_xlfn.XLOOKUP($E374,$A$5:$A$8,$H$5:$H$8,"")</f>
        <v>Every pay period (ongoing)</v>
      </c>
      <c r="M374" s="43" t="n">
        <f aca="false" t="array" ref="M374:M374">MAX(_xlfn.XLOOKUP($A374,TRIM(SUBSTITUTE('worker file'!$A$2:$A$406,_xlfn.UNICHAR(160)," ")),'worker file'!$M$2:$M$406,0),_xlfn.XLOOKUP($B374,TRIM('pay group &amp; schedule'!$A$2:$A$6),'pay group &amp; schedule'!$D$2:$D$6,0))</f>
        <v>46311</v>
      </c>
      <c r="N374" s="43" t="str">
        <f aca="false" t="array" ref="N374:N374">_xlfn.LET(_xlpm.t,_xlfn.XLOOKUP($A374,TRIM(SUBSTITUTE('worker file'!$A$2:$A$406,_xlfn.UNICHAR(160)," ")),'worker file'!$N$2:$N$406,""),IF(N(_xlpm.t)=0,"",_xlpm.t))</f>
        <v/>
      </c>
    </row>
    <row r="375" customFormat="false" ht="15" hidden="false" customHeight="false" outlineLevel="0" collapsed="false">
      <c r="A375" s="39" t="s">
        <v>230</v>
      </c>
      <c r="B375" s="40" t="str">
        <f aca="false" t="array" ref="B375:B375">_xlfn.XLOOKUP($A375,TRIM(SUBSTITUTE('worker file'!$A$2:$A$406,_xlfn.UNICHAR(160)," ")),'worker file'!$L$2:$L$406,"Not found")</f>
        <v>US Semi-monthly</v>
      </c>
      <c r="C375" s="40" t="str">
        <f aca="false" t="array" ref="C375:C375">_xlfn.XLOOKUP($A375,TRIM(SUBSTITUTE('worker file'!$A$2:$A$406,_xlfn.UNICHAR(160)," ")),'worker file'!$D$2:$D$406,"Not found")</f>
        <v>CA</v>
      </c>
      <c r="D375" s="40" t="str">
        <f aca="false" t="array" ref="D375:D375">_xlfn.XLOOKUP($A375,TRIM(SUBSTITUTE('worker file'!$A$2:$A$406,_xlfn.UNICHAR(160)," ")),'worker file'!$Q$2:$Q$406,"Not found")</f>
        <v>Active</v>
      </c>
      <c r="E375" s="39" t="s">
        <v>626</v>
      </c>
      <c r="F375" s="38" t="str">
        <f aca="false">_xlfn.XLOOKUP($E375,$A$5:$A$8,$B$5:$B$8,"")</f>
        <v>Medical (Health) – Employee</v>
      </c>
      <c r="G375" s="38" t="str">
        <f aca="false">_xlfn.XLOOKUP($E375,$A$5:$A$8,$D$5:$D$8,"")</f>
        <v>Pre-tax Section 125 (exempt from FIT/SIT/FICA)</v>
      </c>
      <c r="H375" s="38" t="str">
        <f aca="false">_xlfn.XLOOKUP($E375,$A$5:$A$8,$E$5:$E$8,"")</f>
        <v>Flat</v>
      </c>
      <c r="I375" s="44" t="str">
        <f aca="false">IF($H375="Percent",_xlfn.XLOOKUP($E375,$A$5:$A$8,$F$5:$F$8,""),"")</f>
        <v/>
      </c>
      <c r="J375" s="42" t="n">
        <f aca="false">IF($H375="Flat",_xlfn.XLOOKUP($E375,$A$5:$A$8,$F$5:$F$8,""),"")</f>
        <v>200</v>
      </c>
      <c r="K375" s="38" t="str">
        <f aca="false">_xlfn.XLOOKUP($E375,$A$5:$A$8,$G$5:$G$8,"")</f>
        <v>Per pay period</v>
      </c>
      <c r="L375" s="38" t="str">
        <f aca="false">_xlfn.XLOOKUP($E375,$A$5:$A$8,$H$5:$H$8,"")</f>
        <v>Every pay period (ongoing)</v>
      </c>
      <c r="M375" s="43" t="n">
        <f aca="false" t="array" ref="M375:M375">MAX(_xlfn.XLOOKUP($A375,TRIM(SUBSTITUTE('worker file'!$A$2:$A$406,_xlfn.UNICHAR(160)," ")),'worker file'!$M$2:$M$406,0),_xlfn.XLOOKUP($B375,TRIM('pay group &amp; schedule'!$A$2:$A$6),'pay group &amp; schedule'!$D$2:$D$6,0))</f>
        <v>46311</v>
      </c>
      <c r="N375" s="43" t="str">
        <f aca="false" t="array" ref="N375:N375">_xlfn.LET(_xlpm.t,_xlfn.XLOOKUP($A375,TRIM(SUBSTITUTE('worker file'!$A$2:$A$406,_xlfn.UNICHAR(160)," ")),'worker file'!$N$2:$N$406,""),IF(N(_xlpm.t)=0,"",_xlpm.t))</f>
        <v/>
      </c>
    </row>
    <row r="376" customFormat="false" ht="15" hidden="false" customHeight="false" outlineLevel="0" collapsed="false">
      <c r="A376" s="39" t="s">
        <v>230</v>
      </c>
      <c r="B376" s="40" t="str">
        <f aca="false" t="array" ref="B376:B376">_xlfn.XLOOKUP($A376,TRIM(SUBSTITUTE('worker file'!$A$2:$A$406,_xlfn.UNICHAR(160)," ")),'worker file'!$L$2:$L$406,"Not found")</f>
        <v>US Semi-monthly</v>
      </c>
      <c r="C376" s="40" t="str">
        <f aca="false" t="array" ref="C376:C376">_xlfn.XLOOKUP($A376,TRIM(SUBSTITUTE('worker file'!$A$2:$A$406,_xlfn.UNICHAR(160)," ")),'worker file'!$D$2:$D$406,"Not found")</f>
        <v>CA</v>
      </c>
      <c r="D376" s="40" t="str">
        <f aca="false" t="array" ref="D376:D376">_xlfn.XLOOKUP($A376,TRIM(SUBSTITUTE('worker file'!$A$2:$A$406,_xlfn.UNICHAR(160)," ")),'worker file'!$Q$2:$Q$406,"Not found")</f>
        <v>Active</v>
      </c>
      <c r="E376" s="39" t="s">
        <v>632</v>
      </c>
      <c r="F376" s="38" t="str">
        <f aca="false">_xlfn.XLOOKUP($E376,$A$5:$A$8,$B$5:$B$8,"")</f>
        <v>Dental – Employee</v>
      </c>
      <c r="G376" s="38" t="str">
        <f aca="false">_xlfn.XLOOKUP($E376,$A$5:$A$8,$D$5:$D$8,"")</f>
        <v>Pre-tax Section 125 (exempt from FIT/SIT/FICA)</v>
      </c>
      <c r="H376" s="38" t="str">
        <f aca="false">_xlfn.XLOOKUP($E376,$A$5:$A$8,$E$5:$E$8,"")</f>
        <v>Flat</v>
      </c>
      <c r="I376" s="44" t="str">
        <f aca="false">IF($H376="Percent",_xlfn.XLOOKUP($E376,$A$5:$A$8,$F$5:$F$8,""),"")</f>
        <v/>
      </c>
      <c r="J376" s="42" t="n">
        <f aca="false">IF($H376="Flat",_xlfn.XLOOKUP($E376,$A$5:$A$8,$F$5:$F$8,""),"")</f>
        <v>44</v>
      </c>
      <c r="K376" s="38" t="str">
        <f aca="false">_xlfn.XLOOKUP($E376,$A$5:$A$8,$G$5:$G$8,"")</f>
        <v>Per pay period</v>
      </c>
      <c r="L376" s="38" t="str">
        <f aca="false">_xlfn.XLOOKUP($E376,$A$5:$A$8,$H$5:$H$8,"")</f>
        <v>Every pay period (ongoing)</v>
      </c>
      <c r="M376" s="43" t="n">
        <f aca="false" t="array" ref="M376:M376">MAX(_xlfn.XLOOKUP($A376,TRIM(SUBSTITUTE('worker file'!$A$2:$A$406,_xlfn.UNICHAR(160)," ")),'worker file'!$M$2:$M$406,0),_xlfn.XLOOKUP($B376,TRIM('pay group &amp; schedule'!$A$2:$A$6),'pay group &amp; schedule'!$D$2:$D$6,0))</f>
        <v>46311</v>
      </c>
      <c r="N376" s="43" t="str">
        <f aca="false" t="array" ref="N376:N376">_xlfn.LET(_xlpm.t,_xlfn.XLOOKUP($A376,TRIM(SUBSTITUTE('worker file'!$A$2:$A$406,_xlfn.UNICHAR(160)," ")),'worker file'!$N$2:$N$406,""),IF(N(_xlpm.t)=0,"",_xlpm.t))</f>
        <v/>
      </c>
    </row>
    <row r="377" customFormat="false" ht="15" hidden="false" customHeight="false" outlineLevel="0" collapsed="false">
      <c r="A377" s="39" t="s">
        <v>230</v>
      </c>
      <c r="B377" s="40" t="str">
        <f aca="false" t="array" ref="B377:B377">_xlfn.XLOOKUP($A377,TRIM(SUBSTITUTE('worker file'!$A$2:$A$406,_xlfn.UNICHAR(160)," ")),'worker file'!$L$2:$L$406,"Not found")</f>
        <v>US Semi-monthly</v>
      </c>
      <c r="C377" s="40" t="str">
        <f aca="false" t="array" ref="C377:C377">_xlfn.XLOOKUP($A377,TRIM(SUBSTITUTE('worker file'!$A$2:$A$406,_xlfn.UNICHAR(160)," ")),'worker file'!$D$2:$D$406,"Not found")</f>
        <v>CA</v>
      </c>
      <c r="D377" s="40" t="str">
        <f aca="false" t="array" ref="D377:D377">_xlfn.XLOOKUP($A377,TRIM(SUBSTITUTE('worker file'!$A$2:$A$406,_xlfn.UNICHAR(160)," ")),'worker file'!$Q$2:$Q$406,"Not found")</f>
        <v>Active</v>
      </c>
      <c r="E377" s="39" t="s">
        <v>634</v>
      </c>
      <c r="F377" s="38" t="str">
        <f aca="false">_xlfn.XLOOKUP($E377,$A$5:$A$8,$B$5:$B$8,"")</f>
        <v>Vision – Employee</v>
      </c>
      <c r="G377" s="38" t="str">
        <f aca="false">_xlfn.XLOOKUP($E377,$A$5:$A$8,$D$5:$D$8,"")</f>
        <v>Pre-tax Section 125 (exempt from FIT/SIT/FICA)</v>
      </c>
      <c r="H377" s="38" t="str">
        <f aca="false">_xlfn.XLOOKUP($E377,$A$5:$A$8,$E$5:$E$8,"")</f>
        <v>Flat</v>
      </c>
      <c r="I377" s="44" t="str">
        <f aca="false">IF($H377="Percent",_xlfn.XLOOKUP($E377,$A$5:$A$8,$F$5:$F$8,""),"")</f>
        <v/>
      </c>
      <c r="J377" s="42" t="n">
        <f aca="false">IF($H377="Flat",_xlfn.XLOOKUP($E377,$A$5:$A$8,$F$5:$F$8,""),"")</f>
        <v>30</v>
      </c>
      <c r="K377" s="38" t="str">
        <f aca="false">_xlfn.XLOOKUP($E377,$A$5:$A$8,$G$5:$G$8,"")</f>
        <v>Per pay period</v>
      </c>
      <c r="L377" s="38" t="str">
        <f aca="false">_xlfn.XLOOKUP($E377,$A$5:$A$8,$H$5:$H$8,"")</f>
        <v>Every pay period (ongoing)</v>
      </c>
      <c r="M377" s="43" t="n">
        <f aca="false" t="array" ref="M377:M377">MAX(_xlfn.XLOOKUP($A377,TRIM(SUBSTITUTE('worker file'!$A$2:$A$406,_xlfn.UNICHAR(160)," ")),'worker file'!$M$2:$M$406,0),_xlfn.XLOOKUP($B377,TRIM('pay group &amp; schedule'!$A$2:$A$6),'pay group &amp; schedule'!$D$2:$D$6,0))</f>
        <v>46311</v>
      </c>
      <c r="N377" s="43" t="str">
        <f aca="false" t="array" ref="N377:N377">_xlfn.LET(_xlpm.t,_xlfn.XLOOKUP($A377,TRIM(SUBSTITUTE('worker file'!$A$2:$A$406,_xlfn.UNICHAR(160)," ")),'worker file'!$N$2:$N$406,""),IF(N(_xlpm.t)=0,"",_xlpm.t))</f>
        <v/>
      </c>
    </row>
    <row r="378" customFormat="false" ht="15" hidden="false" customHeight="false" outlineLevel="0" collapsed="false">
      <c r="A378" s="39" t="s">
        <v>231</v>
      </c>
      <c r="B378" s="40" t="str">
        <f aca="false" t="array" ref="B378:B378">_xlfn.XLOOKUP($A378,TRIM(SUBSTITUTE('worker file'!$A$2:$A$406,_xlfn.UNICHAR(160)," ")),'worker file'!$L$2:$L$406,"Not found")</f>
        <v>US Semi-monthly</v>
      </c>
      <c r="C378" s="40" t="str">
        <f aca="false" t="array" ref="C378:C378">_xlfn.XLOOKUP($A378,TRIM(SUBSTITUTE('worker file'!$A$2:$A$406,_xlfn.UNICHAR(160)," ")),'worker file'!$D$2:$D$406,"Not found")</f>
        <v>NY</v>
      </c>
      <c r="D378" s="40" t="str">
        <f aca="false" t="array" ref="D378:D378">_xlfn.XLOOKUP($A378,TRIM(SUBSTITUTE('worker file'!$A$2:$A$406,_xlfn.UNICHAR(160)," ")),'worker file'!$Q$2:$Q$406,"Not found")</f>
        <v>Active</v>
      </c>
      <c r="E378" s="39" t="s">
        <v>618</v>
      </c>
      <c r="F378" s="38" t="str">
        <f aca="false">_xlfn.XLOOKUP($E378,$A$5:$A$8,$B$5:$B$8,"")</f>
        <v>401(k) Employee Deferral</v>
      </c>
      <c r="G378" s="38" t="str">
        <f aca="false">_xlfn.XLOOKUP($E378,$A$5:$A$8,$D$5:$D$8,"")</f>
        <v>Pre-tax (exempt from FIT/SIT; subject to FICA)</v>
      </c>
      <c r="H378" s="38" t="str">
        <f aca="false">_xlfn.XLOOKUP($E378,$A$5:$A$8,$E$5:$E$8,"")</f>
        <v>Percent</v>
      </c>
      <c r="I378" s="41" t="n">
        <v>0.01</v>
      </c>
      <c r="J378" s="42" t="str">
        <f aca="false">IF($H378="Flat",_xlfn.XLOOKUP($E378,$A$5:$A$8,$F$5:$F$8,""),"")</f>
        <v/>
      </c>
      <c r="K378" s="38" t="str">
        <f aca="false">_xlfn.XLOOKUP($E378,$A$5:$A$8,$G$5:$G$8,"")</f>
        <v>Gross pay</v>
      </c>
      <c r="L378" s="38" t="str">
        <f aca="false">_xlfn.XLOOKUP($E378,$A$5:$A$8,$H$5:$H$8,"")</f>
        <v>Every pay period (ongoing)</v>
      </c>
      <c r="M378" s="43" t="n">
        <f aca="false" t="array" ref="M378:M378">MAX(_xlfn.XLOOKUP($A378,TRIM(SUBSTITUTE('worker file'!$A$2:$A$406,_xlfn.UNICHAR(160)," ")),'worker file'!$M$2:$M$406,0),_xlfn.XLOOKUP($B378,TRIM('pay group &amp; schedule'!$A$2:$A$6),'pay group &amp; schedule'!$D$2:$D$6,0))</f>
        <v>46311</v>
      </c>
      <c r="N378" s="43" t="str">
        <f aca="false" t="array" ref="N378:N378">_xlfn.LET(_xlpm.t,_xlfn.XLOOKUP($A378,TRIM(SUBSTITUTE('worker file'!$A$2:$A$406,_xlfn.UNICHAR(160)," ")),'worker file'!$N$2:$N$406,""),IF(N(_xlpm.t)=0,"",_xlpm.t))</f>
        <v/>
      </c>
    </row>
    <row r="379" customFormat="false" ht="15" hidden="false" customHeight="false" outlineLevel="0" collapsed="false">
      <c r="A379" s="39" t="s">
        <v>231</v>
      </c>
      <c r="B379" s="40" t="str">
        <f aca="false" t="array" ref="B379:B379">_xlfn.XLOOKUP($A379,TRIM(SUBSTITUTE('worker file'!$A$2:$A$406,_xlfn.UNICHAR(160)," ")),'worker file'!$L$2:$L$406,"Not found")</f>
        <v>US Semi-monthly</v>
      </c>
      <c r="C379" s="40" t="str">
        <f aca="false" t="array" ref="C379:C379">_xlfn.XLOOKUP($A379,TRIM(SUBSTITUTE('worker file'!$A$2:$A$406,_xlfn.UNICHAR(160)," ")),'worker file'!$D$2:$D$406,"Not found")</f>
        <v>NY</v>
      </c>
      <c r="D379" s="40" t="str">
        <f aca="false" t="array" ref="D379:D379">_xlfn.XLOOKUP($A379,TRIM(SUBSTITUTE('worker file'!$A$2:$A$406,_xlfn.UNICHAR(160)," ")),'worker file'!$Q$2:$Q$406,"Not found")</f>
        <v>Active</v>
      </c>
      <c r="E379" s="39" t="s">
        <v>626</v>
      </c>
      <c r="F379" s="38" t="str">
        <f aca="false">_xlfn.XLOOKUP($E379,$A$5:$A$8,$B$5:$B$8,"")</f>
        <v>Medical (Health) – Employee</v>
      </c>
      <c r="G379" s="38" t="str">
        <f aca="false">_xlfn.XLOOKUP($E379,$A$5:$A$8,$D$5:$D$8,"")</f>
        <v>Pre-tax Section 125 (exempt from FIT/SIT/FICA)</v>
      </c>
      <c r="H379" s="38" t="str">
        <f aca="false">_xlfn.XLOOKUP($E379,$A$5:$A$8,$E$5:$E$8,"")</f>
        <v>Flat</v>
      </c>
      <c r="I379" s="44" t="str">
        <f aca="false">IF($H379="Percent",_xlfn.XLOOKUP($E379,$A$5:$A$8,$F$5:$F$8,""),"")</f>
        <v/>
      </c>
      <c r="J379" s="42" t="n">
        <f aca="false">IF($H379="Flat",_xlfn.XLOOKUP($E379,$A$5:$A$8,$F$5:$F$8,""),"")</f>
        <v>200</v>
      </c>
      <c r="K379" s="38" t="str">
        <f aca="false">_xlfn.XLOOKUP($E379,$A$5:$A$8,$G$5:$G$8,"")</f>
        <v>Per pay period</v>
      </c>
      <c r="L379" s="38" t="str">
        <f aca="false">_xlfn.XLOOKUP($E379,$A$5:$A$8,$H$5:$H$8,"")</f>
        <v>Every pay period (ongoing)</v>
      </c>
      <c r="M379" s="43" t="n">
        <f aca="false" t="array" ref="M379:M379">MAX(_xlfn.XLOOKUP($A379,TRIM(SUBSTITUTE('worker file'!$A$2:$A$406,_xlfn.UNICHAR(160)," ")),'worker file'!$M$2:$M$406,0),_xlfn.XLOOKUP($B379,TRIM('pay group &amp; schedule'!$A$2:$A$6),'pay group &amp; schedule'!$D$2:$D$6,0))</f>
        <v>46311</v>
      </c>
      <c r="N379" s="43" t="str">
        <f aca="false" t="array" ref="N379:N379">_xlfn.LET(_xlpm.t,_xlfn.XLOOKUP($A379,TRIM(SUBSTITUTE('worker file'!$A$2:$A$406,_xlfn.UNICHAR(160)," ")),'worker file'!$N$2:$N$406,""),IF(N(_xlpm.t)=0,"",_xlpm.t))</f>
        <v/>
      </c>
    </row>
    <row r="380" customFormat="false" ht="15" hidden="false" customHeight="false" outlineLevel="0" collapsed="false">
      <c r="A380" s="39" t="s">
        <v>231</v>
      </c>
      <c r="B380" s="40" t="str">
        <f aca="false" t="array" ref="B380:B380">_xlfn.XLOOKUP($A380,TRIM(SUBSTITUTE('worker file'!$A$2:$A$406,_xlfn.UNICHAR(160)," ")),'worker file'!$L$2:$L$406,"Not found")</f>
        <v>US Semi-monthly</v>
      </c>
      <c r="C380" s="40" t="str">
        <f aca="false" t="array" ref="C380:C380">_xlfn.XLOOKUP($A380,TRIM(SUBSTITUTE('worker file'!$A$2:$A$406,_xlfn.UNICHAR(160)," ")),'worker file'!$D$2:$D$406,"Not found")</f>
        <v>NY</v>
      </c>
      <c r="D380" s="40" t="str">
        <f aca="false" t="array" ref="D380:D380">_xlfn.XLOOKUP($A380,TRIM(SUBSTITUTE('worker file'!$A$2:$A$406,_xlfn.UNICHAR(160)," ")),'worker file'!$Q$2:$Q$406,"Not found")</f>
        <v>Active</v>
      </c>
      <c r="E380" s="39" t="s">
        <v>632</v>
      </c>
      <c r="F380" s="38" t="str">
        <f aca="false">_xlfn.XLOOKUP($E380,$A$5:$A$8,$B$5:$B$8,"")</f>
        <v>Dental – Employee</v>
      </c>
      <c r="G380" s="38" t="str">
        <f aca="false">_xlfn.XLOOKUP($E380,$A$5:$A$8,$D$5:$D$8,"")</f>
        <v>Pre-tax Section 125 (exempt from FIT/SIT/FICA)</v>
      </c>
      <c r="H380" s="38" t="str">
        <f aca="false">_xlfn.XLOOKUP($E380,$A$5:$A$8,$E$5:$E$8,"")</f>
        <v>Flat</v>
      </c>
      <c r="I380" s="44" t="str">
        <f aca="false">IF($H380="Percent",_xlfn.XLOOKUP($E380,$A$5:$A$8,$F$5:$F$8,""),"")</f>
        <v/>
      </c>
      <c r="J380" s="42" t="n">
        <f aca="false">IF($H380="Flat",_xlfn.XLOOKUP($E380,$A$5:$A$8,$F$5:$F$8,""),"")</f>
        <v>44</v>
      </c>
      <c r="K380" s="38" t="str">
        <f aca="false">_xlfn.XLOOKUP($E380,$A$5:$A$8,$G$5:$G$8,"")</f>
        <v>Per pay period</v>
      </c>
      <c r="L380" s="38" t="str">
        <f aca="false">_xlfn.XLOOKUP($E380,$A$5:$A$8,$H$5:$H$8,"")</f>
        <v>Every pay period (ongoing)</v>
      </c>
      <c r="M380" s="43" t="n">
        <f aca="false" t="array" ref="M380:M380">MAX(_xlfn.XLOOKUP($A380,TRIM(SUBSTITUTE('worker file'!$A$2:$A$406,_xlfn.UNICHAR(160)," ")),'worker file'!$M$2:$M$406,0),_xlfn.XLOOKUP($B380,TRIM('pay group &amp; schedule'!$A$2:$A$6),'pay group &amp; schedule'!$D$2:$D$6,0))</f>
        <v>46311</v>
      </c>
      <c r="N380" s="43" t="str">
        <f aca="false" t="array" ref="N380:N380">_xlfn.LET(_xlpm.t,_xlfn.XLOOKUP($A380,TRIM(SUBSTITUTE('worker file'!$A$2:$A$406,_xlfn.UNICHAR(160)," ")),'worker file'!$N$2:$N$406,""),IF(N(_xlpm.t)=0,"",_xlpm.t))</f>
        <v/>
      </c>
    </row>
    <row r="381" customFormat="false" ht="15" hidden="false" customHeight="false" outlineLevel="0" collapsed="false">
      <c r="A381" s="39" t="s">
        <v>231</v>
      </c>
      <c r="B381" s="40" t="str">
        <f aca="false" t="array" ref="B381:B381">_xlfn.XLOOKUP($A381,TRIM(SUBSTITUTE('worker file'!$A$2:$A$406,_xlfn.UNICHAR(160)," ")),'worker file'!$L$2:$L$406,"Not found")</f>
        <v>US Semi-monthly</v>
      </c>
      <c r="C381" s="40" t="str">
        <f aca="false" t="array" ref="C381:C381">_xlfn.XLOOKUP($A381,TRIM(SUBSTITUTE('worker file'!$A$2:$A$406,_xlfn.UNICHAR(160)," ")),'worker file'!$D$2:$D$406,"Not found")</f>
        <v>NY</v>
      </c>
      <c r="D381" s="40" t="str">
        <f aca="false" t="array" ref="D381:D381">_xlfn.XLOOKUP($A381,TRIM(SUBSTITUTE('worker file'!$A$2:$A$406,_xlfn.UNICHAR(160)," ")),'worker file'!$Q$2:$Q$406,"Not found")</f>
        <v>Active</v>
      </c>
      <c r="E381" s="39" t="s">
        <v>634</v>
      </c>
      <c r="F381" s="38" t="str">
        <f aca="false">_xlfn.XLOOKUP($E381,$A$5:$A$8,$B$5:$B$8,"")</f>
        <v>Vision – Employee</v>
      </c>
      <c r="G381" s="38" t="str">
        <f aca="false">_xlfn.XLOOKUP($E381,$A$5:$A$8,$D$5:$D$8,"")</f>
        <v>Pre-tax Section 125 (exempt from FIT/SIT/FICA)</v>
      </c>
      <c r="H381" s="38" t="str">
        <f aca="false">_xlfn.XLOOKUP($E381,$A$5:$A$8,$E$5:$E$8,"")</f>
        <v>Flat</v>
      </c>
      <c r="I381" s="44" t="str">
        <f aca="false">IF($H381="Percent",_xlfn.XLOOKUP($E381,$A$5:$A$8,$F$5:$F$8,""),"")</f>
        <v/>
      </c>
      <c r="J381" s="42" t="n">
        <f aca="false">IF($H381="Flat",_xlfn.XLOOKUP($E381,$A$5:$A$8,$F$5:$F$8,""),"")</f>
        <v>30</v>
      </c>
      <c r="K381" s="38" t="str">
        <f aca="false">_xlfn.XLOOKUP($E381,$A$5:$A$8,$G$5:$G$8,"")</f>
        <v>Per pay period</v>
      </c>
      <c r="L381" s="38" t="str">
        <f aca="false">_xlfn.XLOOKUP($E381,$A$5:$A$8,$H$5:$H$8,"")</f>
        <v>Every pay period (ongoing)</v>
      </c>
      <c r="M381" s="43" t="n">
        <f aca="false" t="array" ref="M381:M381">MAX(_xlfn.XLOOKUP($A381,TRIM(SUBSTITUTE('worker file'!$A$2:$A$406,_xlfn.UNICHAR(160)," ")),'worker file'!$M$2:$M$406,0),_xlfn.XLOOKUP($B381,TRIM('pay group &amp; schedule'!$A$2:$A$6),'pay group &amp; schedule'!$D$2:$D$6,0))</f>
        <v>46311</v>
      </c>
      <c r="N381" s="43" t="str">
        <f aca="false" t="array" ref="N381:N381">_xlfn.LET(_xlpm.t,_xlfn.XLOOKUP($A381,TRIM(SUBSTITUTE('worker file'!$A$2:$A$406,_xlfn.UNICHAR(160)," ")),'worker file'!$N$2:$N$406,""),IF(N(_xlpm.t)=0,"",_xlpm.t))</f>
        <v/>
      </c>
    </row>
    <row r="382" customFormat="false" ht="15" hidden="false" customHeight="false" outlineLevel="0" collapsed="false">
      <c r="A382" s="39" t="s">
        <v>232</v>
      </c>
      <c r="B382" s="40" t="str">
        <f aca="false" t="array" ref="B382:B382">_xlfn.XLOOKUP($A382,TRIM(SUBSTITUTE('worker file'!$A$2:$A$406,_xlfn.UNICHAR(160)," ")),'worker file'!$L$2:$L$406,"Not found")</f>
        <v>US Semi-monthly</v>
      </c>
      <c r="C382" s="40" t="str">
        <f aca="false" t="array" ref="C382:C382">_xlfn.XLOOKUP($A382,TRIM(SUBSTITUTE('worker file'!$A$2:$A$406,_xlfn.UNICHAR(160)," ")),'worker file'!$D$2:$D$406,"Not found")</f>
        <v>CA</v>
      </c>
      <c r="D382" s="40" t="str">
        <f aca="false" t="array" ref="D382:D382">_xlfn.XLOOKUP($A382,TRIM(SUBSTITUTE('worker file'!$A$2:$A$406,_xlfn.UNICHAR(160)," ")),'worker file'!$Q$2:$Q$406,"Not found")</f>
        <v>Active</v>
      </c>
      <c r="E382" s="39" t="s">
        <v>618</v>
      </c>
      <c r="F382" s="38" t="str">
        <f aca="false">_xlfn.XLOOKUP($E382,$A$5:$A$8,$B$5:$B$8,"")</f>
        <v>401(k) Employee Deferral</v>
      </c>
      <c r="G382" s="38" t="str">
        <f aca="false">_xlfn.XLOOKUP($E382,$A$5:$A$8,$D$5:$D$8,"")</f>
        <v>Pre-tax (exempt from FIT/SIT; subject to FICA)</v>
      </c>
      <c r="H382" s="38" t="str">
        <f aca="false">_xlfn.XLOOKUP($E382,$A$5:$A$8,$E$5:$E$8,"")</f>
        <v>Percent</v>
      </c>
      <c r="I382" s="41" t="n">
        <v>0.06</v>
      </c>
      <c r="J382" s="42" t="str">
        <f aca="false">IF($H382="Flat",_xlfn.XLOOKUP($E382,$A$5:$A$8,$F$5:$F$8,""),"")</f>
        <v/>
      </c>
      <c r="K382" s="38" t="str">
        <f aca="false">_xlfn.XLOOKUP($E382,$A$5:$A$8,$G$5:$G$8,"")</f>
        <v>Gross pay</v>
      </c>
      <c r="L382" s="38" t="str">
        <f aca="false">_xlfn.XLOOKUP($E382,$A$5:$A$8,$H$5:$H$8,"")</f>
        <v>Every pay period (ongoing)</v>
      </c>
      <c r="M382" s="43" t="n">
        <f aca="false" t="array" ref="M382:M382">MAX(_xlfn.XLOOKUP($A382,TRIM(SUBSTITUTE('worker file'!$A$2:$A$406,_xlfn.UNICHAR(160)," ")),'worker file'!$M$2:$M$406,0),_xlfn.XLOOKUP($B382,TRIM('pay group &amp; schedule'!$A$2:$A$6),'pay group &amp; schedule'!$D$2:$D$6,0))</f>
        <v>46311</v>
      </c>
      <c r="N382" s="43" t="str">
        <f aca="false" t="array" ref="N382:N382">_xlfn.LET(_xlpm.t,_xlfn.XLOOKUP($A382,TRIM(SUBSTITUTE('worker file'!$A$2:$A$406,_xlfn.UNICHAR(160)," ")),'worker file'!$N$2:$N$406,""),IF(N(_xlpm.t)=0,"",_xlpm.t))</f>
        <v/>
      </c>
    </row>
    <row r="383" customFormat="false" ht="15" hidden="false" customHeight="false" outlineLevel="0" collapsed="false">
      <c r="A383" s="39" t="s">
        <v>232</v>
      </c>
      <c r="B383" s="40" t="str">
        <f aca="false" t="array" ref="B383:B383">_xlfn.XLOOKUP($A383,TRIM(SUBSTITUTE('worker file'!$A$2:$A$406,_xlfn.UNICHAR(160)," ")),'worker file'!$L$2:$L$406,"Not found")</f>
        <v>US Semi-monthly</v>
      </c>
      <c r="C383" s="40" t="str">
        <f aca="false" t="array" ref="C383:C383">_xlfn.XLOOKUP($A383,TRIM(SUBSTITUTE('worker file'!$A$2:$A$406,_xlfn.UNICHAR(160)," ")),'worker file'!$D$2:$D$406,"Not found")</f>
        <v>CA</v>
      </c>
      <c r="D383" s="40" t="str">
        <f aca="false" t="array" ref="D383:D383">_xlfn.XLOOKUP($A383,TRIM(SUBSTITUTE('worker file'!$A$2:$A$406,_xlfn.UNICHAR(160)," ")),'worker file'!$Q$2:$Q$406,"Not found")</f>
        <v>Active</v>
      </c>
      <c r="E383" s="39" t="s">
        <v>626</v>
      </c>
      <c r="F383" s="38" t="str">
        <f aca="false">_xlfn.XLOOKUP($E383,$A$5:$A$8,$B$5:$B$8,"")</f>
        <v>Medical (Health) – Employee</v>
      </c>
      <c r="G383" s="38" t="str">
        <f aca="false">_xlfn.XLOOKUP($E383,$A$5:$A$8,$D$5:$D$8,"")</f>
        <v>Pre-tax Section 125 (exempt from FIT/SIT/FICA)</v>
      </c>
      <c r="H383" s="38" t="str">
        <f aca="false">_xlfn.XLOOKUP($E383,$A$5:$A$8,$E$5:$E$8,"")</f>
        <v>Flat</v>
      </c>
      <c r="I383" s="44" t="str">
        <f aca="false">IF($H383="Percent",_xlfn.XLOOKUP($E383,$A$5:$A$8,$F$5:$F$8,""),"")</f>
        <v/>
      </c>
      <c r="J383" s="42" t="n">
        <f aca="false">IF($H383="Flat",_xlfn.XLOOKUP($E383,$A$5:$A$8,$F$5:$F$8,""),"")</f>
        <v>200</v>
      </c>
      <c r="K383" s="38" t="str">
        <f aca="false">_xlfn.XLOOKUP($E383,$A$5:$A$8,$G$5:$G$8,"")</f>
        <v>Per pay period</v>
      </c>
      <c r="L383" s="38" t="str">
        <f aca="false">_xlfn.XLOOKUP($E383,$A$5:$A$8,$H$5:$H$8,"")</f>
        <v>Every pay period (ongoing)</v>
      </c>
      <c r="M383" s="43" t="n">
        <f aca="false" t="array" ref="M383:M383">MAX(_xlfn.XLOOKUP($A383,TRIM(SUBSTITUTE('worker file'!$A$2:$A$406,_xlfn.UNICHAR(160)," ")),'worker file'!$M$2:$M$406,0),_xlfn.XLOOKUP($B383,TRIM('pay group &amp; schedule'!$A$2:$A$6),'pay group &amp; schedule'!$D$2:$D$6,0))</f>
        <v>46311</v>
      </c>
      <c r="N383" s="43" t="str">
        <f aca="false" t="array" ref="N383:N383">_xlfn.LET(_xlpm.t,_xlfn.XLOOKUP($A383,TRIM(SUBSTITUTE('worker file'!$A$2:$A$406,_xlfn.UNICHAR(160)," ")),'worker file'!$N$2:$N$406,""),IF(N(_xlpm.t)=0,"",_xlpm.t))</f>
        <v/>
      </c>
    </row>
    <row r="384" customFormat="false" ht="15" hidden="false" customHeight="false" outlineLevel="0" collapsed="false">
      <c r="A384" s="39" t="s">
        <v>232</v>
      </c>
      <c r="B384" s="40" t="str">
        <f aca="false" t="array" ref="B384:B384">_xlfn.XLOOKUP($A384,TRIM(SUBSTITUTE('worker file'!$A$2:$A$406,_xlfn.UNICHAR(160)," ")),'worker file'!$L$2:$L$406,"Not found")</f>
        <v>US Semi-monthly</v>
      </c>
      <c r="C384" s="40" t="str">
        <f aca="false" t="array" ref="C384:C384">_xlfn.XLOOKUP($A384,TRIM(SUBSTITUTE('worker file'!$A$2:$A$406,_xlfn.UNICHAR(160)," ")),'worker file'!$D$2:$D$406,"Not found")</f>
        <v>CA</v>
      </c>
      <c r="D384" s="40" t="str">
        <f aca="false" t="array" ref="D384:D384">_xlfn.XLOOKUP($A384,TRIM(SUBSTITUTE('worker file'!$A$2:$A$406,_xlfn.UNICHAR(160)," ")),'worker file'!$Q$2:$Q$406,"Not found")</f>
        <v>Active</v>
      </c>
      <c r="E384" s="39" t="s">
        <v>632</v>
      </c>
      <c r="F384" s="38" t="str">
        <f aca="false">_xlfn.XLOOKUP($E384,$A$5:$A$8,$B$5:$B$8,"")</f>
        <v>Dental – Employee</v>
      </c>
      <c r="G384" s="38" t="str">
        <f aca="false">_xlfn.XLOOKUP($E384,$A$5:$A$8,$D$5:$D$8,"")</f>
        <v>Pre-tax Section 125 (exempt from FIT/SIT/FICA)</v>
      </c>
      <c r="H384" s="38" t="str">
        <f aca="false">_xlfn.XLOOKUP($E384,$A$5:$A$8,$E$5:$E$8,"")</f>
        <v>Flat</v>
      </c>
      <c r="I384" s="44" t="str">
        <f aca="false">IF($H384="Percent",_xlfn.XLOOKUP($E384,$A$5:$A$8,$F$5:$F$8,""),"")</f>
        <v/>
      </c>
      <c r="J384" s="42" t="n">
        <f aca="false">IF($H384="Flat",_xlfn.XLOOKUP($E384,$A$5:$A$8,$F$5:$F$8,""),"")</f>
        <v>44</v>
      </c>
      <c r="K384" s="38" t="str">
        <f aca="false">_xlfn.XLOOKUP($E384,$A$5:$A$8,$G$5:$G$8,"")</f>
        <v>Per pay period</v>
      </c>
      <c r="L384" s="38" t="str">
        <f aca="false">_xlfn.XLOOKUP($E384,$A$5:$A$8,$H$5:$H$8,"")</f>
        <v>Every pay period (ongoing)</v>
      </c>
      <c r="M384" s="43" t="n">
        <f aca="false" t="array" ref="M384:M384">MAX(_xlfn.XLOOKUP($A384,TRIM(SUBSTITUTE('worker file'!$A$2:$A$406,_xlfn.UNICHAR(160)," ")),'worker file'!$M$2:$M$406,0),_xlfn.XLOOKUP($B384,TRIM('pay group &amp; schedule'!$A$2:$A$6),'pay group &amp; schedule'!$D$2:$D$6,0))</f>
        <v>46311</v>
      </c>
      <c r="N384" s="43" t="str">
        <f aca="false" t="array" ref="N384:N384">_xlfn.LET(_xlpm.t,_xlfn.XLOOKUP($A384,TRIM(SUBSTITUTE('worker file'!$A$2:$A$406,_xlfn.UNICHAR(160)," ")),'worker file'!$N$2:$N$406,""),IF(N(_xlpm.t)=0,"",_xlpm.t))</f>
        <v/>
      </c>
    </row>
    <row r="385" customFormat="false" ht="15" hidden="false" customHeight="false" outlineLevel="0" collapsed="false">
      <c r="A385" s="39" t="s">
        <v>232</v>
      </c>
      <c r="B385" s="40" t="str">
        <f aca="false" t="array" ref="B385:B385">_xlfn.XLOOKUP($A385,TRIM(SUBSTITUTE('worker file'!$A$2:$A$406,_xlfn.UNICHAR(160)," ")),'worker file'!$L$2:$L$406,"Not found")</f>
        <v>US Semi-monthly</v>
      </c>
      <c r="C385" s="40" t="str">
        <f aca="false" t="array" ref="C385:C385">_xlfn.XLOOKUP($A385,TRIM(SUBSTITUTE('worker file'!$A$2:$A$406,_xlfn.UNICHAR(160)," ")),'worker file'!$D$2:$D$406,"Not found")</f>
        <v>CA</v>
      </c>
      <c r="D385" s="40" t="str">
        <f aca="false" t="array" ref="D385:D385">_xlfn.XLOOKUP($A385,TRIM(SUBSTITUTE('worker file'!$A$2:$A$406,_xlfn.UNICHAR(160)," ")),'worker file'!$Q$2:$Q$406,"Not found")</f>
        <v>Active</v>
      </c>
      <c r="E385" s="39" t="s">
        <v>634</v>
      </c>
      <c r="F385" s="38" t="str">
        <f aca="false">_xlfn.XLOOKUP($E385,$A$5:$A$8,$B$5:$B$8,"")</f>
        <v>Vision – Employee</v>
      </c>
      <c r="G385" s="38" t="str">
        <f aca="false">_xlfn.XLOOKUP($E385,$A$5:$A$8,$D$5:$D$8,"")</f>
        <v>Pre-tax Section 125 (exempt from FIT/SIT/FICA)</v>
      </c>
      <c r="H385" s="38" t="str">
        <f aca="false">_xlfn.XLOOKUP($E385,$A$5:$A$8,$E$5:$E$8,"")</f>
        <v>Flat</v>
      </c>
      <c r="I385" s="44" t="str">
        <f aca="false">IF($H385="Percent",_xlfn.XLOOKUP($E385,$A$5:$A$8,$F$5:$F$8,""),"")</f>
        <v/>
      </c>
      <c r="J385" s="42" t="n">
        <f aca="false">IF($H385="Flat",_xlfn.XLOOKUP($E385,$A$5:$A$8,$F$5:$F$8,""),"")</f>
        <v>30</v>
      </c>
      <c r="K385" s="38" t="str">
        <f aca="false">_xlfn.XLOOKUP($E385,$A$5:$A$8,$G$5:$G$8,"")</f>
        <v>Per pay period</v>
      </c>
      <c r="L385" s="38" t="str">
        <f aca="false">_xlfn.XLOOKUP($E385,$A$5:$A$8,$H$5:$H$8,"")</f>
        <v>Every pay period (ongoing)</v>
      </c>
      <c r="M385" s="43" t="n">
        <f aca="false" t="array" ref="M385:M385">MAX(_xlfn.XLOOKUP($A385,TRIM(SUBSTITUTE('worker file'!$A$2:$A$406,_xlfn.UNICHAR(160)," ")),'worker file'!$M$2:$M$406,0),_xlfn.XLOOKUP($B385,TRIM('pay group &amp; schedule'!$A$2:$A$6),'pay group &amp; schedule'!$D$2:$D$6,0))</f>
        <v>46311</v>
      </c>
      <c r="N385" s="43" t="str">
        <f aca="false" t="array" ref="N385:N385">_xlfn.LET(_xlpm.t,_xlfn.XLOOKUP($A385,TRIM(SUBSTITUTE('worker file'!$A$2:$A$406,_xlfn.UNICHAR(160)," ")),'worker file'!$N$2:$N$406,""),IF(N(_xlpm.t)=0,"",_xlpm.t))</f>
        <v/>
      </c>
    </row>
    <row r="386" customFormat="false" ht="15" hidden="false" customHeight="false" outlineLevel="0" collapsed="false">
      <c r="A386" s="39" t="s">
        <v>233</v>
      </c>
      <c r="B386" s="40" t="str">
        <f aca="false" t="array" ref="B386:B386">_xlfn.XLOOKUP($A386,TRIM(SUBSTITUTE('worker file'!$A$2:$A$406,_xlfn.UNICHAR(160)," ")),'worker file'!$L$2:$L$406,"Not found")</f>
        <v>US Semi-monthly</v>
      </c>
      <c r="C386" s="40" t="str">
        <f aca="false" t="array" ref="C386:C386">_xlfn.XLOOKUP($A386,TRIM(SUBSTITUTE('worker file'!$A$2:$A$406,_xlfn.UNICHAR(160)," ")),'worker file'!$D$2:$D$406,"Not found")</f>
        <v>CA</v>
      </c>
      <c r="D386" s="40" t="str">
        <f aca="false" t="array" ref="D386:D386">_xlfn.XLOOKUP($A386,TRIM(SUBSTITUTE('worker file'!$A$2:$A$406,_xlfn.UNICHAR(160)," ")),'worker file'!$Q$2:$Q$406,"Not found")</f>
        <v>Active</v>
      </c>
      <c r="E386" s="39" t="s">
        <v>618</v>
      </c>
      <c r="F386" s="38" t="str">
        <f aca="false">_xlfn.XLOOKUP($E386,$A$5:$A$8,$B$5:$B$8,"")</f>
        <v>401(k) Employee Deferral</v>
      </c>
      <c r="G386" s="38" t="str">
        <f aca="false">_xlfn.XLOOKUP($E386,$A$5:$A$8,$D$5:$D$8,"")</f>
        <v>Pre-tax (exempt from FIT/SIT; subject to FICA)</v>
      </c>
      <c r="H386" s="38" t="str">
        <f aca="false">_xlfn.XLOOKUP($E386,$A$5:$A$8,$E$5:$E$8,"")</f>
        <v>Percent</v>
      </c>
      <c r="I386" s="41" t="n">
        <v>0.03</v>
      </c>
      <c r="J386" s="42" t="str">
        <f aca="false">IF($H386="Flat",_xlfn.XLOOKUP($E386,$A$5:$A$8,$F$5:$F$8,""),"")</f>
        <v/>
      </c>
      <c r="K386" s="38" t="str">
        <f aca="false">_xlfn.XLOOKUP($E386,$A$5:$A$8,$G$5:$G$8,"")</f>
        <v>Gross pay</v>
      </c>
      <c r="L386" s="38" t="str">
        <f aca="false">_xlfn.XLOOKUP($E386,$A$5:$A$8,$H$5:$H$8,"")</f>
        <v>Every pay period (ongoing)</v>
      </c>
      <c r="M386" s="43" t="n">
        <f aca="false" t="array" ref="M386:M386">MAX(_xlfn.XLOOKUP($A386,TRIM(SUBSTITUTE('worker file'!$A$2:$A$406,_xlfn.UNICHAR(160)," ")),'worker file'!$M$2:$M$406,0),_xlfn.XLOOKUP($B386,TRIM('pay group &amp; schedule'!$A$2:$A$6),'pay group &amp; schedule'!$D$2:$D$6,0))</f>
        <v>46311</v>
      </c>
      <c r="N386" s="43" t="str">
        <f aca="false" t="array" ref="N386:N386">_xlfn.LET(_xlpm.t,_xlfn.XLOOKUP($A386,TRIM(SUBSTITUTE('worker file'!$A$2:$A$406,_xlfn.UNICHAR(160)," ")),'worker file'!$N$2:$N$406,""),IF(N(_xlpm.t)=0,"",_xlpm.t))</f>
        <v/>
      </c>
    </row>
    <row r="387" customFormat="false" ht="15" hidden="false" customHeight="false" outlineLevel="0" collapsed="false">
      <c r="A387" s="39" t="s">
        <v>233</v>
      </c>
      <c r="B387" s="40" t="str">
        <f aca="false" t="array" ref="B387:B387">_xlfn.XLOOKUP($A387,TRIM(SUBSTITUTE('worker file'!$A$2:$A$406,_xlfn.UNICHAR(160)," ")),'worker file'!$L$2:$L$406,"Not found")</f>
        <v>US Semi-monthly</v>
      </c>
      <c r="C387" s="40" t="str">
        <f aca="false" t="array" ref="C387:C387">_xlfn.XLOOKUP($A387,TRIM(SUBSTITUTE('worker file'!$A$2:$A$406,_xlfn.UNICHAR(160)," ")),'worker file'!$D$2:$D$406,"Not found")</f>
        <v>CA</v>
      </c>
      <c r="D387" s="40" t="str">
        <f aca="false" t="array" ref="D387:D387">_xlfn.XLOOKUP($A387,TRIM(SUBSTITUTE('worker file'!$A$2:$A$406,_xlfn.UNICHAR(160)," ")),'worker file'!$Q$2:$Q$406,"Not found")</f>
        <v>Active</v>
      </c>
      <c r="E387" s="39" t="s">
        <v>626</v>
      </c>
      <c r="F387" s="38" t="str">
        <f aca="false">_xlfn.XLOOKUP($E387,$A$5:$A$8,$B$5:$B$8,"")</f>
        <v>Medical (Health) – Employee</v>
      </c>
      <c r="G387" s="38" t="str">
        <f aca="false">_xlfn.XLOOKUP($E387,$A$5:$A$8,$D$5:$D$8,"")</f>
        <v>Pre-tax Section 125 (exempt from FIT/SIT/FICA)</v>
      </c>
      <c r="H387" s="38" t="str">
        <f aca="false">_xlfn.XLOOKUP($E387,$A$5:$A$8,$E$5:$E$8,"")</f>
        <v>Flat</v>
      </c>
      <c r="I387" s="44" t="str">
        <f aca="false">IF($H387="Percent",_xlfn.XLOOKUP($E387,$A$5:$A$8,$F$5:$F$8,""),"")</f>
        <v/>
      </c>
      <c r="J387" s="42" t="n">
        <f aca="false">IF($H387="Flat",_xlfn.XLOOKUP($E387,$A$5:$A$8,$F$5:$F$8,""),"")</f>
        <v>200</v>
      </c>
      <c r="K387" s="38" t="str">
        <f aca="false">_xlfn.XLOOKUP($E387,$A$5:$A$8,$G$5:$G$8,"")</f>
        <v>Per pay period</v>
      </c>
      <c r="L387" s="38" t="str">
        <f aca="false">_xlfn.XLOOKUP($E387,$A$5:$A$8,$H$5:$H$8,"")</f>
        <v>Every pay period (ongoing)</v>
      </c>
      <c r="M387" s="43" t="n">
        <f aca="false" t="array" ref="M387:M387">MAX(_xlfn.XLOOKUP($A387,TRIM(SUBSTITUTE('worker file'!$A$2:$A$406,_xlfn.UNICHAR(160)," ")),'worker file'!$M$2:$M$406,0),_xlfn.XLOOKUP($B387,TRIM('pay group &amp; schedule'!$A$2:$A$6),'pay group &amp; schedule'!$D$2:$D$6,0))</f>
        <v>46311</v>
      </c>
      <c r="N387" s="43" t="str">
        <f aca="false" t="array" ref="N387:N387">_xlfn.LET(_xlpm.t,_xlfn.XLOOKUP($A387,TRIM(SUBSTITUTE('worker file'!$A$2:$A$406,_xlfn.UNICHAR(160)," ")),'worker file'!$N$2:$N$406,""),IF(N(_xlpm.t)=0,"",_xlpm.t))</f>
        <v/>
      </c>
    </row>
    <row r="388" customFormat="false" ht="15" hidden="false" customHeight="false" outlineLevel="0" collapsed="false">
      <c r="A388" s="39" t="s">
        <v>233</v>
      </c>
      <c r="B388" s="40" t="str">
        <f aca="false" t="array" ref="B388:B388">_xlfn.XLOOKUP($A388,TRIM(SUBSTITUTE('worker file'!$A$2:$A$406,_xlfn.UNICHAR(160)," ")),'worker file'!$L$2:$L$406,"Not found")</f>
        <v>US Semi-monthly</v>
      </c>
      <c r="C388" s="40" t="str">
        <f aca="false" t="array" ref="C388:C388">_xlfn.XLOOKUP($A388,TRIM(SUBSTITUTE('worker file'!$A$2:$A$406,_xlfn.UNICHAR(160)," ")),'worker file'!$D$2:$D$406,"Not found")</f>
        <v>CA</v>
      </c>
      <c r="D388" s="40" t="str">
        <f aca="false" t="array" ref="D388:D388">_xlfn.XLOOKUP($A388,TRIM(SUBSTITUTE('worker file'!$A$2:$A$406,_xlfn.UNICHAR(160)," ")),'worker file'!$Q$2:$Q$406,"Not found")</f>
        <v>Active</v>
      </c>
      <c r="E388" s="39" t="s">
        <v>632</v>
      </c>
      <c r="F388" s="38" t="str">
        <f aca="false">_xlfn.XLOOKUP($E388,$A$5:$A$8,$B$5:$B$8,"")</f>
        <v>Dental – Employee</v>
      </c>
      <c r="G388" s="38" t="str">
        <f aca="false">_xlfn.XLOOKUP($E388,$A$5:$A$8,$D$5:$D$8,"")</f>
        <v>Pre-tax Section 125 (exempt from FIT/SIT/FICA)</v>
      </c>
      <c r="H388" s="38" t="str">
        <f aca="false">_xlfn.XLOOKUP($E388,$A$5:$A$8,$E$5:$E$8,"")</f>
        <v>Flat</v>
      </c>
      <c r="I388" s="44" t="str">
        <f aca="false">IF($H388="Percent",_xlfn.XLOOKUP($E388,$A$5:$A$8,$F$5:$F$8,""),"")</f>
        <v/>
      </c>
      <c r="J388" s="42" t="n">
        <f aca="false">IF($H388="Flat",_xlfn.XLOOKUP($E388,$A$5:$A$8,$F$5:$F$8,""),"")</f>
        <v>44</v>
      </c>
      <c r="K388" s="38" t="str">
        <f aca="false">_xlfn.XLOOKUP($E388,$A$5:$A$8,$G$5:$G$8,"")</f>
        <v>Per pay period</v>
      </c>
      <c r="L388" s="38" t="str">
        <f aca="false">_xlfn.XLOOKUP($E388,$A$5:$A$8,$H$5:$H$8,"")</f>
        <v>Every pay period (ongoing)</v>
      </c>
      <c r="M388" s="43" t="n">
        <f aca="false" t="array" ref="M388:M388">MAX(_xlfn.XLOOKUP($A388,TRIM(SUBSTITUTE('worker file'!$A$2:$A$406,_xlfn.UNICHAR(160)," ")),'worker file'!$M$2:$M$406,0),_xlfn.XLOOKUP($B388,TRIM('pay group &amp; schedule'!$A$2:$A$6),'pay group &amp; schedule'!$D$2:$D$6,0))</f>
        <v>46311</v>
      </c>
      <c r="N388" s="43" t="str">
        <f aca="false" t="array" ref="N388:N388">_xlfn.LET(_xlpm.t,_xlfn.XLOOKUP($A388,TRIM(SUBSTITUTE('worker file'!$A$2:$A$406,_xlfn.UNICHAR(160)," ")),'worker file'!$N$2:$N$406,""),IF(N(_xlpm.t)=0,"",_xlpm.t))</f>
        <v/>
      </c>
    </row>
    <row r="389" customFormat="false" ht="15" hidden="false" customHeight="false" outlineLevel="0" collapsed="false">
      <c r="A389" s="39" t="s">
        <v>233</v>
      </c>
      <c r="B389" s="40" t="str">
        <f aca="false" t="array" ref="B389:B389">_xlfn.XLOOKUP($A389,TRIM(SUBSTITUTE('worker file'!$A$2:$A$406,_xlfn.UNICHAR(160)," ")),'worker file'!$L$2:$L$406,"Not found")</f>
        <v>US Semi-monthly</v>
      </c>
      <c r="C389" s="40" t="str">
        <f aca="false" t="array" ref="C389:C389">_xlfn.XLOOKUP($A389,TRIM(SUBSTITUTE('worker file'!$A$2:$A$406,_xlfn.UNICHAR(160)," ")),'worker file'!$D$2:$D$406,"Not found")</f>
        <v>CA</v>
      </c>
      <c r="D389" s="40" t="str">
        <f aca="false" t="array" ref="D389:D389">_xlfn.XLOOKUP($A389,TRIM(SUBSTITUTE('worker file'!$A$2:$A$406,_xlfn.UNICHAR(160)," ")),'worker file'!$Q$2:$Q$406,"Not found")</f>
        <v>Active</v>
      </c>
      <c r="E389" s="39" t="s">
        <v>634</v>
      </c>
      <c r="F389" s="38" t="str">
        <f aca="false">_xlfn.XLOOKUP($E389,$A$5:$A$8,$B$5:$B$8,"")</f>
        <v>Vision – Employee</v>
      </c>
      <c r="G389" s="38" t="str">
        <f aca="false">_xlfn.XLOOKUP($E389,$A$5:$A$8,$D$5:$D$8,"")</f>
        <v>Pre-tax Section 125 (exempt from FIT/SIT/FICA)</v>
      </c>
      <c r="H389" s="38" t="str">
        <f aca="false">_xlfn.XLOOKUP($E389,$A$5:$A$8,$E$5:$E$8,"")</f>
        <v>Flat</v>
      </c>
      <c r="I389" s="44" t="str">
        <f aca="false">IF($H389="Percent",_xlfn.XLOOKUP($E389,$A$5:$A$8,$F$5:$F$8,""),"")</f>
        <v/>
      </c>
      <c r="J389" s="42" t="n">
        <f aca="false">IF($H389="Flat",_xlfn.XLOOKUP($E389,$A$5:$A$8,$F$5:$F$8,""),"")</f>
        <v>30</v>
      </c>
      <c r="K389" s="38" t="str">
        <f aca="false">_xlfn.XLOOKUP($E389,$A$5:$A$8,$G$5:$G$8,"")</f>
        <v>Per pay period</v>
      </c>
      <c r="L389" s="38" t="str">
        <f aca="false">_xlfn.XLOOKUP($E389,$A$5:$A$8,$H$5:$H$8,"")</f>
        <v>Every pay period (ongoing)</v>
      </c>
      <c r="M389" s="43" t="n">
        <f aca="false" t="array" ref="M389:M389">MAX(_xlfn.XLOOKUP($A389,TRIM(SUBSTITUTE('worker file'!$A$2:$A$406,_xlfn.UNICHAR(160)," ")),'worker file'!$M$2:$M$406,0),_xlfn.XLOOKUP($B389,TRIM('pay group &amp; schedule'!$A$2:$A$6),'pay group &amp; schedule'!$D$2:$D$6,0))</f>
        <v>46311</v>
      </c>
      <c r="N389" s="43" t="str">
        <f aca="false" t="array" ref="N389:N389">_xlfn.LET(_xlpm.t,_xlfn.XLOOKUP($A389,TRIM(SUBSTITUTE('worker file'!$A$2:$A$406,_xlfn.UNICHAR(160)," ")),'worker file'!$N$2:$N$406,""),IF(N(_xlpm.t)=0,"",_xlpm.t))</f>
        <v/>
      </c>
    </row>
    <row r="390" customFormat="false" ht="15" hidden="false" customHeight="false" outlineLevel="0" collapsed="false">
      <c r="A390" s="39" t="s">
        <v>234</v>
      </c>
      <c r="B390" s="40" t="str">
        <f aca="false" t="array" ref="B390:B390">_xlfn.XLOOKUP($A390,TRIM(SUBSTITUTE('worker file'!$A$2:$A$406,_xlfn.UNICHAR(160)," ")),'worker file'!$L$2:$L$406,"Not found")</f>
        <v>US Semi-monthly</v>
      </c>
      <c r="C390" s="40" t="str">
        <f aca="false" t="array" ref="C390:C390">_xlfn.XLOOKUP($A390,TRIM(SUBSTITUTE('worker file'!$A$2:$A$406,_xlfn.UNICHAR(160)," ")),'worker file'!$D$2:$D$406,"Not found")</f>
        <v>MA</v>
      </c>
      <c r="D390" s="40" t="str">
        <f aca="false" t="array" ref="D390:D390">_xlfn.XLOOKUP($A390,TRIM(SUBSTITUTE('worker file'!$A$2:$A$406,_xlfn.UNICHAR(160)," ")),'worker file'!$Q$2:$Q$406,"Not found")</f>
        <v>Active</v>
      </c>
      <c r="E390" s="39" t="s">
        <v>618</v>
      </c>
      <c r="F390" s="38" t="str">
        <f aca="false">_xlfn.XLOOKUP($E390,$A$5:$A$8,$B$5:$B$8,"")</f>
        <v>401(k) Employee Deferral</v>
      </c>
      <c r="G390" s="38" t="str">
        <f aca="false">_xlfn.XLOOKUP($E390,$A$5:$A$8,$D$5:$D$8,"")</f>
        <v>Pre-tax (exempt from FIT/SIT; subject to FICA)</v>
      </c>
      <c r="H390" s="38" t="str">
        <f aca="false">_xlfn.XLOOKUP($E390,$A$5:$A$8,$E$5:$E$8,"")</f>
        <v>Percent</v>
      </c>
      <c r="I390" s="41" t="n">
        <v>0</v>
      </c>
      <c r="J390" s="42" t="str">
        <f aca="false">IF($H390="Flat",_xlfn.XLOOKUP($E390,$A$5:$A$8,$F$5:$F$8,""),"")</f>
        <v/>
      </c>
      <c r="K390" s="38" t="str">
        <f aca="false">_xlfn.XLOOKUP($E390,$A$5:$A$8,$G$5:$G$8,"")</f>
        <v>Gross pay</v>
      </c>
      <c r="L390" s="38" t="str">
        <f aca="false">_xlfn.XLOOKUP($E390,$A$5:$A$8,$H$5:$H$8,"")</f>
        <v>Every pay period (ongoing)</v>
      </c>
      <c r="M390" s="43" t="n">
        <f aca="false" t="array" ref="M390:M390">MAX(_xlfn.XLOOKUP($A390,TRIM(SUBSTITUTE('worker file'!$A$2:$A$406,_xlfn.UNICHAR(160)," ")),'worker file'!$M$2:$M$406,0),_xlfn.XLOOKUP($B390,TRIM('pay group &amp; schedule'!$A$2:$A$6),'pay group &amp; schedule'!$D$2:$D$6,0))</f>
        <v>46311</v>
      </c>
      <c r="N390" s="43" t="str">
        <f aca="false" t="array" ref="N390:N390">_xlfn.LET(_xlpm.t,_xlfn.XLOOKUP($A390,TRIM(SUBSTITUTE('worker file'!$A$2:$A$406,_xlfn.UNICHAR(160)," ")),'worker file'!$N$2:$N$406,""),IF(N(_xlpm.t)=0,"",_xlpm.t))</f>
        <v/>
      </c>
    </row>
    <row r="391" customFormat="false" ht="15" hidden="false" customHeight="false" outlineLevel="0" collapsed="false">
      <c r="A391" s="39" t="s">
        <v>234</v>
      </c>
      <c r="B391" s="40" t="str">
        <f aca="false" t="array" ref="B391:B391">_xlfn.XLOOKUP($A391,TRIM(SUBSTITUTE('worker file'!$A$2:$A$406,_xlfn.UNICHAR(160)," ")),'worker file'!$L$2:$L$406,"Not found")</f>
        <v>US Semi-monthly</v>
      </c>
      <c r="C391" s="40" t="str">
        <f aca="false" t="array" ref="C391:C391">_xlfn.XLOOKUP($A391,TRIM(SUBSTITUTE('worker file'!$A$2:$A$406,_xlfn.UNICHAR(160)," ")),'worker file'!$D$2:$D$406,"Not found")</f>
        <v>MA</v>
      </c>
      <c r="D391" s="40" t="str">
        <f aca="false" t="array" ref="D391:D391">_xlfn.XLOOKUP($A391,TRIM(SUBSTITUTE('worker file'!$A$2:$A$406,_xlfn.UNICHAR(160)," ")),'worker file'!$Q$2:$Q$406,"Not found")</f>
        <v>Active</v>
      </c>
      <c r="E391" s="39" t="s">
        <v>626</v>
      </c>
      <c r="F391" s="38" t="str">
        <f aca="false">_xlfn.XLOOKUP($E391,$A$5:$A$8,$B$5:$B$8,"")</f>
        <v>Medical (Health) – Employee</v>
      </c>
      <c r="G391" s="38" t="str">
        <f aca="false">_xlfn.XLOOKUP($E391,$A$5:$A$8,$D$5:$D$8,"")</f>
        <v>Pre-tax Section 125 (exempt from FIT/SIT/FICA)</v>
      </c>
      <c r="H391" s="38" t="str">
        <f aca="false">_xlfn.XLOOKUP($E391,$A$5:$A$8,$E$5:$E$8,"")</f>
        <v>Flat</v>
      </c>
      <c r="I391" s="44" t="str">
        <f aca="false">IF($H391="Percent",_xlfn.XLOOKUP($E391,$A$5:$A$8,$F$5:$F$8,""),"")</f>
        <v/>
      </c>
      <c r="J391" s="42" t="n">
        <f aca="false">IF($H391="Flat",_xlfn.XLOOKUP($E391,$A$5:$A$8,$F$5:$F$8,""),"")</f>
        <v>200</v>
      </c>
      <c r="K391" s="38" t="str">
        <f aca="false">_xlfn.XLOOKUP($E391,$A$5:$A$8,$G$5:$G$8,"")</f>
        <v>Per pay period</v>
      </c>
      <c r="L391" s="38" t="str">
        <f aca="false">_xlfn.XLOOKUP($E391,$A$5:$A$8,$H$5:$H$8,"")</f>
        <v>Every pay period (ongoing)</v>
      </c>
      <c r="M391" s="43" t="n">
        <f aca="false" t="array" ref="M391:M391">MAX(_xlfn.XLOOKUP($A391,TRIM(SUBSTITUTE('worker file'!$A$2:$A$406,_xlfn.UNICHAR(160)," ")),'worker file'!$M$2:$M$406,0),_xlfn.XLOOKUP($B391,TRIM('pay group &amp; schedule'!$A$2:$A$6),'pay group &amp; schedule'!$D$2:$D$6,0))</f>
        <v>46311</v>
      </c>
      <c r="N391" s="43" t="str">
        <f aca="false" t="array" ref="N391:N391">_xlfn.LET(_xlpm.t,_xlfn.XLOOKUP($A391,TRIM(SUBSTITUTE('worker file'!$A$2:$A$406,_xlfn.UNICHAR(160)," ")),'worker file'!$N$2:$N$406,""),IF(N(_xlpm.t)=0,"",_xlpm.t))</f>
        <v/>
      </c>
    </row>
    <row r="392" customFormat="false" ht="15" hidden="false" customHeight="false" outlineLevel="0" collapsed="false">
      <c r="A392" s="39" t="s">
        <v>234</v>
      </c>
      <c r="B392" s="40" t="str">
        <f aca="false" t="array" ref="B392:B392">_xlfn.XLOOKUP($A392,TRIM(SUBSTITUTE('worker file'!$A$2:$A$406,_xlfn.UNICHAR(160)," ")),'worker file'!$L$2:$L$406,"Not found")</f>
        <v>US Semi-monthly</v>
      </c>
      <c r="C392" s="40" t="str">
        <f aca="false" t="array" ref="C392:C392">_xlfn.XLOOKUP($A392,TRIM(SUBSTITUTE('worker file'!$A$2:$A$406,_xlfn.UNICHAR(160)," ")),'worker file'!$D$2:$D$406,"Not found")</f>
        <v>MA</v>
      </c>
      <c r="D392" s="40" t="str">
        <f aca="false" t="array" ref="D392:D392">_xlfn.XLOOKUP($A392,TRIM(SUBSTITUTE('worker file'!$A$2:$A$406,_xlfn.UNICHAR(160)," ")),'worker file'!$Q$2:$Q$406,"Not found")</f>
        <v>Active</v>
      </c>
      <c r="E392" s="39" t="s">
        <v>632</v>
      </c>
      <c r="F392" s="38" t="str">
        <f aca="false">_xlfn.XLOOKUP($E392,$A$5:$A$8,$B$5:$B$8,"")</f>
        <v>Dental – Employee</v>
      </c>
      <c r="G392" s="38" t="str">
        <f aca="false">_xlfn.XLOOKUP($E392,$A$5:$A$8,$D$5:$D$8,"")</f>
        <v>Pre-tax Section 125 (exempt from FIT/SIT/FICA)</v>
      </c>
      <c r="H392" s="38" t="str">
        <f aca="false">_xlfn.XLOOKUP($E392,$A$5:$A$8,$E$5:$E$8,"")</f>
        <v>Flat</v>
      </c>
      <c r="I392" s="44" t="str">
        <f aca="false">IF($H392="Percent",_xlfn.XLOOKUP($E392,$A$5:$A$8,$F$5:$F$8,""),"")</f>
        <v/>
      </c>
      <c r="J392" s="42" t="n">
        <f aca="false">IF($H392="Flat",_xlfn.XLOOKUP($E392,$A$5:$A$8,$F$5:$F$8,""),"")</f>
        <v>44</v>
      </c>
      <c r="K392" s="38" t="str">
        <f aca="false">_xlfn.XLOOKUP($E392,$A$5:$A$8,$G$5:$G$8,"")</f>
        <v>Per pay period</v>
      </c>
      <c r="L392" s="38" t="str">
        <f aca="false">_xlfn.XLOOKUP($E392,$A$5:$A$8,$H$5:$H$8,"")</f>
        <v>Every pay period (ongoing)</v>
      </c>
      <c r="M392" s="43" t="n">
        <f aca="false" t="array" ref="M392:M392">MAX(_xlfn.XLOOKUP($A392,TRIM(SUBSTITUTE('worker file'!$A$2:$A$406,_xlfn.UNICHAR(160)," ")),'worker file'!$M$2:$M$406,0),_xlfn.XLOOKUP($B392,TRIM('pay group &amp; schedule'!$A$2:$A$6),'pay group &amp; schedule'!$D$2:$D$6,0))</f>
        <v>46311</v>
      </c>
      <c r="N392" s="43" t="str">
        <f aca="false" t="array" ref="N392:N392">_xlfn.LET(_xlpm.t,_xlfn.XLOOKUP($A392,TRIM(SUBSTITUTE('worker file'!$A$2:$A$406,_xlfn.UNICHAR(160)," ")),'worker file'!$N$2:$N$406,""),IF(N(_xlpm.t)=0,"",_xlpm.t))</f>
        <v/>
      </c>
    </row>
    <row r="393" customFormat="false" ht="15" hidden="false" customHeight="false" outlineLevel="0" collapsed="false">
      <c r="A393" s="39" t="s">
        <v>234</v>
      </c>
      <c r="B393" s="40" t="str">
        <f aca="false" t="array" ref="B393:B393">_xlfn.XLOOKUP($A393,TRIM(SUBSTITUTE('worker file'!$A$2:$A$406,_xlfn.UNICHAR(160)," ")),'worker file'!$L$2:$L$406,"Not found")</f>
        <v>US Semi-monthly</v>
      </c>
      <c r="C393" s="40" t="str">
        <f aca="false" t="array" ref="C393:C393">_xlfn.XLOOKUP($A393,TRIM(SUBSTITUTE('worker file'!$A$2:$A$406,_xlfn.UNICHAR(160)," ")),'worker file'!$D$2:$D$406,"Not found")</f>
        <v>MA</v>
      </c>
      <c r="D393" s="40" t="str">
        <f aca="false" t="array" ref="D393:D393">_xlfn.XLOOKUP($A393,TRIM(SUBSTITUTE('worker file'!$A$2:$A$406,_xlfn.UNICHAR(160)," ")),'worker file'!$Q$2:$Q$406,"Not found")</f>
        <v>Active</v>
      </c>
      <c r="E393" s="39" t="s">
        <v>634</v>
      </c>
      <c r="F393" s="38" t="str">
        <f aca="false">_xlfn.XLOOKUP($E393,$A$5:$A$8,$B$5:$B$8,"")</f>
        <v>Vision – Employee</v>
      </c>
      <c r="G393" s="38" t="str">
        <f aca="false">_xlfn.XLOOKUP($E393,$A$5:$A$8,$D$5:$D$8,"")</f>
        <v>Pre-tax Section 125 (exempt from FIT/SIT/FICA)</v>
      </c>
      <c r="H393" s="38" t="str">
        <f aca="false">_xlfn.XLOOKUP($E393,$A$5:$A$8,$E$5:$E$8,"")</f>
        <v>Flat</v>
      </c>
      <c r="I393" s="44" t="str">
        <f aca="false">IF($H393="Percent",_xlfn.XLOOKUP($E393,$A$5:$A$8,$F$5:$F$8,""),"")</f>
        <v/>
      </c>
      <c r="J393" s="42" t="n">
        <f aca="false">IF($H393="Flat",_xlfn.XLOOKUP($E393,$A$5:$A$8,$F$5:$F$8,""),"")</f>
        <v>30</v>
      </c>
      <c r="K393" s="38" t="str">
        <f aca="false">_xlfn.XLOOKUP($E393,$A$5:$A$8,$G$5:$G$8,"")</f>
        <v>Per pay period</v>
      </c>
      <c r="L393" s="38" t="str">
        <f aca="false">_xlfn.XLOOKUP($E393,$A$5:$A$8,$H$5:$H$8,"")</f>
        <v>Every pay period (ongoing)</v>
      </c>
      <c r="M393" s="43" t="n">
        <f aca="false" t="array" ref="M393:M393">MAX(_xlfn.XLOOKUP($A393,TRIM(SUBSTITUTE('worker file'!$A$2:$A$406,_xlfn.UNICHAR(160)," ")),'worker file'!$M$2:$M$406,0),_xlfn.XLOOKUP($B393,TRIM('pay group &amp; schedule'!$A$2:$A$6),'pay group &amp; schedule'!$D$2:$D$6,0))</f>
        <v>46311</v>
      </c>
      <c r="N393" s="43" t="str">
        <f aca="false" t="array" ref="N393:N393">_xlfn.LET(_xlpm.t,_xlfn.XLOOKUP($A393,TRIM(SUBSTITUTE('worker file'!$A$2:$A$406,_xlfn.UNICHAR(160)," ")),'worker file'!$N$2:$N$406,""),IF(N(_xlpm.t)=0,"",_xlpm.t))</f>
        <v/>
      </c>
    </row>
    <row r="394" customFormat="false" ht="15" hidden="false" customHeight="false" outlineLevel="0" collapsed="false">
      <c r="A394" s="39" t="s">
        <v>235</v>
      </c>
      <c r="B394" s="40" t="str">
        <f aca="false" t="array" ref="B394:B394">_xlfn.XLOOKUP($A394,TRIM(SUBSTITUTE('worker file'!$A$2:$A$406,_xlfn.UNICHAR(160)," ")),'worker file'!$L$2:$L$406,"Not found")</f>
        <v>US Semi-monthly</v>
      </c>
      <c r="C394" s="40" t="str">
        <f aca="false" t="array" ref="C394:C394">_xlfn.XLOOKUP($A394,TRIM(SUBSTITUTE('worker file'!$A$2:$A$406,_xlfn.UNICHAR(160)," ")),'worker file'!$D$2:$D$406,"Not found")</f>
        <v>WA</v>
      </c>
      <c r="D394" s="40" t="str">
        <f aca="false" t="array" ref="D394:D394">_xlfn.XLOOKUP($A394,TRIM(SUBSTITUTE('worker file'!$A$2:$A$406,_xlfn.UNICHAR(160)," ")),'worker file'!$Q$2:$Q$406,"Not found")</f>
        <v>Active</v>
      </c>
      <c r="E394" s="39" t="s">
        <v>618</v>
      </c>
      <c r="F394" s="38" t="str">
        <f aca="false">_xlfn.XLOOKUP($E394,$A$5:$A$8,$B$5:$B$8,"")</f>
        <v>401(k) Employee Deferral</v>
      </c>
      <c r="G394" s="38" t="str">
        <f aca="false">_xlfn.XLOOKUP($E394,$A$5:$A$8,$D$5:$D$8,"")</f>
        <v>Pre-tax (exempt from FIT/SIT; subject to FICA)</v>
      </c>
      <c r="H394" s="38" t="str">
        <f aca="false">_xlfn.XLOOKUP($E394,$A$5:$A$8,$E$5:$E$8,"")</f>
        <v>Percent</v>
      </c>
      <c r="I394" s="41" t="n">
        <v>0.05</v>
      </c>
      <c r="J394" s="42" t="str">
        <f aca="false">IF($H394="Flat",_xlfn.XLOOKUP($E394,$A$5:$A$8,$F$5:$F$8,""),"")</f>
        <v/>
      </c>
      <c r="K394" s="38" t="str">
        <f aca="false">_xlfn.XLOOKUP($E394,$A$5:$A$8,$G$5:$G$8,"")</f>
        <v>Gross pay</v>
      </c>
      <c r="L394" s="38" t="str">
        <f aca="false">_xlfn.XLOOKUP($E394,$A$5:$A$8,$H$5:$H$8,"")</f>
        <v>Every pay period (ongoing)</v>
      </c>
      <c r="M394" s="43" t="n">
        <f aca="false" t="array" ref="M394:M394">MAX(_xlfn.XLOOKUP($A394,TRIM(SUBSTITUTE('worker file'!$A$2:$A$406,_xlfn.UNICHAR(160)," ")),'worker file'!$M$2:$M$406,0),_xlfn.XLOOKUP($B394,TRIM('pay group &amp; schedule'!$A$2:$A$6),'pay group &amp; schedule'!$D$2:$D$6,0))</f>
        <v>46311</v>
      </c>
      <c r="N394" s="43" t="str">
        <f aca="false" t="array" ref="N394:N394">_xlfn.LET(_xlpm.t,_xlfn.XLOOKUP($A394,TRIM(SUBSTITUTE('worker file'!$A$2:$A$406,_xlfn.UNICHAR(160)," ")),'worker file'!$N$2:$N$406,""),IF(N(_xlpm.t)=0,"",_xlpm.t))</f>
        <v/>
      </c>
    </row>
    <row r="395" customFormat="false" ht="15" hidden="false" customHeight="false" outlineLevel="0" collapsed="false">
      <c r="A395" s="39" t="s">
        <v>235</v>
      </c>
      <c r="B395" s="40" t="str">
        <f aca="false" t="array" ref="B395:B395">_xlfn.XLOOKUP($A395,TRIM(SUBSTITUTE('worker file'!$A$2:$A$406,_xlfn.UNICHAR(160)," ")),'worker file'!$L$2:$L$406,"Not found")</f>
        <v>US Semi-monthly</v>
      </c>
      <c r="C395" s="40" t="str">
        <f aca="false" t="array" ref="C395:C395">_xlfn.XLOOKUP($A395,TRIM(SUBSTITUTE('worker file'!$A$2:$A$406,_xlfn.UNICHAR(160)," ")),'worker file'!$D$2:$D$406,"Not found")</f>
        <v>WA</v>
      </c>
      <c r="D395" s="40" t="str">
        <f aca="false" t="array" ref="D395:D395">_xlfn.XLOOKUP($A395,TRIM(SUBSTITUTE('worker file'!$A$2:$A$406,_xlfn.UNICHAR(160)," ")),'worker file'!$Q$2:$Q$406,"Not found")</f>
        <v>Active</v>
      </c>
      <c r="E395" s="39" t="s">
        <v>626</v>
      </c>
      <c r="F395" s="38" t="str">
        <f aca="false">_xlfn.XLOOKUP($E395,$A$5:$A$8,$B$5:$B$8,"")</f>
        <v>Medical (Health) – Employee</v>
      </c>
      <c r="G395" s="38" t="str">
        <f aca="false">_xlfn.XLOOKUP($E395,$A$5:$A$8,$D$5:$D$8,"")</f>
        <v>Pre-tax Section 125 (exempt from FIT/SIT/FICA)</v>
      </c>
      <c r="H395" s="38" t="str">
        <f aca="false">_xlfn.XLOOKUP($E395,$A$5:$A$8,$E$5:$E$8,"")</f>
        <v>Flat</v>
      </c>
      <c r="I395" s="44" t="str">
        <f aca="false">IF($H395="Percent",_xlfn.XLOOKUP($E395,$A$5:$A$8,$F$5:$F$8,""),"")</f>
        <v/>
      </c>
      <c r="J395" s="42" t="n">
        <f aca="false">IF($H395="Flat",_xlfn.XLOOKUP($E395,$A$5:$A$8,$F$5:$F$8,""),"")</f>
        <v>200</v>
      </c>
      <c r="K395" s="38" t="str">
        <f aca="false">_xlfn.XLOOKUP($E395,$A$5:$A$8,$G$5:$G$8,"")</f>
        <v>Per pay period</v>
      </c>
      <c r="L395" s="38" t="str">
        <f aca="false">_xlfn.XLOOKUP($E395,$A$5:$A$8,$H$5:$H$8,"")</f>
        <v>Every pay period (ongoing)</v>
      </c>
      <c r="M395" s="43" t="n">
        <f aca="false" t="array" ref="M395:M395">MAX(_xlfn.XLOOKUP($A395,TRIM(SUBSTITUTE('worker file'!$A$2:$A$406,_xlfn.UNICHAR(160)," ")),'worker file'!$M$2:$M$406,0),_xlfn.XLOOKUP($B395,TRIM('pay group &amp; schedule'!$A$2:$A$6),'pay group &amp; schedule'!$D$2:$D$6,0))</f>
        <v>46311</v>
      </c>
      <c r="N395" s="43" t="str">
        <f aca="false" t="array" ref="N395:N395">_xlfn.LET(_xlpm.t,_xlfn.XLOOKUP($A395,TRIM(SUBSTITUTE('worker file'!$A$2:$A$406,_xlfn.UNICHAR(160)," ")),'worker file'!$N$2:$N$406,""),IF(N(_xlpm.t)=0,"",_xlpm.t))</f>
        <v/>
      </c>
    </row>
    <row r="396" customFormat="false" ht="15" hidden="false" customHeight="false" outlineLevel="0" collapsed="false">
      <c r="A396" s="39" t="s">
        <v>235</v>
      </c>
      <c r="B396" s="40" t="str">
        <f aca="false" t="array" ref="B396:B396">_xlfn.XLOOKUP($A396,TRIM(SUBSTITUTE('worker file'!$A$2:$A$406,_xlfn.UNICHAR(160)," ")),'worker file'!$L$2:$L$406,"Not found")</f>
        <v>US Semi-monthly</v>
      </c>
      <c r="C396" s="40" t="str">
        <f aca="false" t="array" ref="C396:C396">_xlfn.XLOOKUP($A396,TRIM(SUBSTITUTE('worker file'!$A$2:$A$406,_xlfn.UNICHAR(160)," ")),'worker file'!$D$2:$D$406,"Not found")</f>
        <v>WA</v>
      </c>
      <c r="D396" s="40" t="str">
        <f aca="false" t="array" ref="D396:D396">_xlfn.XLOOKUP($A396,TRIM(SUBSTITUTE('worker file'!$A$2:$A$406,_xlfn.UNICHAR(160)," ")),'worker file'!$Q$2:$Q$406,"Not found")</f>
        <v>Active</v>
      </c>
      <c r="E396" s="39" t="s">
        <v>632</v>
      </c>
      <c r="F396" s="38" t="str">
        <f aca="false">_xlfn.XLOOKUP($E396,$A$5:$A$8,$B$5:$B$8,"")</f>
        <v>Dental – Employee</v>
      </c>
      <c r="G396" s="38" t="str">
        <f aca="false">_xlfn.XLOOKUP($E396,$A$5:$A$8,$D$5:$D$8,"")</f>
        <v>Pre-tax Section 125 (exempt from FIT/SIT/FICA)</v>
      </c>
      <c r="H396" s="38" t="str">
        <f aca="false">_xlfn.XLOOKUP($E396,$A$5:$A$8,$E$5:$E$8,"")</f>
        <v>Flat</v>
      </c>
      <c r="I396" s="44" t="str">
        <f aca="false">IF($H396="Percent",_xlfn.XLOOKUP($E396,$A$5:$A$8,$F$5:$F$8,""),"")</f>
        <v/>
      </c>
      <c r="J396" s="42" t="n">
        <f aca="false">IF($H396="Flat",_xlfn.XLOOKUP($E396,$A$5:$A$8,$F$5:$F$8,""),"")</f>
        <v>44</v>
      </c>
      <c r="K396" s="38" t="str">
        <f aca="false">_xlfn.XLOOKUP($E396,$A$5:$A$8,$G$5:$G$8,"")</f>
        <v>Per pay period</v>
      </c>
      <c r="L396" s="38" t="str">
        <f aca="false">_xlfn.XLOOKUP($E396,$A$5:$A$8,$H$5:$H$8,"")</f>
        <v>Every pay period (ongoing)</v>
      </c>
      <c r="M396" s="43" t="n">
        <f aca="false" t="array" ref="M396:M396">MAX(_xlfn.XLOOKUP($A396,TRIM(SUBSTITUTE('worker file'!$A$2:$A$406,_xlfn.UNICHAR(160)," ")),'worker file'!$M$2:$M$406,0),_xlfn.XLOOKUP($B396,TRIM('pay group &amp; schedule'!$A$2:$A$6),'pay group &amp; schedule'!$D$2:$D$6,0))</f>
        <v>46311</v>
      </c>
      <c r="N396" s="43" t="str">
        <f aca="false" t="array" ref="N396:N396">_xlfn.LET(_xlpm.t,_xlfn.XLOOKUP($A396,TRIM(SUBSTITUTE('worker file'!$A$2:$A$406,_xlfn.UNICHAR(160)," ")),'worker file'!$N$2:$N$406,""),IF(N(_xlpm.t)=0,"",_xlpm.t))</f>
        <v/>
      </c>
    </row>
    <row r="397" customFormat="false" ht="15" hidden="false" customHeight="false" outlineLevel="0" collapsed="false">
      <c r="A397" s="39" t="s">
        <v>235</v>
      </c>
      <c r="B397" s="40" t="str">
        <f aca="false" t="array" ref="B397:B397">_xlfn.XLOOKUP($A397,TRIM(SUBSTITUTE('worker file'!$A$2:$A$406,_xlfn.UNICHAR(160)," ")),'worker file'!$L$2:$L$406,"Not found")</f>
        <v>US Semi-monthly</v>
      </c>
      <c r="C397" s="40" t="str">
        <f aca="false" t="array" ref="C397:C397">_xlfn.XLOOKUP($A397,TRIM(SUBSTITUTE('worker file'!$A$2:$A$406,_xlfn.UNICHAR(160)," ")),'worker file'!$D$2:$D$406,"Not found")</f>
        <v>WA</v>
      </c>
      <c r="D397" s="40" t="str">
        <f aca="false" t="array" ref="D397:D397">_xlfn.XLOOKUP($A397,TRIM(SUBSTITUTE('worker file'!$A$2:$A$406,_xlfn.UNICHAR(160)," ")),'worker file'!$Q$2:$Q$406,"Not found")</f>
        <v>Active</v>
      </c>
      <c r="E397" s="39" t="s">
        <v>634</v>
      </c>
      <c r="F397" s="38" t="str">
        <f aca="false">_xlfn.XLOOKUP($E397,$A$5:$A$8,$B$5:$B$8,"")</f>
        <v>Vision – Employee</v>
      </c>
      <c r="G397" s="38" t="str">
        <f aca="false">_xlfn.XLOOKUP($E397,$A$5:$A$8,$D$5:$D$8,"")</f>
        <v>Pre-tax Section 125 (exempt from FIT/SIT/FICA)</v>
      </c>
      <c r="H397" s="38" t="str">
        <f aca="false">_xlfn.XLOOKUP($E397,$A$5:$A$8,$E$5:$E$8,"")</f>
        <v>Flat</v>
      </c>
      <c r="I397" s="44" t="str">
        <f aca="false">IF($H397="Percent",_xlfn.XLOOKUP($E397,$A$5:$A$8,$F$5:$F$8,""),"")</f>
        <v/>
      </c>
      <c r="J397" s="42" t="n">
        <f aca="false">IF($H397="Flat",_xlfn.XLOOKUP($E397,$A$5:$A$8,$F$5:$F$8,""),"")</f>
        <v>30</v>
      </c>
      <c r="K397" s="38" t="str">
        <f aca="false">_xlfn.XLOOKUP($E397,$A$5:$A$8,$G$5:$G$8,"")</f>
        <v>Per pay period</v>
      </c>
      <c r="L397" s="38" t="str">
        <f aca="false">_xlfn.XLOOKUP($E397,$A$5:$A$8,$H$5:$H$8,"")</f>
        <v>Every pay period (ongoing)</v>
      </c>
      <c r="M397" s="43" t="n">
        <f aca="false" t="array" ref="M397:M397">MAX(_xlfn.XLOOKUP($A397,TRIM(SUBSTITUTE('worker file'!$A$2:$A$406,_xlfn.UNICHAR(160)," ")),'worker file'!$M$2:$M$406,0),_xlfn.XLOOKUP($B397,TRIM('pay group &amp; schedule'!$A$2:$A$6),'pay group &amp; schedule'!$D$2:$D$6,0))</f>
        <v>46311</v>
      </c>
      <c r="N397" s="43" t="str">
        <f aca="false" t="array" ref="N397:N397">_xlfn.LET(_xlpm.t,_xlfn.XLOOKUP($A397,TRIM(SUBSTITUTE('worker file'!$A$2:$A$406,_xlfn.UNICHAR(160)," ")),'worker file'!$N$2:$N$406,""),IF(N(_xlpm.t)=0,"",_xlpm.t))</f>
        <v/>
      </c>
    </row>
    <row r="398" customFormat="false" ht="15" hidden="false" customHeight="false" outlineLevel="0" collapsed="false">
      <c r="A398" s="39" t="s">
        <v>237</v>
      </c>
      <c r="B398" s="40" t="str">
        <f aca="false" t="array" ref="B398:B398">_xlfn.XLOOKUP($A398,TRIM(SUBSTITUTE('worker file'!$A$2:$A$406,_xlfn.UNICHAR(160)," ")),'worker file'!$L$2:$L$406,"Not found")</f>
        <v>US Semi-monthly</v>
      </c>
      <c r="C398" s="40" t="str">
        <f aca="false" t="array" ref="C398:C398">_xlfn.XLOOKUP($A398,TRIM(SUBSTITUTE('worker file'!$A$2:$A$406,_xlfn.UNICHAR(160)," ")),'worker file'!$D$2:$D$406,"Not found")</f>
        <v>CA</v>
      </c>
      <c r="D398" s="40" t="str">
        <f aca="false" t="array" ref="D398:D398">_xlfn.XLOOKUP($A398,TRIM(SUBSTITUTE('worker file'!$A$2:$A$406,_xlfn.UNICHAR(160)," ")),'worker file'!$Q$2:$Q$406,"Not found")</f>
        <v>Active</v>
      </c>
      <c r="E398" s="39" t="s">
        <v>618</v>
      </c>
      <c r="F398" s="38" t="str">
        <f aca="false">_xlfn.XLOOKUP($E398,$A$5:$A$8,$B$5:$B$8,"")</f>
        <v>401(k) Employee Deferral</v>
      </c>
      <c r="G398" s="38" t="str">
        <f aca="false">_xlfn.XLOOKUP($E398,$A$5:$A$8,$D$5:$D$8,"")</f>
        <v>Pre-tax (exempt from FIT/SIT; subject to FICA)</v>
      </c>
      <c r="H398" s="38" t="str">
        <f aca="false">_xlfn.XLOOKUP($E398,$A$5:$A$8,$E$5:$E$8,"")</f>
        <v>Percent</v>
      </c>
      <c r="I398" s="41" t="n">
        <v>0.02</v>
      </c>
      <c r="J398" s="42" t="str">
        <f aca="false">IF($H398="Flat",_xlfn.XLOOKUP($E398,$A$5:$A$8,$F$5:$F$8,""),"")</f>
        <v/>
      </c>
      <c r="K398" s="38" t="str">
        <f aca="false">_xlfn.XLOOKUP($E398,$A$5:$A$8,$G$5:$G$8,"")</f>
        <v>Gross pay</v>
      </c>
      <c r="L398" s="38" t="str">
        <f aca="false">_xlfn.XLOOKUP($E398,$A$5:$A$8,$H$5:$H$8,"")</f>
        <v>Every pay period (ongoing)</v>
      </c>
      <c r="M398" s="43" t="n">
        <f aca="false" t="array" ref="M398:M398">MAX(_xlfn.XLOOKUP($A398,TRIM(SUBSTITUTE('worker file'!$A$2:$A$406,_xlfn.UNICHAR(160)," ")),'worker file'!$M$2:$M$406,0),_xlfn.XLOOKUP($B398,TRIM('pay group &amp; schedule'!$A$2:$A$6),'pay group &amp; schedule'!$D$2:$D$6,0))</f>
        <v>46311</v>
      </c>
      <c r="N398" s="43" t="str">
        <f aca="false" t="array" ref="N398:N398">_xlfn.LET(_xlpm.t,_xlfn.XLOOKUP($A398,TRIM(SUBSTITUTE('worker file'!$A$2:$A$406,_xlfn.UNICHAR(160)," ")),'worker file'!$N$2:$N$406,""),IF(N(_xlpm.t)=0,"",_xlpm.t))</f>
        <v/>
      </c>
    </row>
    <row r="399" customFormat="false" ht="15" hidden="false" customHeight="false" outlineLevel="0" collapsed="false">
      <c r="A399" s="39" t="s">
        <v>237</v>
      </c>
      <c r="B399" s="40" t="str">
        <f aca="false" t="array" ref="B399:B399">_xlfn.XLOOKUP($A399,TRIM(SUBSTITUTE('worker file'!$A$2:$A$406,_xlfn.UNICHAR(160)," ")),'worker file'!$L$2:$L$406,"Not found")</f>
        <v>US Semi-monthly</v>
      </c>
      <c r="C399" s="40" t="str">
        <f aca="false" t="array" ref="C399:C399">_xlfn.XLOOKUP($A399,TRIM(SUBSTITUTE('worker file'!$A$2:$A$406,_xlfn.UNICHAR(160)," ")),'worker file'!$D$2:$D$406,"Not found")</f>
        <v>CA</v>
      </c>
      <c r="D399" s="40" t="str">
        <f aca="false" t="array" ref="D399:D399">_xlfn.XLOOKUP($A399,TRIM(SUBSTITUTE('worker file'!$A$2:$A$406,_xlfn.UNICHAR(160)," ")),'worker file'!$Q$2:$Q$406,"Not found")</f>
        <v>Active</v>
      </c>
      <c r="E399" s="39" t="s">
        <v>626</v>
      </c>
      <c r="F399" s="38" t="str">
        <f aca="false">_xlfn.XLOOKUP($E399,$A$5:$A$8,$B$5:$B$8,"")</f>
        <v>Medical (Health) – Employee</v>
      </c>
      <c r="G399" s="38" t="str">
        <f aca="false">_xlfn.XLOOKUP($E399,$A$5:$A$8,$D$5:$D$8,"")</f>
        <v>Pre-tax Section 125 (exempt from FIT/SIT/FICA)</v>
      </c>
      <c r="H399" s="38" t="str">
        <f aca="false">_xlfn.XLOOKUP($E399,$A$5:$A$8,$E$5:$E$8,"")</f>
        <v>Flat</v>
      </c>
      <c r="I399" s="44" t="str">
        <f aca="false">IF($H399="Percent",_xlfn.XLOOKUP($E399,$A$5:$A$8,$F$5:$F$8,""),"")</f>
        <v/>
      </c>
      <c r="J399" s="42" t="n">
        <f aca="false">IF($H399="Flat",_xlfn.XLOOKUP($E399,$A$5:$A$8,$F$5:$F$8,""),"")</f>
        <v>200</v>
      </c>
      <c r="K399" s="38" t="str">
        <f aca="false">_xlfn.XLOOKUP($E399,$A$5:$A$8,$G$5:$G$8,"")</f>
        <v>Per pay period</v>
      </c>
      <c r="L399" s="38" t="str">
        <f aca="false">_xlfn.XLOOKUP($E399,$A$5:$A$8,$H$5:$H$8,"")</f>
        <v>Every pay period (ongoing)</v>
      </c>
      <c r="M399" s="43" t="n">
        <f aca="false" t="array" ref="M399:M399">MAX(_xlfn.XLOOKUP($A399,TRIM(SUBSTITUTE('worker file'!$A$2:$A$406,_xlfn.UNICHAR(160)," ")),'worker file'!$M$2:$M$406,0),_xlfn.XLOOKUP($B399,TRIM('pay group &amp; schedule'!$A$2:$A$6),'pay group &amp; schedule'!$D$2:$D$6,0))</f>
        <v>46311</v>
      </c>
      <c r="N399" s="43" t="str">
        <f aca="false" t="array" ref="N399:N399">_xlfn.LET(_xlpm.t,_xlfn.XLOOKUP($A399,TRIM(SUBSTITUTE('worker file'!$A$2:$A$406,_xlfn.UNICHAR(160)," ")),'worker file'!$N$2:$N$406,""),IF(N(_xlpm.t)=0,"",_xlpm.t))</f>
        <v/>
      </c>
    </row>
    <row r="400" customFormat="false" ht="15" hidden="false" customHeight="false" outlineLevel="0" collapsed="false">
      <c r="A400" s="39" t="s">
        <v>237</v>
      </c>
      <c r="B400" s="40" t="str">
        <f aca="false" t="array" ref="B400:B400">_xlfn.XLOOKUP($A400,TRIM(SUBSTITUTE('worker file'!$A$2:$A$406,_xlfn.UNICHAR(160)," ")),'worker file'!$L$2:$L$406,"Not found")</f>
        <v>US Semi-monthly</v>
      </c>
      <c r="C400" s="40" t="str">
        <f aca="false" t="array" ref="C400:C400">_xlfn.XLOOKUP($A400,TRIM(SUBSTITUTE('worker file'!$A$2:$A$406,_xlfn.UNICHAR(160)," ")),'worker file'!$D$2:$D$406,"Not found")</f>
        <v>CA</v>
      </c>
      <c r="D400" s="40" t="str">
        <f aca="false" t="array" ref="D400:D400">_xlfn.XLOOKUP($A400,TRIM(SUBSTITUTE('worker file'!$A$2:$A$406,_xlfn.UNICHAR(160)," ")),'worker file'!$Q$2:$Q$406,"Not found")</f>
        <v>Active</v>
      </c>
      <c r="E400" s="39" t="s">
        <v>632</v>
      </c>
      <c r="F400" s="38" t="str">
        <f aca="false">_xlfn.XLOOKUP($E400,$A$5:$A$8,$B$5:$B$8,"")</f>
        <v>Dental – Employee</v>
      </c>
      <c r="G400" s="38" t="str">
        <f aca="false">_xlfn.XLOOKUP($E400,$A$5:$A$8,$D$5:$D$8,"")</f>
        <v>Pre-tax Section 125 (exempt from FIT/SIT/FICA)</v>
      </c>
      <c r="H400" s="38" t="str">
        <f aca="false">_xlfn.XLOOKUP($E400,$A$5:$A$8,$E$5:$E$8,"")</f>
        <v>Flat</v>
      </c>
      <c r="I400" s="44" t="str">
        <f aca="false">IF($H400="Percent",_xlfn.XLOOKUP($E400,$A$5:$A$8,$F$5:$F$8,""),"")</f>
        <v/>
      </c>
      <c r="J400" s="42" t="n">
        <f aca="false">IF($H400="Flat",_xlfn.XLOOKUP($E400,$A$5:$A$8,$F$5:$F$8,""),"")</f>
        <v>44</v>
      </c>
      <c r="K400" s="38" t="str">
        <f aca="false">_xlfn.XLOOKUP($E400,$A$5:$A$8,$G$5:$G$8,"")</f>
        <v>Per pay period</v>
      </c>
      <c r="L400" s="38" t="str">
        <f aca="false">_xlfn.XLOOKUP($E400,$A$5:$A$8,$H$5:$H$8,"")</f>
        <v>Every pay period (ongoing)</v>
      </c>
      <c r="M400" s="43" t="n">
        <f aca="false" t="array" ref="M400:M400">MAX(_xlfn.XLOOKUP($A400,TRIM(SUBSTITUTE('worker file'!$A$2:$A$406,_xlfn.UNICHAR(160)," ")),'worker file'!$M$2:$M$406,0),_xlfn.XLOOKUP($B400,TRIM('pay group &amp; schedule'!$A$2:$A$6),'pay group &amp; schedule'!$D$2:$D$6,0))</f>
        <v>46311</v>
      </c>
      <c r="N400" s="43" t="str">
        <f aca="false" t="array" ref="N400:N400">_xlfn.LET(_xlpm.t,_xlfn.XLOOKUP($A400,TRIM(SUBSTITUTE('worker file'!$A$2:$A$406,_xlfn.UNICHAR(160)," ")),'worker file'!$N$2:$N$406,""),IF(N(_xlpm.t)=0,"",_xlpm.t))</f>
        <v/>
      </c>
    </row>
    <row r="401" customFormat="false" ht="15" hidden="false" customHeight="false" outlineLevel="0" collapsed="false">
      <c r="A401" s="39" t="s">
        <v>237</v>
      </c>
      <c r="B401" s="40" t="str">
        <f aca="false" t="array" ref="B401:B401">_xlfn.XLOOKUP($A401,TRIM(SUBSTITUTE('worker file'!$A$2:$A$406,_xlfn.UNICHAR(160)," ")),'worker file'!$L$2:$L$406,"Not found")</f>
        <v>US Semi-monthly</v>
      </c>
      <c r="C401" s="40" t="str">
        <f aca="false" t="array" ref="C401:C401">_xlfn.XLOOKUP($A401,TRIM(SUBSTITUTE('worker file'!$A$2:$A$406,_xlfn.UNICHAR(160)," ")),'worker file'!$D$2:$D$406,"Not found")</f>
        <v>CA</v>
      </c>
      <c r="D401" s="40" t="str">
        <f aca="false" t="array" ref="D401:D401">_xlfn.XLOOKUP($A401,TRIM(SUBSTITUTE('worker file'!$A$2:$A$406,_xlfn.UNICHAR(160)," ")),'worker file'!$Q$2:$Q$406,"Not found")</f>
        <v>Active</v>
      </c>
      <c r="E401" s="39" t="s">
        <v>634</v>
      </c>
      <c r="F401" s="38" t="str">
        <f aca="false">_xlfn.XLOOKUP($E401,$A$5:$A$8,$B$5:$B$8,"")</f>
        <v>Vision – Employee</v>
      </c>
      <c r="G401" s="38" t="str">
        <f aca="false">_xlfn.XLOOKUP($E401,$A$5:$A$8,$D$5:$D$8,"")</f>
        <v>Pre-tax Section 125 (exempt from FIT/SIT/FICA)</v>
      </c>
      <c r="H401" s="38" t="str">
        <f aca="false">_xlfn.XLOOKUP($E401,$A$5:$A$8,$E$5:$E$8,"")</f>
        <v>Flat</v>
      </c>
      <c r="I401" s="44" t="str">
        <f aca="false">IF($H401="Percent",_xlfn.XLOOKUP($E401,$A$5:$A$8,$F$5:$F$8,""),"")</f>
        <v/>
      </c>
      <c r="J401" s="42" t="n">
        <f aca="false">IF($H401="Flat",_xlfn.XLOOKUP($E401,$A$5:$A$8,$F$5:$F$8,""),"")</f>
        <v>30</v>
      </c>
      <c r="K401" s="38" t="str">
        <f aca="false">_xlfn.XLOOKUP($E401,$A$5:$A$8,$G$5:$G$8,"")</f>
        <v>Per pay period</v>
      </c>
      <c r="L401" s="38" t="str">
        <f aca="false">_xlfn.XLOOKUP($E401,$A$5:$A$8,$H$5:$H$8,"")</f>
        <v>Every pay period (ongoing)</v>
      </c>
      <c r="M401" s="43" t="n">
        <f aca="false" t="array" ref="M401:M401">MAX(_xlfn.XLOOKUP($A401,TRIM(SUBSTITUTE('worker file'!$A$2:$A$406,_xlfn.UNICHAR(160)," ")),'worker file'!$M$2:$M$406,0),_xlfn.XLOOKUP($B401,TRIM('pay group &amp; schedule'!$A$2:$A$6),'pay group &amp; schedule'!$D$2:$D$6,0))</f>
        <v>46311</v>
      </c>
      <c r="N401" s="43" t="str">
        <f aca="false" t="array" ref="N401:N401">_xlfn.LET(_xlpm.t,_xlfn.XLOOKUP($A401,TRIM(SUBSTITUTE('worker file'!$A$2:$A$406,_xlfn.UNICHAR(160)," ")),'worker file'!$N$2:$N$406,""),IF(N(_xlpm.t)=0,"",_xlpm.t))</f>
        <v/>
      </c>
    </row>
    <row r="402" customFormat="false" ht="15" hidden="false" customHeight="false" outlineLevel="0" collapsed="false">
      <c r="A402" s="39" t="s">
        <v>238</v>
      </c>
      <c r="B402" s="40" t="str">
        <f aca="false" t="array" ref="B402:B402">_xlfn.XLOOKUP($A402,TRIM(SUBSTITUTE('worker file'!$A$2:$A$406,_xlfn.UNICHAR(160)," ")),'worker file'!$L$2:$L$406,"Not found")</f>
        <v>US Biweekly</v>
      </c>
      <c r="C402" s="40" t="str">
        <f aca="false" t="array" ref="C402:C402">_xlfn.XLOOKUP($A402,TRIM(SUBSTITUTE('worker file'!$A$2:$A$406,_xlfn.UNICHAR(160)," ")),'worker file'!$D$2:$D$406,"Not found")</f>
        <v>CA</v>
      </c>
      <c r="D402" s="40" t="str">
        <f aca="false" t="array" ref="D402:D402">_xlfn.XLOOKUP($A402,TRIM(SUBSTITUTE('worker file'!$A$2:$A$406,_xlfn.UNICHAR(160)," ")),'worker file'!$Q$2:$Q$406,"Not found")</f>
        <v>Active</v>
      </c>
      <c r="E402" s="39" t="s">
        <v>618</v>
      </c>
      <c r="F402" s="38" t="str">
        <f aca="false">_xlfn.XLOOKUP($E402,$A$5:$A$8,$B$5:$B$8,"")</f>
        <v>401(k) Employee Deferral</v>
      </c>
      <c r="G402" s="38" t="str">
        <f aca="false">_xlfn.XLOOKUP($E402,$A$5:$A$8,$D$5:$D$8,"")</f>
        <v>Pre-tax (exempt from FIT/SIT; subject to FICA)</v>
      </c>
      <c r="H402" s="38" t="str">
        <f aca="false">_xlfn.XLOOKUP($E402,$A$5:$A$8,$E$5:$E$8,"")</f>
        <v>Percent</v>
      </c>
      <c r="I402" s="41" t="n">
        <v>0.07</v>
      </c>
      <c r="J402" s="42" t="str">
        <f aca="false">IF($H402="Flat",_xlfn.XLOOKUP($E402,$A$5:$A$8,$F$5:$F$8,""),"")</f>
        <v/>
      </c>
      <c r="K402" s="38" t="str">
        <f aca="false">_xlfn.XLOOKUP($E402,$A$5:$A$8,$G$5:$G$8,"")</f>
        <v>Gross pay</v>
      </c>
      <c r="L402" s="38" t="str">
        <f aca="false">_xlfn.XLOOKUP($E402,$A$5:$A$8,$H$5:$H$8,"")</f>
        <v>Every pay period (ongoing)</v>
      </c>
      <c r="M402" s="43" t="n">
        <f aca="false" t="array" ref="M402:M402">MAX(_xlfn.XLOOKUP($A402,TRIM(SUBSTITUTE('worker file'!$A$2:$A$406,_xlfn.UNICHAR(160)," ")),'worker file'!$M$2:$M$406,0),_xlfn.XLOOKUP($B402,TRIM('pay group &amp; schedule'!$A$2:$A$6),'pay group &amp; schedule'!$D$2:$D$6,0))</f>
        <v>46299</v>
      </c>
      <c r="N402" s="43" t="str">
        <f aca="false" t="array" ref="N402:N402">_xlfn.LET(_xlpm.t,_xlfn.XLOOKUP($A402,TRIM(SUBSTITUTE('worker file'!$A$2:$A$406,_xlfn.UNICHAR(160)," ")),'worker file'!$N$2:$N$406,""),IF(N(_xlpm.t)=0,"",_xlpm.t))</f>
        <v/>
      </c>
    </row>
    <row r="403" customFormat="false" ht="15" hidden="false" customHeight="false" outlineLevel="0" collapsed="false">
      <c r="A403" s="39" t="s">
        <v>238</v>
      </c>
      <c r="B403" s="40" t="str">
        <f aca="false" t="array" ref="B403:B403">_xlfn.XLOOKUP($A403,TRIM(SUBSTITUTE('worker file'!$A$2:$A$406,_xlfn.UNICHAR(160)," ")),'worker file'!$L$2:$L$406,"Not found")</f>
        <v>US Biweekly</v>
      </c>
      <c r="C403" s="40" t="str">
        <f aca="false" t="array" ref="C403:C403">_xlfn.XLOOKUP($A403,TRIM(SUBSTITUTE('worker file'!$A$2:$A$406,_xlfn.UNICHAR(160)," ")),'worker file'!$D$2:$D$406,"Not found")</f>
        <v>CA</v>
      </c>
      <c r="D403" s="40" t="str">
        <f aca="false" t="array" ref="D403:D403">_xlfn.XLOOKUP($A403,TRIM(SUBSTITUTE('worker file'!$A$2:$A$406,_xlfn.UNICHAR(160)," ")),'worker file'!$Q$2:$Q$406,"Not found")</f>
        <v>Active</v>
      </c>
      <c r="E403" s="39" t="s">
        <v>626</v>
      </c>
      <c r="F403" s="38" t="str">
        <f aca="false">_xlfn.XLOOKUP($E403,$A$5:$A$8,$B$5:$B$8,"")</f>
        <v>Medical (Health) – Employee</v>
      </c>
      <c r="G403" s="38" t="str">
        <f aca="false">_xlfn.XLOOKUP($E403,$A$5:$A$8,$D$5:$D$8,"")</f>
        <v>Pre-tax Section 125 (exempt from FIT/SIT/FICA)</v>
      </c>
      <c r="H403" s="38" t="str">
        <f aca="false">_xlfn.XLOOKUP($E403,$A$5:$A$8,$E$5:$E$8,"")</f>
        <v>Flat</v>
      </c>
      <c r="I403" s="44" t="str">
        <f aca="false">IF($H403="Percent",_xlfn.XLOOKUP($E403,$A$5:$A$8,$F$5:$F$8,""),"")</f>
        <v/>
      </c>
      <c r="J403" s="42" t="n">
        <f aca="false">IF($H403="Flat",_xlfn.XLOOKUP($E403,$A$5:$A$8,$F$5:$F$8,""),"")</f>
        <v>200</v>
      </c>
      <c r="K403" s="38" t="str">
        <f aca="false">_xlfn.XLOOKUP($E403,$A$5:$A$8,$G$5:$G$8,"")</f>
        <v>Per pay period</v>
      </c>
      <c r="L403" s="38" t="str">
        <f aca="false">_xlfn.XLOOKUP($E403,$A$5:$A$8,$H$5:$H$8,"")</f>
        <v>Every pay period (ongoing)</v>
      </c>
      <c r="M403" s="43" t="n">
        <f aca="false" t="array" ref="M403:M403">MAX(_xlfn.XLOOKUP($A403,TRIM(SUBSTITUTE('worker file'!$A$2:$A$406,_xlfn.UNICHAR(160)," ")),'worker file'!$M$2:$M$406,0),_xlfn.XLOOKUP($B403,TRIM('pay group &amp; schedule'!$A$2:$A$6),'pay group &amp; schedule'!$D$2:$D$6,0))</f>
        <v>46299</v>
      </c>
      <c r="N403" s="43" t="str">
        <f aca="false" t="array" ref="N403:N403">_xlfn.LET(_xlpm.t,_xlfn.XLOOKUP($A403,TRIM(SUBSTITUTE('worker file'!$A$2:$A$406,_xlfn.UNICHAR(160)," ")),'worker file'!$N$2:$N$406,""),IF(N(_xlpm.t)=0,"",_xlpm.t))</f>
        <v/>
      </c>
    </row>
    <row r="404" customFormat="false" ht="15" hidden="false" customHeight="false" outlineLevel="0" collapsed="false">
      <c r="A404" s="39" t="s">
        <v>238</v>
      </c>
      <c r="B404" s="40" t="str">
        <f aca="false" t="array" ref="B404:B404">_xlfn.XLOOKUP($A404,TRIM(SUBSTITUTE('worker file'!$A$2:$A$406,_xlfn.UNICHAR(160)," ")),'worker file'!$L$2:$L$406,"Not found")</f>
        <v>US Biweekly</v>
      </c>
      <c r="C404" s="40" t="str">
        <f aca="false" t="array" ref="C404:C404">_xlfn.XLOOKUP($A404,TRIM(SUBSTITUTE('worker file'!$A$2:$A$406,_xlfn.UNICHAR(160)," ")),'worker file'!$D$2:$D$406,"Not found")</f>
        <v>CA</v>
      </c>
      <c r="D404" s="40" t="str">
        <f aca="false" t="array" ref="D404:D404">_xlfn.XLOOKUP($A404,TRIM(SUBSTITUTE('worker file'!$A$2:$A$406,_xlfn.UNICHAR(160)," ")),'worker file'!$Q$2:$Q$406,"Not found")</f>
        <v>Active</v>
      </c>
      <c r="E404" s="39" t="s">
        <v>632</v>
      </c>
      <c r="F404" s="38" t="str">
        <f aca="false">_xlfn.XLOOKUP($E404,$A$5:$A$8,$B$5:$B$8,"")</f>
        <v>Dental – Employee</v>
      </c>
      <c r="G404" s="38" t="str">
        <f aca="false">_xlfn.XLOOKUP($E404,$A$5:$A$8,$D$5:$D$8,"")</f>
        <v>Pre-tax Section 125 (exempt from FIT/SIT/FICA)</v>
      </c>
      <c r="H404" s="38" t="str">
        <f aca="false">_xlfn.XLOOKUP($E404,$A$5:$A$8,$E$5:$E$8,"")</f>
        <v>Flat</v>
      </c>
      <c r="I404" s="44" t="str">
        <f aca="false">IF($H404="Percent",_xlfn.XLOOKUP($E404,$A$5:$A$8,$F$5:$F$8,""),"")</f>
        <v/>
      </c>
      <c r="J404" s="42" t="n">
        <f aca="false">IF($H404="Flat",_xlfn.XLOOKUP($E404,$A$5:$A$8,$F$5:$F$8,""),"")</f>
        <v>44</v>
      </c>
      <c r="K404" s="38" t="str">
        <f aca="false">_xlfn.XLOOKUP($E404,$A$5:$A$8,$G$5:$G$8,"")</f>
        <v>Per pay period</v>
      </c>
      <c r="L404" s="38" t="str">
        <f aca="false">_xlfn.XLOOKUP($E404,$A$5:$A$8,$H$5:$H$8,"")</f>
        <v>Every pay period (ongoing)</v>
      </c>
      <c r="M404" s="43" t="n">
        <f aca="false" t="array" ref="M404:M404">MAX(_xlfn.XLOOKUP($A404,TRIM(SUBSTITUTE('worker file'!$A$2:$A$406,_xlfn.UNICHAR(160)," ")),'worker file'!$M$2:$M$406,0),_xlfn.XLOOKUP($B404,TRIM('pay group &amp; schedule'!$A$2:$A$6),'pay group &amp; schedule'!$D$2:$D$6,0))</f>
        <v>46299</v>
      </c>
      <c r="N404" s="43" t="str">
        <f aca="false" t="array" ref="N404:N404">_xlfn.LET(_xlpm.t,_xlfn.XLOOKUP($A404,TRIM(SUBSTITUTE('worker file'!$A$2:$A$406,_xlfn.UNICHAR(160)," ")),'worker file'!$N$2:$N$406,""),IF(N(_xlpm.t)=0,"",_xlpm.t))</f>
        <v/>
      </c>
    </row>
    <row r="405" customFormat="false" ht="15" hidden="false" customHeight="false" outlineLevel="0" collapsed="false">
      <c r="A405" s="39" t="s">
        <v>238</v>
      </c>
      <c r="B405" s="40" t="str">
        <f aca="false" t="array" ref="B405:B405">_xlfn.XLOOKUP($A405,TRIM(SUBSTITUTE('worker file'!$A$2:$A$406,_xlfn.UNICHAR(160)," ")),'worker file'!$L$2:$L$406,"Not found")</f>
        <v>US Biweekly</v>
      </c>
      <c r="C405" s="40" t="str">
        <f aca="false" t="array" ref="C405:C405">_xlfn.XLOOKUP($A405,TRIM(SUBSTITUTE('worker file'!$A$2:$A$406,_xlfn.UNICHAR(160)," ")),'worker file'!$D$2:$D$406,"Not found")</f>
        <v>CA</v>
      </c>
      <c r="D405" s="40" t="str">
        <f aca="false" t="array" ref="D405:D405">_xlfn.XLOOKUP($A405,TRIM(SUBSTITUTE('worker file'!$A$2:$A$406,_xlfn.UNICHAR(160)," ")),'worker file'!$Q$2:$Q$406,"Not found")</f>
        <v>Active</v>
      </c>
      <c r="E405" s="39" t="s">
        <v>634</v>
      </c>
      <c r="F405" s="38" t="str">
        <f aca="false">_xlfn.XLOOKUP($E405,$A$5:$A$8,$B$5:$B$8,"")</f>
        <v>Vision – Employee</v>
      </c>
      <c r="G405" s="38" t="str">
        <f aca="false">_xlfn.XLOOKUP($E405,$A$5:$A$8,$D$5:$D$8,"")</f>
        <v>Pre-tax Section 125 (exempt from FIT/SIT/FICA)</v>
      </c>
      <c r="H405" s="38" t="str">
        <f aca="false">_xlfn.XLOOKUP($E405,$A$5:$A$8,$E$5:$E$8,"")</f>
        <v>Flat</v>
      </c>
      <c r="I405" s="44" t="str">
        <f aca="false">IF($H405="Percent",_xlfn.XLOOKUP($E405,$A$5:$A$8,$F$5:$F$8,""),"")</f>
        <v/>
      </c>
      <c r="J405" s="42" t="n">
        <f aca="false">IF($H405="Flat",_xlfn.XLOOKUP($E405,$A$5:$A$8,$F$5:$F$8,""),"")</f>
        <v>30</v>
      </c>
      <c r="K405" s="38" t="str">
        <f aca="false">_xlfn.XLOOKUP($E405,$A$5:$A$8,$G$5:$G$8,"")</f>
        <v>Per pay period</v>
      </c>
      <c r="L405" s="38" t="str">
        <f aca="false">_xlfn.XLOOKUP($E405,$A$5:$A$8,$H$5:$H$8,"")</f>
        <v>Every pay period (ongoing)</v>
      </c>
      <c r="M405" s="43" t="n">
        <f aca="false" t="array" ref="M405:M405">MAX(_xlfn.XLOOKUP($A405,TRIM(SUBSTITUTE('worker file'!$A$2:$A$406,_xlfn.UNICHAR(160)," ")),'worker file'!$M$2:$M$406,0),_xlfn.XLOOKUP($B405,TRIM('pay group &amp; schedule'!$A$2:$A$6),'pay group &amp; schedule'!$D$2:$D$6,0))</f>
        <v>46299</v>
      </c>
      <c r="N405" s="43" t="str">
        <f aca="false" t="array" ref="N405:N405">_xlfn.LET(_xlpm.t,_xlfn.XLOOKUP($A405,TRIM(SUBSTITUTE('worker file'!$A$2:$A$406,_xlfn.UNICHAR(160)," ")),'worker file'!$N$2:$N$406,""),IF(N(_xlpm.t)=0,"",_xlpm.t))</f>
        <v/>
      </c>
    </row>
    <row r="406" customFormat="false" ht="15" hidden="false" customHeight="false" outlineLevel="0" collapsed="false">
      <c r="A406" s="39" t="s">
        <v>240</v>
      </c>
      <c r="B406" s="40" t="str">
        <f aca="false" t="array" ref="B406:B406">_xlfn.XLOOKUP($A406,TRIM(SUBSTITUTE('worker file'!$A$2:$A$406,_xlfn.UNICHAR(160)," ")),'worker file'!$L$2:$L$406,"Not found")</f>
        <v>US Biweekly</v>
      </c>
      <c r="C406" s="40" t="str">
        <f aca="false" t="array" ref="C406:C406">_xlfn.XLOOKUP($A406,TRIM(SUBSTITUTE('worker file'!$A$2:$A$406,_xlfn.UNICHAR(160)," ")),'worker file'!$D$2:$D$406,"Not found")</f>
        <v>TX</v>
      </c>
      <c r="D406" s="40" t="str">
        <f aca="false" t="array" ref="D406:D406">_xlfn.XLOOKUP($A406,TRIM(SUBSTITUTE('worker file'!$A$2:$A$406,_xlfn.UNICHAR(160)," ")),'worker file'!$Q$2:$Q$406,"Not found")</f>
        <v>Active</v>
      </c>
      <c r="E406" s="39" t="s">
        <v>626</v>
      </c>
      <c r="F406" s="38" t="str">
        <f aca="false">_xlfn.XLOOKUP($E406,$A$5:$A$8,$B$5:$B$8,"")</f>
        <v>Medical (Health) – Employee</v>
      </c>
      <c r="G406" s="38" t="str">
        <f aca="false">_xlfn.XLOOKUP($E406,$A$5:$A$8,$D$5:$D$8,"")</f>
        <v>Pre-tax Section 125 (exempt from FIT/SIT/FICA)</v>
      </c>
      <c r="H406" s="38" t="str">
        <f aca="false">_xlfn.XLOOKUP($E406,$A$5:$A$8,$E$5:$E$8,"")</f>
        <v>Flat</v>
      </c>
      <c r="I406" s="44" t="str">
        <f aca="false">IF($H406="Percent",_xlfn.XLOOKUP($E406,$A$5:$A$8,$F$5:$F$8,""),"")</f>
        <v/>
      </c>
      <c r="J406" s="42" t="n">
        <f aca="false">IF($H406="Flat",_xlfn.XLOOKUP($E406,$A$5:$A$8,$F$5:$F$8,""),"")</f>
        <v>200</v>
      </c>
      <c r="K406" s="38" t="str">
        <f aca="false">_xlfn.XLOOKUP($E406,$A$5:$A$8,$G$5:$G$8,"")</f>
        <v>Per pay period</v>
      </c>
      <c r="L406" s="38" t="str">
        <f aca="false">_xlfn.XLOOKUP($E406,$A$5:$A$8,$H$5:$H$8,"")</f>
        <v>Every pay period (ongoing)</v>
      </c>
      <c r="M406" s="43" t="n">
        <f aca="false" t="array" ref="M406:M406">MAX(_xlfn.XLOOKUP($A406,TRIM(SUBSTITUTE('worker file'!$A$2:$A$406,_xlfn.UNICHAR(160)," ")),'worker file'!$M$2:$M$406,0),_xlfn.XLOOKUP($B406,TRIM('pay group &amp; schedule'!$A$2:$A$6),'pay group &amp; schedule'!$D$2:$D$6,0))</f>
        <v>46299</v>
      </c>
      <c r="N406" s="43" t="str">
        <f aca="false" t="array" ref="N406:N406">_xlfn.LET(_xlpm.t,_xlfn.XLOOKUP($A406,TRIM(SUBSTITUTE('worker file'!$A$2:$A$406,_xlfn.UNICHAR(160)," ")),'worker file'!$N$2:$N$406,""),IF(N(_xlpm.t)=0,"",_xlpm.t))</f>
        <v/>
      </c>
    </row>
    <row r="407" customFormat="false" ht="15" hidden="false" customHeight="false" outlineLevel="0" collapsed="false">
      <c r="A407" s="39" t="s">
        <v>240</v>
      </c>
      <c r="B407" s="40" t="str">
        <f aca="false" t="array" ref="B407:B407">_xlfn.XLOOKUP($A407,TRIM(SUBSTITUTE('worker file'!$A$2:$A$406,_xlfn.UNICHAR(160)," ")),'worker file'!$L$2:$L$406,"Not found")</f>
        <v>US Biweekly</v>
      </c>
      <c r="C407" s="40" t="str">
        <f aca="false" t="array" ref="C407:C407">_xlfn.XLOOKUP($A407,TRIM(SUBSTITUTE('worker file'!$A$2:$A$406,_xlfn.UNICHAR(160)," ")),'worker file'!$D$2:$D$406,"Not found")</f>
        <v>TX</v>
      </c>
      <c r="D407" s="40" t="str">
        <f aca="false" t="array" ref="D407:D407">_xlfn.XLOOKUP($A407,TRIM(SUBSTITUTE('worker file'!$A$2:$A$406,_xlfn.UNICHAR(160)," ")),'worker file'!$Q$2:$Q$406,"Not found")</f>
        <v>Active</v>
      </c>
      <c r="E407" s="39" t="s">
        <v>632</v>
      </c>
      <c r="F407" s="38" t="str">
        <f aca="false">_xlfn.XLOOKUP($E407,$A$5:$A$8,$B$5:$B$8,"")</f>
        <v>Dental – Employee</v>
      </c>
      <c r="G407" s="38" t="str">
        <f aca="false">_xlfn.XLOOKUP($E407,$A$5:$A$8,$D$5:$D$8,"")</f>
        <v>Pre-tax Section 125 (exempt from FIT/SIT/FICA)</v>
      </c>
      <c r="H407" s="38" t="str">
        <f aca="false">_xlfn.XLOOKUP($E407,$A$5:$A$8,$E$5:$E$8,"")</f>
        <v>Flat</v>
      </c>
      <c r="I407" s="44" t="str">
        <f aca="false">IF($H407="Percent",_xlfn.XLOOKUP($E407,$A$5:$A$8,$F$5:$F$8,""),"")</f>
        <v/>
      </c>
      <c r="J407" s="42" t="n">
        <f aca="false">IF($H407="Flat",_xlfn.XLOOKUP($E407,$A$5:$A$8,$F$5:$F$8,""),"")</f>
        <v>44</v>
      </c>
      <c r="K407" s="38" t="str">
        <f aca="false">_xlfn.XLOOKUP($E407,$A$5:$A$8,$G$5:$G$8,"")</f>
        <v>Per pay period</v>
      </c>
      <c r="L407" s="38" t="str">
        <f aca="false">_xlfn.XLOOKUP($E407,$A$5:$A$8,$H$5:$H$8,"")</f>
        <v>Every pay period (ongoing)</v>
      </c>
      <c r="M407" s="43" t="n">
        <f aca="false" t="array" ref="M407:M407">MAX(_xlfn.XLOOKUP($A407,TRIM(SUBSTITUTE('worker file'!$A$2:$A$406,_xlfn.UNICHAR(160)," ")),'worker file'!$M$2:$M$406,0),_xlfn.XLOOKUP($B407,TRIM('pay group &amp; schedule'!$A$2:$A$6),'pay group &amp; schedule'!$D$2:$D$6,0))</f>
        <v>46299</v>
      </c>
      <c r="N407" s="43" t="str">
        <f aca="false" t="array" ref="N407:N407">_xlfn.LET(_xlpm.t,_xlfn.XLOOKUP($A407,TRIM(SUBSTITUTE('worker file'!$A$2:$A$406,_xlfn.UNICHAR(160)," ")),'worker file'!$N$2:$N$406,""),IF(N(_xlpm.t)=0,"",_xlpm.t))</f>
        <v/>
      </c>
    </row>
    <row r="408" customFormat="false" ht="15" hidden="false" customHeight="false" outlineLevel="0" collapsed="false">
      <c r="A408" s="39" t="s">
        <v>240</v>
      </c>
      <c r="B408" s="40" t="str">
        <f aca="false" t="array" ref="B408:B408">_xlfn.XLOOKUP($A408,TRIM(SUBSTITUTE('worker file'!$A$2:$A$406,_xlfn.UNICHAR(160)," ")),'worker file'!$L$2:$L$406,"Not found")</f>
        <v>US Biweekly</v>
      </c>
      <c r="C408" s="40" t="str">
        <f aca="false" t="array" ref="C408:C408">_xlfn.XLOOKUP($A408,TRIM(SUBSTITUTE('worker file'!$A$2:$A$406,_xlfn.UNICHAR(160)," ")),'worker file'!$D$2:$D$406,"Not found")</f>
        <v>TX</v>
      </c>
      <c r="D408" s="40" t="str">
        <f aca="false" t="array" ref="D408:D408">_xlfn.XLOOKUP($A408,TRIM(SUBSTITUTE('worker file'!$A$2:$A$406,_xlfn.UNICHAR(160)," ")),'worker file'!$Q$2:$Q$406,"Not found")</f>
        <v>Active</v>
      </c>
      <c r="E408" s="39" t="s">
        <v>634</v>
      </c>
      <c r="F408" s="38" t="str">
        <f aca="false">_xlfn.XLOOKUP($E408,$A$5:$A$8,$B$5:$B$8,"")</f>
        <v>Vision – Employee</v>
      </c>
      <c r="G408" s="38" t="str">
        <f aca="false">_xlfn.XLOOKUP($E408,$A$5:$A$8,$D$5:$D$8,"")</f>
        <v>Pre-tax Section 125 (exempt from FIT/SIT/FICA)</v>
      </c>
      <c r="H408" s="38" t="str">
        <f aca="false">_xlfn.XLOOKUP($E408,$A$5:$A$8,$E$5:$E$8,"")</f>
        <v>Flat</v>
      </c>
      <c r="I408" s="44" t="str">
        <f aca="false">IF($H408="Percent",_xlfn.XLOOKUP($E408,$A$5:$A$8,$F$5:$F$8,""),"")</f>
        <v/>
      </c>
      <c r="J408" s="42" t="n">
        <f aca="false">IF($H408="Flat",_xlfn.XLOOKUP($E408,$A$5:$A$8,$F$5:$F$8,""),"")</f>
        <v>30</v>
      </c>
      <c r="K408" s="38" t="str">
        <f aca="false">_xlfn.XLOOKUP($E408,$A$5:$A$8,$G$5:$G$8,"")</f>
        <v>Per pay period</v>
      </c>
      <c r="L408" s="38" t="str">
        <f aca="false">_xlfn.XLOOKUP($E408,$A$5:$A$8,$H$5:$H$8,"")</f>
        <v>Every pay period (ongoing)</v>
      </c>
      <c r="M408" s="43" t="n">
        <f aca="false" t="array" ref="M408:M408">MAX(_xlfn.XLOOKUP($A408,TRIM(SUBSTITUTE('worker file'!$A$2:$A$406,_xlfn.UNICHAR(160)," ")),'worker file'!$M$2:$M$406,0),_xlfn.XLOOKUP($B408,TRIM('pay group &amp; schedule'!$A$2:$A$6),'pay group &amp; schedule'!$D$2:$D$6,0))</f>
        <v>46299</v>
      </c>
      <c r="N408" s="43" t="str">
        <f aca="false" t="array" ref="N408:N408">_xlfn.LET(_xlpm.t,_xlfn.XLOOKUP($A408,TRIM(SUBSTITUTE('worker file'!$A$2:$A$406,_xlfn.UNICHAR(160)," ")),'worker file'!$N$2:$N$406,""),IF(N(_xlpm.t)=0,"",_xlpm.t))</f>
        <v/>
      </c>
    </row>
    <row r="409" customFormat="false" ht="15" hidden="false" customHeight="false" outlineLevel="0" collapsed="false">
      <c r="A409" s="39" t="s">
        <v>241</v>
      </c>
      <c r="B409" s="40" t="str">
        <f aca="false" t="array" ref="B409:B409">_xlfn.XLOOKUP($A409,TRIM(SUBSTITUTE('worker file'!$A$2:$A$406,_xlfn.UNICHAR(160)," ")),'worker file'!$L$2:$L$406,"Not found")</f>
        <v>US Semi-monthly</v>
      </c>
      <c r="C409" s="40" t="str">
        <f aca="false" t="array" ref="C409:C409">_xlfn.XLOOKUP($A409,TRIM(SUBSTITUTE('worker file'!$A$2:$A$406,_xlfn.UNICHAR(160)," ")),'worker file'!$D$2:$D$406,"Not found")</f>
        <v>WA</v>
      </c>
      <c r="D409" s="40" t="str">
        <f aca="false" t="array" ref="D409:D409">_xlfn.XLOOKUP($A409,TRIM(SUBSTITUTE('worker file'!$A$2:$A$406,_xlfn.UNICHAR(160)," ")),'worker file'!$Q$2:$Q$406,"Not found")</f>
        <v>Active</v>
      </c>
      <c r="E409" s="39" t="s">
        <v>618</v>
      </c>
      <c r="F409" s="38" t="str">
        <f aca="false">_xlfn.XLOOKUP($E409,$A$5:$A$8,$B$5:$B$8,"")</f>
        <v>401(k) Employee Deferral</v>
      </c>
      <c r="G409" s="38" t="str">
        <f aca="false">_xlfn.XLOOKUP($E409,$A$5:$A$8,$D$5:$D$8,"")</f>
        <v>Pre-tax (exempt from FIT/SIT; subject to FICA)</v>
      </c>
      <c r="H409" s="38" t="str">
        <f aca="false">_xlfn.XLOOKUP($E409,$A$5:$A$8,$E$5:$E$8,"")</f>
        <v>Percent</v>
      </c>
      <c r="I409" s="41" t="n">
        <v>0.01</v>
      </c>
      <c r="J409" s="42" t="str">
        <f aca="false">IF($H409="Flat",_xlfn.XLOOKUP($E409,$A$5:$A$8,$F$5:$F$8,""),"")</f>
        <v/>
      </c>
      <c r="K409" s="38" t="str">
        <f aca="false">_xlfn.XLOOKUP($E409,$A$5:$A$8,$G$5:$G$8,"")</f>
        <v>Gross pay</v>
      </c>
      <c r="L409" s="38" t="str">
        <f aca="false">_xlfn.XLOOKUP($E409,$A$5:$A$8,$H$5:$H$8,"")</f>
        <v>Every pay period (ongoing)</v>
      </c>
      <c r="M409" s="43" t="n">
        <f aca="false" t="array" ref="M409:M409">MAX(_xlfn.XLOOKUP($A409,TRIM(SUBSTITUTE('worker file'!$A$2:$A$406,_xlfn.UNICHAR(160)," ")),'worker file'!$M$2:$M$406,0),_xlfn.XLOOKUP($B409,TRIM('pay group &amp; schedule'!$A$2:$A$6),'pay group &amp; schedule'!$D$2:$D$6,0))</f>
        <v>46311</v>
      </c>
      <c r="N409" s="43" t="str">
        <f aca="false" t="array" ref="N409:N409">_xlfn.LET(_xlpm.t,_xlfn.XLOOKUP($A409,TRIM(SUBSTITUTE('worker file'!$A$2:$A$406,_xlfn.UNICHAR(160)," ")),'worker file'!$N$2:$N$406,""),IF(N(_xlpm.t)=0,"",_xlpm.t))</f>
        <v/>
      </c>
    </row>
    <row r="410" customFormat="false" ht="15" hidden="false" customHeight="false" outlineLevel="0" collapsed="false">
      <c r="A410" s="39" t="s">
        <v>241</v>
      </c>
      <c r="B410" s="40" t="str">
        <f aca="false" t="array" ref="B410:B410">_xlfn.XLOOKUP($A410,TRIM(SUBSTITUTE('worker file'!$A$2:$A$406,_xlfn.UNICHAR(160)," ")),'worker file'!$L$2:$L$406,"Not found")</f>
        <v>US Semi-monthly</v>
      </c>
      <c r="C410" s="40" t="str">
        <f aca="false" t="array" ref="C410:C410">_xlfn.XLOOKUP($A410,TRIM(SUBSTITUTE('worker file'!$A$2:$A$406,_xlfn.UNICHAR(160)," ")),'worker file'!$D$2:$D$406,"Not found")</f>
        <v>WA</v>
      </c>
      <c r="D410" s="40" t="str">
        <f aca="false" t="array" ref="D410:D410">_xlfn.XLOOKUP($A410,TRIM(SUBSTITUTE('worker file'!$A$2:$A$406,_xlfn.UNICHAR(160)," ")),'worker file'!$Q$2:$Q$406,"Not found")</f>
        <v>Active</v>
      </c>
      <c r="E410" s="39" t="s">
        <v>626</v>
      </c>
      <c r="F410" s="38" t="str">
        <f aca="false">_xlfn.XLOOKUP($E410,$A$5:$A$8,$B$5:$B$8,"")</f>
        <v>Medical (Health) – Employee</v>
      </c>
      <c r="G410" s="38" t="str">
        <f aca="false">_xlfn.XLOOKUP($E410,$A$5:$A$8,$D$5:$D$8,"")</f>
        <v>Pre-tax Section 125 (exempt from FIT/SIT/FICA)</v>
      </c>
      <c r="H410" s="38" t="str">
        <f aca="false">_xlfn.XLOOKUP($E410,$A$5:$A$8,$E$5:$E$8,"")</f>
        <v>Flat</v>
      </c>
      <c r="I410" s="44" t="str">
        <f aca="false">IF($H410="Percent",_xlfn.XLOOKUP($E410,$A$5:$A$8,$F$5:$F$8,""),"")</f>
        <v/>
      </c>
      <c r="J410" s="42" t="n">
        <f aca="false">IF($H410="Flat",_xlfn.XLOOKUP($E410,$A$5:$A$8,$F$5:$F$8,""),"")</f>
        <v>200</v>
      </c>
      <c r="K410" s="38" t="str">
        <f aca="false">_xlfn.XLOOKUP($E410,$A$5:$A$8,$G$5:$G$8,"")</f>
        <v>Per pay period</v>
      </c>
      <c r="L410" s="38" t="str">
        <f aca="false">_xlfn.XLOOKUP($E410,$A$5:$A$8,$H$5:$H$8,"")</f>
        <v>Every pay period (ongoing)</v>
      </c>
      <c r="M410" s="43" t="n">
        <f aca="false" t="array" ref="M410:M410">MAX(_xlfn.XLOOKUP($A410,TRIM(SUBSTITUTE('worker file'!$A$2:$A$406,_xlfn.UNICHAR(160)," ")),'worker file'!$M$2:$M$406,0),_xlfn.XLOOKUP($B410,TRIM('pay group &amp; schedule'!$A$2:$A$6),'pay group &amp; schedule'!$D$2:$D$6,0))</f>
        <v>46311</v>
      </c>
      <c r="N410" s="43" t="str">
        <f aca="false" t="array" ref="N410:N410">_xlfn.LET(_xlpm.t,_xlfn.XLOOKUP($A410,TRIM(SUBSTITUTE('worker file'!$A$2:$A$406,_xlfn.UNICHAR(160)," ")),'worker file'!$N$2:$N$406,""),IF(N(_xlpm.t)=0,"",_xlpm.t))</f>
        <v/>
      </c>
    </row>
    <row r="411" customFormat="false" ht="15" hidden="false" customHeight="false" outlineLevel="0" collapsed="false">
      <c r="A411" s="39" t="s">
        <v>241</v>
      </c>
      <c r="B411" s="40" t="str">
        <f aca="false" t="array" ref="B411:B411">_xlfn.XLOOKUP($A411,TRIM(SUBSTITUTE('worker file'!$A$2:$A$406,_xlfn.UNICHAR(160)," ")),'worker file'!$L$2:$L$406,"Not found")</f>
        <v>US Semi-monthly</v>
      </c>
      <c r="C411" s="40" t="str">
        <f aca="false" t="array" ref="C411:C411">_xlfn.XLOOKUP($A411,TRIM(SUBSTITUTE('worker file'!$A$2:$A$406,_xlfn.UNICHAR(160)," ")),'worker file'!$D$2:$D$406,"Not found")</f>
        <v>WA</v>
      </c>
      <c r="D411" s="40" t="str">
        <f aca="false" t="array" ref="D411:D411">_xlfn.XLOOKUP($A411,TRIM(SUBSTITUTE('worker file'!$A$2:$A$406,_xlfn.UNICHAR(160)," ")),'worker file'!$Q$2:$Q$406,"Not found")</f>
        <v>Active</v>
      </c>
      <c r="E411" s="39" t="s">
        <v>632</v>
      </c>
      <c r="F411" s="38" t="str">
        <f aca="false">_xlfn.XLOOKUP($E411,$A$5:$A$8,$B$5:$B$8,"")</f>
        <v>Dental – Employee</v>
      </c>
      <c r="G411" s="38" t="str">
        <f aca="false">_xlfn.XLOOKUP($E411,$A$5:$A$8,$D$5:$D$8,"")</f>
        <v>Pre-tax Section 125 (exempt from FIT/SIT/FICA)</v>
      </c>
      <c r="H411" s="38" t="str">
        <f aca="false">_xlfn.XLOOKUP($E411,$A$5:$A$8,$E$5:$E$8,"")</f>
        <v>Flat</v>
      </c>
      <c r="I411" s="44" t="str">
        <f aca="false">IF($H411="Percent",_xlfn.XLOOKUP($E411,$A$5:$A$8,$F$5:$F$8,""),"")</f>
        <v/>
      </c>
      <c r="J411" s="42" t="n">
        <f aca="false">IF($H411="Flat",_xlfn.XLOOKUP($E411,$A$5:$A$8,$F$5:$F$8,""),"")</f>
        <v>44</v>
      </c>
      <c r="K411" s="38" t="str">
        <f aca="false">_xlfn.XLOOKUP($E411,$A$5:$A$8,$G$5:$G$8,"")</f>
        <v>Per pay period</v>
      </c>
      <c r="L411" s="38" t="str">
        <f aca="false">_xlfn.XLOOKUP($E411,$A$5:$A$8,$H$5:$H$8,"")</f>
        <v>Every pay period (ongoing)</v>
      </c>
      <c r="M411" s="43" t="n">
        <f aca="false" t="array" ref="M411:M411">MAX(_xlfn.XLOOKUP($A411,TRIM(SUBSTITUTE('worker file'!$A$2:$A$406,_xlfn.UNICHAR(160)," ")),'worker file'!$M$2:$M$406,0),_xlfn.XLOOKUP($B411,TRIM('pay group &amp; schedule'!$A$2:$A$6),'pay group &amp; schedule'!$D$2:$D$6,0))</f>
        <v>46311</v>
      </c>
      <c r="N411" s="43" t="str">
        <f aca="false" t="array" ref="N411:N411">_xlfn.LET(_xlpm.t,_xlfn.XLOOKUP($A411,TRIM(SUBSTITUTE('worker file'!$A$2:$A$406,_xlfn.UNICHAR(160)," ")),'worker file'!$N$2:$N$406,""),IF(N(_xlpm.t)=0,"",_xlpm.t))</f>
        <v/>
      </c>
    </row>
    <row r="412" customFormat="false" ht="15" hidden="false" customHeight="false" outlineLevel="0" collapsed="false">
      <c r="A412" s="39" t="s">
        <v>241</v>
      </c>
      <c r="B412" s="40" t="str">
        <f aca="false" t="array" ref="B412:B412">_xlfn.XLOOKUP($A412,TRIM(SUBSTITUTE('worker file'!$A$2:$A$406,_xlfn.UNICHAR(160)," ")),'worker file'!$L$2:$L$406,"Not found")</f>
        <v>US Semi-monthly</v>
      </c>
      <c r="C412" s="40" t="str">
        <f aca="false" t="array" ref="C412:C412">_xlfn.XLOOKUP($A412,TRIM(SUBSTITUTE('worker file'!$A$2:$A$406,_xlfn.UNICHAR(160)," ")),'worker file'!$D$2:$D$406,"Not found")</f>
        <v>WA</v>
      </c>
      <c r="D412" s="40" t="str">
        <f aca="false" t="array" ref="D412:D412">_xlfn.XLOOKUP($A412,TRIM(SUBSTITUTE('worker file'!$A$2:$A$406,_xlfn.UNICHAR(160)," ")),'worker file'!$Q$2:$Q$406,"Not found")</f>
        <v>Active</v>
      </c>
      <c r="E412" s="39" t="s">
        <v>634</v>
      </c>
      <c r="F412" s="38" t="str">
        <f aca="false">_xlfn.XLOOKUP($E412,$A$5:$A$8,$B$5:$B$8,"")</f>
        <v>Vision – Employee</v>
      </c>
      <c r="G412" s="38" t="str">
        <f aca="false">_xlfn.XLOOKUP($E412,$A$5:$A$8,$D$5:$D$8,"")</f>
        <v>Pre-tax Section 125 (exempt from FIT/SIT/FICA)</v>
      </c>
      <c r="H412" s="38" t="str">
        <f aca="false">_xlfn.XLOOKUP($E412,$A$5:$A$8,$E$5:$E$8,"")</f>
        <v>Flat</v>
      </c>
      <c r="I412" s="44" t="str">
        <f aca="false">IF($H412="Percent",_xlfn.XLOOKUP($E412,$A$5:$A$8,$F$5:$F$8,""),"")</f>
        <v/>
      </c>
      <c r="J412" s="42" t="n">
        <f aca="false">IF($H412="Flat",_xlfn.XLOOKUP($E412,$A$5:$A$8,$F$5:$F$8,""),"")</f>
        <v>30</v>
      </c>
      <c r="K412" s="38" t="str">
        <f aca="false">_xlfn.XLOOKUP($E412,$A$5:$A$8,$G$5:$G$8,"")</f>
        <v>Per pay period</v>
      </c>
      <c r="L412" s="38" t="str">
        <f aca="false">_xlfn.XLOOKUP($E412,$A$5:$A$8,$H$5:$H$8,"")</f>
        <v>Every pay period (ongoing)</v>
      </c>
      <c r="M412" s="43" t="n">
        <f aca="false" t="array" ref="M412:M412">MAX(_xlfn.XLOOKUP($A412,TRIM(SUBSTITUTE('worker file'!$A$2:$A$406,_xlfn.UNICHAR(160)," ")),'worker file'!$M$2:$M$406,0),_xlfn.XLOOKUP($B412,TRIM('pay group &amp; schedule'!$A$2:$A$6),'pay group &amp; schedule'!$D$2:$D$6,0))</f>
        <v>46311</v>
      </c>
      <c r="N412" s="43" t="str">
        <f aca="false" t="array" ref="N412:N412">_xlfn.LET(_xlpm.t,_xlfn.XLOOKUP($A412,TRIM(SUBSTITUTE('worker file'!$A$2:$A$406,_xlfn.UNICHAR(160)," ")),'worker file'!$N$2:$N$406,""),IF(N(_xlpm.t)=0,"",_xlpm.t))</f>
        <v/>
      </c>
    </row>
    <row r="413" customFormat="false" ht="15" hidden="false" customHeight="false" outlineLevel="0" collapsed="false">
      <c r="A413" s="39" t="s">
        <v>244</v>
      </c>
      <c r="B413" s="40" t="str">
        <f aca="false" t="array" ref="B413:B413">_xlfn.XLOOKUP($A413,TRIM(SUBSTITUTE('worker file'!$A$2:$A$406,_xlfn.UNICHAR(160)," ")),'worker file'!$L$2:$L$406,"Not found")</f>
        <v>US Semi-monthly</v>
      </c>
      <c r="C413" s="40" t="str">
        <f aca="false" t="array" ref="C413:C413">_xlfn.XLOOKUP($A413,TRIM(SUBSTITUTE('worker file'!$A$2:$A$406,_xlfn.UNICHAR(160)," ")),'worker file'!$D$2:$D$406,"Not found")</f>
        <v>MA</v>
      </c>
      <c r="D413" s="40" t="str">
        <f aca="false" t="array" ref="D413:D413">_xlfn.XLOOKUP($A413,TRIM(SUBSTITUTE('worker file'!$A$2:$A$406,_xlfn.UNICHAR(160)," ")),'worker file'!$Q$2:$Q$406,"Not found")</f>
        <v>Active</v>
      </c>
      <c r="E413" s="39" t="s">
        <v>618</v>
      </c>
      <c r="F413" s="38" t="str">
        <f aca="false">_xlfn.XLOOKUP($E413,$A$5:$A$8,$B$5:$B$8,"")</f>
        <v>401(k) Employee Deferral</v>
      </c>
      <c r="G413" s="38" t="str">
        <f aca="false">_xlfn.XLOOKUP($E413,$A$5:$A$8,$D$5:$D$8,"")</f>
        <v>Pre-tax (exempt from FIT/SIT; subject to FICA)</v>
      </c>
      <c r="H413" s="38" t="str">
        <f aca="false">_xlfn.XLOOKUP($E413,$A$5:$A$8,$E$5:$E$8,"")</f>
        <v>Percent</v>
      </c>
      <c r="I413" s="41" t="n">
        <v>0.06</v>
      </c>
      <c r="J413" s="42" t="str">
        <f aca="false">IF($H413="Flat",_xlfn.XLOOKUP($E413,$A$5:$A$8,$F$5:$F$8,""),"")</f>
        <v/>
      </c>
      <c r="K413" s="38" t="str">
        <f aca="false">_xlfn.XLOOKUP($E413,$A$5:$A$8,$G$5:$G$8,"")</f>
        <v>Gross pay</v>
      </c>
      <c r="L413" s="38" t="str">
        <f aca="false">_xlfn.XLOOKUP($E413,$A$5:$A$8,$H$5:$H$8,"")</f>
        <v>Every pay period (ongoing)</v>
      </c>
      <c r="M413" s="43" t="n">
        <f aca="false" t="array" ref="M413:M413">MAX(_xlfn.XLOOKUP($A413,TRIM(SUBSTITUTE('worker file'!$A$2:$A$406,_xlfn.UNICHAR(160)," ")),'worker file'!$M$2:$M$406,0),_xlfn.XLOOKUP($B413,TRIM('pay group &amp; schedule'!$A$2:$A$6),'pay group &amp; schedule'!$D$2:$D$6,0))</f>
        <v>46311</v>
      </c>
      <c r="N413" s="43" t="str">
        <f aca="false" t="array" ref="N413:N413">_xlfn.LET(_xlpm.t,_xlfn.XLOOKUP($A413,TRIM(SUBSTITUTE('worker file'!$A$2:$A$406,_xlfn.UNICHAR(160)," ")),'worker file'!$N$2:$N$406,""),IF(N(_xlpm.t)=0,"",_xlpm.t))</f>
        <v/>
      </c>
    </row>
    <row r="414" customFormat="false" ht="15" hidden="false" customHeight="false" outlineLevel="0" collapsed="false">
      <c r="A414" s="39" t="s">
        <v>244</v>
      </c>
      <c r="B414" s="40" t="str">
        <f aca="false" t="array" ref="B414:B414">_xlfn.XLOOKUP($A414,TRIM(SUBSTITUTE('worker file'!$A$2:$A$406,_xlfn.UNICHAR(160)," ")),'worker file'!$L$2:$L$406,"Not found")</f>
        <v>US Semi-monthly</v>
      </c>
      <c r="C414" s="40" t="str">
        <f aca="false" t="array" ref="C414:C414">_xlfn.XLOOKUP($A414,TRIM(SUBSTITUTE('worker file'!$A$2:$A$406,_xlfn.UNICHAR(160)," ")),'worker file'!$D$2:$D$406,"Not found")</f>
        <v>MA</v>
      </c>
      <c r="D414" s="40" t="str">
        <f aca="false" t="array" ref="D414:D414">_xlfn.XLOOKUP($A414,TRIM(SUBSTITUTE('worker file'!$A$2:$A$406,_xlfn.UNICHAR(160)," ")),'worker file'!$Q$2:$Q$406,"Not found")</f>
        <v>Active</v>
      </c>
      <c r="E414" s="39" t="s">
        <v>626</v>
      </c>
      <c r="F414" s="38" t="str">
        <f aca="false">_xlfn.XLOOKUP($E414,$A$5:$A$8,$B$5:$B$8,"")</f>
        <v>Medical (Health) – Employee</v>
      </c>
      <c r="G414" s="38" t="str">
        <f aca="false">_xlfn.XLOOKUP($E414,$A$5:$A$8,$D$5:$D$8,"")</f>
        <v>Pre-tax Section 125 (exempt from FIT/SIT/FICA)</v>
      </c>
      <c r="H414" s="38" t="str">
        <f aca="false">_xlfn.XLOOKUP($E414,$A$5:$A$8,$E$5:$E$8,"")</f>
        <v>Flat</v>
      </c>
      <c r="I414" s="44" t="str">
        <f aca="false">IF($H414="Percent",_xlfn.XLOOKUP($E414,$A$5:$A$8,$F$5:$F$8,""),"")</f>
        <v/>
      </c>
      <c r="J414" s="42" t="n">
        <f aca="false">IF($H414="Flat",_xlfn.XLOOKUP($E414,$A$5:$A$8,$F$5:$F$8,""),"")</f>
        <v>200</v>
      </c>
      <c r="K414" s="38" t="str">
        <f aca="false">_xlfn.XLOOKUP($E414,$A$5:$A$8,$G$5:$G$8,"")</f>
        <v>Per pay period</v>
      </c>
      <c r="L414" s="38" t="str">
        <f aca="false">_xlfn.XLOOKUP($E414,$A$5:$A$8,$H$5:$H$8,"")</f>
        <v>Every pay period (ongoing)</v>
      </c>
      <c r="M414" s="43" t="n">
        <f aca="false" t="array" ref="M414:M414">MAX(_xlfn.XLOOKUP($A414,TRIM(SUBSTITUTE('worker file'!$A$2:$A$406,_xlfn.UNICHAR(160)," ")),'worker file'!$M$2:$M$406,0),_xlfn.XLOOKUP($B414,TRIM('pay group &amp; schedule'!$A$2:$A$6),'pay group &amp; schedule'!$D$2:$D$6,0))</f>
        <v>46311</v>
      </c>
      <c r="N414" s="43" t="str">
        <f aca="false" t="array" ref="N414:N414">_xlfn.LET(_xlpm.t,_xlfn.XLOOKUP($A414,TRIM(SUBSTITUTE('worker file'!$A$2:$A$406,_xlfn.UNICHAR(160)," ")),'worker file'!$N$2:$N$406,""),IF(N(_xlpm.t)=0,"",_xlpm.t))</f>
        <v/>
      </c>
    </row>
    <row r="415" customFormat="false" ht="15" hidden="false" customHeight="false" outlineLevel="0" collapsed="false">
      <c r="A415" s="39" t="s">
        <v>244</v>
      </c>
      <c r="B415" s="40" t="str">
        <f aca="false" t="array" ref="B415:B415">_xlfn.XLOOKUP($A415,TRIM(SUBSTITUTE('worker file'!$A$2:$A$406,_xlfn.UNICHAR(160)," ")),'worker file'!$L$2:$L$406,"Not found")</f>
        <v>US Semi-monthly</v>
      </c>
      <c r="C415" s="40" t="str">
        <f aca="false" t="array" ref="C415:C415">_xlfn.XLOOKUP($A415,TRIM(SUBSTITUTE('worker file'!$A$2:$A$406,_xlfn.UNICHAR(160)," ")),'worker file'!$D$2:$D$406,"Not found")</f>
        <v>MA</v>
      </c>
      <c r="D415" s="40" t="str">
        <f aca="false" t="array" ref="D415:D415">_xlfn.XLOOKUP($A415,TRIM(SUBSTITUTE('worker file'!$A$2:$A$406,_xlfn.UNICHAR(160)," ")),'worker file'!$Q$2:$Q$406,"Not found")</f>
        <v>Active</v>
      </c>
      <c r="E415" s="39" t="s">
        <v>632</v>
      </c>
      <c r="F415" s="38" t="str">
        <f aca="false">_xlfn.XLOOKUP($E415,$A$5:$A$8,$B$5:$B$8,"")</f>
        <v>Dental – Employee</v>
      </c>
      <c r="G415" s="38" t="str">
        <f aca="false">_xlfn.XLOOKUP($E415,$A$5:$A$8,$D$5:$D$8,"")</f>
        <v>Pre-tax Section 125 (exempt from FIT/SIT/FICA)</v>
      </c>
      <c r="H415" s="38" t="str">
        <f aca="false">_xlfn.XLOOKUP($E415,$A$5:$A$8,$E$5:$E$8,"")</f>
        <v>Flat</v>
      </c>
      <c r="I415" s="44" t="str">
        <f aca="false">IF($H415="Percent",_xlfn.XLOOKUP($E415,$A$5:$A$8,$F$5:$F$8,""),"")</f>
        <v/>
      </c>
      <c r="J415" s="42" t="n">
        <f aca="false">IF($H415="Flat",_xlfn.XLOOKUP($E415,$A$5:$A$8,$F$5:$F$8,""),"")</f>
        <v>44</v>
      </c>
      <c r="K415" s="38" t="str">
        <f aca="false">_xlfn.XLOOKUP($E415,$A$5:$A$8,$G$5:$G$8,"")</f>
        <v>Per pay period</v>
      </c>
      <c r="L415" s="38" t="str">
        <f aca="false">_xlfn.XLOOKUP($E415,$A$5:$A$8,$H$5:$H$8,"")</f>
        <v>Every pay period (ongoing)</v>
      </c>
      <c r="M415" s="43" t="n">
        <f aca="false" t="array" ref="M415:M415">MAX(_xlfn.XLOOKUP($A415,TRIM(SUBSTITUTE('worker file'!$A$2:$A$406,_xlfn.UNICHAR(160)," ")),'worker file'!$M$2:$M$406,0),_xlfn.XLOOKUP($B415,TRIM('pay group &amp; schedule'!$A$2:$A$6),'pay group &amp; schedule'!$D$2:$D$6,0))</f>
        <v>46311</v>
      </c>
      <c r="N415" s="43" t="str">
        <f aca="false" t="array" ref="N415:N415">_xlfn.LET(_xlpm.t,_xlfn.XLOOKUP($A415,TRIM(SUBSTITUTE('worker file'!$A$2:$A$406,_xlfn.UNICHAR(160)," ")),'worker file'!$N$2:$N$406,""),IF(N(_xlpm.t)=0,"",_xlpm.t))</f>
        <v/>
      </c>
    </row>
    <row r="416" customFormat="false" ht="15" hidden="false" customHeight="false" outlineLevel="0" collapsed="false">
      <c r="A416" s="39" t="s">
        <v>244</v>
      </c>
      <c r="B416" s="40" t="str">
        <f aca="false" t="array" ref="B416:B416">_xlfn.XLOOKUP($A416,TRIM(SUBSTITUTE('worker file'!$A$2:$A$406,_xlfn.UNICHAR(160)," ")),'worker file'!$L$2:$L$406,"Not found")</f>
        <v>US Semi-monthly</v>
      </c>
      <c r="C416" s="40" t="str">
        <f aca="false" t="array" ref="C416:C416">_xlfn.XLOOKUP($A416,TRIM(SUBSTITUTE('worker file'!$A$2:$A$406,_xlfn.UNICHAR(160)," ")),'worker file'!$D$2:$D$406,"Not found")</f>
        <v>MA</v>
      </c>
      <c r="D416" s="40" t="str">
        <f aca="false" t="array" ref="D416:D416">_xlfn.XLOOKUP($A416,TRIM(SUBSTITUTE('worker file'!$A$2:$A$406,_xlfn.UNICHAR(160)," ")),'worker file'!$Q$2:$Q$406,"Not found")</f>
        <v>Active</v>
      </c>
      <c r="E416" s="39" t="s">
        <v>634</v>
      </c>
      <c r="F416" s="38" t="str">
        <f aca="false">_xlfn.XLOOKUP($E416,$A$5:$A$8,$B$5:$B$8,"")</f>
        <v>Vision – Employee</v>
      </c>
      <c r="G416" s="38" t="str">
        <f aca="false">_xlfn.XLOOKUP($E416,$A$5:$A$8,$D$5:$D$8,"")</f>
        <v>Pre-tax Section 125 (exempt from FIT/SIT/FICA)</v>
      </c>
      <c r="H416" s="38" t="str">
        <f aca="false">_xlfn.XLOOKUP($E416,$A$5:$A$8,$E$5:$E$8,"")</f>
        <v>Flat</v>
      </c>
      <c r="I416" s="44" t="str">
        <f aca="false">IF($H416="Percent",_xlfn.XLOOKUP($E416,$A$5:$A$8,$F$5:$F$8,""),"")</f>
        <v/>
      </c>
      <c r="J416" s="42" t="n">
        <f aca="false">IF($H416="Flat",_xlfn.XLOOKUP($E416,$A$5:$A$8,$F$5:$F$8,""),"")</f>
        <v>30</v>
      </c>
      <c r="K416" s="38" t="str">
        <f aca="false">_xlfn.XLOOKUP($E416,$A$5:$A$8,$G$5:$G$8,"")</f>
        <v>Per pay period</v>
      </c>
      <c r="L416" s="38" t="str">
        <f aca="false">_xlfn.XLOOKUP($E416,$A$5:$A$8,$H$5:$H$8,"")</f>
        <v>Every pay period (ongoing)</v>
      </c>
      <c r="M416" s="43" t="n">
        <f aca="false" t="array" ref="M416:M416">MAX(_xlfn.XLOOKUP($A416,TRIM(SUBSTITUTE('worker file'!$A$2:$A$406,_xlfn.UNICHAR(160)," ")),'worker file'!$M$2:$M$406,0),_xlfn.XLOOKUP($B416,TRIM('pay group &amp; schedule'!$A$2:$A$6),'pay group &amp; schedule'!$D$2:$D$6,0))</f>
        <v>46311</v>
      </c>
      <c r="N416" s="43" t="str">
        <f aca="false" t="array" ref="N416:N416">_xlfn.LET(_xlpm.t,_xlfn.XLOOKUP($A416,TRIM(SUBSTITUTE('worker file'!$A$2:$A$406,_xlfn.UNICHAR(160)," ")),'worker file'!$N$2:$N$406,""),IF(N(_xlpm.t)=0,"",_xlpm.t))</f>
        <v/>
      </c>
    </row>
    <row r="417" customFormat="false" ht="15" hidden="false" customHeight="false" outlineLevel="0" collapsed="false">
      <c r="A417" s="39" t="s">
        <v>245</v>
      </c>
      <c r="B417" s="40" t="str">
        <f aca="false" t="array" ref="B417:B417">_xlfn.XLOOKUP($A417,TRIM(SUBSTITUTE('worker file'!$A$2:$A$406,_xlfn.UNICHAR(160)," ")),'worker file'!$L$2:$L$406,"Not found")</f>
        <v>US Semi-monthly</v>
      </c>
      <c r="C417" s="40" t="str">
        <f aca="false" t="array" ref="C417:C417">_xlfn.XLOOKUP($A417,TRIM(SUBSTITUTE('worker file'!$A$2:$A$406,_xlfn.UNICHAR(160)," ")),'worker file'!$D$2:$D$406,"Not found")</f>
        <v>CA</v>
      </c>
      <c r="D417" s="40" t="str">
        <f aca="false" t="array" ref="D417:D417">_xlfn.XLOOKUP($A417,TRIM(SUBSTITUTE('worker file'!$A$2:$A$406,_xlfn.UNICHAR(160)," ")),'worker file'!$Q$2:$Q$406,"Not found")</f>
        <v>Active</v>
      </c>
      <c r="E417" s="39" t="s">
        <v>618</v>
      </c>
      <c r="F417" s="38" t="str">
        <f aca="false">_xlfn.XLOOKUP($E417,$A$5:$A$8,$B$5:$B$8,"")</f>
        <v>401(k) Employee Deferral</v>
      </c>
      <c r="G417" s="38" t="str">
        <f aca="false">_xlfn.XLOOKUP($E417,$A$5:$A$8,$D$5:$D$8,"")</f>
        <v>Pre-tax (exempt from FIT/SIT; subject to FICA)</v>
      </c>
      <c r="H417" s="38" t="str">
        <f aca="false">_xlfn.XLOOKUP($E417,$A$5:$A$8,$E$5:$E$8,"")</f>
        <v>Percent</v>
      </c>
      <c r="I417" s="41" t="n">
        <v>0.03</v>
      </c>
      <c r="J417" s="42" t="str">
        <f aca="false">IF($H417="Flat",_xlfn.XLOOKUP($E417,$A$5:$A$8,$F$5:$F$8,""),"")</f>
        <v/>
      </c>
      <c r="K417" s="38" t="str">
        <f aca="false">_xlfn.XLOOKUP($E417,$A$5:$A$8,$G$5:$G$8,"")</f>
        <v>Gross pay</v>
      </c>
      <c r="L417" s="38" t="str">
        <f aca="false">_xlfn.XLOOKUP($E417,$A$5:$A$8,$H$5:$H$8,"")</f>
        <v>Every pay period (ongoing)</v>
      </c>
      <c r="M417" s="43" t="n">
        <f aca="false" t="array" ref="M417:M417">MAX(_xlfn.XLOOKUP($A417,TRIM(SUBSTITUTE('worker file'!$A$2:$A$406,_xlfn.UNICHAR(160)," ")),'worker file'!$M$2:$M$406,0),_xlfn.XLOOKUP($B417,TRIM('pay group &amp; schedule'!$A$2:$A$6),'pay group &amp; schedule'!$D$2:$D$6,0))</f>
        <v>46311</v>
      </c>
      <c r="N417" s="43" t="str">
        <f aca="false" t="array" ref="N417:N417">_xlfn.LET(_xlpm.t,_xlfn.XLOOKUP($A417,TRIM(SUBSTITUTE('worker file'!$A$2:$A$406,_xlfn.UNICHAR(160)," ")),'worker file'!$N$2:$N$406,""),IF(N(_xlpm.t)=0,"",_xlpm.t))</f>
        <v/>
      </c>
    </row>
    <row r="418" customFormat="false" ht="15" hidden="false" customHeight="false" outlineLevel="0" collapsed="false">
      <c r="A418" s="39" t="s">
        <v>245</v>
      </c>
      <c r="B418" s="40" t="str">
        <f aca="false" t="array" ref="B418:B418">_xlfn.XLOOKUP($A418,TRIM(SUBSTITUTE('worker file'!$A$2:$A$406,_xlfn.UNICHAR(160)," ")),'worker file'!$L$2:$L$406,"Not found")</f>
        <v>US Semi-monthly</v>
      </c>
      <c r="C418" s="40" t="str">
        <f aca="false" t="array" ref="C418:C418">_xlfn.XLOOKUP($A418,TRIM(SUBSTITUTE('worker file'!$A$2:$A$406,_xlfn.UNICHAR(160)," ")),'worker file'!$D$2:$D$406,"Not found")</f>
        <v>CA</v>
      </c>
      <c r="D418" s="40" t="str">
        <f aca="false" t="array" ref="D418:D418">_xlfn.XLOOKUP($A418,TRIM(SUBSTITUTE('worker file'!$A$2:$A$406,_xlfn.UNICHAR(160)," ")),'worker file'!$Q$2:$Q$406,"Not found")</f>
        <v>Active</v>
      </c>
      <c r="E418" s="39" t="s">
        <v>626</v>
      </c>
      <c r="F418" s="38" t="str">
        <f aca="false">_xlfn.XLOOKUP($E418,$A$5:$A$8,$B$5:$B$8,"")</f>
        <v>Medical (Health) – Employee</v>
      </c>
      <c r="G418" s="38" t="str">
        <f aca="false">_xlfn.XLOOKUP($E418,$A$5:$A$8,$D$5:$D$8,"")</f>
        <v>Pre-tax Section 125 (exempt from FIT/SIT/FICA)</v>
      </c>
      <c r="H418" s="38" t="str">
        <f aca="false">_xlfn.XLOOKUP($E418,$A$5:$A$8,$E$5:$E$8,"")</f>
        <v>Flat</v>
      </c>
      <c r="I418" s="44" t="str">
        <f aca="false">IF($H418="Percent",_xlfn.XLOOKUP($E418,$A$5:$A$8,$F$5:$F$8,""),"")</f>
        <v/>
      </c>
      <c r="J418" s="42" t="n">
        <f aca="false">IF($H418="Flat",_xlfn.XLOOKUP($E418,$A$5:$A$8,$F$5:$F$8,""),"")</f>
        <v>200</v>
      </c>
      <c r="K418" s="38" t="str">
        <f aca="false">_xlfn.XLOOKUP($E418,$A$5:$A$8,$G$5:$G$8,"")</f>
        <v>Per pay period</v>
      </c>
      <c r="L418" s="38" t="str">
        <f aca="false">_xlfn.XLOOKUP($E418,$A$5:$A$8,$H$5:$H$8,"")</f>
        <v>Every pay period (ongoing)</v>
      </c>
      <c r="M418" s="43" t="n">
        <f aca="false" t="array" ref="M418:M418">MAX(_xlfn.XLOOKUP($A418,TRIM(SUBSTITUTE('worker file'!$A$2:$A$406,_xlfn.UNICHAR(160)," ")),'worker file'!$M$2:$M$406,0),_xlfn.XLOOKUP($B418,TRIM('pay group &amp; schedule'!$A$2:$A$6),'pay group &amp; schedule'!$D$2:$D$6,0))</f>
        <v>46311</v>
      </c>
      <c r="N418" s="43" t="str">
        <f aca="false" t="array" ref="N418:N418">_xlfn.LET(_xlpm.t,_xlfn.XLOOKUP($A418,TRIM(SUBSTITUTE('worker file'!$A$2:$A$406,_xlfn.UNICHAR(160)," ")),'worker file'!$N$2:$N$406,""),IF(N(_xlpm.t)=0,"",_xlpm.t))</f>
        <v/>
      </c>
    </row>
    <row r="419" customFormat="false" ht="15" hidden="false" customHeight="false" outlineLevel="0" collapsed="false">
      <c r="A419" s="39" t="s">
        <v>245</v>
      </c>
      <c r="B419" s="40" t="str">
        <f aca="false" t="array" ref="B419:B419">_xlfn.XLOOKUP($A419,TRIM(SUBSTITUTE('worker file'!$A$2:$A$406,_xlfn.UNICHAR(160)," ")),'worker file'!$L$2:$L$406,"Not found")</f>
        <v>US Semi-monthly</v>
      </c>
      <c r="C419" s="40" t="str">
        <f aca="false" t="array" ref="C419:C419">_xlfn.XLOOKUP($A419,TRIM(SUBSTITUTE('worker file'!$A$2:$A$406,_xlfn.UNICHAR(160)," ")),'worker file'!$D$2:$D$406,"Not found")</f>
        <v>CA</v>
      </c>
      <c r="D419" s="40" t="str">
        <f aca="false" t="array" ref="D419:D419">_xlfn.XLOOKUP($A419,TRIM(SUBSTITUTE('worker file'!$A$2:$A$406,_xlfn.UNICHAR(160)," ")),'worker file'!$Q$2:$Q$406,"Not found")</f>
        <v>Active</v>
      </c>
      <c r="E419" s="39" t="s">
        <v>632</v>
      </c>
      <c r="F419" s="38" t="str">
        <f aca="false">_xlfn.XLOOKUP($E419,$A$5:$A$8,$B$5:$B$8,"")</f>
        <v>Dental – Employee</v>
      </c>
      <c r="G419" s="38" t="str">
        <f aca="false">_xlfn.XLOOKUP($E419,$A$5:$A$8,$D$5:$D$8,"")</f>
        <v>Pre-tax Section 125 (exempt from FIT/SIT/FICA)</v>
      </c>
      <c r="H419" s="38" t="str">
        <f aca="false">_xlfn.XLOOKUP($E419,$A$5:$A$8,$E$5:$E$8,"")</f>
        <v>Flat</v>
      </c>
      <c r="I419" s="44" t="str">
        <f aca="false">IF($H419="Percent",_xlfn.XLOOKUP($E419,$A$5:$A$8,$F$5:$F$8,""),"")</f>
        <v/>
      </c>
      <c r="J419" s="42" t="n">
        <f aca="false">IF($H419="Flat",_xlfn.XLOOKUP($E419,$A$5:$A$8,$F$5:$F$8,""),"")</f>
        <v>44</v>
      </c>
      <c r="K419" s="38" t="str">
        <f aca="false">_xlfn.XLOOKUP($E419,$A$5:$A$8,$G$5:$G$8,"")</f>
        <v>Per pay period</v>
      </c>
      <c r="L419" s="38" t="str">
        <f aca="false">_xlfn.XLOOKUP($E419,$A$5:$A$8,$H$5:$H$8,"")</f>
        <v>Every pay period (ongoing)</v>
      </c>
      <c r="M419" s="43" t="n">
        <f aca="false" t="array" ref="M419:M419">MAX(_xlfn.XLOOKUP($A419,TRIM(SUBSTITUTE('worker file'!$A$2:$A$406,_xlfn.UNICHAR(160)," ")),'worker file'!$M$2:$M$406,0),_xlfn.XLOOKUP($B419,TRIM('pay group &amp; schedule'!$A$2:$A$6),'pay group &amp; schedule'!$D$2:$D$6,0))</f>
        <v>46311</v>
      </c>
      <c r="N419" s="43" t="str">
        <f aca="false" t="array" ref="N419:N419">_xlfn.LET(_xlpm.t,_xlfn.XLOOKUP($A419,TRIM(SUBSTITUTE('worker file'!$A$2:$A$406,_xlfn.UNICHAR(160)," ")),'worker file'!$N$2:$N$406,""),IF(N(_xlpm.t)=0,"",_xlpm.t))</f>
        <v/>
      </c>
    </row>
    <row r="420" customFormat="false" ht="15" hidden="false" customHeight="false" outlineLevel="0" collapsed="false">
      <c r="A420" s="39" t="s">
        <v>245</v>
      </c>
      <c r="B420" s="40" t="str">
        <f aca="false" t="array" ref="B420:B420">_xlfn.XLOOKUP($A420,TRIM(SUBSTITUTE('worker file'!$A$2:$A$406,_xlfn.UNICHAR(160)," ")),'worker file'!$L$2:$L$406,"Not found")</f>
        <v>US Semi-monthly</v>
      </c>
      <c r="C420" s="40" t="str">
        <f aca="false" t="array" ref="C420:C420">_xlfn.XLOOKUP($A420,TRIM(SUBSTITUTE('worker file'!$A$2:$A$406,_xlfn.UNICHAR(160)," ")),'worker file'!$D$2:$D$406,"Not found")</f>
        <v>CA</v>
      </c>
      <c r="D420" s="40" t="str">
        <f aca="false" t="array" ref="D420:D420">_xlfn.XLOOKUP($A420,TRIM(SUBSTITUTE('worker file'!$A$2:$A$406,_xlfn.UNICHAR(160)," ")),'worker file'!$Q$2:$Q$406,"Not found")</f>
        <v>Active</v>
      </c>
      <c r="E420" s="39" t="s">
        <v>634</v>
      </c>
      <c r="F420" s="38" t="str">
        <f aca="false">_xlfn.XLOOKUP($E420,$A$5:$A$8,$B$5:$B$8,"")</f>
        <v>Vision – Employee</v>
      </c>
      <c r="G420" s="38" t="str">
        <f aca="false">_xlfn.XLOOKUP($E420,$A$5:$A$8,$D$5:$D$8,"")</f>
        <v>Pre-tax Section 125 (exempt from FIT/SIT/FICA)</v>
      </c>
      <c r="H420" s="38" t="str">
        <f aca="false">_xlfn.XLOOKUP($E420,$A$5:$A$8,$E$5:$E$8,"")</f>
        <v>Flat</v>
      </c>
      <c r="I420" s="44" t="str">
        <f aca="false">IF($H420="Percent",_xlfn.XLOOKUP($E420,$A$5:$A$8,$F$5:$F$8,""),"")</f>
        <v/>
      </c>
      <c r="J420" s="42" t="n">
        <f aca="false">IF($H420="Flat",_xlfn.XLOOKUP($E420,$A$5:$A$8,$F$5:$F$8,""),"")</f>
        <v>30</v>
      </c>
      <c r="K420" s="38" t="str">
        <f aca="false">_xlfn.XLOOKUP($E420,$A$5:$A$8,$G$5:$G$8,"")</f>
        <v>Per pay period</v>
      </c>
      <c r="L420" s="38" t="str">
        <f aca="false">_xlfn.XLOOKUP($E420,$A$5:$A$8,$H$5:$H$8,"")</f>
        <v>Every pay period (ongoing)</v>
      </c>
      <c r="M420" s="43" t="n">
        <f aca="false" t="array" ref="M420:M420">MAX(_xlfn.XLOOKUP($A420,TRIM(SUBSTITUTE('worker file'!$A$2:$A$406,_xlfn.UNICHAR(160)," ")),'worker file'!$M$2:$M$406,0),_xlfn.XLOOKUP($B420,TRIM('pay group &amp; schedule'!$A$2:$A$6),'pay group &amp; schedule'!$D$2:$D$6,0))</f>
        <v>46311</v>
      </c>
      <c r="N420" s="43" t="str">
        <f aca="false" t="array" ref="N420:N420">_xlfn.LET(_xlpm.t,_xlfn.XLOOKUP($A420,TRIM(SUBSTITUTE('worker file'!$A$2:$A$406,_xlfn.UNICHAR(160)," ")),'worker file'!$N$2:$N$406,""),IF(N(_xlpm.t)=0,"",_xlpm.t))</f>
        <v/>
      </c>
    </row>
    <row r="421" customFormat="false" ht="15" hidden="false" customHeight="false" outlineLevel="0" collapsed="false">
      <c r="A421" s="39" t="s">
        <v>246</v>
      </c>
      <c r="B421" s="40" t="str">
        <f aca="false" t="array" ref="B421:B421">_xlfn.XLOOKUP($A421,TRIM(SUBSTITUTE('worker file'!$A$2:$A$406,_xlfn.UNICHAR(160)," ")),'worker file'!$L$2:$L$406,"Not found")</f>
        <v>US Semi-monthly</v>
      </c>
      <c r="C421" s="40" t="str">
        <f aca="false" t="array" ref="C421:C421">_xlfn.XLOOKUP($A421,TRIM(SUBSTITUTE('worker file'!$A$2:$A$406,_xlfn.UNICHAR(160)," ")),'worker file'!$D$2:$D$406,"Not found")</f>
        <v>WA</v>
      </c>
      <c r="D421" s="40" t="str">
        <f aca="false" t="array" ref="D421:D421">_xlfn.XLOOKUP($A421,TRIM(SUBSTITUTE('worker file'!$A$2:$A$406,_xlfn.UNICHAR(160)," ")),'worker file'!$Q$2:$Q$406,"Not found")</f>
        <v>Active</v>
      </c>
      <c r="E421" s="39" t="s">
        <v>618</v>
      </c>
      <c r="F421" s="38" t="str">
        <f aca="false">_xlfn.XLOOKUP($E421,$A$5:$A$8,$B$5:$B$8,"")</f>
        <v>401(k) Employee Deferral</v>
      </c>
      <c r="G421" s="38" t="str">
        <f aca="false">_xlfn.XLOOKUP($E421,$A$5:$A$8,$D$5:$D$8,"")</f>
        <v>Pre-tax (exempt from FIT/SIT; subject to FICA)</v>
      </c>
      <c r="H421" s="38" t="str">
        <f aca="false">_xlfn.XLOOKUP($E421,$A$5:$A$8,$E$5:$E$8,"")</f>
        <v>Percent</v>
      </c>
      <c r="I421" s="41" t="n">
        <v>0</v>
      </c>
      <c r="J421" s="42" t="str">
        <f aca="false">IF($H421="Flat",_xlfn.XLOOKUP($E421,$A$5:$A$8,$F$5:$F$8,""),"")</f>
        <v/>
      </c>
      <c r="K421" s="38" t="str">
        <f aca="false">_xlfn.XLOOKUP($E421,$A$5:$A$8,$G$5:$G$8,"")</f>
        <v>Gross pay</v>
      </c>
      <c r="L421" s="38" t="str">
        <f aca="false">_xlfn.XLOOKUP($E421,$A$5:$A$8,$H$5:$H$8,"")</f>
        <v>Every pay period (ongoing)</v>
      </c>
      <c r="M421" s="43" t="n">
        <f aca="false" t="array" ref="M421:M421">MAX(_xlfn.XLOOKUP($A421,TRIM(SUBSTITUTE('worker file'!$A$2:$A$406,_xlfn.UNICHAR(160)," ")),'worker file'!$M$2:$M$406,0),_xlfn.XLOOKUP($B421,TRIM('pay group &amp; schedule'!$A$2:$A$6),'pay group &amp; schedule'!$D$2:$D$6,0))</f>
        <v>46311</v>
      </c>
      <c r="N421" s="43" t="str">
        <f aca="false" t="array" ref="N421:N421">_xlfn.LET(_xlpm.t,_xlfn.XLOOKUP($A421,TRIM(SUBSTITUTE('worker file'!$A$2:$A$406,_xlfn.UNICHAR(160)," ")),'worker file'!$N$2:$N$406,""),IF(N(_xlpm.t)=0,"",_xlpm.t))</f>
        <v/>
      </c>
    </row>
    <row r="422" customFormat="false" ht="15" hidden="false" customHeight="false" outlineLevel="0" collapsed="false">
      <c r="A422" s="39" t="s">
        <v>246</v>
      </c>
      <c r="B422" s="40" t="str">
        <f aca="false" t="array" ref="B422:B422">_xlfn.XLOOKUP($A422,TRIM(SUBSTITUTE('worker file'!$A$2:$A$406,_xlfn.UNICHAR(160)," ")),'worker file'!$L$2:$L$406,"Not found")</f>
        <v>US Semi-monthly</v>
      </c>
      <c r="C422" s="40" t="str">
        <f aca="false" t="array" ref="C422:C422">_xlfn.XLOOKUP($A422,TRIM(SUBSTITUTE('worker file'!$A$2:$A$406,_xlfn.UNICHAR(160)," ")),'worker file'!$D$2:$D$406,"Not found")</f>
        <v>WA</v>
      </c>
      <c r="D422" s="40" t="str">
        <f aca="false" t="array" ref="D422:D422">_xlfn.XLOOKUP($A422,TRIM(SUBSTITUTE('worker file'!$A$2:$A$406,_xlfn.UNICHAR(160)," ")),'worker file'!$Q$2:$Q$406,"Not found")</f>
        <v>Active</v>
      </c>
      <c r="E422" s="39" t="s">
        <v>626</v>
      </c>
      <c r="F422" s="38" t="str">
        <f aca="false">_xlfn.XLOOKUP($E422,$A$5:$A$8,$B$5:$B$8,"")</f>
        <v>Medical (Health) – Employee</v>
      </c>
      <c r="G422" s="38" t="str">
        <f aca="false">_xlfn.XLOOKUP($E422,$A$5:$A$8,$D$5:$D$8,"")</f>
        <v>Pre-tax Section 125 (exempt from FIT/SIT/FICA)</v>
      </c>
      <c r="H422" s="38" t="str">
        <f aca="false">_xlfn.XLOOKUP($E422,$A$5:$A$8,$E$5:$E$8,"")</f>
        <v>Flat</v>
      </c>
      <c r="I422" s="44" t="str">
        <f aca="false">IF($H422="Percent",_xlfn.XLOOKUP($E422,$A$5:$A$8,$F$5:$F$8,""),"")</f>
        <v/>
      </c>
      <c r="J422" s="42" t="n">
        <f aca="false">IF($H422="Flat",_xlfn.XLOOKUP($E422,$A$5:$A$8,$F$5:$F$8,""),"")</f>
        <v>200</v>
      </c>
      <c r="K422" s="38" t="str">
        <f aca="false">_xlfn.XLOOKUP($E422,$A$5:$A$8,$G$5:$G$8,"")</f>
        <v>Per pay period</v>
      </c>
      <c r="L422" s="38" t="str">
        <f aca="false">_xlfn.XLOOKUP($E422,$A$5:$A$8,$H$5:$H$8,"")</f>
        <v>Every pay period (ongoing)</v>
      </c>
      <c r="M422" s="43" t="n">
        <f aca="false" t="array" ref="M422:M422">MAX(_xlfn.XLOOKUP($A422,TRIM(SUBSTITUTE('worker file'!$A$2:$A$406,_xlfn.UNICHAR(160)," ")),'worker file'!$M$2:$M$406,0),_xlfn.XLOOKUP($B422,TRIM('pay group &amp; schedule'!$A$2:$A$6),'pay group &amp; schedule'!$D$2:$D$6,0))</f>
        <v>46311</v>
      </c>
      <c r="N422" s="43" t="str">
        <f aca="false" t="array" ref="N422:N422">_xlfn.LET(_xlpm.t,_xlfn.XLOOKUP($A422,TRIM(SUBSTITUTE('worker file'!$A$2:$A$406,_xlfn.UNICHAR(160)," ")),'worker file'!$N$2:$N$406,""),IF(N(_xlpm.t)=0,"",_xlpm.t))</f>
        <v/>
      </c>
    </row>
    <row r="423" customFormat="false" ht="15" hidden="false" customHeight="false" outlineLevel="0" collapsed="false">
      <c r="A423" s="39" t="s">
        <v>246</v>
      </c>
      <c r="B423" s="40" t="str">
        <f aca="false" t="array" ref="B423:B423">_xlfn.XLOOKUP($A423,TRIM(SUBSTITUTE('worker file'!$A$2:$A$406,_xlfn.UNICHAR(160)," ")),'worker file'!$L$2:$L$406,"Not found")</f>
        <v>US Semi-monthly</v>
      </c>
      <c r="C423" s="40" t="str">
        <f aca="false" t="array" ref="C423:C423">_xlfn.XLOOKUP($A423,TRIM(SUBSTITUTE('worker file'!$A$2:$A$406,_xlfn.UNICHAR(160)," ")),'worker file'!$D$2:$D$406,"Not found")</f>
        <v>WA</v>
      </c>
      <c r="D423" s="40" t="str">
        <f aca="false" t="array" ref="D423:D423">_xlfn.XLOOKUP($A423,TRIM(SUBSTITUTE('worker file'!$A$2:$A$406,_xlfn.UNICHAR(160)," ")),'worker file'!$Q$2:$Q$406,"Not found")</f>
        <v>Active</v>
      </c>
      <c r="E423" s="39" t="s">
        <v>632</v>
      </c>
      <c r="F423" s="38" t="str">
        <f aca="false">_xlfn.XLOOKUP($E423,$A$5:$A$8,$B$5:$B$8,"")</f>
        <v>Dental – Employee</v>
      </c>
      <c r="G423" s="38" t="str">
        <f aca="false">_xlfn.XLOOKUP($E423,$A$5:$A$8,$D$5:$D$8,"")</f>
        <v>Pre-tax Section 125 (exempt from FIT/SIT/FICA)</v>
      </c>
      <c r="H423" s="38" t="str">
        <f aca="false">_xlfn.XLOOKUP($E423,$A$5:$A$8,$E$5:$E$8,"")</f>
        <v>Flat</v>
      </c>
      <c r="I423" s="44" t="str">
        <f aca="false">IF($H423="Percent",_xlfn.XLOOKUP($E423,$A$5:$A$8,$F$5:$F$8,""),"")</f>
        <v/>
      </c>
      <c r="J423" s="42" t="n">
        <f aca="false">IF($H423="Flat",_xlfn.XLOOKUP($E423,$A$5:$A$8,$F$5:$F$8,""),"")</f>
        <v>44</v>
      </c>
      <c r="K423" s="38" t="str">
        <f aca="false">_xlfn.XLOOKUP($E423,$A$5:$A$8,$G$5:$G$8,"")</f>
        <v>Per pay period</v>
      </c>
      <c r="L423" s="38" t="str">
        <f aca="false">_xlfn.XLOOKUP($E423,$A$5:$A$8,$H$5:$H$8,"")</f>
        <v>Every pay period (ongoing)</v>
      </c>
      <c r="M423" s="43" t="n">
        <f aca="false" t="array" ref="M423:M423">MAX(_xlfn.XLOOKUP($A423,TRIM(SUBSTITUTE('worker file'!$A$2:$A$406,_xlfn.UNICHAR(160)," ")),'worker file'!$M$2:$M$406,0),_xlfn.XLOOKUP($B423,TRIM('pay group &amp; schedule'!$A$2:$A$6),'pay group &amp; schedule'!$D$2:$D$6,0))</f>
        <v>46311</v>
      </c>
      <c r="N423" s="43" t="str">
        <f aca="false" t="array" ref="N423:N423">_xlfn.LET(_xlpm.t,_xlfn.XLOOKUP($A423,TRIM(SUBSTITUTE('worker file'!$A$2:$A$406,_xlfn.UNICHAR(160)," ")),'worker file'!$N$2:$N$406,""),IF(N(_xlpm.t)=0,"",_xlpm.t))</f>
        <v/>
      </c>
    </row>
    <row r="424" customFormat="false" ht="15" hidden="false" customHeight="false" outlineLevel="0" collapsed="false">
      <c r="A424" s="39" t="s">
        <v>246</v>
      </c>
      <c r="B424" s="40" t="str">
        <f aca="false" t="array" ref="B424:B424">_xlfn.XLOOKUP($A424,TRIM(SUBSTITUTE('worker file'!$A$2:$A$406,_xlfn.UNICHAR(160)," ")),'worker file'!$L$2:$L$406,"Not found")</f>
        <v>US Semi-monthly</v>
      </c>
      <c r="C424" s="40" t="str">
        <f aca="false" t="array" ref="C424:C424">_xlfn.XLOOKUP($A424,TRIM(SUBSTITUTE('worker file'!$A$2:$A$406,_xlfn.UNICHAR(160)," ")),'worker file'!$D$2:$D$406,"Not found")</f>
        <v>WA</v>
      </c>
      <c r="D424" s="40" t="str">
        <f aca="false" t="array" ref="D424:D424">_xlfn.XLOOKUP($A424,TRIM(SUBSTITUTE('worker file'!$A$2:$A$406,_xlfn.UNICHAR(160)," ")),'worker file'!$Q$2:$Q$406,"Not found")</f>
        <v>Active</v>
      </c>
      <c r="E424" s="39" t="s">
        <v>634</v>
      </c>
      <c r="F424" s="38" t="str">
        <f aca="false">_xlfn.XLOOKUP($E424,$A$5:$A$8,$B$5:$B$8,"")</f>
        <v>Vision – Employee</v>
      </c>
      <c r="G424" s="38" t="str">
        <f aca="false">_xlfn.XLOOKUP($E424,$A$5:$A$8,$D$5:$D$8,"")</f>
        <v>Pre-tax Section 125 (exempt from FIT/SIT/FICA)</v>
      </c>
      <c r="H424" s="38" t="str">
        <f aca="false">_xlfn.XLOOKUP($E424,$A$5:$A$8,$E$5:$E$8,"")</f>
        <v>Flat</v>
      </c>
      <c r="I424" s="44" t="str">
        <f aca="false">IF($H424="Percent",_xlfn.XLOOKUP($E424,$A$5:$A$8,$F$5:$F$8,""),"")</f>
        <v/>
      </c>
      <c r="J424" s="42" t="n">
        <f aca="false">IF($H424="Flat",_xlfn.XLOOKUP($E424,$A$5:$A$8,$F$5:$F$8,""),"")</f>
        <v>30</v>
      </c>
      <c r="K424" s="38" t="str">
        <f aca="false">_xlfn.XLOOKUP($E424,$A$5:$A$8,$G$5:$G$8,"")</f>
        <v>Per pay period</v>
      </c>
      <c r="L424" s="38" t="str">
        <f aca="false">_xlfn.XLOOKUP($E424,$A$5:$A$8,$H$5:$H$8,"")</f>
        <v>Every pay period (ongoing)</v>
      </c>
      <c r="M424" s="43" t="n">
        <f aca="false" t="array" ref="M424:M424">MAX(_xlfn.XLOOKUP($A424,TRIM(SUBSTITUTE('worker file'!$A$2:$A$406,_xlfn.UNICHAR(160)," ")),'worker file'!$M$2:$M$406,0),_xlfn.XLOOKUP($B424,TRIM('pay group &amp; schedule'!$A$2:$A$6),'pay group &amp; schedule'!$D$2:$D$6,0))</f>
        <v>46311</v>
      </c>
      <c r="N424" s="43" t="str">
        <f aca="false" t="array" ref="N424:N424">_xlfn.LET(_xlpm.t,_xlfn.XLOOKUP($A424,TRIM(SUBSTITUTE('worker file'!$A$2:$A$406,_xlfn.UNICHAR(160)," ")),'worker file'!$N$2:$N$406,""),IF(N(_xlpm.t)=0,"",_xlpm.t))</f>
        <v/>
      </c>
    </row>
    <row r="425" customFormat="false" ht="15" hidden="false" customHeight="false" outlineLevel="0" collapsed="false">
      <c r="A425" s="39" t="s">
        <v>250</v>
      </c>
      <c r="B425" s="40" t="str">
        <f aca="false" t="array" ref="B425:B425">_xlfn.XLOOKUP($A425,TRIM(SUBSTITUTE('worker file'!$A$2:$A$406,_xlfn.UNICHAR(160)," ")),'worker file'!$L$2:$L$406,"Not found")</f>
        <v>US Semi-monthly</v>
      </c>
      <c r="C425" s="40" t="str">
        <f aca="false" t="array" ref="C425:C425">_xlfn.XLOOKUP($A425,TRIM(SUBSTITUTE('worker file'!$A$2:$A$406,_xlfn.UNICHAR(160)," ")),'worker file'!$D$2:$D$406,"Not found")</f>
        <v>WA</v>
      </c>
      <c r="D425" s="40" t="str">
        <f aca="false" t="array" ref="D425:D425">_xlfn.XLOOKUP($A425,TRIM(SUBSTITUTE('worker file'!$A$2:$A$406,_xlfn.UNICHAR(160)," ")),'worker file'!$Q$2:$Q$406,"Not found")</f>
        <v>Active</v>
      </c>
      <c r="E425" s="39" t="s">
        <v>618</v>
      </c>
      <c r="F425" s="38" t="str">
        <f aca="false">_xlfn.XLOOKUP($E425,$A$5:$A$8,$B$5:$B$8,"")</f>
        <v>401(k) Employee Deferral</v>
      </c>
      <c r="G425" s="38" t="str">
        <f aca="false">_xlfn.XLOOKUP($E425,$A$5:$A$8,$D$5:$D$8,"")</f>
        <v>Pre-tax (exempt from FIT/SIT; subject to FICA)</v>
      </c>
      <c r="H425" s="38" t="str">
        <f aca="false">_xlfn.XLOOKUP($E425,$A$5:$A$8,$E$5:$E$8,"")</f>
        <v>Percent</v>
      </c>
      <c r="I425" s="41" t="n">
        <v>0.05</v>
      </c>
      <c r="J425" s="42" t="str">
        <f aca="false">IF($H425="Flat",_xlfn.XLOOKUP($E425,$A$5:$A$8,$F$5:$F$8,""),"")</f>
        <v/>
      </c>
      <c r="K425" s="38" t="str">
        <f aca="false">_xlfn.XLOOKUP($E425,$A$5:$A$8,$G$5:$G$8,"")</f>
        <v>Gross pay</v>
      </c>
      <c r="L425" s="38" t="str">
        <f aca="false">_xlfn.XLOOKUP($E425,$A$5:$A$8,$H$5:$H$8,"")</f>
        <v>Every pay period (ongoing)</v>
      </c>
      <c r="M425" s="43" t="n">
        <f aca="false" t="array" ref="M425:M425">MAX(_xlfn.XLOOKUP($A425,TRIM(SUBSTITUTE('worker file'!$A$2:$A$406,_xlfn.UNICHAR(160)," ")),'worker file'!$M$2:$M$406,0),_xlfn.XLOOKUP($B425,TRIM('pay group &amp; schedule'!$A$2:$A$6),'pay group &amp; schedule'!$D$2:$D$6,0))</f>
        <v>46311</v>
      </c>
      <c r="N425" s="43" t="str">
        <f aca="false" t="array" ref="N425:N425">_xlfn.LET(_xlpm.t,_xlfn.XLOOKUP($A425,TRIM(SUBSTITUTE('worker file'!$A$2:$A$406,_xlfn.UNICHAR(160)," ")),'worker file'!$N$2:$N$406,""),IF(N(_xlpm.t)=0,"",_xlpm.t))</f>
        <v/>
      </c>
    </row>
    <row r="426" customFormat="false" ht="15" hidden="false" customHeight="false" outlineLevel="0" collapsed="false">
      <c r="A426" s="39" t="s">
        <v>250</v>
      </c>
      <c r="B426" s="40" t="str">
        <f aca="false" t="array" ref="B426:B426">_xlfn.XLOOKUP($A426,TRIM(SUBSTITUTE('worker file'!$A$2:$A$406,_xlfn.UNICHAR(160)," ")),'worker file'!$L$2:$L$406,"Not found")</f>
        <v>US Semi-monthly</v>
      </c>
      <c r="C426" s="40" t="str">
        <f aca="false" t="array" ref="C426:C426">_xlfn.XLOOKUP($A426,TRIM(SUBSTITUTE('worker file'!$A$2:$A$406,_xlfn.UNICHAR(160)," ")),'worker file'!$D$2:$D$406,"Not found")</f>
        <v>WA</v>
      </c>
      <c r="D426" s="40" t="str">
        <f aca="false" t="array" ref="D426:D426">_xlfn.XLOOKUP($A426,TRIM(SUBSTITUTE('worker file'!$A$2:$A$406,_xlfn.UNICHAR(160)," ")),'worker file'!$Q$2:$Q$406,"Not found")</f>
        <v>Active</v>
      </c>
      <c r="E426" s="39" t="s">
        <v>626</v>
      </c>
      <c r="F426" s="38" t="str">
        <f aca="false">_xlfn.XLOOKUP($E426,$A$5:$A$8,$B$5:$B$8,"")</f>
        <v>Medical (Health) – Employee</v>
      </c>
      <c r="G426" s="38" t="str">
        <f aca="false">_xlfn.XLOOKUP($E426,$A$5:$A$8,$D$5:$D$8,"")</f>
        <v>Pre-tax Section 125 (exempt from FIT/SIT/FICA)</v>
      </c>
      <c r="H426" s="38" t="str">
        <f aca="false">_xlfn.XLOOKUP($E426,$A$5:$A$8,$E$5:$E$8,"")</f>
        <v>Flat</v>
      </c>
      <c r="I426" s="44" t="str">
        <f aca="false">IF($H426="Percent",_xlfn.XLOOKUP($E426,$A$5:$A$8,$F$5:$F$8,""),"")</f>
        <v/>
      </c>
      <c r="J426" s="42" t="n">
        <f aca="false">IF($H426="Flat",_xlfn.XLOOKUP($E426,$A$5:$A$8,$F$5:$F$8,""),"")</f>
        <v>200</v>
      </c>
      <c r="K426" s="38" t="str">
        <f aca="false">_xlfn.XLOOKUP($E426,$A$5:$A$8,$G$5:$G$8,"")</f>
        <v>Per pay period</v>
      </c>
      <c r="L426" s="38" t="str">
        <f aca="false">_xlfn.XLOOKUP($E426,$A$5:$A$8,$H$5:$H$8,"")</f>
        <v>Every pay period (ongoing)</v>
      </c>
      <c r="M426" s="43" t="n">
        <f aca="false" t="array" ref="M426:M426">MAX(_xlfn.XLOOKUP($A426,TRIM(SUBSTITUTE('worker file'!$A$2:$A$406,_xlfn.UNICHAR(160)," ")),'worker file'!$M$2:$M$406,0),_xlfn.XLOOKUP($B426,TRIM('pay group &amp; schedule'!$A$2:$A$6),'pay group &amp; schedule'!$D$2:$D$6,0))</f>
        <v>46311</v>
      </c>
      <c r="N426" s="43" t="str">
        <f aca="false" t="array" ref="N426:N426">_xlfn.LET(_xlpm.t,_xlfn.XLOOKUP($A426,TRIM(SUBSTITUTE('worker file'!$A$2:$A$406,_xlfn.UNICHAR(160)," ")),'worker file'!$N$2:$N$406,""),IF(N(_xlpm.t)=0,"",_xlpm.t))</f>
        <v/>
      </c>
    </row>
    <row r="427" customFormat="false" ht="15" hidden="false" customHeight="false" outlineLevel="0" collapsed="false">
      <c r="A427" s="39" t="s">
        <v>250</v>
      </c>
      <c r="B427" s="40" t="str">
        <f aca="false" t="array" ref="B427:B427">_xlfn.XLOOKUP($A427,TRIM(SUBSTITUTE('worker file'!$A$2:$A$406,_xlfn.UNICHAR(160)," ")),'worker file'!$L$2:$L$406,"Not found")</f>
        <v>US Semi-monthly</v>
      </c>
      <c r="C427" s="40" t="str">
        <f aca="false" t="array" ref="C427:C427">_xlfn.XLOOKUP($A427,TRIM(SUBSTITUTE('worker file'!$A$2:$A$406,_xlfn.UNICHAR(160)," ")),'worker file'!$D$2:$D$406,"Not found")</f>
        <v>WA</v>
      </c>
      <c r="D427" s="40" t="str">
        <f aca="false" t="array" ref="D427:D427">_xlfn.XLOOKUP($A427,TRIM(SUBSTITUTE('worker file'!$A$2:$A$406,_xlfn.UNICHAR(160)," ")),'worker file'!$Q$2:$Q$406,"Not found")</f>
        <v>Active</v>
      </c>
      <c r="E427" s="39" t="s">
        <v>632</v>
      </c>
      <c r="F427" s="38" t="str">
        <f aca="false">_xlfn.XLOOKUP($E427,$A$5:$A$8,$B$5:$B$8,"")</f>
        <v>Dental – Employee</v>
      </c>
      <c r="G427" s="38" t="str">
        <f aca="false">_xlfn.XLOOKUP($E427,$A$5:$A$8,$D$5:$D$8,"")</f>
        <v>Pre-tax Section 125 (exempt from FIT/SIT/FICA)</v>
      </c>
      <c r="H427" s="38" t="str">
        <f aca="false">_xlfn.XLOOKUP($E427,$A$5:$A$8,$E$5:$E$8,"")</f>
        <v>Flat</v>
      </c>
      <c r="I427" s="44" t="str">
        <f aca="false">IF($H427="Percent",_xlfn.XLOOKUP($E427,$A$5:$A$8,$F$5:$F$8,""),"")</f>
        <v/>
      </c>
      <c r="J427" s="42" t="n">
        <f aca="false">IF($H427="Flat",_xlfn.XLOOKUP($E427,$A$5:$A$8,$F$5:$F$8,""),"")</f>
        <v>44</v>
      </c>
      <c r="K427" s="38" t="str">
        <f aca="false">_xlfn.XLOOKUP($E427,$A$5:$A$8,$G$5:$G$8,"")</f>
        <v>Per pay period</v>
      </c>
      <c r="L427" s="38" t="str">
        <f aca="false">_xlfn.XLOOKUP($E427,$A$5:$A$8,$H$5:$H$8,"")</f>
        <v>Every pay period (ongoing)</v>
      </c>
      <c r="M427" s="43" t="n">
        <f aca="false" t="array" ref="M427:M427">MAX(_xlfn.XLOOKUP($A427,TRIM(SUBSTITUTE('worker file'!$A$2:$A$406,_xlfn.UNICHAR(160)," ")),'worker file'!$M$2:$M$406,0),_xlfn.XLOOKUP($B427,TRIM('pay group &amp; schedule'!$A$2:$A$6),'pay group &amp; schedule'!$D$2:$D$6,0))</f>
        <v>46311</v>
      </c>
      <c r="N427" s="43" t="str">
        <f aca="false" t="array" ref="N427:N427">_xlfn.LET(_xlpm.t,_xlfn.XLOOKUP($A427,TRIM(SUBSTITUTE('worker file'!$A$2:$A$406,_xlfn.UNICHAR(160)," ")),'worker file'!$N$2:$N$406,""),IF(N(_xlpm.t)=0,"",_xlpm.t))</f>
        <v/>
      </c>
    </row>
    <row r="428" customFormat="false" ht="15" hidden="false" customHeight="false" outlineLevel="0" collapsed="false">
      <c r="A428" s="39" t="s">
        <v>250</v>
      </c>
      <c r="B428" s="40" t="str">
        <f aca="false" t="array" ref="B428:B428">_xlfn.XLOOKUP($A428,TRIM(SUBSTITUTE('worker file'!$A$2:$A$406,_xlfn.UNICHAR(160)," ")),'worker file'!$L$2:$L$406,"Not found")</f>
        <v>US Semi-monthly</v>
      </c>
      <c r="C428" s="40" t="str">
        <f aca="false" t="array" ref="C428:C428">_xlfn.XLOOKUP($A428,TRIM(SUBSTITUTE('worker file'!$A$2:$A$406,_xlfn.UNICHAR(160)," ")),'worker file'!$D$2:$D$406,"Not found")</f>
        <v>WA</v>
      </c>
      <c r="D428" s="40" t="str">
        <f aca="false" t="array" ref="D428:D428">_xlfn.XLOOKUP($A428,TRIM(SUBSTITUTE('worker file'!$A$2:$A$406,_xlfn.UNICHAR(160)," ")),'worker file'!$Q$2:$Q$406,"Not found")</f>
        <v>Active</v>
      </c>
      <c r="E428" s="39" t="s">
        <v>634</v>
      </c>
      <c r="F428" s="38" t="str">
        <f aca="false">_xlfn.XLOOKUP($E428,$A$5:$A$8,$B$5:$B$8,"")</f>
        <v>Vision – Employee</v>
      </c>
      <c r="G428" s="38" t="str">
        <f aca="false">_xlfn.XLOOKUP($E428,$A$5:$A$8,$D$5:$D$8,"")</f>
        <v>Pre-tax Section 125 (exempt from FIT/SIT/FICA)</v>
      </c>
      <c r="H428" s="38" t="str">
        <f aca="false">_xlfn.XLOOKUP($E428,$A$5:$A$8,$E$5:$E$8,"")</f>
        <v>Flat</v>
      </c>
      <c r="I428" s="44" t="str">
        <f aca="false">IF($H428="Percent",_xlfn.XLOOKUP($E428,$A$5:$A$8,$F$5:$F$8,""),"")</f>
        <v/>
      </c>
      <c r="J428" s="42" t="n">
        <f aca="false">IF($H428="Flat",_xlfn.XLOOKUP($E428,$A$5:$A$8,$F$5:$F$8,""),"")</f>
        <v>30</v>
      </c>
      <c r="K428" s="38" t="str">
        <f aca="false">_xlfn.XLOOKUP($E428,$A$5:$A$8,$G$5:$G$8,"")</f>
        <v>Per pay period</v>
      </c>
      <c r="L428" s="38" t="str">
        <f aca="false">_xlfn.XLOOKUP($E428,$A$5:$A$8,$H$5:$H$8,"")</f>
        <v>Every pay period (ongoing)</v>
      </c>
      <c r="M428" s="43" t="n">
        <f aca="false" t="array" ref="M428:M428">MAX(_xlfn.XLOOKUP($A428,TRIM(SUBSTITUTE('worker file'!$A$2:$A$406,_xlfn.UNICHAR(160)," ")),'worker file'!$M$2:$M$406,0),_xlfn.XLOOKUP($B428,TRIM('pay group &amp; schedule'!$A$2:$A$6),'pay group &amp; schedule'!$D$2:$D$6,0))</f>
        <v>46311</v>
      </c>
      <c r="N428" s="43" t="str">
        <f aca="false" t="array" ref="N428:N428">_xlfn.LET(_xlpm.t,_xlfn.XLOOKUP($A428,TRIM(SUBSTITUTE('worker file'!$A$2:$A$406,_xlfn.UNICHAR(160)," ")),'worker file'!$N$2:$N$406,""),IF(N(_xlpm.t)=0,"",_xlpm.t))</f>
        <v/>
      </c>
    </row>
    <row r="429" customFormat="false" ht="15" hidden="false" customHeight="false" outlineLevel="0" collapsed="false">
      <c r="A429" s="39" t="s">
        <v>251</v>
      </c>
      <c r="B429" s="40" t="str">
        <f aca="false" t="array" ref="B429:B429">_xlfn.XLOOKUP($A429,TRIM(SUBSTITUTE('worker file'!$A$2:$A$406,_xlfn.UNICHAR(160)," ")),'worker file'!$L$2:$L$406,"Not found")</f>
        <v>US Semi-monthly</v>
      </c>
      <c r="C429" s="40" t="str">
        <f aca="false" t="array" ref="C429:C429">_xlfn.XLOOKUP($A429,TRIM(SUBSTITUTE('worker file'!$A$2:$A$406,_xlfn.UNICHAR(160)," ")),'worker file'!$D$2:$D$406,"Not found")</f>
        <v>CA</v>
      </c>
      <c r="D429" s="40" t="str">
        <f aca="false" t="array" ref="D429:D429">_xlfn.XLOOKUP($A429,TRIM(SUBSTITUTE('worker file'!$A$2:$A$406,_xlfn.UNICHAR(160)," ")),'worker file'!$Q$2:$Q$406,"Not found")</f>
        <v>Active</v>
      </c>
      <c r="E429" s="39" t="s">
        <v>618</v>
      </c>
      <c r="F429" s="38" t="str">
        <f aca="false">_xlfn.XLOOKUP($E429,$A$5:$A$8,$B$5:$B$8,"")</f>
        <v>401(k) Employee Deferral</v>
      </c>
      <c r="G429" s="38" t="str">
        <f aca="false">_xlfn.XLOOKUP($E429,$A$5:$A$8,$D$5:$D$8,"")</f>
        <v>Pre-tax (exempt from FIT/SIT; subject to FICA)</v>
      </c>
      <c r="H429" s="38" t="str">
        <f aca="false">_xlfn.XLOOKUP($E429,$A$5:$A$8,$E$5:$E$8,"")</f>
        <v>Percent</v>
      </c>
      <c r="I429" s="41" t="n">
        <v>0.02</v>
      </c>
      <c r="J429" s="42" t="str">
        <f aca="false">IF($H429="Flat",_xlfn.XLOOKUP($E429,$A$5:$A$8,$F$5:$F$8,""),"")</f>
        <v/>
      </c>
      <c r="K429" s="38" t="str">
        <f aca="false">_xlfn.XLOOKUP($E429,$A$5:$A$8,$G$5:$G$8,"")</f>
        <v>Gross pay</v>
      </c>
      <c r="L429" s="38" t="str">
        <f aca="false">_xlfn.XLOOKUP($E429,$A$5:$A$8,$H$5:$H$8,"")</f>
        <v>Every pay period (ongoing)</v>
      </c>
      <c r="M429" s="43" t="n">
        <f aca="false" t="array" ref="M429:M429">MAX(_xlfn.XLOOKUP($A429,TRIM(SUBSTITUTE('worker file'!$A$2:$A$406,_xlfn.UNICHAR(160)," ")),'worker file'!$M$2:$M$406,0),_xlfn.XLOOKUP($B429,TRIM('pay group &amp; schedule'!$A$2:$A$6),'pay group &amp; schedule'!$D$2:$D$6,0))</f>
        <v>46311</v>
      </c>
      <c r="N429" s="43" t="str">
        <f aca="false" t="array" ref="N429:N429">_xlfn.LET(_xlpm.t,_xlfn.XLOOKUP($A429,TRIM(SUBSTITUTE('worker file'!$A$2:$A$406,_xlfn.UNICHAR(160)," ")),'worker file'!$N$2:$N$406,""),IF(N(_xlpm.t)=0,"",_xlpm.t))</f>
        <v/>
      </c>
    </row>
    <row r="430" customFormat="false" ht="15" hidden="false" customHeight="false" outlineLevel="0" collapsed="false">
      <c r="A430" s="39" t="s">
        <v>251</v>
      </c>
      <c r="B430" s="40" t="str">
        <f aca="false" t="array" ref="B430:B430">_xlfn.XLOOKUP($A430,TRIM(SUBSTITUTE('worker file'!$A$2:$A$406,_xlfn.UNICHAR(160)," ")),'worker file'!$L$2:$L$406,"Not found")</f>
        <v>US Semi-monthly</v>
      </c>
      <c r="C430" s="40" t="str">
        <f aca="false" t="array" ref="C430:C430">_xlfn.XLOOKUP($A430,TRIM(SUBSTITUTE('worker file'!$A$2:$A$406,_xlfn.UNICHAR(160)," ")),'worker file'!$D$2:$D$406,"Not found")</f>
        <v>CA</v>
      </c>
      <c r="D430" s="40" t="str">
        <f aca="false" t="array" ref="D430:D430">_xlfn.XLOOKUP($A430,TRIM(SUBSTITUTE('worker file'!$A$2:$A$406,_xlfn.UNICHAR(160)," ")),'worker file'!$Q$2:$Q$406,"Not found")</f>
        <v>Active</v>
      </c>
      <c r="E430" s="39" t="s">
        <v>626</v>
      </c>
      <c r="F430" s="38" t="str">
        <f aca="false">_xlfn.XLOOKUP($E430,$A$5:$A$8,$B$5:$B$8,"")</f>
        <v>Medical (Health) – Employee</v>
      </c>
      <c r="G430" s="38" t="str">
        <f aca="false">_xlfn.XLOOKUP($E430,$A$5:$A$8,$D$5:$D$8,"")</f>
        <v>Pre-tax Section 125 (exempt from FIT/SIT/FICA)</v>
      </c>
      <c r="H430" s="38" t="str">
        <f aca="false">_xlfn.XLOOKUP($E430,$A$5:$A$8,$E$5:$E$8,"")</f>
        <v>Flat</v>
      </c>
      <c r="I430" s="44" t="str">
        <f aca="false">IF($H430="Percent",_xlfn.XLOOKUP($E430,$A$5:$A$8,$F$5:$F$8,""),"")</f>
        <v/>
      </c>
      <c r="J430" s="42" t="n">
        <f aca="false">IF($H430="Flat",_xlfn.XLOOKUP($E430,$A$5:$A$8,$F$5:$F$8,""),"")</f>
        <v>200</v>
      </c>
      <c r="K430" s="38" t="str">
        <f aca="false">_xlfn.XLOOKUP($E430,$A$5:$A$8,$G$5:$G$8,"")</f>
        <v>Per pay period</v>
      </c>
      <c r="L430" s="38" t="str">
        <f aca="false">_xlfn.XLOOKUP($E430,$A$5:$A$8,$H$5:$H$8,"")</f>
        <v>Every pay period (ongoing)</v>
      </c>
      <c r="M430" s="43" t="n">
        <f aca="false" t="array" ref="M430:M430">MAX(_xlfn.XLOOKUP($A430,TRIM(SUBSTITUTE('worker file'!$A$2:$A$406,_xlfn.UNICHAR(160)," ")),'worker file'!$M$2:$M$406,0),_xlfn.XLOOKUP($B430,TRIM('pay group &amp; schedule'!$A$2:$A$6),'pay group &amp; schedule'!$D$2:$D$6,0))</f>
        <v>46311</v>
      </c>
      <c r="N430" s="43" t="str">
        <f aca="false" t="array" ref="N430:N430">_xlfn.LET(_xlpm.t,_xlfn.XLOOKUP($A430,TRIM(SUBSTITUTE('worker file'!$A$2:$A$406,_xlfn.UNICHAR(160)," ")),'worker file'!$N$2:$N$406,""),IF(N(_xlpm.t)=0,"",_xlpm.t))</f>
        <v/>
      </c>
    </row>
    <row r="431" customFormat="false" ht="15" hidden="false" customHeight="false" outlineLevel="0" collapsed="false">
      <c r="A431" s="39" t="s">
        <v>251</v>
      </c>
      <c r="B431" s="40" t="str">
        <f aca="false" t="array" ref="B431:B431">_xlfn.XLOOKUP($A431,TRIM(SUBSTITUTE('worker file'!$A$2:$A$406,_xlfn.UNICHAR(160)," ")),'worker file'!$L$2:$L$406,"Not found")</f>
        <v>US Semi-monthly</v>
      </c>
      <c r="C431" s="40" t="str">
        <f aca="false" t="array" ref="C431:C431">_xlfn.XLOOKUP($A431,TRIM(SUBSTITUTE('worker file'!$A$2:$A$406,_xlfn.UNICHAR(160)," ")),'worker file'!$D$2:$D$406,"Not found")</f>
        <v>CA</v>
      </c>
      <c r="D431" s="40" t="str">
        <f aca="false" t="array" ref="D431:D431">_xlfn.XLOOKUP($A431,TRIM(SUBSTITUTE('worker file'!$A$2:$A$406,_xlfn.UNICHAR(160)," ")),'worker file'!$Q$2:$Q$406,"Not found")</f>
        <v>Active</v>
      </c>
      <c r="E431" s="39" t="s">
        <v>632</v>
      </c>
      <c r="F431" s="38" t="str">
        <f aca="false">_xlfn.XLOOKUP($E431,$A$5:$A$8,$B$5:$B$8,"")</f>
        <v>Dental – Employee</v>
      </c>
      <c r="G431" s="38" t="str">
        <f aca="false">_xlfn.XLOOKUP($E431,$A$5:$A$8,$D$5:$D$8,"")</f>
        <v>Pre-tax Section 125 (exempt from FIT/SIT/FICA)</v>
      </c>
      <c r="H431" s="38" t="str">
        <f aca="false">_xlfn.XLOOKUP($E431,$A$5:$A$8,$E$5:$E$8,"")</f>
        <v>Flat</v>
      </c>
      <c r="I431" s="44" t="str">
        <f aca="false">IF($H431="Percent",_xlfn.XLOOKUP($E431,$A$5:$A$8,$F$5:$F$8,""),"")</f>
        <v/>
      </c>
      <c r="J431" s="42" t="n">
        <f aca="false">IF($H431="Flat",_xlfn.XLOOKUP($E431,$A$5:$A$8,$F$5:$F$8,""),"")</f>
        <v>44</v>
      </c>
      <c r="K431" s="38" t="str">
        <f aca="false">_xlfn.XLOOKUP($E431,$A$5:$A$8,$G$5:$G$8,"")</f>
        <v>Per pay period</v>
      </c>
      <c r="L431" s="38" t="str">
        <f aca="false">_xlfn.XLOOKUP($E431,$A$5:$A$8,$H$5:$H$8,"")</f>
        <v>Every pay period (ongoing)</v>
      </c>
      <c r="M431" s="43" t="n">
        <f aca="false" t="array" ref="M431:M431">MAX(_xlfn.XLOOKUP($A431,TRIM(SUBSTITUTE('worker file'!$A$2:$A$406,_xlfn.UNICHAR(160)," ")),'worker file'!$M$2:$M$406,0),_xlfn.XLOOKUP($B431,TRIM('pay group &amp; schedule'!$A$2:$A$6),'pay group &amp; schedule'!$D$2:$D$6,0))</f>
        <v>46311</v>
      </c>
      <c r="N431" s="43" t="str">
        <f aca="false" t="array" ref="N431:N431">_xlfn.LET(_xlpm.t,_xlfn.XLOOKUP($A431,TRIM(SUBSTITUTE('worker file'!$A$2:$A$406,_xlfn.UNICHAR(160)," ")),'worker file'!$N$2:$N$406,""),IF(N(_xlpm.t)=0,"",_xlpm.t))</f>
        <v/>
      </c>
    </row>
    <row r="432" customFormat="false" ht="15" hidden="false" customHeight="false" outlineLevel="0" collapsed="false">
      <c r="A432" s="39" t="s">
        <v>251</v>
      </c>
      <c r="B432" s="40" t="str">
        <f aca="false" t="array" ref="B432:B432">_xlfn.XLOOKUP($A432,TRIM(SUBSTITUTE('worker file'!$A$2:$A$406,_xlfn.UNICHAR(160)," ")),'worker file'!$L$2:$L$406,"Not found")</f>
        <v>US Semi-monthly</v>
      </c>
      <c r="C432" s="40" t="str">
        <f aca="false" t="array" ref="C432:C432">_xlfn.XLOOKUP($A432,TRIM(SUBSTITUTE('worker file'!$A$2:$A$406,_xlfn.UNICHAR(160)," ")),'worker file'!$D$2:$D$406,"Not found")</f>
        <v>CA</v>
      </c>
      <c r="D432" s="40" t="str">
        <f aca="false" t="array" ref="D432:D432">_xlfn.XLOOKUP($A432,TRIM(SUBSTITUTE('worker file'!$A$2:$A$406,_xlfn.UNICHAR(160)," ")),'worker file'!$Q$2:$Q$406,"Not found")</f>
        <v>Active</v>
      </c>
      <c r="E432" s="39" t="s">
        <v>634</v>
      </c>
      <c r="F432" s="38" t="str">
        <f aca="false">_xlfn.XLOOKUP($E432,$A$5:$A$8,$B$5:$B$8,"")</f>
        <v>Vision – Employee</v>
      </c>
      <c r="G432" s="38" t="str">
        <f aca="false">_xlfn.XLOOKUP($E432,$A$5:$A$8,$D$5:$D$8,"")</f>
        <v>Pre-tax Section 125 (exempt from FIT/SIT/FICA)</v>
      </c>
      <c r="H432" s="38" t="str">
        <f aca="false">_xlfn.XLOOKUP($E432,$A$5:$A$8,$E$5:$E$8,"")</f>
        <v>Flat</v>
      </c>
      <c r="I432" s="44" t="str">
        <f aca="false">IF($H432="Percent",_xlfn.XLOOKUP($E432,$A$5:$A$8,$F$5:$F$8,""),"")</f>
        <v/>
      </c>
      <c r="J432" s="42" t="n">
        <f aca="false">IF($H432="Flat",_xlfn.XLOOKUP($E432,$A$5:$A$8,$F$5:$F$8,""),"")</f>
        <v>30</v>
      </c>
      <c r="K432" s="38" t="str">
        <f aca="false">_xlfn.XLOOKUP($E432,$A$5:$A$8,$G$5:$G$8,"")</f>
        <v>Per pay period</v>
      </c>
      <c r="L432" s="38" t="str">
        <f aca="false">_xlfn.XLOOKUP($E432,$A$5:$A$8,$H$5:$H$8,"")</f>
        <v>Every pay period (ongoing)</v>
      </c>
      <c r="M432" s="43" t="n">
        <f aca="false" t="array" ref="M432:M432">MAX(_xlfn.XLOOKUP($A432,TRIM(SUBSTITUTE('worker file'!$A$2:$A$406,_xlfn.UNICHAR(160)," ")),'worker file'!$M$2:$M$406,0),_xlfn.XLOOKUP($B432,TRIM('pay group &amp; schedule'!$A$2:$A$6),'pay group &amp; schedule'!$D$2:$D$6,0))</f>
        <v>46311</v>
      </c>
      <c r="N432" s="43" t="str">
        <f aca="false" t="array" ref="N432:N432">_xlfn.LET(_xlpm.t,_xlfn.XLOOKUP($A432,TRIM(SUBSTITUTE('worker file'!$A$2:$A$406,_xlfn.UNICHAR(160)," ")),'worker file'!$N$2:$N$406,""),IF(N(_xlpm.t)=0,"",_xlpm.t))</f>
        <v/>
      </c>
    </row>
    <row r="433" customFormat="false" ht="15" hidden="false" customHeight="false" outlineLevel="0" collapsed="false">
      <c r="A433" s="39" t="s">
        <v>253</v>
      </c>
      <c r="B433" s="40" t="str">
        <f aca="false" t="array" ref="B433:B433">_xlfn.XLOOKUP($A433,TRIM(SUBSTITUTE('worker file'!$A$2:$A$406,_xlfn.UNICHAR(160)," ")),'worker file'!$L$2:$L$406,"Not found")</f>
        <v>US Semi-monthly</v>
      </c>
      <c r="C433" s="40" t="str">
        <f aca="false" t="array" ref="C433:C433">_xlfn.XLOOKUP($A433,TRIM(SUBSTITUTE('worker file'!$A$2:$A$406,_xlfn.UNICHAR(160)," ")),'worker file'!$D$2:$D$406,"Not found")</f>
        <v>CA</v>
      </c>
      <c r="D433" s="40" t="str">
        <f aca="false" t="array" ref="D433:D433">_xlfn.XLOOKUP($A433,TRIM(SUBSTITUTE('worker file'!$A$2:$A$406,_xlfn.UNICHAR(160)," ")),'worker file'!$Q$2:$Q$406,"Not found")</f>
        <v>Active</v>
      </c>
      <c r="E433" s="39" t="s">
        <v>618</v>
      </c>
      <c r="F433" s="38" t="str">
        <f aca="false">_xlfn.XLOOKUP($E433,$A$5:$A$8,$B$5:$B$8,"")</f>
        <v>401(k) Employee Deferral</v>
      </c>
      <c r="G433" s="38" t="str">
        <f aca="false">_xlfn.XLOOKUP($E433,$A$5:$A$8,$D$5:$D$8,"")</f>
        <v>Pre-tax (exempt from FIT/SIT; subject to FICA)</v>
      </c>
      <c r="H433" s="38" t="str">
        <f aca="false">_xlfn.XLOOKUP($E433,$A$5:$A$8,$E$5:$E$8,"")</f>
        <v>Percent</v>
      </c>
      <c r="I433" s="41" t="n">
        <v>0.07</v>
      </c>
      <c r="J433" s="42" t="str">
        <f aca="false">IF($H433="Flat",_xlfn.XLOOKUP($E433,$A$5:$A$8,$F$5:$F$8,""),"")</f>
        <v/>
      </c>
      <c r="K433" s="38" t="str">
        <f aca="false">_xlfn.XLOOKUP($E433,$A$5:$A$8,$G$5:$G$8,"")</f>
        <v>Gross pay</v>
      </c>
      <c r="L433" s="38" t="str">
        <f aca="false">_xlfn.XLOOKUP($E433,$A$5:$A$8,$H$5:$H$8,"")</f>
        <v>Every pay period (ongoing)</v>
      </c>
      <c r="M433" s="43" t="n">
        <f aca="false" t="array" ref="M433:M433">MAX(_xlfn.XLOOKUP($A433,TRIM(SUBSTITUTE('worker file'!$A$2:$A$406,_xlfn.UNICHAR(160)," ")),'worker file'!$M$2:$M$406,0),_xlfn.XLOOKUP($B433,TRIM('pay group &amp; schedule'!$A$2:$A$6),'pay group &amp; schedule'!$D$2:$D$6,0))</f>
        <v>46311</v>
      </c>
      <c r="N433" s="43" t="str">
        <f aca="false" t="array" ref="N433:N433">_xlfn.LET(_xlpm.t,_xlfn.XLOOKUP($A433,TRIM(SUBSTITUTE('worker file'!$A$2:$A$406,_xlfn.UNICHAR(160)," ")),'worker file'!$N$2:$N$406,""),IF(N(_xlpm.t)=0,"",_xlpm.t))</f>
        <v/>
      </c>
    </row>
    <row r="434" customFormat="false" ht="15" hidden="false" customHeight="false" outlineLevel="0" collapsed="false">
      <c r="A434" s="39" t="s">
        <v>253</v>
      </c>
      <c r="B434" s="40" t="str">
        <f aca="false" t="array" ref="B434:B434">_xlfn.XLOOKUP($A434,TRIM(SUBSTITUTE('worker file'!$A$2:$A$406,_xlfn.UNICHAR(160)," ")),'worker file'!$L$2:$L$406,"Not found")</f>
        <v>US Semi-monthly</v>
      </c>
      <c r="C434" s="40" t="str">
        <f aca="false" t="array" ref="C434:C434">_xlfn.XLOOKUP($A434,TRIM(SUBSTITUTE('worker file'!$A$2:$A$406,_xlfn.UNICHAR(160)," ")),'worker file'!$D$2:$D$406,"Not found")</f>
        <v>CA</v>
      </c>
      <c r="D434" s="40" t="str">
        <f aca="false" t="array" ref="D434:D434">_xlfn.XLOOKUP($A434,TRIM(SUBSTITUTE('worker file'!$A$2:$A$406,_xlfn.UNICHAR(160)," ")),'worker file'!$Q$2:$Q$406,"Not found")</f>
        <v>Active</v>
      </c>
      <c r="E434" s="39" t="s">
        <v>626</v>
      </c>
      <c r="F434" s="38" t="str">
        <f aca="false">_xlfn.XLOOKUP($E434,$A$5:$A$8,$B$5:$B$8,"")</f>
        <v>Medical (Health) – Employee</v>
      </c>
      <c r="G434" s="38" t="str">
        <f aca="false">_xlfn.XLOOKUP($E434,$A$5:$A$8,$D$5:$D$8,"")</f>
        <v>Pre-tax Section 125 (exempt from FIT/SIT/FICA)</v>
      </c>
      <c r="H434" s="38" t="str">
        <f aca="false">_xlfn.XLOOKUP($E434,$A$5:$A$8,$E$5:$E$8,"")</f>
        <v>Flat</v>
      </c>
      <c r="I434" s="44" t="str">
        <f aca="false">IF($H434="Percent",_xlfn.XLOOKUP($E434,$A$5:$A$8,$F$5:$F$8,""),"")</f>
        <v/>
      </c>
      <c r="J434" s="42" t="n">
        <f aca="false">IF($H434="Flat",_xlfn.XLOOKUP($E434,$A$5:$A$8,$F$5:$F$8,""),"")</f>
        <v>200</v>
      </c>
      <c r="K434" s="38" t="str">
        <f aca="false">_xlfn.XLOOKUP($E434,$A$5:$A$8,$G$5:$G$8,"")</f>
        <v>Per pay period</v>
      </c>
      <c r="L434" s="38" t="str">
        <f aca="false">_xlfn.XLOOKUP($E434,$A$5:$A$8,$H$5:$H$8,"")</f>
        <v>Every pay period (ongoing)</v>
      </c>
      <c r="M434" s="43" t="n">
        <f aca="false" t="array" ref="M434:M434">MAX(_xlfn.XLOOKUP($A434,TRIM(SUBSTITUTE('worker file'!$A$2:$A$406,_xlfn.UNICHAR(160)," ")),'worker file'!$M$2:$M$406,0),_xlfn.XLOOKUP($B434,TRIM('pay group &amp; schedule'!$A$2:$A$6),'pay group &amp; schedule'!$D$2:$D$6,0))</f>
        <v>46311</v>
      </c>
      <c r="N434" s="43" t="str">
        <f aca="false" t="array" ref="N434:N434">_xlfn.LET(_xlpm.t,_xlfn.XLOOKUP($A434,TRIM(SUBSTITUTE('worker file'!$A$2:$A$406,_xlfn.UNICHAR(160)," ")),'worker file'!$N$2:$N$406,""),IF(N(_xlpm.t)=0,"",_xlpm.t))</f>
        <v/>
      </c>
    </row>
    <row r="435" customFormat="false" ht="15" hidden="false" customHeight="false" outlineLevel="0" collapsed="false">
      <c r="A435" s="39" t="s">
        <v>253</v>
      </c>
      <c r="B435" s="40" t="str">
        <f aca="false" t="array" ref="B435:B435">_xlfn.XLOOKUP($A435,TRIM(SUBSTITUTE('worker file'!$A$2:$A$406,_xlfn.UNICHAR(160)," ")),'worker file'!$L$2:$L$406,"Not found")</f>
        <v>US Semi-monthly</v>
      </c>
      <c r="C435" s="40" t="str">
        <f aca="false" t="array" ref="C435:C435">_xlfn.XLOOKUP($A435,TRIM(SUBSTITUTE('worker file'!$A$2:$A$406,_xlfn.UNICHAR(160)," ")),'worker file'!$D$2:$D$406,"Not found")</f>
        <v>CA</v>
      </c>
      <c r="D435" s="40" t="str">
        <f aca="false" t="array" ref="D435:D435">_xlfn.XLOOKUP($A435,TRIM(SUBSTITUTE('worker file'!$A$2:$A$406,_xlfn.UNICHAR(160)," ")),'worker file'!$Q$2:$Q$406,"Not found")</f>
        <v>Active</v>
      </c>
      <c r="E435" s="39" t="s">
        <v>632</v>
      </c>
      <c r="F435" s="38" t="str">
        <f aca="false">_xlfn.XLOOKUP($E435,$A$5:$A$8,$B$5:$B$8,"")</f>
        <v>Dental – Employee</v>
      </c>
      <c r="G435" s="38" t="str">
        <f aca="false">_xlfn.XLOOKUP($E435,$A$5:$A$8,$D$5:$D$8,"")</f>
        <v>Pre-tax Section 125 (exempt from FIT/SIT/FICA)</v>
      </c>
      <c r="H435" s="38" t="str">
        <f aca="false">_xlfn.XLOOKUP($E435,$A$5:$A$8,$E$5:$E$8,"")</f>
        <v>Flat</v>
      </c>
      <c r="I435" s="44" t="str">
        <f aca="false">IF($H435="Percent",_xlfn.XLOOKUP($E435,$A$5:$A$8,$F$5:$F$8,""),"")</f>
        <v/>
      </c>
      <c r="J435" s="42" t="n">
        <f aca="false">IF($H435="Flat",_xlfn.XLOOKUP($E435,$A$5:$A$8,$F$5:$F$8,""),"")</f>
        <v>44</v>
      </c>
      <c r="K435" s="38" t="str">
        <f aca="false">_xlfn.XLOOKUP($E435,$A$5:$A$8,$G$5:$G$8,"")</f>
        <v>Per pay period</v>
      </c>
      <c r="L435" s="38" t="str">
        <f aca="false">_xlfn.XLOOKUP($E435,$A$5:$A$8,$H$5:$H$8,"")</f>
        <v>Every pay period (ongoing)</v>
      </c>
      <c r="M435" s="43" t="n">
        <f aca="false" t="array" ref="M435:M435">MAX(_xlfn.XLOOKUP($A435,TRIM(SUBSTITUTE('worker file'!$A$2:$A$406,_xlfn.UNICHAR(160)," ")),'worker file'!$M$2:$M$406,0),_xlfn.XLOOKUP($B435,TRIM('pay group &amp; schedule'!$A$2:$A$6),'pay group &amp; schedule'!$D$2:$D$6,0))</f>
        <v>46311</v>
      </c>
      <c r="N435" s="43" t="str">
        <f aca="false" t="array" ref="N435:N435">_xlfn.LET(_xlpm.t,_xlfn.XLOOKUP($A435,TRIM(SUBSTITUTE('worker file'!$A$2:$A$406,_xlfn.UNICHAR(160)," ")),'worker file'!$N$2:$N$406,""),IF(N(_xlpm.t)=0,"",_xlpm.t))</f>
        <v/>
      </c>
    </row>
    <row r="436" customFormat="false" ht="15" hidden="false" customHeight="false" outlineLevel="0" collapsed="false">
      <c r="A436" s="39" t="s">
        <v>253</v>
      </c>
      <c r="B436" s="40" t="str">
        <f aca="false" t="array" ref="B436:B436">_xlfn.XLOOKUP($A436,TRIM(SUBSTITUTE('worker file'!$A$2:$A$406,_xlfn.UNICHAR(160)," ")),'worker file'!$L$2:$L$406,"Not found")</f>
        <v>US Semi-monthly</v>
      </c>
      <c r="C436" s="40" t="str">
        <f aca="false" t="array" ref="C436:C436">_xlfn.XLOOKUP($A436,TRIM(SUBSTITUTE('worker file'!$A$2:$A$406,_xlfn.UNICHAR(160)," ")),'worker file'!$D$2:$D$406,"Not found")</f>
        <v>CA</v>
      </c>
      <c r="D436" s="40" t="str">
        <f aca="false" t="array" ref="D436:D436">_xlfn.XLOOKUP($A436,TRIM(SUBSTITUTE('worker file'!$A$2:$A$406,_xlfn.UNICHAR(160)," ")),'worker file'!$Q$2:$Q$406,"Not found")</f>
        <v>Active</v>
      </c>
      <c r="E436" s="39" t="s">
        <v>634</v>
      </c>
      <c r="F436" s="38" t="str">
        <f aca="false">_xlfn.XLOOKUP($E436,$A$5:$A$8,$B$5:$B$8,"")</f>
        <v>Vision – Employee</v>
      </c>
      <c r="G436" s="38" t="str">
        <f aca="false">_xlfn.XLOOKUP($E436,$A$5:$A$8,$D$5:$D$8,"")</f>
        <v>Pre-tax Section 125 (exempt from FIT/SIT/FICA)</v>
      </c>
      <c r="H436" s="38" t="str">
        <f aca="false">_xlfn.XLOOKUP($E436,$A$5:$A$8,$E$5:$E$8,"")</f>
        <v>Flat</v>
      </c>
      <c r="I436" s="44" t="str">
        <f aca="false">IF($H436="Percent",_xlfn.XLOOKUP($E436,$A$5:$A$8,$F$5:$F$8,""),"")</f>
        <v/>
      </c>
      <c r="J436" s="42" t="n">
        <f aca="false">IF($H436="Flat",_xlfn.XLOOKUP($E436,$A$5:$A$8,$F$5:$F$8,""),"")</f>
        <v>30</v>
      </c>
      <c r="K436" s="38" t="str">
        <f aca="false">_xlfn.XLOOKUP($E436,$A$5:$A$8,$G$5:$G$8,"")</f>
        <v>Per pay period</v>
      </c>
      <c r="L436" s="38" t="str">
        <f aca="false">_xlfn.XLOOKUP($E436,$A$5:$A$8,$H$5:$H$8,"")</f>
        <v>Every pay period (ongoing)</v>
      </c>
      <c r="M436" s="43" t="n">
        <f aca="false" t="array" ref="M436:M436">MAX(_xlfn.XLOOKUP($A436,TRIM(SUBSTITUTE('worker file'!$A$2:$A$406,_xlfn.UNICHAR(160)," ")),'worker file'!$M$2:$M$406,0),_xlfn.XLOOKUP($B436,TRIM('pay group &amp; schedule'!$A$2:$A$6),'pay group &amp; schedule'!$D$2:$D$6,0))</f>
        <v>46311</v>
      </c>
      <c r="N436" s="43" t="str">
        <f aca="false" t="array" ref="N436:N436">_xlfn.LET(_xlpm.t,_xlfn.XLOOKUP($A436,TRIM(SUBSTITUTE('worker file'!$A$2:$A$406,_xlfn.UNICHAR(160)," ")),'worker file'!$N$2:$N$406,""),IF(N(_xlpm.t)=0,"",_xlpm.t))</f>
        <v/>
      </c>
    </row>
    <row r="437" customFormat="false" ht="15" hidden="false" customHeight="false" outlineLevel="0" collapsed="false">
      <c r="A437" s="39" t="s">
        <v>255</v>
      </c>
      <c r="B437" s="40" t="str">
        <f aca="false" t="array" ref="B437:B437">_xlfn.XLOOKUP($A437,TRIM(SUBSTITUTE('worker file'!$A$2:$A$406,_xlfn.UNICHAR(160)," ")),'worker file'!$L$2:$L$406,"Not found")</f>
        <v>US Semi-monthly</v>
      </c>
      <c r="C437" s="40" t="str">
        <f aca="false" t="array" ref="C437:C437">_xlfn.XLOOKUP($A437,TRIM(SUBSTITUTE('worker file'!$A$2:$A$406,_xlfn.UNICHAR(160)," ")),'worker file'!$D$2:$D$406,"Not found")</f>
        <v>CA</v>
      </c>
      <c r="D437" s="40" t="str">
        <f aca="false" t="array" ref="D437:D437">_xlfn.XLOOKUP($A437,TRIM(SUBSTITUTE('worker file'!$A$2:$A$406,_xlfn.UNICHAR(160)," ")),'worker file'!$Q$2:$Q$406,"Not found")</f>
        <v>Active</v>
      </c>
      <c r="E437" s="39" t="s">
        <v>618</v>
      </c>
      <c r="F437" s="38" t="str">
        <f aca="false">_xlfn.XLOOKUP($E437,$A$5:$A$8,$B$5:$B$8,"")</f>
        <v>401(k) Employee Deferral</v>
      </c>
      <c r="G437" s="38" t="str">
        <f aca="false">_xlfn.XLOOKUP($E437,$A$5:$A$8,$D$5:$D$8,"")</f>
        <v>Pre-tax (exempt from FIT/SIT; subject to FICA)</v>
      </c>
      <c r="H437" s="38" t="str">
        <f aca="false">_xlfn.XLOOKUP($E437,$A$5:$A$8,$E$5:$E$8,"")</f>
        <v>Percent</v>
      </c>
      <c r="I437" s="41" t="n">
        <v>0.04</v>
      </c>
      <c r="J437" s="42" t="str">
        <f aca="false">IF($H437="Flat",_xlfn.XLOOKUP($E437,$A$5:$A$8,$F$5:$F$8,""),"")</f>
        <v/>
      </c>
      <c r="K437" s="38" t="str">
        <f aca="false">_xlfn.XLOOKUP($E437,$A$5:$A$8,$G$5:$G$8,"")</f>
        <v>Gross pay</v>
      </c>
      <c r="L437" s="38" t="str">
        <f aca="false">_xlfn.XLOOKUP($E437,$A$5:$A$8,$H$5:$H$8,"")</f>
        <v>Every pay period (ongoing)</v>
      </c>
      <c r="M437" s="43" t="n">
        <f aca="false" t="array" ref="M437:M437">MAX(_xlfn.XLOOKUP($A437,TRIM(SUBSTITUTE('worker file'!$A$2:$A$406,_xlfn.UNICHAR(160)," ")),'worker file'!$M$2:$M$406,0),_xlfn.XLOOKUP($B437,TRIM('pay group &amp; schedule'!$A$2:$A$6),'pay group &amp; schedule'!$D$2:$D$6,0))</f>
        <v>46311</v>
      </c>
      <c r="N437" s="43" t="str">
        <f aca="false" t="array" ref="N437:N437">_xlfn.LET(_xlpm.t,_xlfn.XLOOKUP($A437,TRIM(SUBSTITUTE('worker file'!$A$2:$A$406,_xlfn.UNICHAR(160)," ")),'worker file'!$N$2:$N$406,""),IF(N(_xlpm.t)=0,"",_xlpm.t))</f>
        <v/>
      </c>
    </row>
    <row r="438" customFormat="false" ht="15" hidden="false" customHeight="false" outlineLevel="0" collapsed="false">
      <c r="A438" s="39" t="s">
        <v>255</v>
      </c>
      <c r="B438" s="40" t="str">
        <f aca="false" t="array" ref="B438:B438">_xlfn.XLOOKUP($A438,TRIM(SUBSTITUTE('worker file'!$A$2:$A$406,_xlfn.UNICHAR(160)," ")),'worker file'!$L$2:$L$406,"Not found")</f>
        <v>US Semi-monthly</v>
      </c>
      <c r="C438" s="40" t="str">
        <f aca="false" t="array" ref="C438:C438">_xlfn.XLOOKUP($A438,TRIM(SUBSTITUTE('worker file'!$A$2:$A$406,_xlfn.UNICHAR(160)," ")),'worker file'!$D$2:$D$406,"Not found")</f>
        <v>CA</v>
      </c>
      <c r="D438" s="40" t="str">
        <f aca="false" t="array" ref="D438:D438">_xlfn.XLOOKUP($A438,TRIM(SUBSTITUTE('worker file'!$A$2:$A$406,_xlfn.UNICHAR(160)," ")),'worker file'!$Q$2:$Q$406,"Not found")</f>
        <v>Active</v>
      </c>
      <c r="E438" s="39" t="s">
        <v>626</v>
      </c>
      <c r="F438" s="38" t="str">
        <f aca="false">_xlfn.XLOOKUP($E438,$A$5:$A$8,$B$5:$B$8,"")</f>
        <v>Medical (Health) – Employee</v>
      </c>
      <c r="G438" s="38" t="str">
        <f aca="false">_xlfn.XLOOKUP($E438,$A$5:$A$8,$D$5:$D$8,"")</f>
        <v>Pre-tax Section 125 (exempt from FIT/SIT/FICA)</v>
      </c>
      <c r="H438" s="38" t="str">
        <f aca="false">_xlfn.XLOOKUP($E438,$A$5:$A$8,$E$5:$E$8,"")</f>
        <v>Flat</v>
      </c>
      <c r="I438" s="44" t="str">
        <f aca="false">IF($H438="Percent",_xlfn.XLOOKUP($E438,$A$5:$A$8,$F$5:$F$8,""),"")</f>
        <v/>
      </c>
      <c r="J438" s="42" t="n">
        <f aca="false">IF($H438="Flat",_xlfn.XLOOKUP($E438,$A$5:$A$8,$F$5:$F$8,""),"")</f>
        <v>200</v>
      </c>
      <c r="K438" s="38" t="str">
        <f aca="false">_xlfn.XLOOKUP($E438,$A$5:$A$8,$G$5:$G$8,"")</f>
        <v>Per pay period</v>
      </c>
      <c r="L438" s="38" t="str">
        <f aca="false">_xlfn.XLOOKUP($E438,$A$5:$A$8,$H$5:$H$8,"")</f>
        <v>Every pay period (ongoing)</v>
      </c>
      <c r="M438" s="43" t="n">
        <f aca="false" t="array" ref="M438:M438">MAX(_xlfn.XLOOKUP($A438,TRIM(SUBSTITUTE('worker file'!$A$2:$A$406,_xlfn.UNICHAR(160)," ")),'worker file'!$M$2:$M$406,0),_xlfn.XLOOKUP($B438,TRIM('pay group &amp; schedule'!$A$2:$A$6),'pay group &amp; schedule'!$D$2:$D$6,0))</f>
        <v>46311</v>
      </c>
      <c r="N438" s="43" t="str">
        <f aca="false" t="array" ref="N438:N438">_xlfn.LET(_xlpm.t,_xlfn.XLOOKUP($A438,TRIM(SUBSTITUTE('worker file'!$A$2:$A$406,_xlfn.UNICHAR(160)," ")),'worker file'!$N$2:$N$406,""),IF(N(_xlpm.t)=0,"",_xlpm.t))</f>
        <v/>
      </c>
    </row>
    <row r="439" customFormat="false" ht="15" hidden="false" customHeight="false" outlineLevel="0" collapsed="false">
      <c r="A439" s="39" t="s">
        <v>255</v>
      </c>
      <c r="B439" s="40" t="str">
        <f aca="false" t="array" ref="B439:B439">_xlfn.XLOOKUP($A439,TRIM(SUBSTITUTE('worker file'!$A$2:$A$406,_xlfn.UNICHAR(160)," ")),'worker file'!$L$2:$L$406,"Not found")</f>
        <v>US Semi-monthly</v>
      </c>
      <c r="C439" s="40" t="str">
        <f aca="false" t="array" ref="C439:C439">_xlfn.XLOOKUP($A439,TRIM(SUBSTITUTE('worker file'!$A$2:$A$406,_xlfn.UNICHAR(160)," ")),'worker file'!$D$2:$D$406,"Not found")</f>
        <v>CA</v>
      </c>
      <c r="D439" s="40" t="str">
        <f aca="false" t="array" ref="D439:D439">_xlfn.XLOOKUP($A439,TRIM(SUBSTITUTE('worker file'!$A$2:$A$406,_xlfn.UNICHAR(160)," ")),'worker file'!$Q$2:$Q$406,"Not found")</f>
        <v>Active</v>
      </c>
      <c r="E439" s="39" t="s">
        <v>632</v>
      </c>
      <c r="F439" s="38" t="str">
        <f aca="false">_xlfn.XLOOKUP($E439,$A$5:$A$8,$B$5:$B$8,"")</f>
        <v>Dental – Employee</v>
      </c>
      <c r="G439" s="38" t="str">
        <f aca="false">_xlfn.XLOOKUP($E439,$A$5:$A$8,$D$5:$D$8,"")</f>
        <v>Pre-tax Section 125 (exempt from FIT/SIT/FICA)</v>
      </c>
      <c r="H439" s="38" t="str">
        <f aca="false">_xlfn.XLOOKUP($E439,$A$5:$A$8,$E$5:$E$8,"")</f>
        <v>Flat</v>
      </c>
      <c r="I439" s="44" t="str">
        <f aca="false">IF($H439="Percent",_xlfn.XLOOKUP($E439,$A$5:$A$8,$F$5:$F$8,""),"")</f>
        <v/>
      </c>
      <c r="J439" s="42" t="n">
        <f aca="false">IF($H439="Flat",_xlfn.XLOOKUP($E439,$A$5:$A$8,$F$5:$F$8,""),"")</f>
        <v>44</v>
      </c>
      <c r="K439" s="38" t="str">
        <f aca="false">_xlfn.XLOOKUP($E439,$A$5:$A$8,$G$5:$G$8,"")</f>
        <v>Per pay period</v>
      </c>
      <c r="L439" s="38" t="str">
        <f aca="false">_xlfn.XLOOKUP($E439,$A$5:$A$8,$H$5:$H$8,"")</f>
        <v>Every pay period (ongoing)</v>
      </c>
      <c r="M439" s="43" t="n">
        <f aca="false" t="array" ref="M439:M439">MAX(_xlfn.XLOOKUP($A439,TRIM(SUBSTITUTE('worker file'!$A$2:$A$406,_xlfn.UNICHAR(160)," ")),'worker file'!$M$2:$M$406,0),_xlfn.XLOOKUP($B439,TRIM('pay group &amp; schedule'!$A$2:$A$6),'pay group &amp; schedule'!$D$2:$D$6,0))</f>
        <v>46311</v>
      </c>
      <c r="N439" s="43" t="str">
        <f aca="false" t="array" ref="N439:N439">_xlfn.LET(_xlpm.t,_xlfn.XLOOKUP($A439,TRIM(SUBSTITUTE('worker file'!$A$2:$A$406,_xlfn.UNICHAR(160)," ")),'worker file'!$N$2:$N$406,""),IF(N(_xlpm.t)=0,"",_xlpm.t))</f>
        <v/>
      </c>
    </row>
    <row r="440" customFormat="false" ht="15" hidden="false" customHeight="false" outlineLevel="0" collapsed="false">
      <c r="A440" s="39" t="s">
        <v>255</v>
      </c>
      <c r="B440" s="40" t="str">
        <f aca="false" t="array" ref="B440:B440">_xlfn.XLOOKUP($A440,TRIM(SUBSTITUTE('worker file'!$A$2:$A$406,_xlfn.UNICHAR(160)," ")),'worker file'!$L$2:$L$406,"Not found")</f>
        <v>US Semi-monthly</v>
      </c>
      <c r="C440" s="40" t="str">
        <f aca="false" t="array" ref="C440:C440">_xlfn.XLOOKUP($A440,TRIM(SUBSTITUTE('worker file'!$A$2:$A$406,_xlfn.UNICHAR(160)," ")),'worker file'!$D$2:$D$406,"Not found")</f>
        <v>CA</v>
      </c>
      <c r="D440" s="40" t="str">
        <f aca="false" t="array" ref="D440:D440">_xlfn.XLOOKUP($A440,TRIM(SUBSTITUTE('worker file'!$A$2:$A$406,_xlfn.UNICHAR(160)," ")),'worker file'!$Q$2:$Q$406,"Not found")</f>
        <v>Active</v>
      </c>
      <c r="E440" s="39" t="s">
        <v>634</v>
      </c>
      <c r="F440" s="38" t="str">
        <f aca="false">_xlfn.XLOOKUP($E440,$A$5:$A$8,$B$5:$B$8,"")</f>
        <v>Vision – Employee</v>
      </c>
      <c r="G440" s="38" t="str">
        <f aca="false">_xlfn.XLOOKUP($E440,$A$5:$A$8,$D$5:$D$8,"")</f>
        <v>Pre-tax Section 125 (exempt from FIT/SIT/FICA)</v>
      </c>
      <c r="H440" s="38" t="str">
        <f aca="false">_xlfn.XLOOKUP($E440,$A$5:$A$8,$E$5:$E$8,"")</f>
        <v>Flat</v>
      </c>
      <c r="I440" s="44" t="str">
        <f aca="false">IF($H440="Percent",_xlfn.XLOOKUP($E440,$A$5:$A$8,$F$5:$F$8,""),"")</f>
        <v/>
      </c>
      <c r="J440" s="42" t="n">
        <f aca="false">IF($H440="Flat",_xlfn.XLOOKUP($E440,$A$5:$A$8,$F$5:$F$8,""),"")</f>
        <v>30</v>
      </c>
      <c r="K440" s="38" t="str">
        <f aca="false">_xlfn.XLOOKUP($E440,$A$5:$A$8,$G$5:$G$8,"")</f>
        <v>Per pay period</v>
      </c>
      <c r="L440" s="38" t="str">
        <f aca="false">_xlfn.XLOOKUP($E440,$A$5:$A$8,$H$5:$H$8,"")</f>
        <v>Every pay period (ongoing)</v>
      </c>
      <c r="M440" s="43" t="n">
        <f aca="false" t="array" ref="M440:M440">MAX(_xlfn.XLOOKUP($A440,TRIM(SUBSTITUTE('worker file'!$A$2:$A$406,_xlfn.UNICHAR(160)," ")),'worker file'!$M$2:$M$406,0),_xlfn.XLOOKUP($B440,TRIM('pay group &amp; schedule'!$A$2:$A$6),'pay group &amp; schedule'!$D$2:$D$6,0))</f>
        <v>46311</v>
      </c>
      <c r="N440" s="43" t="str">
        <f aca="false" t="array" ref="N440:N440">_xlfn.LET(_xlpm.t,_xlfn.XLOOKUP($A440,TRIM(SUBSTITUTE('worker file'!$A$2:$A$406,_xlfn.UNICHAR(160)," ")),'worker file'!$N$2:$N$406,""),IF(N(_xlpm.t)=0,"",_xlpm.t))</f>
        <v/>
      </c>
    </row>
    <row r="441" customFormat="false" ht="15" hidden="false" customHeight="false" outlineLevel="0" collapsed="false">
      <c r="A441" s="39" t="s">
        <v>256</v>
      </c>
      <c r="B441" s="40" t="str">
        <f aca="false" t="array" ref="B441:B441">_xlfn.XLOOKUP($A441,TRIM(SUBSTITUTE('worker file'!$A$2:$A$406,_xlfn.UNICHAR(160)," ")),'worker file'!$L$2:$L$406,"Not found")</f>
        <v>US Biweekly</v>
      </c>
      <c r="C441" s="40" t="str">
        <f aca="false" t="array" ref="C441:C441">_xlfn.XLOOKUP($A441,TRIM(SUBSTITUTE('worker file'!$A$2:$A$406,_xlfn.UNICHAR(160)," ")),'worker file'!$D$2:$D$406,"Not found")</f>
        <v>TX</v>
      </c>
      <c r="D441" s="40" t="str">
        <f aca="false" t="array" ref="D441:D441">_xlfn.XLOOKUP($A441,TRIM(SUBSTITUTE('worker file'!$A$2:$A$406,_xlfn.UNICHAR(160)," ")),'worker file'!$Q$2:$Q$406,"Not found")</f>
        <v>Active</v>
      </c>
      <c r="E441" s="39" t="s">
        <v>618</v>
      </c>
      <c r="F441" s="38" t="str">
        <f aca="false">_xlfn.XLOOKUP($E441,$A$5:$A$8,$B$5:$B$8,"")</f>
        <v>401(k) Employee Deferral</v>
      </c>
      <c r="G441" s="38" t="str">
        <f aca="false">_xlfn.XLOOKUP($E441,$A$5:$A$8,$D$5:$D$8,"")</f>
        <v>Pre-tax (exempt from FIT/SIT; subject to FICA)</v>
      </c>
      <c r="H441" s="38" t="str">
        <f aca="false">_xlfn.XLOOKUP($E441,$A$5:$A$8,$E$5:$E$8,"")</f>
        <v>Percent</v>
      </c>
      <c r="I441" s="41" t="n">
        <v>0.01</v>
      </c>
      <c r="J441" s="42" t="str">
        <f aca="false">IF($H441="Flat",_xlfn.XLOOKUP($E441,$A$5:$A$8,$F$5:$F$8,""),"")</f>
        <v/>
      </c>
      <c r="K441" s="38" t="str">
        <f aca="false">_xlfn.XLOOKUP($E441,$A$5:$A$8,$G$5:$G$8,"")</f>
        <v>Gross pay</v>
      </c>
      <c r="L441" s="38" t="str">
        <f aca="false">_xlfn.XLOOKUP($E441,$A$5:$A$8,$H$5:$H$8,"")</f>
        <v>Every pay period (ongoing)</v>
      </c>
      <c r="M441" s="43" t="n">
        <f aca="false" t="array" ref="M441:M441">MAX(_xlfn.XLOOKUP($A441,TRIM(SUBSTITUTE('worker file'!$A$2:$A$406,_xlfn.UNICHAR(160)," ")),'worker file'!$M$2:$M$406,0),_xlfn.XLOOKUP($B441,TRIM('pay group &amp; schedule'!$A$2:$A$6),'pay group &amp; schedule'!$D$2:$D$6,0))</f>
        <v>46299</v>
      </c>
      <c r="N441" s="43" t="str">
        <f aca="false" t="array" ref="N441:N441">_xlfn.LET(_xlpm.t,_xlfn.XLOOKUP($A441,TRIM(SUBSTITUTE('worker file'!$A$2:$A$406,_xlfn.UNICHAR(160)," ")),'worker file'!$N$2:$N$406,""),IF(N(_xlpm.t)=0,"",_xlpm.t))</f>
        <v/>
      </c>
    </row>
    <row r="442" customFormat="false" ht="15" hidden="false" customHeight="false" outlineLevel="0" collapsed="false">
      <c r="A442" s="39" t="s">
        <v>256</v>
      </c>
      <c r="B442" s="40" t="str">
        <f aca="false" t="array" ref="B442:B442">_xlfn.XLOOKUP($A442,TRIM(SUBSTITUTE('worker file'!$A$2:$A$406,_xlfn.UNICHAR(160)," ")),'worker file'!$L$2:$L$406,"Not found")</f>
        <v>US Biweekly</v>
      </c>
      <c r="C442" s="40" t="str">
        <f aca="false" t="array" ref="C442:C442">_xlfn.XLOOKUP($A442,TRIM(SUBSTITUTE('worker file'!$A$2:$A$406,_xlfn.UNICHAR(160)," ")),'worker file'!$D$2:$D$406,"Not found")</f>
        <v>TX</v>
      </c>
      <c r="D442" s="40" t="str">
        <f aca="false" t="array" ref="D442:D442">_xlfn.XLOOKUP($A442,TRIM(SUBSTITUTE('worker file'!$A$2:$A$406,_xlfn.UNICHAR(160)," ")),'worker file'!$Q$2:$Q$406,"Not found")</f>
        <v>Active</v>
      </c>
      <c r="E442" s="39" t="s">
        <v>626</v>
      </c>
      <c r="F442" s="38" t="str">
        <f aca="false">_xlfn.XLOOKUP($E442,$A$5:$A$8,$B$5:$B$8,"")</f>
        <v>Medical (Health) – Employee</v>
      </c>
      <c r="G442" s="38" t="str">
        <f aca="false">_xlfn.XLOOKUP($E442,$A$5:$A$8,$D$5:$D$8,"")</f>
        <v>Pre-tax Section 125 (exempt from FIT/SIT/FICA)</v>
      </c>
      <c r="H442" s="38" t="str">
        <f aca="false">_xlfn.XLOOKUP($E442,$A$5:$A$8,$E$5:$E$8,"")</f>
        <v>Flat</v>
      </c>
      <c r="I442" s="44" t="str">
        <f aca="false">IF($H442="Percent",_xlfn.XLOOKUP($E442,$A$5:$A$8,$F$5:$F$8,""),"")</f>
        <v/>
      </c>
      <c r="J442" s="42" t="n">
        <f aca="false">IF($H442="Flat",_xlfn.XLOOKUP($E442,$A$5:$A$8,$F$5:$F$8,""),"")</f>
        <v>200</v>
      </c>
      <c r="K442" s="38" t="str">
        <f aca="false">_xlfn.XLOOKUP($E442,$A$5:$A$8,$G$5:$G$8,"")</f>
        <v>Per pay period</v>
      </c>
      <c r="L442" s="38" t="str">
        <f aca="false">_xlfn.XLOOKUP($E442,$A$5:$A$8,$H$5:$H$8,"")</f>
        <v>Every pay period (ongoing)</v>
      </c>
      <c r="M442" s="43" t="n">
        <f aca="false" t="array" ref="M442:M442">MAX(_xlfn.XLOOKUP($A442,TRIM(SUBSTITUTE('worker file'!$A$2:$A$406,_xlfn.UNICHAR(160)," ")),'worker file'!$M$2:$M$406,0),_xlfn.XLOOKUP($B442,TRIM('pay group &amp; schedule'!$A$2:$A$6),'pay group &amp; schedule'!$D$2:$D$6,0))</f>
        <v>46299</v>
      </c>
      <c r="N442" s="43" t="str">
        <f aca="false" t="array" ref="N442:N442">_xlfn.LET(_xlpm.t,_xlfn.XLOOKUP($A442,TRIM(SUBSTITUTE('worker file'!$A$2:$A$406,_xlfn.UNICHAR(160)," ")),'worker file'!$N$2:$N$406,""),IF(N(_xlpm.t)=0,"",_xlpm.t))</f>
        <v/>
      </c>
    </row>
    <row r="443" customFormat="false" ht="15" hidden="false" customHeight="false" outlineLevel="0" collapsed="false">
      <c r="A443" s="39" t="s">
        <v>256</v>
      </c>
      <c r="B443" s="40" t="str">
        <f aca="false" t="array" ref="B443:B443">_xlfn.XLOOKUP($A443,TRIM(SUBSTITUTE('worker file'!$A$2:$A$406,_xlfn.UNICHAR(160)," ")),'worker file'!$L$2:$L$406,"Not found")</f>
        <v>US Biweekly</v>
      </c>
      <c r="C443" s="40" t="str">
        <f aca="false" t="array" ref="C443:C443">_xlfn.XLOOKUP($A443,TRIM(SUBSTITUTE('worker file'!$A$2:$A$406,_xlfn.UNICHAR(160)," ")),'worker file'!$D$2:$D$406,"Not found")</f>
        <v>TX</v>
      </c>
      <c r="D443" s="40" t="str">
        <f aca="false" t="array" ref="D443:D443">_xlfn.XLOOKUP($A443,TRIM(SUBSTITUTE('worker file'!$A$2:$A$406,_xlfn.UNICHAR(160)," ")),'worker file'!$Q$2:$Q$406,"Not found")</f>
        <v>Active</v>
      </c>
      <c r="E443" s="39" t="s">
        <v>632</v>
      </c>
      <c r="F443" s="38" t="str">
        <f aca="false">_xlfn.XLOOKUP($E443,$A$5:$A$8,$B$5:$B$8,"")</f>
        <v>Dental – Employee</v>
      </c>
      <c r="G443" s="38" t="str">
        <f aca="false">_xlfn.XLOOKUP($E443,$A$5:$A$8,$D$5:$D$8,"")</f>
        <v>Pre-tax Section 125 (exempt from FIT/SIT/FICA)</v>
      </c>
      <c r="H443" s="38" t="str">
        <f aca="false">_xlfn.XLOOKUP($E443,$A$5:$A$8,$E$5:$E$8,"")</f>
        <v>Flat</v>
      </c>
      <c r="I443" s="44" t="str">
        <f aca="false">IF($H443="Percent",_xlfn.XLOOKUP($E443,$A$5:$A$8,$F$5:$F$8,""),"")</f>
        <v/>
      </c>
      <c r="J443" s="42" t="n">
        <f aca="false">IF($H443="Flat",_xlfn.XLOOKUP($E443,$A$5:$A$8,$F$5:$F$8,""),"")</f>
        <v>44</v>
      </c>
      <c r="K443" s="38" t="str">
        <f aca="false">_xlfn.XLOOKUP($E443,$A$5:$A$8,$G$5:$G$8,"")</f>
        <v>Per pay period</v>
      </c>
      <c r="L443" s="38" t="str">
        <f aca="false">_xlfn.XLOOKUP($E443,$A$5:$A$8,$H$5:$H$8,"")</f>
        <v>Every pay period (ongoing)</v>
      </c>
      <c r="M443" s="43" t="n">
        <f aca="false" t="array" ref="M443:M443">MAX(_xlfn.XLOOKUP($A443,TRIM(SUBSTITUTE('worker file'!$A$2:$A$406,_xlfn.UNICHAR(160)," ")),'worker file'!$M$2:$M$406,0),_xlfn.XLOOKUP($B443,TRIM('pay group &amp; schedule'!$A$2:$A$6),'pay group &amp; schedule'!$D$2:$D$6,0))</f>
        <v>46299</v>
      </c>
      <c r="N443" s="43" t="str">
        <f aca="false" t="array" ref="N443:N443">_xlfn.LET(_xlpm.t,_xlfn.XLOOKUP($A443,TRIM(SUBSTITUTE('worker file'!$A$2:$A$406,_xlfn.UNICHAR(160)," ")),'worker file'!$N$2:$N$406,""),IF(N(_xlpm.t)=0,"",_xlpm.t))</f>
        <v/>
      </c>
    </row>
    <row r="444" customFormat="false" ht="15" hidden="false" customHeight="false" outlineLevel="0" collapsed="false">
      <c r="A444" s="39" t="s">
        <v>256</v>
      </c>
      <c r="B444" s="40" t="str">
        <f aca="false" t="array" ref="B444:B444">_xlfn.XLOOKUP($A444,TRIM(SUBSTITUTE('worker file'!$A$2:$A$406,_xlfn.UNICHAR(160)," ")),'worker file'!$L$2:$L$406,"Not found")</f>
        <v>US Biweekly</v>
      </c>
      <c r="C444" s="40" t="str">
        <f aca="false" t="array" ref="C444:C444">_xlfn.XLOOKUP($A444,TRIM(SUBSTITUTE('worker file'!$A$2:$A$406,_xlfn.UNICHAR(160)," ")),'worker file'!$D$2:$D$406,"Not found")</f>
        <v>TX</v>
      </c>
      <c r="D444" s="40" t="str">
        <f aca="false" t="array" ref="D444:D444">_xlfn.XLOOKUP($A444,TRIM(SUBSTITUTE('worker file'!$A$2:$A$406,_xlfn.UNICHAR(160)," ")),'worker file'!$Q$2:$Q$406,"Not found")</f>
        <v>Active</v>
      </c>
      <c r="E444" s="39" t="s">
        <v>634</v>
      </c>
      <c r="F444" s="38" t="str">
        <f aca="false">_xlfn.XLOOKUP($E444,$A$5:$A$8,$B$5:$B$8,"")</f>
        <v>Vision – Employee</v>
      </c>
      <c r="G444" s="38" t="str">
        <f aca="false">_xlfn.XLOOKUP($E444,$A$5:$A$8,$D$5:$D$8,"")</f>
        <v>Pre-tax Section 125 (exempt from FIT/SIT/FICA)</v>
      </c>
      <c r="H444" s="38" t="str">
        <f aca="false">_xlfn.XLOOKUP($E444,$A$5:$A$8,$E$5:$E$8,"")</f>
        <v>Flat</v>
      </c>
      <c r="I444" s="44" t="str">
        <f aca="false">IF($H444="Percent",_xlfn.XLOOKUP($E444,$A$5:$A$8,$F$5:$F$8,""),"")</f>
        <v/>
      </c>
      <c r="J444" s="42" t="n">
        <f aca="false">IF($H444="Flat",_xlfn.XLOOKUP($E444,$A$5:$A$8,$F$5:$F$8,""),"")</f>
        <v>30</v>
      </c>
      <c r="K444" s="38" t="str">
        <f aca="false">_xlfn.XLOOKUP($E444,$A$5:$A$8,$G$5:$G$8,"")</f>
        <v>Per pay period</v>
      </c>
      <c r="L444" s="38" t="str">
        <f aca="false">_xlfn.XLOOKUP($E444,$A$5:$A$8,$H$5:$H$8,"")</f>
        <v>Every pay period (ongoing)</v>
      </c>
      <c r="M444" s="43" t="n">
        <f aca="false" t="array" ref="M444:M444">MAX(_xlfn.XLOOKUP($A444,TRIM(SUBSTITUTE('worker file'!$A$2:$A$406,_xlfn.UNICHAR(160)," ")),'worker file'!$M$2:$M$406,0),_xlfn.XLOOKUP($B444,TRIM('pay group &amp; schedule'!$A$2:$A$6),'pay group &amp; schedule'!$D$2:$D$6,0))</f>
        <v>46299</v>
      </c>
      <c r="N444" s="43" t="str">
        <f aca="false" t="array" ref="N444:N444">_xlfn.LET(_xlpm.t,_xlfn.XLOOKUP($A444,TRIM(SUBSTITUTE('worker file'!$A$2:$A$406,_xlfn.UNICHAR(160)," ")),'worker file'!$N$2:$N$406,""),IF(N(_xlpm.t)=0,"",_xlpm.t))</f>
        <v/>
      </c>
    </row>
    <row r="445" customFormat="false" ht="15" hidden="false" customHeight="false" outlineLevel="0" collapsed="false">
      <c r="A445" s="39" t="s">
        <v>257</v>
      </c>
      <c r="B445" s="40" t="str">
        <f aca="false" t="array" ref="B445:B445">_xlfn.XLOOKUP($A445,TRIM(SUBSTITUTE('worker file'!$A$2:$A$406,_xlfn.UNICHAR(160)," ")),'worker file'!$L$2:$L$406,"Not found")</f>
        <v>US Semi-monthly</v>
      </c>
      <c r="C445" s="40" t="str">
        <f aca="false" t="array" ref="C445:C445">_xlfn.XLOOKUP($A445,TRIM(SUBSTITUTE('worker file'!$A$2:$A$406,_xlfn.UNICHAR(160)," ")),'worker file'!$D$2:$D$406,"Not found")</f>
        <v>NY</v>
      </c>
      <c r="D445" s="40" t="str">
        <f aca="false" t="array" ref="D445:D445">_xlfn.XLOOKUP($A445,TRIM(SUBSTITUTE('worker file'!$A$2:$A$406,_xlfn.UNICHAR(160)," ")),'worker file'!$Q$2:$Q$406,"Not found")</f>
        <v>Active</v>
      </c>
      <c r="E445" s="39" t="s">
        <v>626</v>
      </c>
      <c r="F445" s="38" t="str">
        <f aca="false">_xlfn.XLOOKUP($E445,$A$5:$A$8,$B$5:$B$8,"")</f>
        <v>Medical (Health) – Employee</v>
      </c>
      <c r="G445" s="38" t="str">
        <f aca="false">_xlfn.XLOOKUP($E445,$A$5:$A$8,$D$5:$D$8,"")</f>
        <v>Pre-tax Section 125 (exempt from FIT/SIT/FICA)</v>
      </c>
      <c r="H445" s="38" t="str">
        <f aca="false">_xlfn.XLOOKUP($E445,$A$5:$A$8,$E$5:$E$8,"")</f>
        <v>Flat</v>
      </c>
      <c r="I445" s="44" t="str">
        <f aca="false">IF($H445="Percent",_xlfn.XLOOKUP($E445,$A$5:$A$8,$F$5:$F$8,""),"")</f>
        <v/>
      </c>
      <c r="J445" s="42" t="n">
        <f aca="false">IF($H445="Flat",_xlfn.XLOOKUP($E445,$A$5:$A$8,$F$5:$F$8,""),"")</f>
        <v>200</v>
      </c>
      <c r="K445" s="38" t="str">
        <f aca="false">_xlfn.XLOOKUP($E445,$A$5:$A$8,$G$5:$G$8,"")</f>
        <v>Per pay period</v>
      </c>
      <c r="L445" s="38" t="str">
        <f aca="false">_xlfn.XLOOKUP($E445,$A$5:$A$8,$H$5:$H$8,"")</f>
        <v>Every pay period (ongoing)</v>
      </c>
      <c r="M445" s="43" t="n">
        <f aca="false" t="array" ref="M445:M445">MAX(_xlfn.XLOOKUP($A445,TRIM(SUBSTITUTE('worker file'!$A$2:$A$406,_xlfn.UNICHAR(160)," ")),'worker file'!$M$2:$M$406,0),_xlfn.XLOOKUP($B445,TRIM('pay group &amp; schedule'!$A$2:$A$6),'pay group &amp; schedule'!$D$2:$D$6,0))</f>
        <v>46311</v>
      </c>
      <c r="N445" s="43" t="str">
        <f aca="false" t="array" ref="N445:N445">_xlfn.LET(_xlpm.t,_xlfn.XLOOKUP($A445,TRIM(SUBSTITUTE('worker file'!$A$2:$A$406,_xlfn.UNICHAR(160)," ")),'worker file'!$N$2:$N$406,""),IF(N(_xlpm.t)=0,"",_xlpm.t))</f>
        <v/>
      </c>
    </row>
    <row r="446" customFormat="false" ht="15" hidden="false" customHeight="false" outlineLevel="0" collapsed="false">
      <c r="A446" s="39" t="s">
        <v>257</v>
      </c>
      <c r="B446" s="40" t="str">
        <f aca="false" t="array" ref="B446:B446">_xlfn.XLOOKUP($A446,TRIM(SUBSTITUTE('worker file'!$A$2:$A$406,_xlfn.UNICHAR(160)," ")),'worker file'!$L$2:$L$406,"Not found")</f>
        <v>US Semi-monthly</v>
      </c>
      <c r="C446" s="40" t="str">
        <f aca="false" t="array" ref="C446:C446">_xlfn.XLOOKUP($A446,TRIM(SUBSTITUTE('worker file'!$A$2:$A$406,_xlfn.UNICHAR(160)," ")),'worker file'!$D$2:$D$406,"Not found")</f>
        <v>NY</v>
      </c>
      <c r="D446" s="40" t="str">
        <f aca="false" t="array" ref="D446:D446">_xlfn.XLOOKUP($A446,TRIM(SUBSTITUTE('worker file'!$A$2:$A$406,_xlfn.UNICHAR(160)," ")),'worker file'!$Q$2:$Q$406,"Not found")</f>
        <v>Active</v>
      </c>
      <c r="E446" s="39" t="s">
        <v>632</v>
      </c>
      <c r="F446" s="38" t="str">
        <f aca="false">_xlfn.XLOOKUP($E446,$A$5:$A$8,$B$5:$B$8,"")</f>
        <v>Dental – Employee</v>
      </c>
      <c r="G446" s="38" t="str">
        <f aca="false">_xlfn.XLOOKUP($E446,$A$5:$A$8,$D$5:$D$8,"")</f>
        <v>Pre-tax Section 125 (exempt from FIT/SIT/FICA)</v>
      </c>
      <c r="H446" s="38" t="str">
        <f aca="false">_xlfn.XLOOKUP($E446,$A$5:$A$8,$E$5:$E$8,"")</f>
        <v>Flat</v>
      </c>
      <c r="I446" s="44" t="str">
        <f aca="false">IF($H446="Percent",_xlfn.XLOOKUP($E446,$A$5:$A$8,$F$5:$F$8,""),"")</f>
        <v/>
      </c>
      <c r="J446" s="42" t="n">
        <f aca="false">IF($H446="Flat",_xlfn.XLOOKUP($E446,$A$5:$A$8,$F$5:$F$8,""),"")</f>
        <v>44</v>
      </c>
      <c r="K446" s="38" t="str">
        <f aca="false">_xlfn.XLOOKUP($E446,$A$5:$A$8,$G$5:$G$8,"")</f>
        <v>Per pay period</v>
      </c>
      <c r="L446" s="38" t="str">
        <f aca="false">_xlfn.XLOOKUP($E446,$A$5:$A$8,$H$5:$H$8,"")</f>
        <v>Every pay period (ongoing)</v>
      </c>
      <c r="M446" s="43" t="n">
        <f aca="false" t="array" ref="M446:M446">MAX(_xlfn.XLOOKUP($A446,TRIM(SUBSTITUTE('worker file'!$A$2:$A$406,_xlfn.UNICHAR(160)," ")),'worker file'!$M$2:$M$406,0),_xlfn.XLOOKUP($B446,TRIM('pay group &amp; schedule'!$A$2:$A$6),'pay group &amp; schedule'!$D$2:$D$6,0))</f>
        <v>46311</v>
      </c>
      <c r="N446" s="43" t="str">
        <f aca="false" t="array" ref="N446:N446">_xlfn.LET(_xlpm.t,_xlfn.XLOOKUP($A446,TRIM(SUBSTITUTE('worker file'!$A$2:$A$406,_xlfn.UNICHAR(160)," ")),'worker file'!$N$2:$N$406,""),IF(N(_xlpm.t)=0,"",_xlpm.t))</f>
        <v/>
      </c>
    </row>
    <row r="447" customFormat="false" ht="15" hidden="false" customHeight="false" outlineLevel="0" collapsed="false">
      <c r="A447" s="39" t="s">
        <v>257</v>
      </c>
      <c r="B447" s="40" t="str">
        <f aca="false" t="array" ref="B447:B447">_xlfn.XLOOKUP($A447,TRIM(SUBSTITUTE('worker file'!$A$2:$A$406,_xlfn.UNICHAR(160)," ")),'worker file'!$L$2:$L$406,"Not found")</f>
        <v>US Semi-monthly</v>
      </c>
      <c r="C447" s="40" t="str">
        <f aca="false" t="array" ref="C447:C447">_xlfn.XLOOKUP($A447,TRIM(SUBSTITUTE('worker file'!$A$2:$A$406,_xlfn.UNICHAR(160)," ")),'worker file'!$D$2:$D$406,"Not found")</f>
        <v>NY</v>
      </c>
      <c r="D447" s="40" t="str">
        <f aca="false" t="array" ref="D447:D447">_xlfn.XLOOKUP($A447,TRIM(SUBSTITUTE('worker file'!$A$2:$A$406,_xlfn.UNICHAR(160)," ")),'worker file'!$Q$2:$Q$406,"Not found")</f>
        <v>Active</v>
      </c>
      <c r="E447" s="39" t="s">
        <v>634</v>
      </c>
      <c r="F447" s="38" t="str">
        <f aca="false">_xlfn.XLOOKUP($E447,$A$5:$A$8,$B$5:$B$8,"")</f>
        <v>Vision – Employee</v>
      </c>
      <c r="G447" s="38" t="str">
        <f aca="false">_xlfn.XLOOKUP($E447,$A$5:$A$8,$D$5:$D$8,"")</f>
        <v>Pre-tax Section 125 (exempt from FIT/SIT/FICA)</v>
      </c>
      <c r="H447" s="38" t="str">
        <f aca="false">_xlfn.XLOOKUP($E447,$A$5:$A$8,$E$5:$E$8,"")</f>
        <v>Flat</v>
      </c>
      <c r="I447" s="44" t="str">
        <f aca="false">IF($H447="Percent",_xlfn.XLOOKUP($E447,$A$5:$A$8,$F$5:$F$8,""),"")</f>
        <v/>
      </c>
      <c r="J447" s="42" t="n">
        <f aca="false">IF($H447="Flat",_xlfn.XLOOKUP($E447,$A$5:$A$8,$F$5:$F$8,""),"")</f>
        <v>30</v>
      </c>
      <c r="K447" s="38" t="str">
        <f aca="false">_xlfn.XLOOKUP($E447,$A$5:$A$8,$G$5:$G$8,"")</f>
        <v>Per pay period</v>
      </c>
      <c r="L447" s="38" t="str">
        <f aca="false">_xlfn.XLOOKUP($E447,$A$5:$A$8,$H$5:$H$8,"")</f>
        <v>Every pay period (ongoing)</v>
      </c>
      <c r="M447" s="43" t="n">
        <f aca="false" t="array" ref="M447:M447">MAX(_xlfn.XLOOKUP($A447,TRIM(SUBSTITUTE('worker file'!$A$2:$A$406,_xlfn.UNICHAR(160)," ")),'worker file'!$M$2:$M$406,0),_xlfn.XLOOKUP($B447,TRIM('pay group &amp; schedule'!$A$2:$A$6),'pay group &amp; schedule'!$D$2:$D$6,0))</f>
        <v>46311</v>
      </c>
      <c r="N447" s="43" t="str">
        <f aca="false" t="array" ref="N447:N447">_xlfn.LET(_xlpm.t,_xlfn.XLOOKUP($A447,TRIM(SUBSTITUTE('worker file'!$A$2:$A$406,_xlfn.UNICHAR(160)," ")),'worker file'!$N$2:$N$406,""),IF(N(_xlpm.t)=0,"",_xlpm.t))</f>
        <v/>
      </c>
    </row>
    <row r="448" customFormat="false" ht="15" hidden="false" customHeight="false" outlineLevel="0" collapsed="false">
      <c r="A448" s="39" t="s">
        <v>259</v>
      </c>
      <c r="B448" s="40" t="str">
        <f aca="false" t="array" ref="B448:B448">_xlfn.XLOOKUP($A448,TRIM(SUBSTITUTE('worker file'!$A$2:$A$406,_xlfn.UNICHAR(160)," ")),'worker file'!$L$2:$L$406,"Not found")</f>
        <v>US Semi-monthly</v>
      </c>
      <c r="C448" s="40" t="str">
        <f aca="false" t="array" ref="C448:C448">_xlfn.XLOOKUP($A448,TRIM(SUBSTITUTE('worker file'!$A$2:$A$406,_xlfn.UNICHAR(160)," ")),'worker file'!$D$2:$D$406,"Not found")</f>
        <v>TX</v>
      </c>
      <c r="D448" s="40" t="str">
        <f aca="false" t="array" ref="D448:D448">_xlfn.XLOOKUP($A448,TRIM(SUBSTITUTE('worker file'!$A$2:$A$406,_xlfn.UNICHAR(160)," ")),'worker file'!$Q$2:$Q$406,"Not found")</f>
        <v>Active</v>
      </c>
      <c r="E448" s="39" t="s">
        <v>618</v>
      </c>
      <c r="F448" s="38" t="str">
        <f aca="false">_xlfn.XLOOKUP($E448,$A$5:$A$8,$B$5:$B$8,"")</f>
        <v>401(k) Employee Deferral</v>
      </c>
      <c r="G448" s="38" t="str">
        <f aca="false">_xlfn.XLOOKUP($E448,$A$5:$A$8,$D$5:$D$8,"")</f>
        <v>Pre-tax (exempt from FIT/SIT; subject to FICA)</v>
      </c>
      <c r="H448" s="38" t="str">
        <f aca="false">_xlfn.XLOOKUP($E448,$A$5:$A$8,$E$5:$E$8,"")</f>
        <v>Percent</v>
      </c>
      <c r="I448" s="41" t="n">
        <v>0.03</v>
      </c>
      <c r="J448" s="42" t="str">
        <f aca="false">IF($H448="Flat",_xlfn.XLOOKUP($E448,$A$5:$A$8,$F$5:$F$8,""),"")</f>
        <v/>
      </c>
      <c r="K448" s="38" t="str">
        <f aca="false">_xlfn.XLOOKUP($E448,$A$5:$A$8,$G$5:$G$8,"")</f>
        <v>Gross pay</v>
      </c>
      <c r="L448" s="38" t="str">
        <f aca="false">_xlfn.XLOOKUP($E448,$A$5:$A$8,$H$5:$H$8,"")</f>
        <v>Every pay period (ongoing)</v>
      </c>
      <c r="M448" s="43" t="n">
        <f aca="false" t="array" ref="M448:M448">MAX(_xlfn.XLOOKUP($A448,TRIM(SUBSTITUTE('worker file'!$A$2:$A$406,_xlfn.UNICHAR(160)," ")),'worker file'!$M$2:$M$406,0),_xlfn.XLOOKUP($B448,TRIM('pay group &amp; schedule'!$A$2:$A$6),'pay group &amp; schedule'!$D$2:$D$6,0))</f>
        <v>46311</v>
      </c>
      <c r="N448" s="43" t="str">
        <f aca="false" t="array" ref="N448:N448">_xlfn.LET(_xlpm.t,_xlfn.XLOOKUP($A448,TRIM(SUBSTITUTE('worker file'!$A$2:$A$406,_xlfn.UNICHAR(160)," ")),'worker file'!$N$2:$N$406,""),IF(N(_xlpm.t)=0,"",_xlpm.t))</f>
        <v/>
      </c>
    </row>
    <row r="449" customFormat="false" ht="15" hidden="false" customHeight="false" outlineLevel="0" collapsed="false">
      <c r="A449" s="39" t="s">
        <v>259</v>
      </c>
      <c r="B449" s="40" t="str">
        <f aca="false" t="array" ref="B449:B449">_xlfn.XLOOKUP($A449,TRIM(SUBSTITUTE('worker file'!$A$2:$A$406,_xlfn.UNICHAR(160)," ")),'worker file'!$L$2:$L$406,"Not found")</f>
        <v>US Semi-monthly</v>
      </c>
      <c r="C449" s="40" t="str">
        <f aca="false" t="array" ref="C449:C449">_xlfn.XLOOKUP($A449,TRIM(SUBSTITUTE('worker file'!$A$2:$A$406,_xlfn.UNICHAR(160)," ")),'worker file'!$D$2:$D$406,"Not found")</f>
        <v>TX</v>
      </c>
      <c r="D449" s="40" t="str">
        <f aca="false" t="array" ref="D449:D449">_xlfn.XLOOKUP($A449,TRIM(SUBSTITUTE('worker file'!$A$2:$A$406,_xlfn.UNICHAR(160)," ")),'worker file'!$Q$2:$Q$406,"Not found")</f>
        <v>Active</v>
      </c>
      <c r="E449" s="39" t="s">
        <v>626</v>
      </c>
      <c r="F449" s="38" t="str">
        <f aca="false">_xlfn.XLOOKUP($E449,$A$5:$A$8,$B$5:$B$8,"")</f>
        <v>Medical (Health) – Employee</v>
      </c>
      <c r="G449" s="38" t="str">
        <f aca="false">_xlfn.XLOOKUP($E449,$A$5:$A$8,$D$5:$D$8,"")</f>
        <v>Pre-tax Section 125 (exempt from FIT/SIT/FICA)</v>
      </c>
      <c r="H449" s="38" t="str">
        <f aca="false">_xlfn.XLOOKUP($E449,$A$5:$A$8,$E$5:$E$8,"")</f>
        <v>Flat</v>
      </c>
      <c r="I449" s="44" t="str">
        <f aca="false">IF($H449="Percent",_xlfn.XLOOKUP($E449,$A$5:$A$8,$F$5:$F$8,""),"")</f>
        <v/>
      </c>
      <c r="J449" s="42" t="n">
        <f aca="false">IF($H449="Flat",_xlfn.XLOOKUP($E449,$A$5:$A$8,$F$5:$F$8,""),"")</f>
        <v>200</v>
      </c>
      <c r="K449" s="38" t="str">
        <f aca="false">_xlfn.XLOOKUP($E449,$A$5:$A$8,$G$5:$G$8,"")</f>
        <v>Per pay period</v>
      </c>
      <c r="L449" s="38" t="str">
        <f aca="false">_xlfn.XLOOKUP($E449,$A$5:$A$8,$H$5:$H$8,"")</f>
        <v>Every pay period (ongoing)</v>
      </c>
      <c r="M449" s="43" t="n">
        <f aca="false" t="array" ref="M449:M449">MAX(_xlfn.XLOOKUP($A449,TRIM(SUBSTITUTE('worker file'!$A$2:$A$406,_xlfn.UNICHAR(160)," ")),'worker file'!$M$2:$M$406,0),_xlfn.XLOOKUP($B449,TRIM('pay group &amp; schedule'!$A$2:$A$6),'pay group &amp; schedule'!$D$2:$D$6,0))</f>
        <v>46311</v>
      </c>
      <c r="N449" s="43" t="str">
        <f aca="false" t="array" ref="N449:N449">_xlfn.LET(_xlpm.t,_xlfn.XLOOKUP($A449,TRIM(SUBSTITUTE('worker file'!$A$2:$A$406,_xlfn.UNICHAR(160)," ")),'worker file'!$N$2:$N$406,""),IF(N(_xlpm.t)=0,"",_xlpm.t))</f>
        <v/>
      </c>
    </row>
    <row r="450" customFormat="false" ht="15" hidden="false" customHeight="false" outlineLevel="0" collapsed="false">
      <c r="A450" s="39" t="s">
        <v>259</v>
      </c>
      <c r="B450" s="40" t="str">
        <f aca="false" t="array" ref="B450:B450">_xlfn.XLOOKUP($A450,TRIM(SUBSTITUTE('worker file'!$A$2:$A$406,_xlfn.UNICHAR(160)," ")),'worker file'!$L$2:$L$406,"Not found")</f>
        <v>US Semi-monthly</v>
      </c>
      <c r="C450" s="40" t="str">
        <f aca="false" t="array" ref="C450:C450">_xlfn.XLOOKUP($A450,TRIM(SUBSTITUTE('worker file'!$A$2:$A$406,_xlfn.UNICHAR(160)," ")),'worker file'!$D$2:$D$406,"Not found")</f>
        <v>TX</v>
      </c>
      <c r="D450" s="40" t="str">
        <f aca="false" t="array" ref="D450:D450">_xlfn.XLOOKUP($A450,TRIM(SUBSTITUTE('worker file'!$A$2:$A$406,_xlfn.UNICHAR(160)," ")),'worker file'!$Q$2:$Q$406,"Not found")</f>
        <v>Active</v>
      </c>
      <c r="E450" s="39" t="s">
        <v>632</v>
      </c>
      <c r="F450" s="38" t="str">
        <f aca="false">_xlfn.XLOOKUP($E450,$A$5:$A$8,$B$5:$B$8,"")</f>
        <v>Dental – Employee</v>
      </c>
      <c r="G450" s="38" t="str">
        <f aca="false">_xlfn.XLOOKUP($E450,$A$5:$A$8,$D$5:$D$8,"")</f>
        <v>Pre-tax Section 125 (exempt from FIT/SIT/FICA)</v>
      </c>
      <c r="H450" s="38" t="str">
        <f aca="false">_xlfn.XLOOKUP($E450,$A$5:$A$8,$E$5:$E$8,"")</f>
        <v>Flat</v>
      </c>
      <c r="I450" s="44" t="str">
        <f aca="false">IF($H450="Percent",_xlfn.XLOOKUP($E450,$A$5:$A$8,$F$5:$F$8,""),"")</f>
        <v/>
      </c>
      <c r="J450" s="42" t="n">
        <f aca="false">IF($H450="Flat",_xlfn.XLOOKUP($E450,$A$5:$A$8,$F$5:$F$8,""),"")</f>
        <v>44</v>
      </c>
      <c r="K450" s="38" t="str">
        <f aca="false">_xlfn.XLOOKUP($E450,$A$5:$A$8,$G$5:$G$8,"")</f>
        <v>Per pay period</v>
      </c>
      <c r="L450" s="38" t="str">
        <f aca="false">_xlfn.XLOOKUP($E450,$A$5:$A$8,$H$5:$H$8,"")</f>
        <v>Every pay period (ongoing)</v>
      </c>
      <c r="M450" s="43" t="n">
        <f aca="false" t="array" ref="M450:M450">MAX(_xlfn.XLOOKUP($A450,TRIM(SUBSTITUTE('worker file'!$A$2:$A$406,_xlfn.UNICHAR(160)," ")),'worker file'!$M$2:$M$406,0),_xlfn.XLOOKUP($B450,TRIM('pay group &amp; schedule'!$A$2:$A$6),'pay group &amp; schedule'!$D$2:$D$6,0))</f>
        <v>46311</v>
      </c>
      <c r="N450" s="43" t="str">
        <f aca="false" t="array" ref="N450:N450">_xlfn.LET(_xlpm.t,_xlfn.XLOOKUP($A450,TRIM(SUBSTITUTE('worker file'!$A$2:$A$406,_xlfn.UNICHAR(160)," ")),'worker file'!$N$2:$N$406,""),IF(N(_xlpm.t)=0,"",_xlpm.t))</f>
        <v/>
      </c>
    </row>
    <row r="451" customFormat="false" ht="15" hidden="false" customHeight="false" outlineLevel="0" collapsed="false">
      <c r="A451" s="39" t="s">
        <v>259</v>
      </c>
      <c r="B451" s="40" t="str">
        <f aca="false" t="array" ref="B451:B451">_xlfn.XLOOKUP($A451,TRIM(SUBSTITUTE('worker file'!$A$2:$A$406,_xlfn.UNICHAR(160)," ")),'worker file'!$L$2:$L$406,"Not found")</f>
        <v>US Semi-monthly</v>
      </c>
      <c r="C451" s="40" t="str">
        <f aca="false" t="array" ref="C451:C451">_xlfn.XLOOKUP($A451,TRIM(SUBSTITUTE('worker file'!$A$2:$A$406,_xlfn.UNICHAR(160)," ")),'worker file'!$D$2:$D$406,"Not found")</f>
        <v>TX</v>
      </c>
      <c r="D451" s="40" t="str">
        <f aca="false" t="array" ref="D451:D451">_xlfn.XLOOKUP($A451,TRIM(SUBSTITUTE('worker file'!$A$2:$A$406,_xlfn.UNICHAR(160)," ")),'worker file'!$Q$2:$Q$406,"Not found")</f>
        <v>Active</v>
      </c>
      <c r="E451" s="39" t="s">
        <v>634</v>
      </c>
      <c r="F451" s="38" t="str">
        <f aca="false">_xlfn.XLOOKUP($E451,$A$5:$A$8,$B$5:$B$8,"")</f>
        <v>Vision – Employee</v>
      </c>
      <c r="G451" s="38" t="str">
        <f aca="false">_xlfn.XLOOKUP($E451,$A$5:$A$8,$D$5:$D$8,"")</f>
        <v>Pre-tax Section 125 (exempt from FIT/SIT/FICA)</v>
      </c>
      <c r="H451" s="38" t="str">
        <f aca="false">_xlfn.XLOOKUP($E451,$A$5:$A$8,$E$5:$E$8,"")</f>
        <v>Flat</v>
      </c>
      <c r="I451" s="44" t="str">
        <f aca="false">IF($H451="Percent",_xlfn.XLOOKUP($E451,$A$5:$A$8,$F$5:$F$8,""),"")</f>
        <v/>
      </c>
      <c r="J451" s="42" t="n">
        <f aca="false">IF($H451="Flat",_xlfn.XLOOKUP($E451,$A$5:$A$8,$F$5:$F$8,""),"")</f>
        <v>30</v>
      </c>
      <c r="K451" s="38" t="str">
        <f aca="false">_xlfn.XLOOKUP($E451,$A$5:$A$8,$G$5:$G$8,"")</f>
        <v>Per pay period</v>
      </c>
      <c r="L451" s="38" t="str">
        <f aca="false">_xlfn.XLOOKUP($E451,$A$5:$A$8,$H$5:$H$8,"")</f>
        <v>Every pay period (ongoing)</v>
      </c>
      <c r="M451" s="43" t="n">
        <f aca="false" t="array" ref="M451:M451">MAX(_xlfn.XLOOKUP($A451,TRIM(SUBSTITUTE('worker file'!$A$2:$A$406,_xlfn.UNICHAR(160)," ")),'worker file'!$M$2:$M$406,0),_xlfn.XLOOKUP($B451,TRIM('pay group &amp; schedule'!$A$2:$A$6),'pay group &amp; schedule'!$D$2:$D$6,0))</f>
        <v>46311</v>
      </c>
      <c r="N451" s="43" t="str">
        <f aca="false" t="array" ref="N451:N451">_xlfn.LET(_xlpm.t,_xlfn.XLOOKUP($A451,TRIM(SUBSTITUTE('worker file'!$A$2:$A$406,_xlfn.UNICHAR(160)," ")),'worker file'!$N$2:$N$406,""),IF(N(_xlpm.t)=0,"",_xlpm.t))</f>
        <v/>
      </c>
    </row>
    <row r="452" customFormat="false" ht="15" hidden="false" customHeight="false" outlineLevel="0" collapsed="false">
      <c r="A452" s="39" t="s">
        <v>260</v>
      </c>
      <c r="B452" s="40" t="str">
        <f aca="false" t="array" ref="B452:B452">_xlfn.XLOOKUP($A452,TRIM(SUBSTITUTE('worker file'!$A$2:$A$406,_xlfn.UNICHAR(160)," ")),'worker file'!$L$2:$L$406,"Not found")</f>
        <v>US Semi-monthly</v>
      </c>
      <c r="C452" s="40" t="str">
        <f aca="false" t="array" ref="C452:C452">_xlfn.XLOOKUP($A452,TRIM(SUBSTITUTE('worker file'!$A$2:$A$406,_xlfn.UNICHAR(160)," ")),'worker file'!$D$2:$D$406,"Not found")</f>
        <v>MA</v>
      </c>
      <c r="D452" s="40" t="str">
        <f aca="false" t="array" ref="D452:D452">_xlfn.XLOOKUP($A452,TRIM(SUBSTITUTE('worker file'!$A$2:$A$406,_xlfn.UNICHAR(160)," ")),'worker file'!$Q$2:$Q$406,"Not found")</f>
        <v>Active</v>
      </c>
      <c r="E452" s="39" t="s">
        <v>618</v>
      </c>
      <c r="F452" s="38" t="str">
        <f aca="false">_xlfn.XLOOKUP($E452,$A$5:$A$8,$B$5:$B$8,"")</f>
        <v>401(k) Employee Deferral</v>
      </c>
      <c r="G452" s="38" t="str">
        <f aca="false">_xlfn.XLOOKUP($E452,$A$5:$A$8,$D$5:$D$8,"")</f>
        <v>Pre-tax (exempt from FIT/SIT; subject to FICA)</v>
      </c>
      <c r="H452" s="38" t="str">
        <f aca="false">_xlfn.XLOOKUP($E452,$A$5:$A$8,$E$5:$E$8,"")</f>
        <v>Percent</v>
      </c>
      <c r="I452" s="41" t="n">
        <v>0</v>
      </c>
      <c r="J452" s="42" t="str">
        <f aca="false">IF($H452="Flat",_xlfn.XLOOKUP($E452,$A$5:$A$8,$F$5:$F$8,""),"")</f>
        <v/>
      </c>
      <c r="K452" s="38" t="str">
        <f aca="false">_xlfn.XLOOKUP($E452,$A$5:$A$8,$G$5:$G$8,"")</f>
        <v>Gross pay</v>
      </c>
      <c r="L452" s="38" t="str">
        <f aca="false">_xlfn.XLOOKUP($E452,$A$5:$A$8,$H$5:$H$8,"")</f>
        <v>Every pay period (ongoing)</v>
      </c>
      <c r="M452" s="43" t="n">
        <f aca="false" t="array" ref="M452:M452">MAX(_xlfn.XLOOKUP($A452,TRIM(SUBSTITUTE('worker file'!$A$2:$A$406,_xlfn.UNICHAR(160)," ")),'worker file'!$M$2:$M$406,0),_xlfn.XLOOKUP($B452,TRIM('pay group &amp; schedule'!$A$2:$A$6),'pay group &amp; schedule'!$D$2:$D$6,0))</f>
        <v>46311</v>
      </c>
      <c r="N452" s="43" t="str">
        <f aca="false" t="array" ref="N452:N452">_xlfn.LET(_xlpm.t,_xlfn.XLOOKUP($A452,TRIM(SUBSTITUTE('worker file'!$A$2:$A$406,_xlfn.UNICHAR(160)," ")),'worker file'!$N$2:$N$406,""),IF(N(_xlpm.t)=0,"",_xlpm.t))</f>
        <v/>
      </c>
    </row>
    <row r="453" customFormat="false" ht="15" hidden="false" customHeight="false" outlineLevel="0" collapsed="false">
      <c r="A453" s="39" t="s">
        <v>260</v>
      </c>
      <c r="B453" s="40" t="str">
        <f aca="false" t="array" ref="B453:B453">_xlfn.XLOOKUP($A453,TRIM(SUBSTITUTE('worker file'!$A$2:$A$406,_xlfn.UNICHAR(160)," ")),'worker file'!$L$2:$L$406,"Not found")</f>
        <v>US Semi-monthly</v>
      </c>
      <c r="C453" s="40" t="str">
        <f aca="false" t="array" ref="C453:C453">_xlfn.XLOOKUP($A453,TRIM(SUBSTITUTE('worker file'!$A$2:$A$406,_xlfn.UNICHAR(160)," ")),'worker file'!$D$2:$D$406,"Not found")</f>
        <v>MA</v>
      </c>
      <c r="D453" s="40" t="str">
        <f aca="false" t="array" ref="D453:D453">_xlfn.XLOOKUP($A453,TRIM(SUBSTITUTE('worker file'!$A$2:$A$406,_xlfn.UNICHAR(160)," ")),'worker file'!$Q$2:$Q$406,"Not found")</f>
        <v>Active</v>
      </c>
      <c r="E453" s="39" t="s">
        <v>626</v>
      </c>
      <c r="F453" s="38" t="str">
        <f aca="false">_xlfn.XLOOKUP($E453,$A$5:$A$8,$B$5:$B$8,"")</f>
        <v>Medical (Health) – Employee</v>
      </c>
      <c r="G453" s="38" t="str">
        <f aca="false">_xlfn.XLOOKUP($E453,$A$5:$A$8,$D$5:$D$8,"")</f>
        <v>Pre-tax Section 125 (exempt from FIT/SIT/FICA)</v>
      </c>
      <c r="H453" s="38" t="str">
        <f aca="false">_xlfn.XLOOKUP($E453,$A$5:$A$8,$E$5:$E$8,"")</f>
        <v>Flat</v>
      </c>
      <c r="I453" s="44" t="str">
        <f aca="false">IF($H453="Percent",_xlfn.XLOOKUP($E453,$A$5:$A$8,$F$5:$F$8,""),"")</f>
        <v/>
      </c>
      <c r="J453" s="42" t="n">
        <f aca="false">IF($H453="Flat",_xlfn.XLOOKUP($E453,$A$5:$A$8,$F$5:$F$8,""),"")</f>
        <v>200</v>
      </c>
      <c r="K453" s="38" t="str">
        <f aca="false">_xlfn.XLOOKUP($E453,$A$5:$A$8,$G$5:$G$8,"")</f>
        <v>Per pay period</v>
      </c>
      <c r="L453" s="38" t="str">
        <f aca="false">_xlfn.XLOOKUP($E453,$A$5:$A$8,$H$5:$H$8,"")</f>
        <v>Every pay period (ongoing)</v>
      </c>
      <c r="M453" s="43" t="n">
        <f aca="false" t="array" ref="M453:M453">MAX(_xlfn.XLOOKUP($A453,TRIM(SUBSTITUTE('worker file'!$A$2:$A$406,_xlfn.UNICHAR(160)," ")),'worker file'!$M$2:$M$406,0),_xlfn.XLOOKUP($B453,TRIM('pay group &amp; schedule'!$A$2:$A$6),'pay group &amp; schedule'!$D$2:$D$6,0))</f>
        <v>46311</v>
      </c>
      <c r="N453" s="43" t="str">
        <f aca="false" t="array" ref="N453:N453">_xlfn.LET(_xlpm.t,_xlfn.XLOOKUP($A453,TRIM(SUBSTITUTE('worker file'!$A$2:$A$406,_xlfn.UNICHAR(160)," ")),'worker file'!$N$2:$N$406,""),IF(N(_xlpm.t)=0,"",_xlpm.t))</f>
        <v/>
      </c>
    </row>
    <row r="454" customFormat="false" ht="15" hidden="false" customHeight="false" outlineLevel="0" collapsed="false">
      <c r="A454" s="39" t="s">
        <v>260</v>
      </c>
      <c r="B454" s="40" t="str">
        <f aca="false" t="array" ref="B454:B454">_xlfn.XLOOKUP($A454,TRIM(SUBSTITUTE('worker file'!$A$2:$A$406,_xlfn.UNICHAR(160)," ")),'worker file'!$L$2:$L$406,"Not found")</f>
        <v>US Semi-monthly</v>
      </c>
      <c r="C454" s="40" t="str">
        <f aca="false" t="array" ref="C454:C454">_xlfn.XLOOKUP($A454,TRIM(SUBSTITUTE('worker file'!$A$2:$A$406,_xlfn.UNICHAR(160)," ")),'worker file'!$D$2:$D$406,"Not found")</f>
        <v>MA</v>
      </c>
      <c r="D454" s="40" t="str">
        <f aca="false" t="array" ref="D454:D454">_xlfn.XLOOKUP($A454,TRIM(SUBSTITUTE('worker file'!$A$2:$A$406,_xlfn.UNICHAR(160)," ")),'worker file'!$Q$2:$Q$406,"Not found")</f>
        <v>Active</v>
      </c>
      <c r="E454" s="39" t="s">
        <v>632</v>
      </c>
      <c r="F454" s="38" t="str">
        <f aca="false">_xlfn.XLOOKUP($E454,$A$5:$A$8,$B$5:$B$8,"")</f>
        <v>Dental – Employee</v>
      </c>
      <c r="G454" s="38" t="str">
        <f aca="false">_xlfn.XLOOKUP($E454,$A$5:$A$8,$D$5:$D$8,"")</f>
        <v>Pre-tax Section 125 (exempt from FIT/SIT/FICA)</v>
      </c>
      <c r="H454" s="38" t="str">
        <f aca="false">_xlfn.XLOOKUP($E454,$A$5:$A$8,$E$5:$E$8,"")</f>
        <v>Flat</v>
      </c>
      <c r="I454" s="44" t="str">
        <f aca="false">IF($H454="Percent",_xlfn.XLOOKUP($E454,$A$5:$A$8,$F$5:$F$8,""),"")</f>
        <v/>
      </c>
      <c r="J454" s="42" t="n">
        <f aca="false">IF($H454="Flat",_xlfn.XLOOKUP($E454,$A$5:$A$8,$F$5:$F$8,""),"")</f>
        <v>44</v>
      </c>
      <c r="K454" s="38" t="str">
        <f aca="false">_xlfn.XLOOKUP($E454,$A$5:$A$8,$G$5:$G$8,"")</f>
        <v>Per pay period</v>
      </c>
      <c r="L454" s="38" t="str">
        <f aca="false">_xlfn.XLOOKUP($E454,$A$5:$A$8,$H$5:$H$8,"")</f>
        <v>Every pay period (ongoing)</v>
      </c>
      <c r="M454" s="43" t="n">
        <f aca="false" t="array" ref="M454:M454">MAX(_xlfn.XLOOKUP($A454,TRIM(SUBSTITUTE('worker file'!$A$2:$A$406,_xlfn.UNICHAR(160)," ")),'worker file'!$M$2:$M$406,0),_xlfn.XLOOKUP($B454,TRIM('pay group &amp; schedule'!$A$2:$A$6),'pay group &amp; schedule'!$D$2:$D$6,0))</f>
        <v>46311</v>
      </c>
      <c r="N454" s="43" t="str">
        <f aca="false" t="array" ref="N454:N454">_xlfn.LET(_xlpm.t,_xlfn.XLOOKUP($A454,TRIM(SUBSTITUTE('worker file'!$A$2:$A$406,_xlfn.UNICHAR(160)," ")),'worker file'!$N$2:$N$406,""),IF(N(_xlpm.t)=0,"",_xlpm.t))</f>
        <v/>
      </c>
    </row>
    <row r="455" customFormat="false" ht="15" hidden="false" customHeight="false" outlineLevel="0" collapsed="false">
      <c r="A455" s="39" t="s">
        <v>260</v>
      </c>
      <c r="B455" s="40" t="str">
        <f aca="false" t="array" ref="B455:B455">_xlfn.XLOOKUP($A455,TRIM(SUBSTITUTE('worker file'!$A$2:$A$406,_xlfn.UNICHAR(160)," ")),'worker file'!$L$2:$L$406,"Not found")</f>
        <v>US Semi-monthly</v>
      </c>
      <c r="C455" s="40" t="str">
        <f aca="false" t="array" ref="C455:C455">_xlfn.XLOOKUP($A455,TRIM(SUBSTITUTE('worker file'!$A$2:$A$406,_xlfn.UNICHAR(160)," ")),'worker file'!$D$2:$D$406,"Not found")</f>
        <v>MA</v>
      </c>
      <c r="D455" s="40" t="str">
        <f aca="false" t="array" ref="D455:D455">_xlfn.XLOOKUP($A455,TRIM(SUBSTITUTE('worker file'!$A$2:$A$406,_xlfn.UNICHAR(160)," ")),'worker file'!$Q$2:$Q$406,"Not found")</f>
        <v>Active</v>
      </c>
      <c r="E455" s="39" t="s">
        <v>634</v>
      </c>
      <c r="F455" s="38" t="str">
        <f aca="false">_xlfn.XLOOKUP($E455,$A$5:$A$8,$B$5:$B$8,"")</f>
        <v>Vision – Employee</v>
      </c>
      <c r="G455" s="38" t="str">
        <f aca="false">_xlfn.XLOOKUP($E455,$A$5:$A$8,$D$5:$D$8,"")</f>
        <v>Pre-tax Section 125 (exempt from FIT/SIT/FICA)</v>
      </c>
      <c r="H455" s="38" t="str">
        <f aca="false">_xlfn.XLOOKUP($E455,$A$5:$A$8,$E$5:$E$8,"")</f>
        <v>Flat</v>
      </c>
      <c r="I455" s="44" t="str">
        <f aca="false">IF($H455="Percent",_xlfn.XLOOKUP($E455,$A$5:$A$8,$F$5:$F$8,""),"")</f>
        <v/>
      </c>
      <c r="J455" s="42" t="n">
        <f aca="false">IF($H455="Flat",_xlfn.XLOOKUP($E455,$A$5:$A$8,$F$5:$F$8,""),"")</f>
        <v>30</v>
      </c>
      <c r="K455" s="38" t="str">
        <f aca="false">_xlfn.XLOOKUP($E455,$A$5:$A$8,$G$5:$G$8,"")</f>
        <v>Per pay period</v>
      </c>
      <c r="L455" s="38" t="str">
        <f aca="false">_xlfn.XLOOKUP($E455,$A$5:$A$8,$H$5:$H$8,"")</f>
        <v>Every pay period (ongoing)</v>
      </c>
      <c r="M455" s="43" t="n">
        <f aca="false" t="array" ref="M455:M455">MAX(_xlfn.XLOOKUP($A455,TRIM(SUBSTITUTE('worker file'!$A$2:$A$406,_xlfn.UNICHAR(160)," ")),'worker file'!$M$2:$M$406,0),_xlfn.XLOOKUP($B455,TRIM('pay group &amp; schedule'!$A$2:$A$6),'pay group &amp; schedule'!$D$2:$D$6,0))</f>
        <v>46311</v>
      </c>
      <c r="N455" s="43" t="str">
        <f aca="false" t="array" ref="N455:N455">_xlfn.LET(_xlpm.t,_xlfn.XLOOKUP($A455,TRIM(SUBSTITUTE('worker file'!$A$2:$A$406,_xlfn.UNICHAR(160)," ")),'worker file'!$N$2:$N$406,""),IF(N(_xlpm.t)=0,"",_xlpm.t))</f>
        <v/>
      </c>
    </row>
    <row r="456" customFormat="false" ht="15" hidden="false" customHeight="false" outlineLevel="0" collapsed="false">
      <c r="A456" s="39" t="s">
        <v>261</v>
      </c>
      <c r="B456" s="40" t="str">
        <f aca="false" t="array" ref="B456:B456">_xlfn.XLOOKUP($A456,TRIM(SUBSTITUTE('worker file'!$A$2:$A$406,_xlfn.UNICHAR(160)," ")),'worker file'!$L$2:$L$406,"Not found")</f>
        <v>US Biweekly</v>
      </c>
      <c r="C456" s="40" t="str">
        <f aca="false" t="array" ref="C456:C456">_xlfn.XLOOKUP($A456,TRIM(SUBSTITUTE('worker file'!$A$2:$A$406,_xlfn.UNICHAR(160)," ")),'worker file'!$D$2:$D$406,"Not found")</f>
        <v>CA</v>
      </c>
      <c r="D456" s="40" t="str">
        <f aca="false" t="array" ref="D456:D456">_xlfn.XLOOKUP($A456,TRIM(SUBSTITUTE('worker file'!$A$2:$A$406,_xlfn.UNICHAR(160)," ")),'worker file'!$Q$2:$Q$406,"Not found")</f>
        <v>On Leave(unpaid)</v>
      </c>
      <c r="E456" s="39" t="s">
        <v>618</v>
      </c>
      <c r="F456" s="38" t="str">
        <f aca="false">_xlfn.XLOOKUP($E456,$A$5:$A$8,$B$5:$B$8,"")</f>
        <v>401(k) Employee Deferral</v>
      </c>
      <c r="G456" s="38" t="str">
        <f aca="false">_xlfn.XLOOKUP($E456,$A$5:$A$8,$D$5:$D$8,"")</f>
        <v>Pre-tax (exempt from FIT/SIT; subject to FICA)</v>
      </c>
      <c r="H456" s="38" t="str">
        <f aca="false">_xlfn.XLOOKUP($E456,$A$5:$A$8,$E$5:$E$8,"")</f>
        <v>Percent</v>
      </c>
      <c r="I456" s="41" t="n">
        <v>0.05</v>
      </c>
      <c r="J456" s="42" t="str">
        <f aca="false">IF($H456="Flat",_xlfn.XLOOKUP($E456,$A$5:$A$8,$F$5:$F$8,""),"")</f>
        <v/>
      </c>
      <c r="K456" s="38" t="str">
        <f aca="false">_xlfn.XLOOKUP($E456,$A$5:$A$8,$G$5:$G$8,"")</f>
        <v>Gross pay</v>
      </c>
      <c r="L456" s="38" t="str">
        <f aca="false">_xlfn.XLOOKUP($E456,$A$5:$A$8,$H$5:$H$8,"")</f>
        <v>Every pay period (ongoing)</v>
      </c>
      <c r="M456" s="43" t="n">
        <f aca="false" t="array" ref="M456:M456">MAX(_xlfn.XLOOKUP($A456,TRIM(SUBSTITUTE('worker file'!$A$2:$A$406,_xlfn.UNICHAR(160)," ")),'worker file'!$M$2:$M$406,0),_xlfn.XLOOKUP($B456,TRIM('pay group &amp; schedule'!$A$2:$A$6),'pay group &amp; schedule'!$D$2:$D$6,0))</f>
        <v>46299</v>
      </c>
      <c r="N456" s="43" t="str">
        <f aca="false" t="array" ref="N456:N456">_xlfn.LET(_xlpm.t,_xlfn.XLOOKUP($A456,TRIM(SUBSTITUTE('worker file'!$A$2:$A$406,_xlfn.UNICHAR(160)," ")),'worker file'!$N$2:$N$406,""),IF(N(_xlpm.t)=0,"",_xlpm.t))</f>
        <v/>
      </c>
      <c r="O456" s="0" t="s">
        <v>646</v>
      </c>
    </row>
    <row r="457" customFormat="false" ht="15" hidden="false" customHeight="false" outlineLevel="0" collapsed="false">
      <c r="A457" s="39" t="s">
        <v>261</v>
      </c>
      <c r="B457" s="40" t="str">
        <f aca="false" t="array" ref="B457:B457">_xlfn.XLOOKUP($A457,TRIM(SUBSTITUTE('worker file'!$A$2:$A$406,_xlfn.UNICHAR(160)," ")),'worker file'!$L$2:$L$406,"Not found")</f>
        <v>US Biweekly</v>
      </c>
      <c r="C457" s="40" t="str">
        <f aca="false" t="array" ref="C457:C457">_xlfn.XLOOKUP($A457,TRIM(SUBSTITUTE('worker file'!$A$2:$A$406,_xlfn.UNICHAR(160)," ")),'worker file'!$D$2:$D$406,"Not found")</f>
        <v>CA</v>
      </c>
      <c r="D457" s="40" t="str">
        <f aca="false" t="array" ref="D457:D457">_xlfn.XLOOKUP($A457,TRIM(SUBSTITUTE('worker file'!$A$2:$A$406,_xlfn.UNICHAR(160)," ")),'worker file'!$Q$2:$Q$406,"Not found")</f>
        <v>On Leave(unpaid)</v>
      </c>
      <c r="E457" s="39" t="s">
        <v>626</v>
      </c>
      <c r="F457" s="38" t="str">
        <f aca="false">_xlfn.XLOOKUP($E457,$A$5:$A$8,$B$5:$B$8,"")</f>
        <v>Medical (Health) – Employee</v>
      </c>
      <c r="G457" s="38" t="str">
        <f aca="false">_xlfn.XLOOKUP($E457,$A$5:$A$8,$D$5:$D$8,"")</f>
        <v>Pre-tax Section 125 (exempt from FIT/SIT/FICA)</v>
      </c>
      <c r="H457" s="38" t="str">
        <f aca="false">_xlfn.XLOOKUP($E457,$A$5:$A$8,$E$5:$E$8,"")</f>
        <v>Flat</v>
      </c>
      <c r="I457" s="44" t="str">
        <f aca="false">IF($H457="Percent",_xlfn.XLOOKUP($E457,$A$5:$A$8,$F$5:$F$8,""),"")</f>
        <v/>
      </c>
      <c r="J457" s="42" t="n">
        <f aca="false">IF($H457="Flat",_xlfn.XLOOKUP($E457,$A$5:$A$8,$F$5:$F$8,""),"")</f>
        <v>200</v>
      </c>
      <c r="K457" s="38" t="str">
        <f aca="false">_xlfn.XLOOKUP($E457,$A$5:$A$8,$G$5:$G$8,"")</f>
        <v>Per pay period</v>
      </c>
      <c r="L457" s="38" t="str">
        <f aca="false">_xlfn.XLOOKUP($E457,$A$5:$A$8,$H$5:$H$8,"")</f>
        <v>Every pay period (ongoing)</v>
      </c>
      <c r="M457" s="43" t="n">
        <f aca="false" t="array" ref="M457:M457">MAX(_xlfn.XLOOKUP($A457,TRIM(SUBSTITUTE('worker file'!$A$2:$A$406,_xlfn.UNICHAR(160)," ")),'worker file'!$M$2:$M$406,0),_xlfn.XLOOKUP($B457,TRIM('pay group &amp; schedule'!$A$2:$A$6),'pay group &amp; schedule'!$D$2:$D$6,0))</f>
        <v>46299</v>
      </c>
      <c r="N457" s="43" t="str">
        <f aca="false" t="array" ref="N457:N457">_xlfn.LET(_xlpm.t,_xlfn.XLOOKUP($A457,TRIM(SUBSTITUTE('worker file'!$A$2:$A$406,_xlfn.UNICHAR(160)," ")),'worker file'!$N$2:$N$406,""),IF(N(_xlpm.t)=0,"",_xlpm.t))</f>
        <v/>
      </c>
      <c r="O457" s="0" t="s">
        <v>646</v>
      </c>
    </row>
    <row r="458" customFormat="false" ht="15" hidden="false" customHeight="false" outlineLevel="0" collapsed="false">
      <c r="A458" s="39" t="s">
        <v>261</v>
      </c>
      <c r="B458" s="40" t="str">
        <f aca="false" t="array" ref="B458:B458">_xlfn.XLOOKUP($A458,TRIM(SUBSTITUTE('worker file'!$A$2:$A$406,_xlfn.UNICHAR(160)," ")),'worker file'!$L$2:$L$406,"Not found")</f>
        <v>US Biweekly</v>
      </c>
      <c r="C458" s="40" t="str">
        <f aca="false" t="array" ref="C458:C458">_xlfn.XLOOKUP($A458,TRIM(SUBSTITUTE('worker file'!$A$2:$A$406,_xlfn.UNICHAR(160)," ")),'worker file'!$D$2:$D$406,"Not found")</f>
        <v>CA</v>
      </c>
      <c r="D458" s="40" t="str">
        <f aca="false" t="array" ref="D458:D458">_xlfn.XLOOKUP($A458,TRIM(SUBSTITUTE('worker file'!$A$2:$A$406,_xlfn.UNICHAR(160)," ")),'worker file'!$Q$2:$Q$406,"Not found")</f>
        <v>On Leave(unpaid)</v>
      </c>
      <c r="E458" s="39" t="s">
        <v>632</v>
      </c>
      <c r="F458" s="38" t="str">
        <f aca="false">_xlfn.XLOOKUP($E458,$A$5:$A$8,$B$5:$B$8,"")</f>
        <v>Dental – Employee</v>
      </c>
      <c r="G458" s="38" t="str">
        <f aca="false">_xlfn.XLOOKUP($E458,$A$5:$A$8,$D$5:$D$8,"")</f>
        <v>Pre-tax Section 125 (exempt from FIT/SIT/FICA)</v>
      </c>
      <c r="H458" s="38" t="str">
        <f aca="false">_xlfn.XLOOKUP($E458,$A$5:$A$8,$E$5:$E$8,"")</f>
        <v>Flat</v>
      </c>
      <c r="I458" s="44" t="str">
        <f aca="false">IF($H458="Percent",_xlfn.XLOOKUP($E458,$A$5:$A$8,$F$5:$F$8,""),"")</f>
        <v/>
      </c>
      <c r="J458" s="42" t="n">
        <f aca="false">IF($H458="Flat",_xlfn.XLOOKUP($E458,$A$5:$A$8,$F$5:$F$8,""),"")</f>
        <v>44</v>
      </c>
      <c r="K458" s="38" t="str">
        <f aca="false">_xlfn.XLOOKUP($E458,$A$5:$A$8,$G$5:$G$8,"")</f>
        <v>Per pay period</v>
      </c>
      <c r="L458" s="38" t="str">
        <f aca="false">_xlfn.XLOOKUP($E458,$A$5:$A$8,$H$5:$H$8,"")</f>
        <v>Every pay period (ongoing)</v>
      </c>
      <c r="M458" s="43" t="n">
        <f aca="false" t="array" ref="M458:M458">MAX(_xlfn.XLOOKUP($A458,TRIM(SUBSTITUTE('worker file'!$A$2:$A$406,_xlfn.UNICHAR(160)," ")),'worker file'!$M$2:$M$406,0),_xlfn.XLOOKUP($B458,TRIM('pay group &amp; schedule'!$A$2:$A$6),'pay group &amp; schedule'!$D$2:$D$6,0))</f>
        <v>46299</v>
      </c>
      <c r="N458" s="43" t="str">
        <f aca="false" t="array" ref="N458:N458">_xlfn.LET(_xlpm.t,_xlfn.XLOOKUP($A458,TRIM(SUBSTITUTE('worker file'!$A$2:$A$406,_xlfn.UNICHAR(160)," ")),'worker file'!$N$2:$N$406,""),IF(N(_xlpm.t)=0,"",_xlpm.t))</f>
        <v/>
      </c>
      <c r="O458" s="0" t="s">
        <v>646</v>
      </c>
    </row>
    <row r="459" customFormat="false" ht="15" hidden="false" customHeight="false" outlineLevel="0" collapsed="false">
      <c r="A459" s="39" t="s">
        <v>261</v>
      </c>
      <c r="B459" s="40" t="str">
        <f aca="false" t="array" ref="B459:B459">_xlfn.XLOOKUP($A459,TRIM(SUBSTITUTE('worker file'!$A$2:$A$406,_xlfn.UNICHAR(160)," ")),'worker file'!$L$2:$L$406,"Not found")</f>
        <v>US Biweekly</v>
      </c>
      <c r="C459" s="40" t="str">
        <f aca="false" t="array" ref="C459:C459">_xlfn.XLOOKUP($A459,TRIM(SUBSTITUTE('worker file'!$A$2:$A$406,_xlfn.UNICHAR(160)," ")),'worker file'!$D$2:$D$406,"Not found")</f>
        <v>CA</v>
      </c>
      <c r="D459" s="40" t="str">
        <f aca="false" t="array" ref="D459:D459">_xlfn.XLOOKUP($A459,TRIM(SUBSTITUTE('worker file'!$A$2:$A$406,_xlfn.UNICHAR(160)," ")),'worker file'!$Q$2:$Q$406,"Not found")</f>
        <v>On Leave(unpaid)</v>
      </c>
      <c r="E459" s="39" t="s">
        <v>634</v>
      </c>
      <c r="F459" s="38" t="str">
        <f aca="false">_xlfn.XLOOKUP($E459,$A$5:$A$8,$B$5:$B$8,"")</f>
        <v>Vision – Employee</v>
      </c>
      <c r="G459" s="38" t="str">
        <f aca="false">_xlfn.XLOOKUP($E459,$A$5:$A$8,$D$5:$D$8,"")</f>
        <v>Pre-tax Section 125 (exempt from FIT/SIT/FICA)</v>
      </c>
      <c r="H459" s="38" t="str">
        <f aca="false">_xlfn.XLOOKUP($E459,$A$5:$A$8,$E$5:$E$8,"")</f>
        <v>Flat</v>
      </c>
      <c r="I459" s="44" t="str">
        <f aca="false">IF($H459="Percent",_xlfn.XLOOKUP($E459,$A$5:$A$8,$F$5:$F$8,""),"")</f>
        <v/>
      </c>
      <c r="J459" s="42" t="n">
        <f aca="false">IF($H459="Flat",_xlfn.XLOOKUP($E459,$A$5:$A$8,$F$5:$F$8,""),"")</f>
        <v>30</v>
      </c>
      <c r="K459" s="38" t="str">
        <f aca="false">_xlfn.XLOOKUP($E459,$A$5:$A$8,$G$5:$G$8,"")</f>
        <v>Per pay period</v>
      </c>
      <c r="L459" s="38" t="str">
        <f aca="false">_xlfn.XLOOKUP($E459,$A$5:$A$8,$H$5:$H$8,"")</f>
        <v>Every pay period (ongoing)</v>
      </c>
      <c r="M459" s="43" t="n">
        <f aca="false" t="array" ref="M459:M459">MAX(_xlfn.XLOOKUP($A459,TRIM(SUBSTITUTE('worker file'!$A$2:$A$406,_xlfn.UNICHAR(160)," ")),'worker file'!$M$2:$M$406,0),_xlfn.XLOOKUP($B459,TRIM('pay group &amp; schedule'!$A$2:$A$6),'pay group &amp; schedule'!$D$2:$D$6,0))</f>
        <v>46299</v>
      </c>
      <c r="N459" s="43" t="str">
        <f aca="false" t="array" ref="N459:N459">_xlfn.LET(_xlpm.t,_xlfn.XLOOKUP($A459,TRIM(SUBSTITUTE('worker file'!$A$2:$A$406,_xlfn.UNICHAR(160)," ")),'worker file'!$N$2:$N$406,""),IF(N(_xlpm.t)=0,"",_xlpm.t))</f>
        <v/>
      </c>
      <c r="O459" s="0" t="s">
        <v>646</v>
      </c>
    </row>
    <row r="460" customFormat="false" ht="15" hidden="false" customHeight="false" outlineLevel="0" collapsed="false">
      <c r="A460" s="39" t="s">
        <v>262</v>
      </c>
      <c r="B460" s="40" t="str">
        <f aca="false" t="array" ref="B460:B460">_xlfn.XLOOKUP($A460,TRIM(SUBSTITUTE('worker file'!$A$2:$A$406,_xlfn.UNICHAR(160)," ")),'worker file'!$L$2:$L$406,"Not found")</f>
        <v>US Semi-monthly</v>
      </c>
      <c r="C460" s="40" t="str">
        <f aca="false" t="array" ref="C460:C460">_xlfn.XLOOKUP($A460,TRIM(SUBSTITUTE('worker file'!$A$2:$A$406,_xlfn.UNICHAR(160)," ")),'worker file'!$D$2:$D$406,"Not found")</f>
        <v>IL</v>
      </c>
      <c r="D460" s="40" t="str">
        <f aca="false" t="array" ref="D460:D460">_xlfn.XLOOKUP($A460,TRIM(SUBSTITUTE('worker file'!$A$2:$A$406,_xlfn.UNICHAR(160)," ")),'worker file'!$Q$2:$Q$406,"Not found")</f>
        <v>Active</v>
      </c>
      <c r="E460" s="39" t="s">
        <v>618</v>
      </c>
      <c r="F460" s="38" t="str">
        <f aca="false">_xlfn.XLOOKUP($E460,$A$5:$A$8,$B$5:$B$8,"")</f>
        <v>401(k) Employee Deferral</v>
      </c>
      <c r="G460" s="38" t="str">
        <f aca="false">_xlfn.XLOOKUP($E460,$A$5:$A$8,$D$5:$D$8,"")</f>
        <v>Pre-tax (exempt from FIT/SIT; subject to FICA)</v>
      </c>
      <c r="H460" s="38" t="str">
        <f aca="false">_xlfn.XLOOKUP($E460,$A$5:$A$8,$E$5:$E$8,"")</f>
        <v>Percent</v>
      </c>
      <c r="I460" s="41" t="n">
        <v>0.02</v>
      </c>
      <c r="J460" s="42" t="str">
        <f aca="false">IF($H460="Flat",_xlfn.XLOOKUP($E460,$A$5:$A$8,$F$5:$F$8,""),"")</f>
        <v/>
      </c>
      <c r="K460" s="38" t="str">
        <f aca="false">_xlfn.XLOOKUP($E460,$A$5:$A$8,$G$5:$G$8,"")</f>
        <v>Gross pay</v>
      </c>
      <c r="L460" s="38" t="str">
        <f aca="false">_xlfn.XLOOKUP($E460,$A$5:$A$8,$H$5:$H$8,"")</f>
        <v>Every pay period (ongoing)</v>
      </c>
      <c r="M460" s="43" t="n">
        <f aca="false" t="array" ref="M460:M460">MAX(_xlfn.XLOOKUP($A460,TRIM(SUBSTITUTE('worker file'!$A$2:$A$406,_xlfn.UNICHAR(160)," ")),'worker file'!$M$2:$M$406,0),_xlfn.XLOOKUP($B460,TRIM('pay group &amp; schedule'!$A$2:$A$6),'pay group &amp; schedule'!$D$2:$D$6,0))</f>
        <v>46311</v>
      </c>
      <c r="N460" s="43" t="str">
        <f aca="false" t="array" ref="N460:N460">_xlfn.LET(_xlpm.t,_xlfn.XLOOKUP($A460,TRIM(SUBSTITUTE('worker file'!$A$2:$A$406,_xlfn.UNICHAR(160)," ")),'worker file'!$N$2:$N$406,""),IF(N(_xlpm.t)=0,"",_xlpm.t))</f>
        <v/>
      </c>
    </row>
    <row r="461" customFormat="false" ht="15" hidden="false" customHeight="false" outlineLevel="0" collapsed="false">
      <c r="A461" s="39" t="s">
        <v>262</v>
      </c>
      <c r="B461" s="40" t="str">
        <f aca="false" t="array" ref="B461:B461">_xlfn.XLOOKUP($A461,TRIM(SUBSTITUTE('worker file'!$A$2:$A$406,_xlfn.UNICHAR(160)," ")),'worker file'!$L$2:$L$406,"Not found")</f>
        <v>US Semi-monthly</v>
      </c>
      <c r="C461" s="40" t="str">
        <f aca="false" t="array" ref="C461:C461">_xlfn.XLOOKUP($A461,TRIM(SUBSTITUTE('worker file'!$A$2:$A$406,_xlfn.UNICHAR(160)," ")),'worker file'!$D$2:$D$406,"Not found")</f>
        <v>IL</v>
      </c>
      <c r="D461" s="40" t="str">
        <f aca="false" t="array" ref="D461:D461">_xlfn.XLOOKUP($A461,TRIM(SUBSTITUTE('worker file'!$A$2:$A$406,_xlfn.UNICHAR(160)," ")),'worker file'!$Q$2:$Q$406,"Not found")</f>
        <v>Active</v>
      </c>
      <c r="E461" s="39" t="s">
        <v>626</v>
      </c>
      <c r="F461" s="38" t="str">
        <f aca="false">_xlfn.XLOOKUP($E461,$A$5:$A$8,$B$5:$B$8,"")</f>
        <v>Medical (Health) – Employee</v>
      </c>
      <c r="G461" s="38" t="str">
        <f aca="false">_xlfn.XLOOKUP($E461,$A$5:$A$8,$D$5:$D$8,"")</f>
        <v>Pre-tax Section 125 (exempt from FIT/SIT/FICA)</v>
      </c>
      <c r="H461" s="38" t="str">
        <f aca="false">_xlfn.XLOOKUP($E461,$A$5:$A$8,$E$5:$E$8,"")</f>
        <v>Flat</v>
      </c>
      <c r="I461" s="44" t="str">
        <f aca="false">IF($H461="Percent",_xlfn.XLOOKUP($E461,$A$5:$A$8,$F$5:$F$8,""),"")</f>
        <v/>
      </c>
      <c r="J461" s="42" t="n">
        <f aca="false">IF($H461="Flat",_xlfn.XLOOKUP($E461,$A$5:$A$8,$F$5:$F$8,""),"")</f>
        <v>200</v>
      </c>
      <c r="K461" s="38" t="str">
        <f aca="false">_xlfn.XLOOKUP($E461,$A$5:$A$8,$G$5:$G$8,"")</f>
        <v>Per pay period</v>
      </c>
      <c r="L461" s="38" t="str">
        <f aca="false">_xlfn.XLOOKUP($E461,$A$5:$A$8,$H$5:$H$8,"")</f>
        <v>Every pay period (ongoing)</v>
      </c>
      <c r="M461" s="43" t="n">
        <f aca="false" t="array" ref="M461:M461">MAX(_xlfn.XLOOKUP($A461,TRIM(SUBSTITUTE('worker file'!$A$2:$A$406,_xlfn.UNICHAR(160)," ")),'worker file'!$M$2:$M$406,0),_xlfn.XLOOKUP($B461,TRIM('pay group &amp; schedule'!$A$2:$A$6),'pay group &amp; schedule'!$D$2:$D$6,0))</f>
        <v>46311</v>
      </c>
      <c r="N461" s="43" t="str">
        <f aca="false" t="array" ref="N461:N461">_xlfn.LET(_xlpm.t,_xlfn.XLOOKUP($A461,TRIM(SUBSTITUTE('worker file'!$A$2:$A$406,_xlfn.UNICHAR(160)," ")),'worker file'!$N$2:$N$406,""),IF(N(_xlpm.t)=0,"",_xlpm.t))</f>
        <v/>
      </c>
    </row>
    <row r="462" customFormat="false" ht="15" hidden="false" customHeight="false" outlineLevel="0" collapsed="false">
      <c r="A462" s="39" t="s">
        <v>262</v>
      </c>
      <c r="B462" s="40" t="str">
        <f aca="false" t="array" ref="B462:B462">_xlfn.XLOOKUP($A462,TRIM(SUBSTITUTE('worker file'!$A$2:$A$406,_xlfn.UNICHAR(160)," ")),'worker file'!$L$2:$L$406,"Not found")</f>
        <v>US Semi-monthly</v>
      </c>
      <c r="C462" s="40" t="str">
        <f aca="false" t="array" ref="C462:C462">_xlfn.XLOOKUP($A462,TRIM(SUBSTITUTE('worker file'!$A$2:$A$406,_xlfn.UNICHAR(160)," ")),'worker file'!$D$2:$D$406,"Not found")</f>
        <v>IL</v>
      </c>
      <c r="D462" s="40" t="str">
        <f aca="false" t="array" ref="D462:D462">_xlfn.XLOOKUP($A462,TRIM(SUBSTITUTE('worker file'!$A$2:$A$406,_xlfn.UNICHAR(160)," ")),'worker file'!$Q$2:$Q$406,"Not found")</f>
        <v>Active</v>
      </c>
      <c r="E462" s="39" t="s">
        <v>632</v>
      </c>
      <c r="F462" s="38" t="str">
        <f aca="false">_xlfn.XLOOKUP($E462,$A$5:$A$8,$B$5:$B$8,"")</f>
        <v>Dental – Employee</v>
      </c>
      <c r="G462" s="38" t="str">
        <f aca="false">_xlfn.XLOOKUP($E462,$A$5:$A$8,$D$5:$D$8,"")</f>
        <v>Pre-tax Section 125 (exempt from FIT/SIT/FICA)</v>
      </c>
      <c r="H462" s="38" t="str">
        <f aca="false">_xlfn.XLOOKUP($E462,$A$5:$A$8,$E$5:$E$8,"")</f>
        <v>Flat</v>
      </c>
      <c r="I462" s="44" t="str">
        <f aca="false">IF($H462="Percent",_xlfn.XLOOKUP($E462,$A$5:$A$8,$F$5:$F$8,""),"")</f>
        <v/>
      </c>
      <c r="J462" s="42" t="n">
        <f aca="false">IF($H462="Flat",_xlfn.XLOOKUP($E462,$A$5:$A$8,$F$5:$F$8,""),"")</f>
        <v>44</v>
      </c>
      <c r="K462" s="38" t="str">
        <f aca="false">_xlfn.XLOOKUP($E462,$A$5:$A$8,$G$5:$G$8,"")</f>
        <v>Per pay period</v>
      </c>
      <c r="L462" s="38" t="str">
        <f aca="false">_xlfn.XLOOKUP($E462,$A$5:$A$8,$H$5:$H$8,"")</f>
        <v>Every pay period (ongoing)</v>
      </c>
      <c r="M462" s="43" t="n">
        <f aca="false" t="array" ref="M462:M462">MAX(_xlfn.XLOOKUP($A462,TRIM(SUBSTITUTE('worker file'!$A$2:$A$406,_xlfn.UNICHAR(160)," ")),'worker file'!$M$2:$M$406,0),_xlfn.XLOOKUP($B462,TRIM('pay group &amp; schedule'!$A$2:$A$6),'pay group &amp; schedule'!$D$2:$D$6,0))</f>
        <v>46311</v>
      </c>
      <c r="N462" s="43" t="str">
        <f aca="false" t="array" ref="N462:N462">_xlfn.LET(_xlpm.t,_xlfn.XLOOKUP($A462,TRIM(SUBSTITUTE('worker file'!$A$2:$A$406,_xlfn.UNICHAR(160)," ")),'worker file'!$N$2:$N$406,""),IF(N(_xlpm.t)=0,"",_xlpm.t))</f>
        <v/>
      </c>
    </row>
    <row r="463" customFormat="false" ht="15" hidden="false" customHeight="false" outlineLevel="0" collapsed="false">
      <c r="A463" s="39" t="s">
        <v>262</v>
      </c>
      <c r="B463" s="40" t="str">
        <f aca="false" t="array" ref="B463:B463">_xlfn.XLOOKUP($A463,TRIM(SUBSTITUTE('worker file'!$A$2:$A$406,_xlfn.UNICHAR(160)," ")),'worker file'!$L$2:$L$406,"Not found")</f>
        <v>US Semi-monthly</v>
      </c>
      <c r="C463" s="40" t="str">
        <f aca="false" t="array" ref="C463:C463">_xlfn.XLOOKUP($A463,TRIM(SUBSTITUTE('worker file'!$A$2:$A$406,_xlfn.UNICHAR(160)," ")),'worker file'!$D$2:$D$406,"Not found")</f>
        <v>IL</v>
      </c>
      <c r="D463" s="40" t="str">
        <f aca="false" t="array" ref="D463:D463">_xlfn.XLOOKUP($A463,TRIM(SUBSTITUTE('worker file'!$A$2:$A$406,_xlfn.UNICHAR(160)," ")),'worker file'!$Q$2:$Q$406,"Not found")</f>
        <v>Active</v>
      </c>
      <c r="E463" s="39" t="s">
        <v>634</v>
      </c>
      <c r="F463" s="38" t="str">
        <f aca="false">_xlfn.XLOOKUP($E463,$A$5:$A$8,$B$5:$B$8,"")</f>
        <v>Vision – Employee</v>
      </c>
      <c r="G463" s="38" t="str">
        <f aca="false">_xlfn.XLOOKUP($E463,$A$5:$A$8,$D$5:$D$8,"")</f>
        <v>Pre-tax Section 125 (exempt from FIT/SIT/FICA)</v>
      </c>
      <c r="H463" s="38" t="str">
        <f aca="false">_xlfn.XLOOKUP($E463,$A$5:$A$8,$E$5:$E$8,"")</f>
        <v>Flat</v>
      </c>
      <c r="I463" s="44" t="str">
        <f aca="false">IF($H463="Percent",_xlfn.XLOOKUP($E463,$A$5:$A$8,$F$5:$F$8,""),"")</f>
        <v/>
      </c>
      <c r="J463" s="42" t="n">
        <f aca="false">IF($H463="Flat",_xlfn.XLOOKUP($E463,$A$5:$A$8,$F$5:$F$8,""),"")</f>
        <v>30</v>
      </c>
      <c r="K463" s="38" t="str">
        <f aca="false">_xlfn.XLOOKUP($E463,$A$5:$A$8,$G$5:$G$8,"")</f>
        <v>Per pay period</v>
      </c>
      <c r="L463" s="38" t="str">
        <f aca="false">_xlfn.XLOOKUP($E463,$A$5:$A$8,$H$5:$H$8,"")</f>
        <v>Every pay period (ongoing)</v>
      </c>
      <c r="M463" s="43" t="n">
        <f aca="false" t="array" ref="M463:M463">MAX(_xlfn.XLOOKUP($A463,TRIM(SUBSTITUTE('worker file'!$A$2:$A$406,_xlfn.UNICHAR(160)," ")),'worker file'!$M$2:$M$406,0),_xlfn.XLOOKUP($B463,TRIM('pay group &amp; schedule'!$A$2:$A$6),'pay group &amp; schedule'!$D$2:$D$6,0))</f>
        <v>46311</v>
      </c>
      <c r="N463" s="43" t="str">
        <f aca="false" t="array" ref="N463:N463">_xlfn.LET(_xlpm.t,_xlfn.XLOOKUP($A463,TRIM(SUBSTITUTE('worker file'!$A$2:$A$406,_xlfn.UNICHAR(160)," ")),'worker file'!$N$2:$N$406,""),IF(N(_xlpm.t)=0,"",_xlpm.t))</f>
        <v/>
      </c>
    </row>
    <row r="464" customFormat="false" ht="15" hidden="false" customHeight="false" outlineLevel="0" collapsed="false">
      <c r="A464" s="39" t="s">
        <v>263</v>
      </c>
      <c r="B464" s="40" t="str">
        <f aca="false" t="array" ref="B464:B464">_xlfn.XLOOKUP($A464,TRIM(SUBSTITUTE('worker file'!$A$2:$A$406,_xlfn.UNICHAR(160)," ")),'worker file'!$L$2:$L$406,"Not found")</f>
        <v>US Biweekly</v>
      </c>
      <c r="C464" s="40" t="str">
        <f aca="false" t="array" ref="C464:C464">_xlfn.XLOOKUP($A464,TRIM(SUBSTITUTE('worker file'!$A$2:$A$406,_xlfn.UNICHAR(160)," ")),'worker file'!$D$2:$D$406,"Not found")</f>
        <v>CA</v>
      </c>
      <c r="D464" s="40" t="str">
        <f aca="false" t="array" ref="D464:D464">_xlfn.XLOOKUP($A464,TRIM(SUBSTITUTE('worker file'!$A$2:$A$406,_xlfn.UNICHAR(160)," ")),'worker file'!$Q$2:$Q$406,"Not found")</f>
        <v>Active</v>
      </c>
      <c r="E464" s="39" t="s">
        <v>618</v>
      </c>
      <c r="F464" s="38" t="str">
        <f aca="false">_xlfn.XLOOKUP($E464,$A$5:$A$8,$B$5:$B$8,"")</f>
        <v>401(k) Employee Deferral</v>
      </c>
      <c r="G464" s="38" t="str">
        <f aca="false">_xlfn.XLOOKUP($E464,$A$5:$A$8,$D$5:$D$8,"")</f>
        <v>Pre-tax (exempt from FIT/SIT; subject to FICA)</v>
      </c>
      <c r="H464" s="38" t="str">
        <f aca="false">_xlfn.XLOOKUP($E464,$A$5:$A$8,$E$5:$E$8,"")</f>
        <v>Percent</v>
      </c>
      <c r="I464" s="41" t="n">
        <v>0.07</v>
      </c>
      <c r="J464" s="42" t="str">
        <f aca="false">IF($H464="Flat",_xlfn.XLOOKUP($E464,$A$5:$A$8,$F$5:$F$8,""),"")</f>
        <v/>
      </c>
      <c r="K464" s="38" t="str">
        <f aca="false">_xlfn.XLOOKUP($E464,$A$5:$A$8,$G$5:$G$8,"")</f>
        <v>Gross pay</v>
      </c>
      <c r="L464" s="38" t="str">
        <f aca="false">_xlfn.XLOOKUP($E464,$A$5:$A$8,$H$5:$H$8,"")</f>
        <v>Every pay period (ongoing)</v>
      </c>
      <c r="M464" s="43" t="n">
        <f aca="false" t="array" ref="M464:M464">MAX(_xlfn.XLOOKUP($A464,TRIM(SUBSTITUTE('worker file'!$A$2:$A$406,_xlfn.UNICHAR(160)," ")),'worker file'!$M$2:$M$406,0),_xlfn.XLOOKUP($B464,TRIM('pay group &amp; schedule'!$A$2:$A$6),'pay group &amp; schedule'!$D$2:$D$6,0))</f>
        <v>46299</v>
      </c>
      <c r="N464" s="43" t="str">
        <f aca="false" t="array" ref="N464:N464">_xlfn.LET(_xlpm.t,_xlfn.XLOOKUP($A464,TRIM(SUBSTITUTE('worker file'!$A$2:$A$406,_xlfn.UNICHAR(160)," ")),'worker file'!$N$2:$N$406,""),IF(N(_xlpm.t)=0,"",_xlpm.t))</f>
        <v/>
      </c>
    </row>
    <row r="465" customFormat="false" ht="15" hidden="false" customHeight="false" outlineLevel="0" collapsed="false">
      <c r="A465" s="39" t="s">
        <v>263</v>
      </c>
      <c r="B465" s="40" t="str">
        <f aca="false" t="array" ref="B465:B465">_xlfn.XLOOKUP($A465,TRIM(SUBSTITUTE('worker file'!$A$2:$A$406,_xlfn.UNICHAR(160)," ")),'worker file'!$L$2:$L$406,"Not found")</f>
        <v>US Biweekly</v>
      </c>
      <c r="C465" s="40" t="str">
        <f aca="false" t="array" ref="C465:C465">_xlfn.XLOOKUP($A465,TRIM(SUBSTITUTE('worker file'!$A$2:$A$406,_xlfn.UNICHAR(160)," ")),'worker file'!$D$2:$D$406,"Not found")</f>
        <v>CA</v>
      </c>
      <c r="D465" s="40" t="str">
        <f aca="false" t="array" ref="D465:D465">_xlfn.XLOOKUP($A465,TRIM(SUBSTITUTE('worker file'!$A$2:$A$406,_xlfn.UNICHAR(160)," ")),'worker file'!$Q$2:$Q$406,"Not found")</f>
        <v>Active</v>
      </c>
      <c r="E465" s="39" t="s">
        <v>626</v>
      </c>
      <c r="F465" s="38" t="str">
        <f aca="false">_xlfn.XLOOKUP($E465,$A$5:$A$8,$B$5:$B$8,"")</f>
        <v>Medical (Health) – Employee</v>
      </c>
      <c r="G465" s="38" t="str">
        <f aca="false">_xlfn.XLOOKUP($E465,$A$5:$A$8,$D$5:$D$8,"")</f>
        <v>Pre-tax Section 125 (exempt from FIT/SIT/FICA)</v>
      </c>
      <c r="H465" s="38" t="str">
        <f aca="false">_xlfn.XLOOKUP($E465,$A$5:$A$8,$E$5:$E$8,"")</f>
        <v>Flat</v>
      </c>
      <c r="I465" s="44" t="str">
        <f aca="false">IF($H465="Percent",_xlfn.XLOOKUP($E465,$A$5:$A$8,$F$5:$F$8,""),"")</f>
        <v/>
      </c>
      <c r="J465" s="42" t="n">
        <f aca="false">IF($H465="Flat",_xlfn.XLOOKUP($E465,$A$5:$A$8,$F$5:$F$8,""),"")</f>
        <v>200</v>
      </c>
      <c r="K465" s="38" t="str">
        <f aca="false">_xlfn.XLOOKUP($E465,$A$5:$A$8,$G$5:$G$8,"")</f>
        <v>Per pay period</v>
      </c>
      <c r="L465" s="38" t="str">
        <f aca="false">_xlfn.XLOOKUP($E465,$A$5:$A$8,$H$5:$H$8,"")</f>
        <v>Every pay period (ongoing)</v>
      </c>
      <c r="M465" s="43" t="n">
        <f aca="false" t="array" ref="M465:M465">MAX(_xlfn.XLOOKUP($A465,TRIM(SUBSTITUTE('worker file'!$A$2:$A$406,_xlfn.UNICHAR(160)," ")),'worker file'!$M$2:$M$406,0),_xlfn.XLOOKUP($B465,TRIM('pay group &amp; schedule'!$A$2:$A$6),'pay group &amp; schedule'!$D$2:$D$6,0))</f>
        <v>46299</v>
      </c>
      <c r="N465" s="43" t="str">
        <f aca="false" t="array" ref="N465:N465">_xlfn.LET(_xlpm.t,_xlfn.XLOOKUP($A465,TRIM(SUBSTITUTE('worker file'!$A$2:$A$406,_xlfn.UNICHAR(160)," ")),'worker file'!$N$2:$N$406,""),IF(N(_xlpm.t)=0,"",_xlpm.t))</f>
        <v/>
      </c>
    </row>
    <row r="466" customFormat="false" ht="15" hidden="false" customHeight="false" outlineLevel="0" collapsed="false">
      <c r="A466" s="39" t="s">
        <v>263</v>
      </c>
      <c r="B466" s="40" t="str">
        <f aca="false" t="array" ref="B466:B466">_xlfn.XLOOKUP($A466,TRIM(SUBSTITUTE('worker file'!$A$2:$A$406,_xlfn.UNICHAR(160)," ")),'worker file'!$L$2:$L$406,"Not found")</f>
        <v>US Biweekly</v>
      </c>
      <c r="C466" s="40" t="str">
        <f aca="false" t="array" ref="C466:C466">_xlfn.XLOOKUP($A466,TRIM(SUBSTITUTE('worker file'!$A$2:$A$406,_xlfn.UNICHAR(160)," ")),'worker file'!$D$2:$D$406,"Not found")</f>
        <v>CA</v>
      </c>
      <c r="D466" s="40" t="str">
        <f aca="false" t="array" ref="D466:D466">_xlfn.XLOOKUP($A466,TRIM(SUBSTITUTE('worker file'!$A$2:$A$406,_xlfn.UNICHAR(160)," ")),'worker file'!$Q$2:$Q$406,"Not found")</f>
        <v>Active</v>
      </c>
      <c r="E466" s="39" t="s">
        <v>632</v>
      </c>
      <c r="F466" s="38" t="str">
        <f aca="false">_xlfn.XLOOKUP($E466,$A$5:$A$8,$B$5:$B$8,"")</f>
        <v>Dental – Employee</v>
      </c>
      <c r="G466" s="38" t="str">
        <f aca="false">_xlfn.XLOOKUP($E466,$A$5:$A$8,$D$5:$D$8,"")</f>
        <v>Pre-tax Section 125 (exempt from FIT/SIT/FICA)</v>
      </c>
      <c r="H466" s="38" t="str">
        <f aca="false">_xlfn.XLOOKUP($E466,$A$5:$A$8,$E$5:$E$8,"")</f>
        <v>Flat</v>
      </c>
      <c r="I466" s="44" t="str">
        <f aca="false">IF($H466="Percent",_xlfn.XLOOKUP($E466,$A$5:$A$8,$F$5:$F$8,""),"")</f>
        <v/>
      </c>
      <c r="J466" s="42" t="n">
        <f aca="false">IF($H466="Flat",_xlfn.XLOOKUP($E466,$A$5:$A$8,$F$5:$F$8,""),"")</f>
        <v>44</v>
      </c>
      <c r="K466" s="38" t="str">
        <f aca="false">_xlfn.XLOOKUP($E466,$A$5:$A$8,$G$5:$G$8,"")</f>
        <v>Per pay period</v>
      </c>
      <c r="L466" s="38" t="str">
        <f aca="false">_xlfn.XLOOKUP($E466,$A$5:$A$8,$H$5:$H$8,"")</f>
        <v>Every pay period (ongoing)</v>
      </c>
      <c r="M466" s="43" t="n">
        <f aca="false" t="array" ref="M466:M466">MAX(_xlfn.XLOOKUP($A466,TRIM(SUBSTITUTE('worker file'!$A$2:$A$406,_xlfn.UNICHAR(160)," ")),'worker file'!$M$2:$M$406,0),_xlfn.XLOOKUP($B466,TRIM('pay group &amp; schedule'!$A$2:$A$6),'pay group &amp; schedule'!$D$2:$D$6,0))</f>
        <v>46299</v>
      </c>
      <c r="N466" s="43" t="str">
        <f aca="false" t="array" ref="N466:N466">_xlfn.LET(_xlpm.t,_xlfn.XLOOKUP($A466,TRIM(SUBSTITUTE('worker file'!$A$2:$A$406,_xlfn.UNICHAR(160)," ")),'worker file'!$N$2:$N$406,""),IF(N(_xlpm.t)=0,"",_xlpm.t))</f>
        <v/>
      </c>
    </row>
    <row r="467" customFormat="false" ht="15" hidden="false" customHeight="false" outlineLevel="0" collapsed="false">
      <c r="A467" s="39" t="s">
        <v>263</v>
      </c>
      <c r="B467" s="40" t="str">
        <f aca="false" t="array" ref="B467:B467">_xlfn.XLOOKUP($A467,TRIM(SUBSTITUTE('worker file'!$A$2:$A$406,_xlfn.UNICHAR(160)," ")),'worker file'!$L$2:$L$406,"Not found")</f>
        <v>US Biweekly</v>
      </c>
      <c r="C467" s="40" t="str">
        <f aca="false" t="array" ref="C467:C467">_xlfn.XLOOKUP($A467,TRIM(SUBSTITUTE('worker file'!$A$2:$A$406,_xlfn.UNICHAR(160)," ")),'worker file'!$D$2:$D$406,"Not found")</f>
        <v>CA</v>
      </c>
      <c r="D467" s="40" t="str">
        <f aca="false" t="array" ref="D467:D467">_xlfn.XLOOKUP($A467,TRIM(SUBSTITUTE('worker file'!$A$2:$A$406,_xlfn.UNICHAR(160)," ")),'worker file'!$Q$2:$Q$406,"Not found")</f>
        <v>Active</v>
      </c>
      <c r="E467" s="39" t="s">
        <v>634</v>
      </c>
      <c r="F467" s="38" t="str">
        <f aca="false">_xlfn.XLOOKUP($E467,$A$5:$A$8,$B$5:$B$8,"")</f>
        <v>Vision – Employee</v>
      </c>
      <c r="G467" s="38" t="str">
        <f aca="false">_xlfn.XLOOKUP($E467,$A$5:$A$8,$D$5:$D$8,"")</f>
        <v>Pre-tax Section 125 (exempt from FIT/SIT/FICA)</v>
      </c>
      <c r="H467" s="38" t="str">
        <f aca="false">_xlfn.XLOOKUP($E467,$A$5:$A$8,$E$5:$E$8,"")</f>
        <v>Flat</v>
      </c>
      <c r="I467" s="44" t="str">
        <f aca="false">IF($H467="Percent",_xlfn.XLOOKUP($E467,$A$5:$A$8,$F$5:$F$8,""),"")</f>
        <v/>
      </c>
      <c r="J467" s="42" t="n">
        <f aca="false">IF($H467="Flat",_xlfn.XLOOKUP($E467,$A$5:$A$8,$F$5:$F$8,""),"")</f>
        <v>30</v>
      </c>
      <c r="K467" s="38" t="str">
        <f aca="false">_xlfn.XLOOKUP($E467,$A$5:$A$8,$G$5:$G$8,"")</f>
        <v>Per pay period</v>
      </c>
      <c r="L467" s="38" t="str">
        <f aca="false">_xlfn.XLOOKUP($E467,$A$5:$A$8,$H$5:$H$8,"")</f>
        <v>Every pay period (ongoing)</v>
      </c>
      <c r="M467" s="43" t="n">
        <f aca="false" t="array" ref="M467:M467">MAX(_xlfn.XLOOKUP($A467,TRIM(SUBSTITUTE('worker file'!$A$2:$A$406,_xlfn.UNICHAR(160)," ")),'worker file'!$M$2:$M$406,0),_xlfn.XLOOKUP($B467,TRIM('pay group &amp; schedule'!$A$2:$A$6),'pay group &amp; schedule'!$D$2:$D$6,0))</f>
        <v>46299</v>
      </c>
      <c r="N467" s="43" t="str">
        <f aca="false" t="array" ref="N467:N467">_xlfn.LET(_xlpm.t,_xlfn.XLOOKUP($A467,TRIM(SUBSTITUTE('worker file'!$A$2:$A$406,_xlfn.UNICHAR(160)," ")),'worker file'!$N$2:$N$406,""),IF(N(_xlpm.t)=0,"",_xlpm.t))</f>
        <v/>
      </c>
    </row>
    <row r="468" customFormat="false" ht="15" hidden="false" customHeight="false" outlineLevel="0" collapsed="false">
      <c r="A468" s="39" t="s">
        <v>265</v>
      </c>
      <c r="B468" s="40" t="str">
        <f aca="false" t="array" ref="B468:B468">_xlfn.XLOOKUP($A468,TRIM(SUBSTITUTE('worker file'!$A$2:$A$406,_xlfn.UNICHAR(160)," ")),'worker file'!$L$2:$L$406,"Not found")</f>
        <v>US Semi-monthly</v>
      </c>
      <c r="C468" s="40" t="str">
        <f aca="false" t="array" ref="C468:C468">_xlfn.XLOOKUP($A468,TRIM(SUBSTITUTE('worker file'!$A$2:$A$406,_xlfn.UNICHAR(160)," ")),'worker file'!$D$2:$D$406,"Not found")</f>
        <v>CO</v>
      </c>
      <c r="D468" s="40" t="str">
        <f aca="false" t="array" ref="D468:D468">_xlfn.XLOOKUP($A468,TRIM(SUBSTITUTE('worker file'!$A$2:$A$406,_xlfn.UNICHAR(160)," ")),'worker file'!$Q$2:$Q$406,"Not found")</f>
        <v>Active</v>
      </c>
      <c r="E468" s="39" t="s">
        <v>618</v>
      </c>
      <c r="F468" s="38" t="str">
        <f aca="false">_xlfn.XLOOKUP($E468,$A$5:$A$8,$B$5:$B$8,"")</f>
        <v>401(k) Employee Deferral</v>
      </c>
      <c r="G468" s="38" t="str">
        <f aca="false">_xlfn.XLOOKUP($E468,$A$5:$A$8,$D$5:$D$8,"")</f>
        <v>Pre-tax (exempt from FIT/SIT; subject to FICA)</v>
      </c>
      <c r="H468" s="38" t="str">
        <f aca="false">_xlfn.XLOOKUP($E468,$A$5:$A$8,$E$5:$E$8,"")</f>
        <v>Percent</v>
      </c>
      <c r="I468" s="41" t="n">
        <v>0.04</v>
      </c>
      <c r="J468" s="42" t="str">
        <f aca="false">IF($H468="Flat",_xlfn.XLOOKUP($E468,$A$5:$A$8,$F$5:$F$8,""),"")</f>
        <v/>
      </c>
      <c r="K468" s="38" t="str">
        <f aca="false">_xlfn.XLOOKUP($E468,$A$5:$A$8,$G$5:$G$8,"")</f>
        <v>Gross pay</v>
      </c>
      <c r="L468" s="38" t="str">
        <f aca="false">_xlfn.XLOOKUP($E468,$A$5:$A$8,$H$5:$H$8,"")</f>
        <v>Every pay period (ongoing)</v>
      </c>
      <c r="M468" s="43" t="n">
        <f aca="false" t="array" ref="M468:M468">MAX(_xlfn.XLOOKUP($A468,TRIM(SUBSTITUTE('worker file'!$A$2:$A$406,_xlfn.UNICHAR(160)," ")),'worker file'!$M$2:$M$406,0),_xlfn.XLOOKUP($B468,TRIM('pay group &amp; schedule'!$A$2:$A$6),'pay group &amp; schedule'!$D$2:$D$6,0))</f>
        <v>46311</v>
      </c>
      <c r="N468" s="43" t="str">
        <f aca="false" t="array" ref="N468:N468">_xlfn.LET(_xlpm.t,_xlfn.XLOOKUP($A468,TRIM(SUBSTITUTE('worker file'!$A$2:$A$406,_xlfn.UNICHAR(160)," ")),'worker file'!$N$2:$N$406,""),IF(N(_xlpm.t)=0,"",_xlpm.t))</f>
        <v/>
      </c>
    </row>
    <row r="469" customFormat="false" ht="15" hidden="false" customHeight="false" outlineLevel="0" collapsed="false">
      <c r="A469" s="39" t="s">
        <v>265</v>
      </c>
      <c r="B469" s="40" t="str">
        <f aca="false" t="array" ref="B469:B469">_xlfn.XLOOKUP($A469,TRIM(SUBSTITUTE('worker file'!$A$2:$A$406,_xlfn.UNICHAR(160)," ")),'worker file'!$L$2:$L$406,"Not found")</f>
        <v>US Semi-monthly</v>
      </c>
      <c r="C469" s="40" t="str">
        <f aca="false" t="array" ref="C469:C469">_xlfn.XLOOKUP($A469,TRIM(SUBSTITUTE('worker file'!$A$2:$A$406,_xlfn.UNICHAR(160)," ")),'worker file'!$D$2:$D$406,"Not found")</f>
        <v>CO</v>
      </c>
      <c r="D469" s="40" t="str">
        <f aca="false" t="array" ref="D469:D469">_xlfn.XLOOKUP($A469,TRIM(SUBSTITUTE('worker file'!$A$2:$A$406,_xlfn.UNICHAR(160)," ")),'worker file'!$Q$2:$Q$406,"Not found")</f>
        <v>Active</v>
      </c>
      <c r="E469" s="39" t="s">
        <v>626</v>
      </c>
      <c r="F469" s="38" t="str">
        <f aca="false">_xlfn.XLOOKUP($E469,$A$5:$A$8,$B$5:$B$8,"")</f>
        <v>Medical (Health) – Employee</v>
      </c>
      <c r="G469" s="38" t="str">
        <f aca="false">_xlfn.XLOOKUP($E469,$A$5:$A$8,$D$5:$D$8,"")</f>
        <v>Pre-tax Section 125 (exempt from FIT/SIT/FICA)</v>
      </c>
      <c r="H469" s="38" t="str">
        <f aca="false">_xlfn.XLOOKUP($E469,$A$5:$A$8,$E$5:$E$8,"")</f>
        <v>Flat</v>
      </c>
      <c r="I469" s="44" t="str">
        <f aca="false">IF($H469="Percent",_xlfn.XLOOKUP($E469,$A$5:$A$8,$F$5:$F$8,""),"")</f>
        <v/>
      </c>
      <c r="J469" s="42" t="n">
        <f aca="false">IF($H469="Flat",_xlfn.XLOOKUP($E469,$A$5:$A$8,$F$5:$F$8,""),"")</f>
        <v>200</v>
      </c>
      <c r="K469" s="38" t="str">
        <f aca="false">_xlfn.XLOOKUP($E469,$A$5:$A$8,$G$5:$G$8,"")</f>
        <v>Per pay period</v>
      </c>
      <c r="L469" s="38" t="str">
        <f aca="false">_xlfn.XLOOKUP($E469,$A$5:$A$8,$H$5:$H$8,"")</f>
        <v>Every pay period (ongoing)</v>
      </c>
      <c r="M469" s="43" t="n">
        <f aca="false" t="array" ref="M469:M469">MAX(_xlfn.XLOOKUP($A469,TRIM(SUBSTITUTE('worker file'!$A$2:$A$406,_xlfn.UNICHAR(160)," ")),'worker file'!$M$2:$M$406,0),_xlfn.XLOOKUP($B469,TRIM('pay group &amp; schedule'!$A$2:$A$6),'pay group &amp; schedule'!$D$2:$D$6,0))</f>
        <v>46311</v>
      </c>
      <c r="N469" s="43" t="str">
        <f aca="false" t="array" ref="N469:N469">_xlfn.LET(_xlpm.t,_xlfn.XLOOKUP($A469,TRIM(SUBSTITUTE('worker file'!$A$2:$A$406,_xlfn.UNICHAR(160)," ")),'worker file'!$N$2:$N$406,""),IF(N(_xlpm.t)=0,"",_xlpm.t))</f>
        <v/>
      </c>
    </row>
    <row r="470" customFormat="false" ht="15" hidden="false" customHeight="false" outlineLevel="0" collapsed="false">
      <c r="A470" s="39" t="s">
        <v>265</v>
      </c>
      <c r="B470" s="40" t="str">
        <f aca="false" t="array" ref="B470:B470">_xlfn.XLOOKUP($A470,TRIM(SUBSTITUTE('worker file'!$A$2:$A$406,_xlfn.UNICHAR(160)," ")),'worker file'!$L$2:$L$406,"Not found")</f>
        <v>US Semi-monthly</v>
      </c>
      <c r="C470" s="40" t="str">
        <f aca="false" t="array" ref="C470:C470">_xlfn.XLOOKUP($A470,TRIM(SUBSTITUTE('worker file'!$A$2:$A$406,_xlfn.UNICHAR(160)," ")),'worker file'!$D$2:$D$406,"Not found")</f>
        <v>CO</v>
      </c>
      <c r="D470" s="40" t="str">
        <f aca="false" t="array" ref="D470:D470">_xlfn.XLOOKUP($A470,TRIM(SUBSTITUTE('worker file'!$A$2:$A$406,_xlfn.UNICHAR(160)," ")),'worker file'!$Q$2:$Q$406,"Not found")</f>
        <v>Active</v>
      </c>
      <c r="E470" s="39" t="s">
        <v>632</v>
      </c>
      <c r="F470" s="38" t="str">
        <f aca="false">_xlfn.XLOOKUP($E470,$A$5:$A$8,$B$5:$B$8,"")</f>
        <v>Dental – Employee</v>
      </c>
      <c r="G470" s="38" t="str">
        <f aca="false">_xlfn.XLOOKUP($E470,$A$5:$A$8,$D$5:$D$8,"")</f>
        <v>Pre-tax Section 125 (exempt from FIT/SIT/FICA)</v>
      </c>
      <c r="H470" s="38" t="str">
        <f aca="false">_xlfn.XLOOKUP($E470,$A$5:$A$8,$E$5:$E$8,"")</f>
        <v>Flat</v>
      </c>
      <c r="I470" s="44" t="str">
        <f aca="false">IF($H470="Percent",_xlfn.XLOOKUP($E470,$A$5:$A$8,$F$5:$F$8,""),"")</f>
        <v/>
      </c>
      <c r="J470" s="42" t="n">
        <f aca="false">IF($H470="Flat",_xlfn.XLOOKUP($E470,$A$5:$A$8,$F$5:$F$8,""),"")</f>
        <v>44</v>
      </c>
      <c r="K470" s="38" t="str">
        <f aca="false">_xlfn.XLOOKUP($E470,$A$5:$A$8,$G$5:$G$8,"")</f>
        <v>Per pay period</v>
      </c>
      <c r="L470" s="38" t="str">
        <f aca="false">_xlfn.XLOOKUP($E470,$A$5:$A$8,$H$5:$H$8,"")</f>
        <v>Every pay period (ongoing)</v>
      </c>
      <c r="M470" s="43" t="n">
        <f aca="false" t="array" ref="M470:M470">MAX(_xlfn.XLOOKUP($A470,TRIM(SUBSTITUTE('worker file'!$A$2:$A$406,_xlfn.UNICHAR(160)," ")),'worker file'!$M$2:$M$406,0),_xlfn.XLOOKUP($B470,TRIM('pay group &amp; schedule'!$A$2:$A$6),'pay group &amp; schedule'!$D$2:$D$6,0))</f>
        <v>46311</v>
      </c>
      <c r="N470" s="43" t="str">
        <f aca="false" t="array" ref="N470:N470">_xlfn.LET(_xlpm.t,_xlfn.XLOOKUP($A470,TRIM(SUBSTITUTE('worker file'!$A$2:$A$406,_xlfn.UNICHAR(160)," ")),'worker file'!$N$2:$N$406,""),IF(N(_xlpm.t)=0,"",_xlpm.t))</f>
        <v/>
      </c>
    </row>
    <row r="471" customFormat="false" ht="15" hidden="false" customHeight="false" outlineLevel="0" collapsed="false">
      <c r="A471" s="39" t="s">
        <v>265</v>
      </c>
      <c r="B471" s="40" t="str">
        <f aca="false" t="array" ref="B471:B471">_xlfn.XLOOKUP($A471,TRIM(SUBSTITUTE('worker file'!$A$2:$A$406,_xlfn.UNICHAR(160)," ")),'worker file'!$L$2:$L$406,"Not found")</f>
        <v>US Semi-monthly</v>
      </c>
      <c r="C471" s="40" t="str">
        <f aca="false" t="array" ref="C471:C471">_xlfn.XLOOKUP($A471,TRIM(SUBSTITUTE('worker file'!$A$2:$A$406,_xlfn.UNICHAR(160)," ")),'worker file'!$D$2:$D$406,"Not found")</f>
        <v>CO</v>
      </c>
      <c r="D471" s="40" t="str">
        <f aca="false" t="array" ref="D471:D471">_xlfn.XLOOKUP($A471,TRIM(SUBSTITUTE('worker file'!$A$2:$A$406,_xlfn.UNICHAR(160)," ")),'worker file'!$Q$2:$Q$406,"Not found")</f>
        <v>Active</v>
      </c>
      <c r="E471" s="39" t="s">
        <v>634</v>
      </c>
      <c r="F471" s="38" t="str">
        <f aca="false">_xlfn.XLOOKUP($E471,$A$5:$A$8,$B$5:$B$8,"")</f>
        <v>Vision – Employee</v>
      </c>
      <c r="G471" s="38" t="str">
        <f aca="false">_xlfn.XLOOKUP($E471,$A$5:$A$8,$D$5:$D$8,"")</f>
        <v>Pre-tax Section 125 (exempt from FIT/SIT/FICA)</v>
      </c>
      <c r="H471" s="38" t="str">
        <f aca="false">_xlfn.XLOOKUP($E471,$A$5:$A$8,$E$5:$E$8,"")</f>
        <v>Flat</v>
      </c>
      <c r="I471" s="44" t="str">
        <f aca="false">IF($H471="Percent",_xlfn.XLOOKUP($E471,$A$5:$A$8,$F$5:$F$8,""),"")</f>
        <v/>
      </c>
      <c r="J471" s="42" t="n">
        <f aca="false">IF($H471="Flat",_xlfn.XLOOKUP($E471,$A$5:$A$8,$F$5:$F$8,""),"")</f>
        <v>30</v>
      </c>
      <c r="K471" s="38" t="str">
        <f aca="false">_xlfn.XLOOKUP($E471,$A$5:$A$8,$G$5:$G$8,"")</f>
        <v>Per pay period</v>
      </c>
      <c r="L471" s="38" t="str">
        <f aca="false">_xlfn.XLOOKUP($E471,$A$5:$A$8,$H$5:$H$8,"")</f>
        <v>Every pay period (ongoing)</v>
      </c>
      <c r="M471" s="43" t="n">
        <f aca="false" t="array" ref="M471:M471">MAX(_xlfn.XLOOKUP($A471,TRIM(SUBSTITUTE('worker file'!$A$2:$A$406,_xlfn.UNICHAR(160)," ")),'worker file'!$M$2:$M$406,0),_xlfn.XLOOKUP($B471,TRIM('pay group &amp; schedule'!$A$2:$A$6),'pay group &amp; schedule'!$D$2:$D$6,0))</f>
        <v>46311</v>
      </c>
      <c r="N471" s="43" t="str">
        <f aca="false" t="array" ref="N471:N471">_xlfn.LET(_xlpm.t,_xlfn.XLOOKUP($A471,TRIM(SUBSTITUTE('worker file'!$A$2:$A$406,_xlfn.UNICHAR(160)," ")),'worker file'!$N$2:$N$406,""),IF(N(_xlpm.t)=0,"",_xlpm.t))</f>
        <v/>
      </c>
    </row>
    <row r="472" customFormat="false" ht="15" hidden="false" customHeight="false" outlineLevel="0" collapsed="false">
      <c r="A472" s="39" t="s">
        <v>267</v>
      </c>
      <c r="B472" s="40" t="str">
        <f aca="false" t="array" ref="B472:B472">_xlfn.XLOOKUP($A472,TRIM(SUBSTITUTE('worker file'!$A$2:$A$406,_xlfn.UNICHAR(160)," ")),'worker file'!$L$2:$L$406,"Not found")</f>
        <v>US Semi-monthly</v>
      </c>
      <c r="C472" s="40" t="str">
        <f aca="false" t="array" ref="C472:C472">_xlfn.XLOOKUP($A472,TRIM(SUBSTITUTE('worker file'!$A$2:$A$406,_xlfn.UNICHAR(160)," ")),'worker file'!$D$2:$D$406,"Not found")</f>
        <v>WA</v>
      </c>
      <c r="D472" s="40" t="str">
        <f aca="false" t="array" ref="D472:D472">_xlfn.XLOOKUP($A472,TRIM(SUBSTITUTE('worker file'!$A$2:$A$406,_xlfn.UNICHAR(160)," ")),'worker file'!$Q$2:$Q$406,"Not found")</f>
        <v>Active</v>
      </c>
      <c r="E472" s="39" t="s">
        <v>618</v>
      </c>
      <c r="F472" s="38" t="str">
        <f aca="false">_xlfn.XLOOKUP($E472,$A$5:$A$8,$B$5:$B$8,"")</f>
        <v>401(k) Employee Deferral</v>
      </c>
      <c r="G472" s="38" t="str">
        <f aca="false">_xlfn.XLOOKUP($E472,$A$5:$A$8,$D$5:$D$8,"")</f>
        <v>Pre-tax (exempt from FIT/SIT; subject to FICA)</v>
      </c>
      <c r="H472" s="38" t="str">
        <f aca="false">_xlfn.XLOOKUP($E472,$A$5:$A$8,$E$5:$E$8,"")</f>
        <v>Percent</v>
      </c>
      <c r="I472" s="41" t="n">
        <v>0.01</v>
      </c>
      <c r="J472" s="42" t="str">
        <f aca="false">IF($H472="Flat",_xlfn.XLOOKUP($E472,$A$5:$A$8,$F$5:$F$8,""),"")</f>
        <v/>
      </c>
      <c r="K472" s="38" t="str">
        <f aca="false">_xlfn.XLOOKUP($E472,$A$5:$A$8,$G$5:$G$8,"")</f>
        <v>Gross pay</v>
      </c>
      <c r="L472" s="38" t="str">
        <f aca="false">_xlfn.XLOOKUP($E472,$A$5:$A$8,$H$5:$H$8,"")</f>
        <v>Every pay period (ongoing)</v>
      </c>
      <c r="M472" s="43" t="n">
        <f aca="false" t="array" ref="M472:M472">MAX(_xlfn.XLOOKUP($A472,TRIM(SUBSTITUTE('worker file'!$A$2:$A$406,_xlfn.UNICHAR(160)," ")),'worker file'!$M$2:$M$406,0),_xlfn.XLOOKUP($B472,TRIM('pay group &amp; schedule'!$A$2:$A$6),'pay group &amp; schedule'!$D$2:$D$6,0))</f>
        <v>46311</v>
      </c>
      <c r="N472" s="43" t="str">
        <f aca="false" t="array" ref="N472:N472">_xlfn.LET(_xlpm.t,_xlfn.XLOOKUP($A472,TRIM(SUBSTITUTE('worker file'!$A$2:$A$406,_xlfn.UNICHAR(160)," ")),'worker file'!$N$2:$N$406,""),IF(N(_xlpm.t)=0,"",_xlpm.t))</f>
        <v/>
      </c>
    </row>
    <row r="473" customFormat="false" ht="15" hidden="false" customHeight="false" outlineLevel="0" collapsed="false">
      <c r="A473" s="39" t="s">
        <v>267</v>
      </c>
      <c r="B473" s="40" t="str">
        <f aca="false" t="array" ref="B473:B473">_xlfn.XLOOKUP($A473,TRIM(SUBSTITUTE('worker file'!$A$2:$A$406,_xlfn.UNICHAR(160)," ")),'worker file'!$L$2:$L$406,"Not found")</f>
        <v>US Semi-monthly</v>
      </c>
      <c r="C473" s="40" t="str">
        <f aca="false" t="array" ref="C473:C473">_xlfn.XLOOKUP($A473,TRIM(SUBSTITUTE('worker file'!$A$2:$A$406,_xlfn.UNICHAR(160)," ")),'worker file'!$D$2:$D$406,"Not found")</f>
        <v>WA</v>
      </c>
      <c r="D473" s="40" t="str">
        <f aca="false" t="array" ref="D473:D473">_xlfn.XLOOKUP($A473,TRIM(SUBSTITUTE('worker file'!$A$2:$A$406,_xlfn.UNICHAR(160)," ")),'worker file'!$Q$2:$Q$406,"Not found")</f>
        <v>Active</v>
      </c>
      <c r="E473" s="39" t="s">
        <v>626</v>
      </c>
      <c r="F473" s="38" t="str">
        <f aca="false">_xlfn.XLOOKUP($E473,$A$5:$A$8,$B$5:$B$8,"")</f>
        <v>Medical (Health) – Employee</v>
      </c>
      <c r="G473" s="38" t="str">
        <f aca="false">_xlfn.XLOOKUP($E473,$A$5:$A$8,$D$5:$D$8,"")</f>
        <v>Pre-tax Section 125 (exempt from FIT/SIT/FICA)</v>
      </c>
      <c r="H473" s="38" t="str">
        <f aca="false">_xlfn.XLOOKUP($E473,$A$5:$A$8,$E$5:$E$8,"")</f>
        <v>Flat</v>
      </c>
      <c r="I473" s="44" t="str">
        <f aca="false">IF($H473="Percent",_xlfn.XLOOKUP($E473,$A$5:$A$8,$F$5:$F$8,""),"")</f>
        <v/>
      </c>
      <c r="J473" s="42" t="n">
        <f aca="false">IF($H473="Flat",_xlfn.XLOOKUP($E473,$A$5:$A$8,$F$5:$F$8,""),"")</f>
        <v>200</v>
      </c>
      <c r="K473" s="38" t="str">
        <f aca="false">_xlfn.XLOOKUP($E473,$A$5:$A$8,$G$5:$G$8,"")</f>
        <v>Per pay period</v>
      </c>
      <c r="L473" s="38" t="str">
        <f aca="false">_xlfn.XLOOKUP($E473,$A$5:$A$8,$H$5:$H$8,"")</f>
        <v>Every pay period (ongoing)</v>
      </c>
      <c r="M473" s="43" t="n">
        <f aca="false" t="array" ref="M473:M473">MAX(_xlfn.XLOOKUP($A473,TRIM(SUBSTITUTE('worker file'!$A$2:$A$406,_xlfn.UNICHAR(160)," ")),'worker file'!$M$2:$M$406,0),_xlfn.XLOOKUP($B473,TRIM('pay group &amp; schedule'!$A$2:$A$6),'pay group &amp; schedule'!$D$2:$D$6,0))</f>
        <v>46311</v>
      </c>
      <c r="N473" s="43" t="str">
        <f aca="false" t="array" ref="N473:N473">_xlfn.LET(_xlpm.t,_xlfn.XLOOKUP($A473,TRIM(SUBSTITUTE('worker file'!$A$2:$A$406,_xlfn.UNICHAR(160)," ")),'worker file'!$N$2:$N$406,""),IF(N(_xlpm.t)=0,"",_xlpm.t))</f>
        <v/>
      </c>
    </row>
    <row r="474" customFormat="false" ht="15" hidden="false" customHeight="false" outlineLevel="0" collapsed="false">
      <c r="A474" s="39" t="s">
        <v>267</v>
      </c>
      <c r="B474" s="40" t="str">
        <f aca="false" t="array" ref="B474:B474">_xlfn.XLOOKUP($A474,TRIM(SUBSTITUTE('worker file'!$A$2:$A$406,_xlfn.UNICHAR(160)," ")),'worker file'!$L$2:$L$406,"Not found")</f>
        <v>US Semi-monthly</v>
      </c>
      <c r="C474" s="40" t="str">
        <f aca="false" t="array" ref="C474:C474">_xlfn.XLOOKUP($A474,TRIM(SUBSTITUTE('worker file'!$A$2:$A$406,_xlfn.UNICHAR(160)," ")),'worker file'!$D$2:$D$406,"Not found")</f>
        <v>WA</v>
      </c>
      <c r="D474" s="40" t="str">
        <f aca="false" t="array" ref="D474:D474">_xlfn.XLOOKUP($A474,TRIM(SUBSTITUTE('worker file'!$A$2:$A$406,_xlfn.UNICHAR(160)," ")),'worker file'!$Q$2:$Q$406,"Not found")</f>
        <v>Active</v>
      </c>
      <c r="E474" s="39" t="s">
        <v>632</v>
      </c>
      <c r="F474" s="38" t="str">
        <f aca="false">_xlfn.XLOOKUP($E474,$A$5:$A$8,$B$5:$B$8,"")</f>
        <v>Dental – Employee</v>
      </c>
      <c r="G474" s="38" t="str">
        <f aca="false">_xlfn.XLOOKUP($E474,$A$5:$A$8,$D$5:$D$8,"")</f>
        <v>Pre-tax Section 125 (exempt from FIT/SIT/FICA)</v>
      </c>
      <c r="H474" s="38" t="str">
        <f aca="false">_xlfn.XLOOKUP($E474,$A$5:$A$8,$E$5:$E$8,"")</f>
        <v>Flat</v>
      </c>
      <c r="I474" s="44" t="str">
        <f aca="false">IF($H474="Percent",_xlfn.XLOOKUP($E474,$A$5:$A$8,$F$5:$F$8,""),"")</f>
        <v/>
      </c>
      <c r="J474" s="42" t="n">
        <f aca="false">IF($H474="Flat",_xlfn.XLOOKUP($E474,$A$5:$A$8,$F$5:$F$8,""),"")</f>
        <v>44</v>
      </c>
      <c r="K474" s="38" t="str">
        <f aca="false">_xlfn.XLOOKUP($E474,$A$5:$A$8,$G$5:$G$8,"")</f>
        <v>Per pay period</v>
      </c>
      <c r="L474" s="38" t="str">
        <f aca="false">_xlfn.XLOOKUP($E474,$A$5:$A$8,$H$5:$H$8,"")</f>
        <v>Every pay period (ongoing)</v>
      </c>
      <c r="M474" s="43" t="n">
        <f aca="false" t="array" ref="M474:M474">MAX(_xlfn.XLOOKUP($A474,TRIM(SUBSTITUTE('worker file'!$A$2:$A$406,_xlfn.UNICHAR(160)," ")),'worker file'!$M$2:$M$406,0),_xlfn.XLOOKUP($B474,TRIM('pay group &amp; schedule'!$A$2:$A$6),'pay group &amp; schedule'!$D$2:$D$6,0))</f>
        <v>46311</v>
      </c>
      <c r="N474" s="43" t="str">
        <f aca="false" t="array" ref="N474:N474">_xlfn.LET(_xlpm.t,_xlfn.XLOOKUP($A474,TRIM(SUBSTITUTE('worker file'!$A$2:$A$406,_xlfn.UNICHAR(160)," ")),'worker file'!$N$2:$N$406,""),IF(N(_xlpm.t)=0,"",_xlpm.t))</f>
        <v/>
      </c>
    </row>
    <row r="475" customFormat="false" ht="15" hidden="false" customHeight="false" outlineLevel="0" collapsed="false">
      <c r="A475" s="39" t="s">
        <v>267</v>
      </c>
      <c r="B475" s="40" t="str">
        <f aca="false" t="array" ref="B475:B475">_xlfn.XLOOKUP($A475,TRIM(SUBSTITUTE('worker file'!$A$2:$A$406,_xlfn.UNICHAR(160)," ")),'worker file'!$L$2:$L$406,"Not found")</f>
        <v>US Semi-monthly</v>
      </c>
      <c r="C475" s="40" t="str">
        <f aca="false" t="array" ref="C475:C475">_xlfn.XLOOKUP($A475,TRIM(SUBSTITUTE('worker file'!$A$2:$A$406,_xlfn.UNICHAR(160)," ")),'worker file'!$D$2:$D$406,"Not found")</f>
        <v>WA</v>
      </c>
      <c r="D475" s="40" t="str">
        <f aca="false" t="array" ref="D475:D475">_xlfn.XLOOKUP($A475,TRIM(SUBSTITUTE('worker file'!$A$2:$A$406,_xlfn.UNICHAR(160)," ")),'worker file'!$Q$2:$Q$406,"Not found")</f>
        <v>Active</v>
      </c>
      <c r="E475" s="39" t="s">
        <v>634</v>
      </c>
      <c r="F475" s="38" t="str">
        <f aca="false">_xlfn.XLOOKUP($E475,$A$5:$A$8,$B$5:$B$8,"")</f>
        <v>Vision – Employee</v>
      </c>
      <c r="G475" s="38" t="str">
        <f aca="false">_xlfn.XLOOKUP($E475,$A$5:$A$8,$D$5:$D$8,"")</f>
        <v>Pre-tax Section 125 (exempt from FIT/SIT/FICA)</v>
      </c>
      <c r="H475" s="38" t="str">
        <f aca="false">_xlfn.XLOOKUP($E475,$A$5:$A$8,$E$5:$E$8,"")</f>
        <v>Flat</v>
      </c>
      <c r="I475" s="44" t="str">
        <f aca="false">IF($H475="Percent",_xlfn.XLOOKUP($E475,$A$5:$A$8,$F$5:$F$8,""),"")</f>
        <v/>
      </c>
      <c r="J475" s="42" t="n">
        <f aca="false">IF($H475="Flat",_xlfn.XLOOKUP($E475,$A$5:$A$8,$F$5:$F$8,""),"")</f>
        <v>30</v>
      </c>
      <c r="K475" s="38" t="str">
        <f aca="false">_xlfn.XLOOKUP($E475,$A$5:$A$8,$G$5:$G$8,"")</f>
        <v>Per pay period</v>
      </c>
      <c r="L475" s="38" t="str">
        <f aca="false">_xlfn.XLOOKUP($E475,$A$5:$A$8,$H$5:$H$8,"")</f>
        <v>Every pay period (ongoing)</v>
      </c>
      <c r="M475" s="43" t="n">
        <f aca="false" t="array" ref="M475:M475">MAX(_xlfn.XLOOKUP($A475,TRIM(SUBSTITUTE('worker file'!$A$2:$A$406,_xlfn.UNICHAR(160)," ")),'worker file'!$M$2:$M$406,0),_xlfn.XLOOKUP($B475,TRIM('pay group &amp; schedule'!$A$2:$A$6),'pay group &amp; schedule'!$D$2:$D$6,0))</f>
        <v>46311</v>
      </c>
      <c r="N475" s="43" t="str">
        <f aca="false" t="array" ref="N475:N475">_xlfn.LET(_xlpm.t,_xlfn.XLOOKUP($A475,TRIM(SUBSTITUTE('worker file'!$A$2:$A$406,_xlfn.UNICHAR(160)," ")),'worker file'!$N$2:$N$406,""),IF(N(_xlpm.t)=0,"",_xlpm.t))</f>
        <v/>
      </c>
    </row>
    <row r="476" customFormat="false" ht="15" hidden="false" customHeight="false" outlineLevel="0" collapsed="false">
      <c r="A476" s="39" t="s">
        <v>268</v>
      </c>
      <c r="B476" s="40" t="str">
        <f aca="false" t="array" ref="B476:B476">_xlfn.XLOOKUP($A476,TRIM(SUBSTITUTE('worker file'!$A$2:$A$406,_xlfn.UNICHAR(160)," ")),'worker file'!$L$2:$L$406,"Not found")</f>
        <v>US Semi-monthly</v>
      </c>
      <c r="C476" s="40" t="str">
        <f aca="false" t="array" ref="C476:C476">_xlfn.XLOOKUP($A476,TRIM(SUBSTITUTE('worker file'!$A$2:$A$406,_xlfn.UNICHAR(160)," ")),'worker file'!$D$2:$D$406,"Not found")</f>
        <v>CA</v>
      </c>
      <c r="D476" s="40" t="str">
        <f aca="false" t="array" ref="D476:D476">_xlfn.XLOOKUP($A476,TRIM(SUBSTITUTE('worker file'!$A$2:$A$406,_xlfn.UNICHAR(160)," ")),'worker file'!$Q$2:$Q$406,"Not found")</f>
        <v>Active</v>
      </c>
      <c r="E476" s="39" t="s">
        <v>618</v>
      </c>
      <c r="F476" s="38" t="str">
        <f aca="false">_xlfn.XLOOKUP($E476,$A$5:$A$8,$B$5:$B$8,"")</f>
        <v>401(k) Employee Deferral</v>
      </c>
      <c r="G476" s="38" t="str">
        <f aca="false">_xlfn.XLOOKUP($E476,$A$5:$A$8,$D$5:$D$8,"")</f>
        <v>Pre-tax (exempt from FIT/SIT; subject to FICA)</v>
      </c>
      <c r="H476" s="38" t="str">
        <f aca="false">_xlfn.XLOOKUP($E476,$A$5:$A$8,$E$5:$E$8,"")</f>
        <v>Percent</v>
      </c>
      <c r="I476" s="41" t="n">
        <v>0.06</v>
      </c>
      <c r="J476" s="42" t="str">
        <f aca="false">IF($H476="Flat",_xlfn.XLOOKUP($E476,$A$5:$A$8,$F$5:$F$8,""),"")</f>
        <v/>
      </c>
      <c r="K476" s="38" t="str">
        <f aca="false">_xlfn.XLOOKUP($E476,$A$5:$A$8,$G$5:$G$8,"")</f>
        <v>Gross pay</v>
      </c>
      <c r="L476" s="38" t="str">
        <f aca="false">_xlfn.XLOOKUP($E476,$A$5:$A$8,$H$5:$H$8,"")</f>
        <v>Every pay period (ongoing)</v>
      </c>
      <c r="M476" s="43" t="n">
        <f aca="false" t="array" ref="M476:M476">MAX(_xlfn.XLOOKUP($A476,TRIM(SUBSTITUTE('worker file'!$A$2:$A$406,_xlfn.UNICHAR(160)," ")),'worker file'!$M$2:$M$406,0),_xlfn.XLOOKUP($B476,TRIM('pay group &amp; schedule'!$A$2:$A$6),'pay group &amp; schedule'!$D$2:$D$6,0))</f>
        <v>46311</v>
      </c>
      <c r="N476" s="43" t="str">
        <f aca="false" t="array" ref="N476:N476">_xlfn.LET(_xlpm.t,_xlfn.XLOOKUP($A476,TRIM(SUBSTITUTE('worker file'!$A$2:$A$406,_xlfn.UNICHAR(160)," ")),'worker file'!$N$2:$N$406,""),IF(N(_xlpm.t)=0,"",_xlpm.t))</f>
        <v/>
      </c>
    </row>
    <row r="477" customFormat="false" ht="15" hidden="false" customHeight="false" outlineLevel="0" collapsed="false">
      <c r="A477" s="39" t="s">
        <v>268</v>
      </c>
      <c r="B477" s="40" t="str">
        <f aca="false" t="array" ref="B477:B477">_xlfn.XLOOKUP($A477,TRIM(SUBSTITUTE('worker file'!$A$2:$A$406,_xlfn.UNICHAR(160)," ")),'worker file'!$L$2:$L$406,"Not found")</f>
        <v>US Semi-monthly</v>
      </c>
      <c r="C477" s="40" t="str">
        <f aca="false" t="array" ref="C477:C477">_xlfn.XLOOKUP($A477,TRIM(SUBSTITUTE('worker file'!$A$2:$A$406,_xlfn.UNICHAR(160)," ")),'worker file'!$D$2:$D$406,"Not found")</f>
        <v>CA</v>
      </c>
      <c r="D477" s="40" t="str">
        <f aca="false" t="array" ref="D477:D477">_xlfn.XLOOKUP($A477,TRIM(SUBSTITUTE('worker file'!$A$2:$A$406,_xlfn.UNICHAR(160)," ")),'worker file'!$Q$2:$Q$406,"Not found")</f>
        <v>Active</v>
      </c>
      <c r="E477" s="39" t="s">
        <v>626</v>
      </c>
      <c r="F477" s="38" t="str">
        <f aca="false">_xlfn.XLOOKUP($E477,$A$5:$A$8,$B$5:$B$8,"")</f>
        <v>Medical (Health) – Employee</v>
      </c>
      <c r="G477" s="38" t="str">
        <f aca="false">_xlfn.XLOOKUP($E477,$A$5:$A$8,$D$5:$D$8,"")</f>
        <v>Pre-tax Section 125 (exempt from FIT/SIT/FICA)</v>
      </c>
      <c r="H477" s="38" t="str">
        <f aca="false">_xlfn.XLOOKUP($E477,$A$5:$A$8,$E$5:$E$8,"")</f>
        <v>Flat</v>
      </c>
      <c r="I477" s="44" t="str">
        <f aca="false">IF($H477="Percent",_xlfn.XLOOKUP($E477,$A$5:$A$8,$F$5:$F$8,""),"")</f>
        <v/>
      </c>
      <c r="J477" s="42" t="n">
        <f aca="false">IF($H477="Flat",_xlfn.XLOOKUP($E477,$A$5:$A$8,$F$5:$F$8,""),"")</f>
        <v>200</v>
      </c>
      <c r="K477" s="38" t="str">
        <f aca="false">_xlfn.XLOOKUP($E477,$A$5:$A$8,$G$5:$G$8,"")</f>
        <v>Per pay period</v>
      </c>
      <c r="L477" s="38" t="str">
        <f aca="false">_xlfn.XLOOKUP($E477,$A$5:$A$8,$H$5:$H$8,"")</f>
        <v>Every pay period (ongoing)</v>
      </c>
      <c r="M477" s="43" t="n">
        <f aca="false" t="array" ref="M477:M477">MAX(_xlfn.XLOOKUP($A477,TRIM(SUBSTITUTE('worker file'!$A$2:$A$406,_xlfn.UNICHAR(160)," ")),'worker file'!$M$2:$M$406,0),_xlfn.XLOOKUP($B477,TRIM('pay group &amp; schedule'!$A$2:$A$6),'pay group &amp; schedule'!$D$2:$D$6,0))</f>
        <v>46311</v>
      </c>
      <c r="N477" s="43" t="str">
        <f aca="false" t="array" ref="N477:N477">_xlfn.LET(_xlpm.t,_xlfn.XLOOKUP($A477,TRIM(SUBSTITUTE('worker file'!$A$2:$A$406,_xlfn.UNICHAR(160)," ")),'worker file'!$N$2:$N$406,""),IF(N(_xlpm.t)=0,"",_xlpm.t))</f>
        <v/>
      </c>
    </row>
    <row r="478" customFormat="false" ht="15" hidden="false" customHeight="false" outlineLevel="0" collapsed="false">
      <c r="A478" s="39" t="s">
        <v>268</v>
      </c>
      <c r="B478" s="40" t="str">
        <f aca="false" t="array" ref="B478:B478">_xlfn.XLOOKUP($A478,TRIM(SUBSTITUTE('worker file'!$A$2:$A$406,_xlfn.UNICHAR(160)," ")),'worker file'!$L$2:$L$406,"Not found")</f>
        <v>US Semi-monthly</v>
      </c>
      <c r="C478" s="40" t="str">
        <f aca="false" t="array" ref="C478:C478">_xlfn.XLOOKUP($A478,TRIM(SUBSTITUTE('worker file'!$A$2:$A$406,_xlfn.UNICHAR(160)," ")),'worker file'!$D$2:$D$406,"Not found")</f>
        <v>CA</v>
      </c>
      <c r="D478" s="40" t="str">
        <f aca="false" t="array" ref="D478:D478">_xlfn.XLOOKUP($A478,TRIM(SUBSTITUTE('worker file'!$A$2:$A$406,_xlfn.UNICHAR(160)," ")),'worker file'!$Q$2:$Q$406,"Not found")</f>
        <v>Active</v>
      </c>
      <c r="E478" s="39" t="s">
        <v>632</v>
      </c>
      <c r="F478" s="38" t="str">
        <f aca="false">_xlfn.XLOOKUP($E478,$A$5:$A$8,$B$5:$B$8,"")</f>
        <v>Dental – Employee</v>
      </c>
      <c r="G478" s="38" t="str">
        <f aca="false">_xlfn.XLOOKUP($E478,$A$5:$A$8,$D$5:$D$8,"")</f>
        <v>Pre-tax Section 125 (exempt from FIT/SIT/FICA)</v>
      </c>
      <c r="H478" s="38" t="str">
        <f aca="false">_xlfn.XLOOKUP($E478,$A$5:$A$8,$E$5:$E$8,"")</f>
        <v>Flat</v>
      </c>
      <c r="I478" s="44" t="str">
        <f aca="false">IF($H478="Percent",_xlfn.XLOOKUP($E478,$A$5:$A$8,$F$5:$F$8,""),"")</f>
        <v/>
      </c>
      <c r="J478" s="42" t="n">
        <f aca="false">IF($H478="Flat",_xlfn.XLOOKUP($E478,$A$5:$A$8,$F$5:$F$8,""),"")</f>
        <v>44</v>
      </c>
      <c r="K478" s="38" t="str">
        <f aca="false">_xlfn.XLOOKUP($E478,$A$5:$A$8,$G$5:$G$8,"")</f>
        <v>Per pay period</v>
      </c>
      <c r="L478" s="38" t="str">
        <f aca="false">_xlfn.XLOOKUP($E478,$A$5:$A$8,$H$5:$H$8,"")</f>
        <v>Every pay period (ongoing)</v>
      </c>
      <c r="M478" s="43" t="n">
        <f aca="false" t="array" ref="M478:M478">MAX(_xlfn.XLOOKUP($A478,TRIM(SUBSTITUTE('worker file'!$A$2:$A$406,_xlfn.UNICHAR(160)," ")),'worker file'!$M$2:$M$406,0),_xlfn.XLOOKUP($B478,TRIM('pay group &amp; schedule'!$A$2:$A$6),'pay group &amp; schedule'!$D$2:$D$6,0))</f>
        <v>46311</v>
      </c>
      <c r="N478" s="43" t="str">
        <f aca="false" t="array" ref="N478:N478">_xlfn.LET(_xlpm.t,_xlfn.XLOOKUP($A478,TRIM(SUBSTITUTE('worker file'!$A$2:$A$406,_xlfn.UNICHAR(160)," ")),'worker file'!$N$2:$N$406,""),IF(N(_xlpm.t)=0,"",_xlpm.t))</f>
        <v/>
      </c>
    </row>
    <row r="479" customFormat="false" ht="15" hidden="false" customHeight="false" outlineLevel="0" collapsed="false">
      <c r="A479" s="39" t="s">
        <v>268</v>
      </c>
      <c r="B479" s="40" t="str">
        <f aca="false" t="array" ref="B479:B479">_xlfn.XLOOKUP($A479,TRIM(SUBSTITUTE('worker file'!$A$2:$A$406,_xlfn.UNICHAR(160)," ")),'worker file'!$L$2:$L$406,"Not found")</f>
        <v>US Semi-monthly</v>
      </c>
      <c r="C479" s="40" t="str">
        <f aca="false" t="array" ref="C479:C479">_xlfn.XLOOKUP($A479,TRIM(SUBSTITUTE('worker file'!$A$2:$A$406,_xlfn.UNICHAR(160)," ")),'worker file'!$D$2:$D$406,"Not found")</f>
        <v>CA</v>
      </c>
      <c r="D479" s="40" t="str">
        <f aca="false" t="array" ref="D479:D479">_xlfn.XLOOKUP($A479,TRIM(SUBSTITUTE('worker file'!$A$2:$A$406,_xlfn.UNICHAR(160)," ")),'worker file'!$Q$2:$Q$406,"Not found")</f>
        <v>Active</v>
      </c>
      <c r="E479" s="39" t="s">
        <v>634</v>
      </c>
      <c r="F479" s="38" t="str">
        <f aca="false">_xlfn.XLOOKUP($E479,$A$5:$A$8,$B$5:$B$8,"")</f>
        <v>Vision – Employee</v>
      </c>
      <c r="G479" s="38" t="str">
        <f aca="false">_xlfn.XLOOKUP($E479,$A$5:$A$8,$D$5:$D$8,"")</f>
        <v>Pre-tax Section 125 (exempt from FIT/SIT/FICA)</v>
      </c>
      <c r="H479" s="38" t="str">
        <f aca="false">_xlfn.XLOOKUP($E479,$A$5:$A$8,$E$5:$E$8,"")</f>
        <v>Flat</v>
      </c>
      <c r="I479" s="44" t="str">
        <f aca="false">IF($H479="Percent",_xlfn.XLOOKUP($E479,$A$5:$A$8,$F$5:$F$8,""),"")</f>
        <v/>
      </c>
      <c r="J479" s="42" t="n">
        <f aca="false">IF($H479="Flat",_xlfn.XLOOKUP($E479,$A$5:$A$8,$F$5:$F$8,""),"")</f>
        <v>30</v>
      </c>
      <c r="K479" s="38" t="str">
        <f aca="false">_xlfn.XLOOKUP($E479,$A$5:$A$8,$G$5:$G$8,"")</f>
        <v>Per pay period</v>
      </c>
      <c r="L479" s="38" t="str">
        <f aca="false">_xlfn.XLOOKUP($E479,$A$5:$A$8,$H$5:$H$8,"")</f>
        <v>Every pay period (ongoing)</v>
      </c>
      <c r="M479" s="43" t="n">
        <f aca="false" t="array" ref="M479:M479">MAX(_xlfn.XLOOKUP($A479,TRIM(SUBSTITUTE('worker file'!$A$2:$A$406,_xlfn.UNICHAR(160)," ")),'worker file'!$M$2:$M$406,0),_xlfn.XLOOKUP($B479,TRIM('pay group &amp; schedule'!$A$2:$A$6),'pay group &amp; schedule'!$D$2:$D$6,0))</f>
        <v>46311</v>
      </c>
      <c r="N479" s="43" t="str">
        <f aca="false" t="array" ref="N479:N479">_xlfn.LET(_xlpm.t,_xlfn.XLOOKUP($A479,TRIM(SUBSTITUTE('worker file'!$A$2:$A$406,_xlfn.UNICHAR(160)," ")),'worker file'!$N$2:$N$406,""),IF(N(_xlpm.t)=0,"",_xlpm.t))</f>
        <v/>
      </c>
    </row>
    <row r="480" customFormat="false" ht="15" hidden="false" customHeight="false" outlineLevel="0" collapsed="false">
      <c r="A480" s="39" t="s">
        <v>269</v>
      </c>
      <c r="B480" s="40" t="str">
        <f aca="false" t="array" ref="B480:B480">_xlfn.XLOOKUP($A480,TRIM(SUBSTITUTE('worker file'!$A$2:$A$406,_xlfn.UNICHAR(160)," ")),'worker file'!$L$2:$L$406,"Not found")</f>
        <v>US Semi-monthly</v>
      </c>
      <c r="C480" s="40" t="str">
        <f aca="false" t="array" ref="C480:C480">_xlfn.XLOOKUP($A480,TRIM(SUBSTITUTE('worker file'!$A$2:$A$406,_xlfn.UNICHAR(160)," ")),'worker file'!$D$2:$D$406,"Not found")</f>
        <v>WA</v>
      </c>
      <c r="D480" s="40" t="str">
        <f aca="false" t="array" ref="D480:D480">_xlfn.XLOOKUP($A480,TRIM(SUBSTITUTE('worker file'!$A$2:$A$406,_xlfn.UNICHAR(160)," ")),'worker file'!$Q$2:$Q$406,"Not found")</f>
        <v>Active</v>
      </c>
      <c r="E480" s="39" t="s">
        <v>618</v>
      </c>
      <c r="F480" s="38" t="str">
        <f aca="false">_xlfn.XLOOKUP($E480,$A$5:$A$8,$B$5:$B$8,"")</f>
        <v>401(k) Employee Deferral</v>
      </c>
      <c r="G480" s="38" t="str">
        <f aca="false">_xlfn.XLOOKUP($E480,$A$5:$A$8,$D$5:$D$8,"")</f>
        <v>Pre-tax (exempt from FIT/SIT; subject to FICA)</v>
      </c>
      <c r="H480" s="38" t="str">
        <f aca="false">_xlfn.XLOOKUP($E480,$A$5:$A$8,$E$5:$E$8,"")</f>
        <v>Percent</v>
      </c>
      <c r="I480" s="41" t="n">
        <v>0.03</v>
      </c>
      <c r="J480" s="42" t="str">
        <f aca="false">IF($H480="Flat",_xlfn.XLOOKUP($E480,$A$5:$A$8,$F$5:$F$8,""),"")</f>
        <v/>
      </c>
      <c r="K480" s="38" t="str">
        <f aca="false">_xlfn.XLOOKUP($E480,$A$5:$A$8,$G$5:$G$8,"")</f>
        <v>Gross pay</v>
      </c>
      <c r="L480" s="38" t="str">
        <f aca="false">_xlfn.XLOOKUP($E480,$A$5:$A$8,$H$5:$H$8,"")</f>
        <v>Every pay period (ongoing)</v>
      </c>
      <c r="M480" s="43" t="n">
        <f aca="false" t="array" ref="M480:M480">MAX(_xlfn.XLOOKUP($A480,TRIM(SUBSTITUTE('worker file'!$A$2:$A$406,_xlfn.UNICHAR(160)," ")),'worker file'!$M$2:$M$406,0),_xlfn.XLOOKUP($B480,TRIM('pay group &amp; schedule'!$A$2:$A$6),'pay group &amp; schedule'!$D$2:$D$6,0))</f>
        <v>46311</v>
      </c>
      <c r="N480" s="43" t="str">
        <f aca="false" t="array" ref="N480:N480">_xlfn.LET(_xlpm.t,_xlfn.XLOOKUP($A480,TRIM(SUBSTITUTE('worker file'!$A$2:$A$406,_xlfn.UNICHAR(160)," ")),'worker file'!$N$2:$N$406,""),IF(N(_xlpm.t)=0,"",_xlpm.t))</f>
        <v/>
      </c>
    </row>
    <row r="481" customFormat="false" ht="15" hidden="false" customHeight="false" outlineLevel="0" collapsed="false">
      <c r="A481" s="39" t="s">
        <v>269</v>
      </c>
      <c r="B481" s="40" t="str">
        <f aca="false" t="array" ref="B481:B481">_xlfn.XLOOKUP($A481,TRIM(SUBSTITUTE('worker file'!$A$2:$A$406,_xlfn.UNICHAR(160)," ")),'worker file'!$L$2:$L$406,"Not found")</f>
        <v>US Semi-monthly</v>
      </c>
      <c r="C481" s="40" t="str">
        <f aca="false" t="array" ref="C481:C481">_xlfn.XLOOKUP($A481,TRIM(SUBSTITUTE('worker file'!$A$2:$A$406,_xlfn.UNICHAR(160)," ")),'worker file'!$D$2:$D$406,"Not found")</f>
        <v>WA</v>
      </c>
      <c r="D481" s="40" t="str">
        <f aca="false" t="array" ref="D481:D481">_xlfn.XLOOKUP($A481,TRIM(SUBSTITUTE('worker file'!$A$2:$A$406,_xlfn.UNICHAR(160)," ")),'worker file'!$Q$2:$Q$406,"Not found")</f>
        <v>Active</v>
      </c>
      <c r="E481" s="39" t="s">
        <v>626</v>
      </c>
      <c r="F481" s="38" t="str">
        <f aca="false">_xlfn.XLOOKUP($E481,$A$5:$A$8,$B$5:$B$8,"")</f>
        <v>Medical (Health) – Employee</v>
      </c>
      <c r="G481" s="38" t="str">
        <f aca="false">_xlfn.XLOOKUP($E481,$A$5:$A$8,$D$5:$D$8,"")</f>
        <v>Pre-tax Section 125 (exempt from FIT/SIT/FICA)</v>
      </c>
      <c r="H481" s="38" t="str">
        <f aca="false">_xlfn.XLOOKUP($E481,$A$5:$A$8,$E$5:$E$8,"")</f>
        <v>Flat</v>
      </c>
      <c r="I481" s="44" t="str">
        <f aca="false">IF($H481="Percent",_xlfn.XLOOKUP($E481,$A$5:$A$8,$F$5:$F$8,""),"")</f>
        <v/>
      </c>
      <c r="J481" s="42" t="n">
        <f aca="false">IF($H481="Flat",_xlfn.XLOOKUP($E481,$A$5:$A$8,$F$5:$F$8,""),"")</f>
        <v>200</v>
      </c>
      <c r="K481" s="38" t="str">
        <f aca="false">_xlfn.XLOOKUP($E481,$A$5:$A$8,$G$5:$G$8,"")</f>
        <v>Per pay period</v>
      </c>
      <c r="L481" s="38" t="str">
        <f aca="false">_xlfn.XLOOKUP($E481,$A$5:$A$8,$H$5:$H$8,"")</f>
        <v>Every pay period (ongoing)</v>
      </c>
      <c r="M481" s="43" t="n">
        <f aca="false" t="array" ref="M481:M481">MAX(_xlfn.XLOOKUP($A481,TRIM(SUBSTITUTE('worker file'!$A$2:$A$406,_xlfn.UNICHAR(160)," ")),'worker file'!$M$2:$M$406,0),_xlfn.XLOOKUP($B481,TRIM('pay group &amp; schedule'!$A$2:$A$6),'pay group &amp; schedule'!$D$2:$D$6,0))</f>
        <v>46311</v>
      </c>
      <c r="N481" s="43" t="str">
        <f aca="false" t="array" ref="N481:N481">_xlfn.LET(_xlpm.t,_xlfn.XLOOKUP($A481,TRIM(SUBSTITUTE('worker file'!$A$2:$A$406,_xlfn.UNICHAR(160)," ")),'worker file'!$N$2:$N$406,""),IF(N(_xlpm.t)=0,"",_xlpm.t))</f>
        <v/>
      </c>
    </row>
    <row r="482" customFormat="false" ht="15" hidden="false" customHeight="false" outlineLevel="0" collapsed="false">
      <c r="A482" s="39" t="s">
        <v>269</v>
      </c>
      <c r="B482" s="40" t="str">
        <f aca="false" t="array" ref="B482:B482">_xlfn.XLOOKUP($A482,TRIM(SUBSTITUTE('worker file'!$A$2:$A$406,_xlfn.UNICHAR(160)," ")),'worker file'!$L$2:$L$406,"Not found")</f>
        <v>US Semi-monthly</v>
      </c>
      <c r="C482" s="40" t="str">
        <f aca="false" t="array" ref="C482:C482">_xlfn.XLOOKUP($A482,TRIM(SUBSTITUTE('worker file'!$A$2:$A$406,_xlfn.UNICHAR(160)," ")),'worker file'!$D$2:$D$406,"Not found")</f>
        <v>WA</v>
      </c>
      <c r="D482" s="40" t="str">
        <f aca="false" t="array" ref="D482:D482">_xlfn.XLOOKUP($A482,TRIM(SUBSTITUTE('worker file'!$A$2:$A$406,_xlfn.UNICHAR(160)," ")),'worker file'!$Q$2:$Q$406,"Not found")</f>
        <v>Active</v>
      </c>
      <c r="E482" s="39" t="s">
        <v>632</v>
      </c>
      <c r="F482" s="38" t="str">
        <f aca="false">_xlfn.XLOOKUP($E482,$A$5:$A$8,$B$5:$B$8,"")</f>
        <v>Dental – Employee</v>
      </c>
      <c r="G482" s="38" t="str">
        <f aca="false">_xlfn.XLOOKUP($E482,$A$5:$A$8,$D$5:$D$8,"")</f>
        <v>Pre-tax Section 125 (exempt from FIT/SIT/FICA)</v>
      </c>
      <c r="H482" s="38" t="str">
        <f aca="false">_xlfn.XLOOKUP($E482,$A$5:$A$8,$E$5:$E$8,"")</f>
        <v>Flat</v>
      </c>
      <c r="I482" s="44" t="str">
        <f aca="false">IF($H482="Percent",_xlfn.XLOOKUP($E482,$A$5:$A$8,$F$5:$F$8,""),"")</f>
        <v/>
      </c>
      <c r="J482" s="42" t="n">
        <f aca="false">IF($H482="Flat",_xlfn.XLOOKUP($E482,$A$5:$A$8,$F$5:$F$8,""),"")</f>
        <v>44</v>
      </c>
      <c r="K482" s="38" t="str">
        <f aca="false">_xlfn.XLOOKUP($E482,$A$5:$A$8,$G$5:$G$8,"")</f>
        <v>Per pay period</v>
      </c>
      <c r="L482" s="38" t="str">
        <f aca="false">_xlfn.XLOOKUP($E482,$A$5:$A$8,$H$5:$H$8,"")</f>
        <v>Every pay period (ongoing)</v>
      </c>
      <c r="M482" s="43" t="n">
        <f aca="false" t="array" ref="M482:M482">MAX(_xlfn.XLOOKUP($A482,TRIM(SUBSTITUTE('worker file'!$A$2:$A$406,_xlfn.UNICHAR(160)," ")),'worker file'!$M$2:$M$406,0),_xlfn.XLOOKUP($B482,TRIM('pay group &amp; schedule'!$A$2:$A$6),'pay group &amp; schedule'!$D$2:$D$6,0))</f>
        <v>46311</v>
      </c>
      <c r="N482" s="43" t="str">
        <f aca="false" t="array" ref="N482:N482">_xlfn.LET(_xlpm.t,_xlfn.XLOOKUP($A482,TRIM(SUBSTITUTE('worker file'!$A$2:$A$406,_xlfn.UNICHAR(160)," ")),'worker file'!$N$2:$N$406,""),IF(N(_xlpm.t)=0,"",_xlpm.t))</f>
        <v/>
      </c>
    </row>
    <row r="483" customFormat="false" ht="15" hidden="false" customHeight="false" outlineLevel="0" collapsed="false">
      <c r="A483" s="39" t="s">
        <v>269</v>
      </c>
      <c r="B483" s="40" t="str">
        <f aca="false" t="array" ref="B483:B483">_xlfn.XLOOKUP($A483,TRIM(SUBSTITUTE('worker file'!$A$2:$A$406,_xlfn.UNICHAR(160)," ")),'worker file'!$L$2:$L$406,"Not found")</f>
        <v>US Semi-monthly</v>
      </c>
      <c r="C483" s="40" t="str">
        <f aca="false" t="array" ref="C483:C483">_xlfn.XLOOKUP($A483,TRIM(SUBSTITUTE('worker file'!$A$2:$A$406,_xlfn.UNICHAR(160)," ")),'worker file'!$D$2:$D$406,"Not found")</f>
        <v>WA</v>
      </c>
      <c r="D483" s="40" t="str">
        <f aca="false" t="array" ref="D483:D483">_xlfn.XLOOKUP($A483,TRIM(SUBSTITUTE('worker file'!$A$2:$A$406,_xlfn.UNICHAR(160)," ")),'worker file'!$Q$2:$Q$406,"Not found")</f>
        <v>Active</v>
      </c>
      <c r="E483" s="39" t="s">
        <v>634</v>
      </c>
      <c r="F483" s="38" t="str">
        <f aca="false">_xlfn.XLOOKUP($E483,$A$5:$A$8,$B$5:$B$8,"")</f>
        <v>Vision – Employee</v>
      </c>
      <c r="G483" s="38" t="str">
        <f aca="false">_xlfn.XLOOKUP($E483,$A$5:$A$8,$D$5:$D$8,"")</f>
        <v>Pre-tax Section 125 (exempt from FIT/SIT/FICA)</v>
      </c>
      <c r="H483" s="38" t="str">
        <f aca="false">_xlfn.XLOOKUP($E483,$A$5:$A$8,$E$5:$E$8,"")</f>
        <v>Flat</v>
      </c>
      <c r="I483" s="44" t="str">
        <f aca="false">IF($H483="Percent",_xlfn.XLOOKUP($E483,$A$5:$A$8,$F$5:$F$8,""),"")</f>
        <v/>
      </c>
      <c r="J483" s="42" t="n">
        <f aca="false">IF($H483="Flat",_xlfn.XLOOKUP($E483,$A$5:$A$8,$F$5:$F$8,""),"")</f>
        <v>30</v>
      </c>
      <c r="K483" s="38" t="str">
        <f aca="false">_xlfn.XLOOKUP($E483,$A$5:$A$8,$G$5:$G$8,"")</f>
        <v>Per pay period</v>
      </c>
      <c r="L483" s="38" t="str">
        <f aca="false">_xlfn.XLOOKUP($E483,$A$5:$A$8,$H$5:$H$8,"")</f>
        <v>Every pay period (ongoing)</v>
      </c>
      <c r="M483" s="43" t="n">
        <f aca="false" t="array" ref="M483:M483">MAX(_xlfn.XLOOKUP($A483,TRIM(SUBSTITUTE('worker file'!$A$2:$A$406,_xlfn.UNICHAR(160)," ")),'worker file'!$M$2:$M$406,0),_xlfn.XLOOKUP($B483,TRIM('pay group &amp; schedule'!$A$2:$A$6),'pay group &amp; schedule'!$D$2:$D$6,0))</f>
        <v>46311</v>
      </c>
      <c r="N483" s="43" t="str">
        <f aca="false" t="array" ref="N483:N483">_xlfn.LET(_xlpm.t,_xlfn.XLOOKUP($A483,TRIM(SUBSTITUTE('worker file'!$A$2:$A$406,_xlfn.UNICHAR(160)," ")),'worker file'!$N$2:$N$406,""),IF(N(_xlpm.t)=0,"",_xlpm.t))</f>
        <v/>
      </c>
    </row>
    <row r="484" customFormat="false" ht="15" hidden="false" customHeight="false" outlineLevel="0" collapsed="false">
      <c r="A484" s="39" t="s">
        <v>270</v>
      </c>
      <c r="B484" s="40" t="str">
        <f aca="false" t="array" ref="B484:B484">_xlfn.XLOOKUP($A484,TRIM(SUBSTITUTE('worker file'!$A$2:$A$406,_xlfn.UNICHAR(160)," ")),'worker file'!$L$2:$L$406,"Not found")</f>
        <v>US Biweekly</v>
      </c>
      <c r="C484" s="40" t="str">
        <f aca="false" t="array" ref="C484:C484">_xlfn.XLOOKUP($A484,TRIM(SUBSTITUTE('worker file'!$A$2:$A$406,_xlfn.UNICHAR(160)," ")),'worker file'!$D$2:$D$406,"Not found")</f>
        <v>TX</v>
      </c>
      <c r="D484" s="40" t="str">
        <f aca="false" t="array" ref="D484:D484">_xlfn.XLOOKUP($A484,TRIM(SUBSTITUTE('worker file'!$A$2:$A$406,_xlfn.UNICHAR(160)," ")),'worker file'!$Q$2:$Q$406,"Not found")</f>
        <v>Active</v>
      </c>
      <c r="E484" s="39" t="s">
        <v>626</v>
      </c>
      <c r="F484" s="38" t="str">
        <f aca="false">_xlfn.XLOOKUP($E484,$A$5:$A$8,$B$5:$B$8,"")</f>
        <v>Medical (Health) – Employee</v>
      </c>
      <c r="G484" s="38" t="str">
        <f aca="false">_xlfn.XLOOKUP($E484,$A$5:$A$8,$D$5:$D$8,"")</f>
        <v>Pre-tax Section 125 (exempt from FIT/SIT/FICA)</v>
      </c>
      <c r="H484" s="38" t="str">
        <f aca="false">_xlfn.XLOOKUP($E484,$A$5:$A$8,$E$5:$E$8,"")</f>
        <v>Flat</v>
      </c>
      <c r="I484" s="44" t="str">
        <f aca="false">IF($H484="Percent",_xlfn.XLOOKUP($E484,$A$5:$A$8,$F$5:$F$8,""),"")</f>
        <v/>
      </c>
      <c r="J484" s="42" t="n">
        <f aca="false">IF($H484="Flat",_xlfn.XLOOKUP($E484,$A$5:$A$8,$F$5:$F$8,""),"")</f>
        <v>200</v>
      </c>
      <c r="K484" s="38" t="str">
        <f aca="false">_xlfn.XLOOKUP($E484,$A$5:$A$8,$G$5:$G$8,"")</f>
        <v>Per pay period</v>
      </c>
      <c r="L484" s="38" t="str">
        <f aca="false">_xlfn.XLOOKUP($E484,$A$5:$A$8,$H$5:$H$8,"")</f>
        <v>Every pay period (ongoing)</v>
      </c>
      <c r="M484" s="43" t="n">
        <f aca="false" t="array" ref="M484:M484">MAX(_xlfn.XLOOKUP($A484,TRIM(SUBSTITUTE('worker file'!$A$2:$A$406,_xlfn.UNICHAR(160)," ")),'worker file'!$M$2:$M$406,0),_xlfn.XLOOKUP($B484,TRIM('pay group &amp; schedule'!$A$2:$A$6),'pay group &amp; schedule'!$D$2:$D$6,0))</f>
        <v>46299</v>
      </c>
      <c r="N484" s="43" t="str">
        <f aca="false" t="array" ref="N484:N484">_xlfn.LET(_xlpm.t,_xlfn.XLOOKUP($A484,TRIM(SUBSTITUTE('worker file'!$A$2:$A$406,_xlfn.UNICHAR(160)," ")),'worker file'!$N$2:$N$406,""),IF(N(_xlpm.t)=0,"",_xlpm.t))</f>
        <v/>
      </c>
    </row>
    <row r="485" customFormat="false" ht="15" hidden="false" customHeight="false" outlineLevel="0" collapsed="false">
      <c r="A485" s="39" t="s">
        <v>270</v>
      </c>
      <c r="B485" s="40" t="str">
        <f aca="false" t="array" ref="B485:B485">_xlfn.XLOOKUP($A485,TRIM(SUBSTITUTE('worker file'!$A$2:$A$406,_xlfn.UNICHAR(160)," ")),'worker file'!$L$2:$L$406,"Not found")</f>
        <v>US Biweekly</v>
      </c>
      <c r="C485" s="40" t="str">
        <f aca="false" t="array" ref="C485:C485">_xlfn.XLOOKUP($A485,TRIM(SUBSTITUTE('worker file'!$A$2:$A$406,_xlfn.UNICHAR(160)," ")),'worker file'!$D$2:$D$406,"Not found")</f>
        <v>TX</v>
      </c>
      <c r="D485" s="40" t="str">
        <f aca="false" t="array" ref="D485:D485">_xlfn.XLOOKUP($A485,TRIM(SUBSTITUTE('worker file'!$A$2:$A$406,_xlfn.UNICHAR(160)," ")),'worker file'!$Q$2:$Q$406,"Not found")</f>
        <v>Active</v>
      </c>
      <c r="E485" s="39" t="s">
        <v>632</v>
      </c>
      <c r="F485" s="38" t="str">
        <f aca="false">_xlfn.XLOOKUP($E485,$A$5:$A$8,$B$5:$B$8,"")</f>
        <v>Dental – Employee</v>
      </c>
      <c r="G485" s="38" t="str">
        <f aca="false">_xlfn.XLOOKUP($E485,$A$5:$A$8,$D$5:$D$8,"")</f>
        <v>Pre-tax Section 125 (exempt from FIT/SIT/FICA)</v>
      </c>
      <c r="H485" s="38" t="str">
        <f aca="false">_xlfn.XLOOKUP($E485,$A$5:$A$8,$E$5:$E$8,"")</f>
        <v>Flat</v>
      </c>
      <c r="I485" s="44" t="str">
        <f aca="false">IF($H485="Percent",_xlfn.XLOOKUP($E485,$A$5:$A$8,$F$5:$F$8,""),"")</f>
        <v/>
      </c>
      <c r="J485" s="42" t="n">
        <f aca="false">IF($H485="Flat",_xlfn.XLOOKUP($E485,$A$5:$A$8,$F$5:$F$8,""),"")</f>
        <v>44</v>
      </c>
      <c r="K485" s="38" t="str">
        <f aca="false">_xlfn.XLOOKUP($E485,$A$5:$A$8,$G$5:$G$8,"")</f>
        <v>Per pay period</v>
      </c>
      <c r="L485" s="38" t="str">
        <f aca="false">_xlfn.XLOOKUP($E485,$A$5:$A$8,$H$5:$H$8,"")</f>
        <v>Every pay period (ongoing)</v>
      </c>
      <c r="M485" s="43" t="n">
        <f aca="false" t="array" ref="M485:M485">MAX(_xlfn.XLOOKUP($A485,TRIM(SUBSTITUTE('worker file'!$A$2:$A$406,_xlfn.UNICHAR(160)," ")),'worker file'!$M$2:$M$406,0),_xlfn.XLOOKUP($B485,TRIM('pay group &amp; schedule'!$A$2:$A$6),'pay group &amp; schedule'!$D$2:$D$6,0))</f>
        <v>46299</v>
      </c>
      <c r="N485" s="43" t="str">
        <f aca="false" t="array" ref="N485:N485">_xlfn.LET(_xlpm.t,_xlfn.XLOOKUP($A485,TRIM(SUBSTITUTE('worker file'!$A$2:$A$406,_xlfn.UNICHAR(160)," ")),'worker file'!$N$2:$N$406,""),IF(N(_xlpm.t)=0,"",_xlpm.t))</f>
        <v/>
      </c>
    </row>
    <row r="486" customFormat="false" ht="15" hidden="false" customHeight="false" outlineLevel="0" collapsed="false">
      <c r="A486" s="39" t="s">
        <v>270</v>
      </c>
      <c r="B486" s="40" t="str">
        <f aca="false" t="array" ref="B486:B486">_xlfn.XLOOKUP($A486,TRIM(SUBSTITUTE('worker file'!$A$2:$A$406,_xlfn.UNICHAR(160)," ")),'worker file'!$L$2:$L$406,"Not found")</f>
        <v>US Biweekly</v>
      </c>
      <c r="C486" s="40" t="str">
        <f aca="false" t="array" ref="C486:C486">_xlfn.XLOOKUP($A486,TRIM(SUBSTITUTE('worker file'!$A$2:$A$406,_xlfn.UNICHAR(160)," ")),'worker file'!$D$2:$D$406,"Not found")</f>
        <v>TX</v>
      </c>
      <c r="D486" s="40" t="str">
        <f aca="false" t="array" ref="D486:D486">_xlfn.XLOOKUP($A486,TRIM(SUBSTITUTE('worker file'!$A$2:$A$406,_xlfn.UNICHAR(160)," ")),'worker file'!$Q$2:$Q$406,"Not found")</f>
        <v>Active</v>
      </c>
      <c r="E486" s="39" t="s">
        <v>634</v>
      </c>
      <c r="F486" s="38" t="str">
        <f aca="false">_xlfn.XLOOKUP($E486,$A$5:$A$8,$B$5:$B$8,"")</f>
        <v>Vision – Employee</v>
      </c>
      <c r="G486" s="38" t="str">
        <f aca="false">_xlfn.XLOOKUP($E486,$A$5:$A$8,$D$5:$D$8,"")</f>
        <v>Pre-tax Section 125 (exempt from FIT/SIT/FICA)</v>
      </c>
      <c r="H486" s="38" t="str">
        <f aca="false">_xlfn.XLOOKUP($E486,$A$5:$A$8,$E$5:$E$8,"")</f>
        <v>Flat</v>
      </c>
      <c r="I486" s="44" t="str">
        <f aca="false">IF($H486="Percent",_xlfn.XLOOKUP($E486,$A$5:$A$8,$F$5:$F$8,""),"")</f>
        <v/>
      </c>
      <c r="J486" s="42" t="n">
        <f aca="false">IF($H486="Flat",_xlfn.XLOOKUP($E486,$A$5:$A$8,$F$5:$F$8,""),"")</f>
        <v>30</v>
      </c>
      <c r="K486" s="38" t="str">
        <f aca="false">_xlfn.XLOOKUP($E486,$A$5:$A$8,$G$5:$G$8,"")</f>
        <v>Per pay period</v>
      </c>
      <c r="L486" s="38" t="str">
        <f aca="false">_xlfn.XLOOKUP($E486,$A$5:$A$8,$H$5:$H$8,"")</f>
        <v>Every pay period (ongoing)</v>
      </c>
      <c r="M486" s="43" t="n">
        <f aca="false" t="array" ref="M486:M486">MAX(_xlfn.XLOOKUP($A486,TRIM(SUBSTITUTE('worker file'!$A$2:$A$406,_xlfn.UNICHAR(160)," ")),'worker file'!$M$2:$M$406,0),_xlfn.XLOOKUP($B486,TRIM('pay group &amp; schedule'!$A$2:$A$6),'pay group &amp; schedule'!$D$2:$D$6,0))</f>
        <v>46299</v>
      </c>
      <c r="N486" s="43" t="str">
        <f aca="false" t="array" ref="N486:N486">_xlfn.LET(_xlpm.t,_xlfn.XLOOKUP($A486,TRIM(SUBSTITUTE('worker file'!$A$2:$A$406,_xlfn.UNICHAR(160)," ")),'worker file'!$N$2:$N$406,""),IF(N(_xlpm.t)=0,"",_xlpm.t))</f>
        <v/>
      </c>
    </row>
    <row r="487" customFormat="false" ht="15" hidden="false" customHeight="false" outlineLevel="0" collapsed="false">
      <c r="A487" s="39" t="s">
        <v>271</v>
      </c>
      <c r="B487" s="40" t="str">
        <f aca="false" t="array" ref="B487:B487">_xlfn.XLOOKUP($A487,TRIM(SUBSTITUTE('worker file'!$A$2:$A$406,_xlfn.UNICHAR(160)," ")),'worker file'!$L$2:$L$406,"Not found")</f>
        <v>US Semi-monthly</v>
      </c>
      <c r="C487" s="40" t="str">
        <f aca="false" t="array" ref="C487:C487">_xlfn.XLOOKUP($A487,TRIM(SUBSTITUTE('worker file'!$A$2:$A$406,_xlfn.UNICHAR(160)," ")),'worker file'!$D$2:$D$406,"Not found")</f>
        <v>CA</v>
      </c>
      <c r="D487" s="40" t="str">
        <f aca="false" t="array" ref="D487:D487">_xlfn.XLOOKUP($A487,TRIM(SUBSTITUTE('worker file'!$A$2:$A$406,_xlfn.UNICHAR(160)," ")),'worker file'!$Q$2:$Q$406,"Not found")</f>
        <v>Active</v>
      </c>
      <c r="E487" s="39" t="s">
        <v>618</v>
      </c>
      <c r="F487" s="38" t="str">
        <f aca="false">_xlfn.XLOOKUP($E487,$A$5:$A$8,$B$5:$B$8,"")</f>
        <v>401(k) Employee Deferral</v>
      </c>
      <c r="G487" s="38" t="str">
        <f aca="false">_xlfn.XLOOKUP($E487,$A$5:$A$8,$D$5:$D$8,"")</f>
        <v>Pre-tax (exempt from FIT/SIT; subject to FICA)</v>
      </c>
      <c r="H487" s="38" t="str">
        <f aca="false">_xlfn.XLOOKUP($E487,$A$5:$A$8,$E$5:$E$8,"")</f>
        <v>Percent</v>
      </c>
      <c r="I487" s="41" t="n">
        <v>0.05</v>
      </c>
      <c r="J487" s="42" t="str">
        <f aca="false">IF($H487="Flat",_xlfn.XLOOKUP($E487,$A$5:$A$8,$F$5:$F$8,""),"")</f>
        <v/>
      </c>
      <c r="K487" s="38" t="str">
        <f aca="false">_xlfn.XLOOKUP($E487,$A$5:$A$8,$G$5:$G$8,"")</f>
        <v>Gross pay</v>
      </c>
      <c r="L487" s="38" t="str">
        <f aca="false">_xlfn.XLOOKUP($E487,$A$5:$A$8,$H$5:$H$8,"")</f>
        <v>Every pay period (ongoing)</v>
      </c>
      <c r="M487" s="43" t="n">
        <f aca="false" t="array" ref="M487:M487">MAX(_xlfn.XLOOKUP($A487,TRIM(SUBSTITUTE('worker file'!$A$2:$A$406,_xlfn.UNICHAR(160)," ")),'worker file'!$M$2:$M$406,0),_xlfn.XLOOKUP($B487,TRIM('pay group &amp; schedule'!$A$2:$A$6),'pay group &amp; schedule'!$D$2:$D$6,0))</f>
        <v>46311</v>
      </c>
      <c r="N487" s="43" t="str">
        <f aca="false" t="array" ref="N487:N487">_xlfn.LET(_xlpm.t,_xlfn.XLOOKUP($A487,TRIM(SUBSTITUTE('worker file'!$A$2:$A$406,_xlfn.UNICHAR(160)," ")),'worker file'!$N$2:$N$406,""),IF(N(_xlpm.t)=0,"",_xlpm.t))</f>
        <v/>
      </c>
    </row>
    <row r="488" customFormat="false" ht="15" hidden="false" customHeight="false" outlineLevel="0" collapsed="false">
      <c r="A488" s="39" t="s">
        <v>271</v>
      </c>
      <c r="B488" s="40" t="str">
        <f aca="false" t="array" ref="B488:B488">_xlfn.XLOOKUP($A488,TRIM(SUBSTITUTE('worker file'!$A$2:$A$406,_xlfn.UNICHAR(160)," ")),'worker file'!$L$2:$L$406,"Not found")</f>
        <v>US Semi-monthly</v>
      </c>
      <c r="C488" s="40" t="str">
        <f aca="false" t="array" ref="C488:C488">_xlfn.XLOOKUP($A488,TRIM(SUBSTITUTE('worker file'!$A$2:$A$406,_xlfn.UNICHAR(160)," ")),'worker file'!$D$2:$D$406,"Not found")</f>
        <v>CA</v>
      </c>
      <c r="D488" s="40" t="str">
        <f aca="false" t="array" ref="D488:D488">_xlfn.XLOOKUP($A488,TRIM(SUBSTITUTE('worker file'!$A$2:$A$406,_xlfn.UNICHAR(160)," ")),'worker file'!$Q$2:$Q$406,"Not found")</f>
        <v>Active</v>
      </c>
      <c r="E488" s="39" t="s">
        <v>626</v>
      </c>
      <c r="F488" s="38" t="str">
        <f aca="false">_xlfn.XLOOKUP($E488,$A$5:$A$8,$B$5:$B$8,"")</f>
        <v>Medical (Health) – Employee</v>
      </c>
      <c r="G488" s="38" t="str">
        <f aca="false">_xlfn.XLOOKUP($E488,$A$5:$A$8,$D$5:$D$8,"")</f>
        <v>Pre-tax Section 125 (exempt from FIT/SIT/FICA)</v>
      </c>
      <c r="H488" s="38" t="str">
        <f aca="false">_xlfn.XLOOKUP($E488,$A$5:$A$8,$E$5:$E$8,"")</f>
        <v>Flat</v>
      </c>
      <c r="I488" s="44" t="str">
        <f aca="false">IF($H488="Percent",_xlfn.XLOOKUP($E488,$A$5:$A$8,$F$5:$F$8,""),"")</f>
        <v/>
      </c>
      <c r="J488" s="42" t="n">
        <f aca="false">IF($H488="Flat",_xlfn.XLOOKUP($E488,$A$5:$A$8,$F$5:$F$8,""),"")</f>
        <v>200</v>
      </c>
      <c r="K488" s="38" t="str">
        <f aca="false">_xlfn.XLOOKUP($E488,$A$5:$A$8,$G$5:$G$8,"")</f>
        <v>Per pay period</v>
      </c>
      <c r="L488" s="38" t="str">
        <f aca="false">_xlfn.XLOOKUP($E488,$A$5:$A$8,$H$5:$H$8,"")</f>
        <v>Every pay period (ongoing)</v>
      </c>
      <c r="M488" s="43" t="n">
        <f aca="false" t="array" ref="M488:M488">MAX(_xlfn.XLOOKUP($A488,TRIM(SUBSTITUTE('worker file'!$A$2:$A$406,_xlfn.UNICHAR(160)," ")),'worker file'!$M$2:$M$406,0),_xlfn.XLOOKUP($B488,TRIM('pay group &amp; schedule'!$A$2:$A$6),'pay group &amp; schedule'!$D$2:$D$6,0))</f>
        <v>46311</v>
      </c>
      <c r="N488" s="43" t="str">
        <f aca="false" t="array" ref="N488:N488">_xlfn.LET(_xlpm.t,_xlfn.XLOOKUP($A488,TRIM(SUBSTITUTE('worker file'!$A$2:$A$406,_xlfn.UNICHAR(160)," ")),'worker file'!$N$2:$N$406,""),IF(N(_xlpm.t)=0,"",_xlpm.t))</f>
        <v/>
      </c>
    </row>
    <row r="489" customFormat="false" ht="15" hidden="false" customHeight="false" outlineLevel="0" collapsed="false">
      <c r="A489" s="39" t="s">
        <v>271</v>
      </c>
      <c r="B489" s="40" t="str">
        <f aca="false" t="array" ref="B489:B489">_xlfn.XLOOKUP($A489,TRIM(SUBSTITUTE('worker file'!$A$2:$A$406,_xlfn.UNICHAR(160)," ")),'worker file'!$L$2:$L$406,"Not found")</f>
        <v>US Semi-monthly</v>
      </c>
      <c r="C489" s="40" t="str">
        <f aca="false" t="array" ref="C489:C489">_xlfn.XLOOKUP($A489,TRIM(SUBSTITUTE('worker file'!$A$2:$A$406,_xlfn.UNICHAR(160)," ")),'worker file'!$D$2:$D$406,"Not found")</f>
        <v>CA</v>
      </c>
      <c r="D489" s="40" t="str">
        <f aca="false" t="array" ref="D489:D489">_xlfn.XLOOKUP($A489,TRIM(SUBSTITUTE('worker file'!$A$2:$A$406,_xlfn.UNICHAR(160)," ")),'worker file'!$Q$2:$Q$406,"Not found")</f>
        <v>Active</v>
      </c>
      <c r="E489" s="39" t="s">
        <v>632</v>
      </c>
      <c r="F489" s="38" t="str">
        <f aca="false">_xlfn.XLOOKUP($E489,$A$5:$A$8,$B$5:$B$8,"")</f>
        <v>Dental – Employee</v>
      </c>
      <c r="G489" s="38" t="str">
        <f aca="false">_xlfn.XLOOKUP($E489,$A$5:$A$8,$D$5:$D$8,"")</f>
        <v>Pre-tax Section 125 (exempt from FIT/SIT/FICA)</v>
      </c>
      <c r="H489" s="38" t="str">
        <f aca="false">_xlfn.XLOOKUP($E489,$A$5:$A$8,$E$5:$E$8,"")</f>
        <v>Flat</v>
      </c>
      <c r="I489" s="44" t="str">
        <f aca="false">IF($H489="Percent",_xlfn.XLOOKUP($E489,$A$5:$A$8,$F$5:$F$8,""),"")</f>
        <v/>
      </c>
      <c r="J489" s="42" t="n">
        <f aca="false">IF($H489="Flat",_xlfn.XLOOKUP($E489,$A$5:$A$8,$F$5:$F$8,""),"")</f>
        <v>44</v>
      </c>
      <c r="K489" s="38" t="str">
        <f aca="false">_xlfn.XLOOKUP($E489,$A$5:$A$8,$G$5:$G$8,"")</f>
        <v>Per pay period</v>
      </c>
      <c r="L489" s="38" t="str">
        <f aca="false">_xlfn.XLOOKUP($E489,$A$5:$A$8,$H$5:$H$8,"")</f>
        <v>Every pay period (ongoing)</v>
      </c>
      <c r="M489" s="43" t="n">
        <f aca="false" t="array" ref="M489:M489">MAX(_xlfn.XLOOKUP($A489,TRIM(SUBSTITUTE('worker file'!$A$2:$A$406,_xlfn.UNICHAR(160)," ")),'worker file'!$M$2:$M$406,0),_xlfn.XLOOKUP($B489,TRIM('pay group &amp; schedule'!$A$2:$A$6),'pay group &amp; schedule'!$D$2:$D$6,0))</f>
        <v>46311</v>
      </c>
      <c r="N489" s="43" t="str">
        <f aca="false" t="array" ref="N489:N489">_xlfn.LET(_xlpm.t,_xlfn.XLOOKUP($A489,TRIM(SUBSTITUTE('worker file'!$A$2:$A$406,_xlfn.UNICHAR(160)," ")),'worker file'!$N$2:$N$406,""),IF(N(_xlpm.t)=0,"",_xlpm.t))</f>
        <v/>
      </c>
    </row>
    <row r="490" customFormat="false" ht="15" hidden="false" customHeight="false" outlineLevel="0" collapsed="false">
      <c r="A490" s="39" t="s">
        <v>271</v>
      </c>
      <c r="B490" s="40" t="str">
        <f aca="false" t="array" ref="B490:B490">_xlfn.XLOOKUP($A490,TRIM(SUBSTITUTE('worker file'!$A$2:$A$406,_xlfn.UNICHAR(160)," ")),'worker file'!$L$2:$L$406,"Not found")</f>
        <v>US Semi-monthly</v>
      </c>
      <c r="C490" s="40" t="str">
        <f aca="false" t="array" ref="C490:C490">_xlfn.XLOOKUP($A490,TRIM(SUBSTITUTE('worker file'!$A$2:$A$406,_xlfn.UNICHAR(160)," ")),'worker file'!$D$2:$D$406,"Not found")</f>
        <v>CA</v>
      </c>
      <c r="D490" s="40" t="str">
        <f aca="false" t="array" ref="D490:D490">_xlfn.XLOOKUP($A490,TRIM(SUBSTITUTE('worker file'!$A$2:$A$406,_xlfn.UNICHAR(160)," ")),'worker file'!$Q$2:$Q$406,"Not found")</f>
        <v>Active</v>
      </c>
      <c r="E490" s="39" t="s">
        <v>634</v>
      </c>
      <c r="F490" s="38" t="str">
        <f aca="false">_xlfn.XLOOKUP($E490,$A$5:$A$8,$B$5:$B$8,"")</f>
        <v>Vision – Employee</v>
      </c>
      <c r="G490" s="38" t="str">
        <f aca="false">_xlfn.XLOOKUP($E490,$A$5:$A$8,$D$5:$D$8,"")</f>
        <v>Pre-tax Section 125 (exempt from FIT/SIT/FICA)</v>
      </c>
      <c r="H490" s="38" t="str">
        <f aca="false">_xlfn.XLOOKUP($E490,$A$5:$A$8,$E$5:$E$8,"")</f>
        <v>Flat</v>
      </c>
      <c r="I490" s="44" t="str">
        <f aca="false">IF($H490="Percent",_xlfn.XLOOKUP($E490,$A$5:$A$8,$F$5:$F$8,""),"")</f>
        <v/>
      </c>
      <c r="J490" s="42" t="n">
        <f aca="false">IF($H490="Flat",_xlfn.XLOOKUP($E490,$A$5:$A$8,$F$5:$F$8,""),"")</f>
        <v>30</v>
      </c>
      <c r="K490" s="38" t="str">
        <f aca="false">_xlfn.XLOOKUP($E490,$A$5:$A$8,$G$5:$G$8,"")</f>
        <v>Per pay period</v>
      </c>
      <c r="L490" s="38" t="str">
        <f aca="false">_xlfn.XLOOKUP($E490,$A$5:$A$8,$H$5:$H$8,"")</f>
        <v>Every pay period (ongoing)</v>
      </c>
      <c r="M490" s="43" t="n">
        <f aca="false" t="array" ref="M490:M490">MAX(_xlfn.XLOOKUP($A490,TRIM(SUBSTITUTE('worker file'!$A$2:$A$406,_xlfn.UNICHAR(160)," ")),'worker file'!$M$2:$M$406,0),_xlfn.XLOOKUP($B490,TRIM('pay group &amp; schedule'!$A$2:$A$6),'pay group &amp; schedule'!$D$2:$D$6,0))</f>
        <v>46311</v>
      </c>
      <c r="N490" s="43" t="str">
        <f aca="false" t="array" ref="N490:N490">_xlfn.LET(_xlpm.t,_xlfn.XLOOKUP($A490,TRIM(SUBSTITUTE('worker file'!$A$2:$A$406,_xlfn.UNICHAR(160)," ")),'worker file'!$N$2:$N$406,""),IF(N(_xlpm.t)=0,"",_xlpm.t))</f>
        <v/>
      </c>
    </row>
    <row r="491" customFormat="false" ht="15" hidden="false" customHeight="false" outlineLevel="0" collapsed="false">
      <c r="A491" s="39" t="s">
        <v>272</v>
      </c>
      <c r="B491" s="40" t="str">
        <f aca="false" t="array" ref="B491:B491">_xlfn.XLOOKUP($A491,TRIM(SUBSTITUTE('worker file'!$A$2:$A$406,_xlfn.UNICHAR(160)," ")),'worker file'!$L$2:$L$406,"Not found")</f>
        <v>US Semi-monthly</v>
      </c>
      <c r="C491" s="40" t="str">
        <f aca="false" t="array" ref="C491:C491">_xlfn.XLOOKUP($A491,TRIM(SUBSTITUTE('worker file'!$A$2:$A$406,_xlfn.UNICHAR(160)," ")),'worker file'!$D$2:$D$406,"Not found")</f>
        <v>CA</v>
      </c>
      <c r="D491" s="40" t="str">
        <f aca="false" t="array" ref="D491:D491">_xlfn.XLOOKUP($A491,TRIM(SUBSTITUTE('worker file'!$A$2:$A$406,_xlfn.UNICHAR(160)," ")),'worker file'!$Q$2:$Q$406,"Not found")</f>
        <v>Termination pending</v>
      </c>
      <c r="E491" s="39" t="s">
        <v>618</v>
      </c>
      <c r="F491" s="38" t="str">
        <f aca="false">_xlfn.XLOOKUP($E491,$A$5:$A$8,$B$5:$B$8,"")</f>
        <v>401(k) Employee Deferral</v>
      </c>
      <c r="G491" s="38" t="str">
        <f aca="false">_xlfn.XLOOKUP($E491,$A$5:$A$8,$D$5:$D$8,"")</f>
        <v>Pre-tax (exempt from FIT/SIT; subject to FICA)</v>
      </c>
      <c r="H491" s="38" t="str">
        <f aca="false">_xlfn.XLOOKUP($E491,$A$5:$A$8,$E$5:$E$8,"")</f>
        <v>Percent</v>
      </c>
      <c r="I491" s="41" t="n">
        <v>0.02</v>
      </c>
      <c r="J491" s="42" t="str">
        <f aca="false">IF($H491="Flat",_xlfn.XLOOKUP($E491,$A$5:$A$8,$F$5:$F$8,""),"")</f>
        <v/>
      </c>
      <c r="K491" s="38" t="str">
        <f aca="false">_xlfn.XLOOKUP($E491,$A$5:$A$8,$G$5:$G$8,"")</f>
        <v>Gross pay</v>
      </c>
      <c r="L491" s="38" t="str">
        <f aca="false">_xlfn.XLOOKUP($E491,$A$5:$A$8,$H$5:$H$8,"")</f>
        <v>Every pay period (ongoing)</v>
      </c>
      <c r="M491" s="43" t="n">
        <f aca="false" t="array" ref="M491:M491">MAX(_xlfn.XLOOKUP($A491,TRIM(SUBSTITUTE('worker file'!$A$2:$A$406,_xlfn.UNICHAR(160)," ")),'worker file'!$M$2:$M$406,0),_xlfn.XLOOKUP($B491,TRIM('pay group &amp; schedule'!$A$2:$A$6),'pay group &amp; schedule'!$D$2:$D$6,0))</f>
        <v>46311</v>
      </c>
      <c r="N491" s="43" t="n">
        <f aca="false" t="array" ref="N491:N491">_xlfn.LET(_xlpm.t,_xlfn.XLOOKUP($A491,TRIM(SUBSTITUTE('worker file'!$A$2:$A$406,_xlfn.UNICHAR(160)," ")),'worker file'!$N$2:$N$406,""),IF(N(_xlpm.t)=0,"",_xlpm.t))</f>
        <v>46339</v>
      </c>
      <c r="O491" s="0" t="s">
        <v>644</v>
      </c>
    </row>
    <row r="492" customFormat="false" ht="15" hidden="false" customHeight="false" outlineLevel="0" collapsed="false">
      <c r="A492" s="39" t="s">
        <v>272</v>
      </c>
      <c r="B492" s="40" t="str">
        <f aca="false" t="array" ref="B492:B492">_xlfn.XLOOKUP($A492,TRIM(SUBSTITUTE('worker file'!$A$2:$A$406,_xlfn.UNICHAR(160)," ")),'worker file'!$L$2:$L$406,"Not found")</f>
        <v>US Semi-monthly</v>
      </c>
      <c r="C492" s="40" t="str">
        <f aca="false" t="array" ref="C492:C492">_xlfn.XLOOKUP($A492,TRIM(SUBSTITUTE('worker file'!$A$2:$A$406,_xlfn.UNICHAR(160)," ")),'worker file'!$D$2:$D$406,"Not found")</f>
        <v>CA</v>
      </c>
      <c r="D492" s="40" t="str">
        <f aca="false" t="array" ref="D492:D492">_xlfn.XLOOKUP($A492,TRIM(SUBSTITUTE('worker file'!$A$2:$A$406,_xlfn.UNICHAR(160)," ")),'worker file'!$Q$2:$Q$406,"Not found")</f>
        <v>Termination pending</v>
      </c>
      <c r="E492" s="39" t="s">
        <v>626</v>
      </c>
      <c r="F492" s="38" t="str">
        <f aca="false">_xlfn.XLOOKUP($E492,$A$5:$A$8,$B$5:$B$8,"")</f>
        <v>Medical (Health) – Employee</v>
      </c>
      <c r="G492" s="38" t="str">
        <f aca="false">_xlfn.XLOOKUP($E492,$A$5:$A$8,$D$5:$D$8,"")</f>
        <v>Pre-tax Section 125 (exempt from FIT/SIT/FICA)</v>
      </c>
      <c r="H492" s="38" t="str">
        <f aca="false">_xlfn.XLOOKUP($E492,$A$5:$A$8,$E$5:$E$8,"")</f>
        <v>Flat</v>
      </c>
      <c r="I492" s="44" t="str">
        <f aca="false">IF($H492="Percent",_xlfn.XLOOKUP($E492,$A$5:$A$8,$F$5:$F$8,""),"")</f>
        <v/>
      </c>
      <c r="J492" s="42" t="n">
        <f aca="false">IF($H492="Flat",_xlfn.XLOOKUP($E492,$A$5:$A$8,$F$5:$F$8,""),"")</f>
        <v>200</v>
      </c>
      <c r="K492" s="38" t="str">
        <f aca="false">_xlfn.XLOOKUP($E492,$A$5:$A$8,$G$5:$G$8,"")</f>
        <v>Per pay period</v>
      </c>
      <c r="L492" s="38" t="str">
        <f aca="false">_xlfn.XLOOKUP($E492,$A$5:$A$8,$H$5:$H$8,"")</f>
        <v>Every pay period (ongoing)</v>
      </c>
      <c r="M492" s="43" t="n">
        <f aca="false" t="array" ref="M492:M492">MAX(_xlfn.XLOOKUP($A492,TRIM(SUBSTITUTE('worker file'!$A$2:$A$406,_xlfn.UNICHAR(160)," ")),'worker file'!$M$2:$M$406,0),_xlfn.XLOOKUP($B492,TRIM('pay group &amp; schedule'!$A$2:$A$6),'pay group &amp; schedule'!$D$2:$D$6,0))</f>
        <v>46311</v>
      </c>
      <c r="N492" s="43" t="n">
        <f aca="false" t="array" ref="N492:N492">_xlfn.LET(_xlpm.t,_xlfn.XLOOKUP($A492,TRIM(SUBSTITUTE('worker file'!$A$2:$A$406,_xlfn.UNICHAR(160)," ")),'worker file'!$N$2:$N$406,""),IF(N(_xlpm.t)=0,"",_xlpm.t))</f>
        <v>46339</v>
      </c>
      <c r="O492" s="0" t="s">
        <v>644</v>
      </c>
    </row>
    <row r="493" customFormat="false" ht="15" hidden="false" customHeight="false" outlineLevel="0" collapsed="false">
      <c r="A493" s="39" t="s">
        <v>272</v>
      </c>
      <c r="B493" s="40" t="str">
        <f aca="false" t="array" ref="B493:B493">_xlfn.XLOOKUP($A493,TRIM(SUBSTITUTE('worker file'!$A$2:$A$406,_xlfn.UNICHAR(160)," ")),'worker file'!$L$2:$L$406,"Not found")</f>
        <v>US Semi-monthly</v>
      </c>
      <c r="C493" s="40" t="str">
        <f aca="false" t="array" ref="C493:C493">_xlfn.XLOOKUP($A493,TRIM(SUBSTITUTE('worker file'!$A$2:$A$406,_xlfn.UNICHAR(160)," ")),'worker file'!$D$2:$D$406,"Not found")</f>
        <v>CA</v>
      </c>
      <c r="D493" s="40" t="str">
        <f aca="false" t="array" ref="D493:D493">_xlfn.XLOOKUP($A493,TRIM(SUBSTITUTE('worker file'!$A$2:$A$406,_xlfn.UNICHAR(160)," ")),'worker file'!$Q$2:$Q$406,"Not found")</f>
        <v>Termination pending</v>
      </c>
      <c r="E493" s="39" t="s">
        <v>632</v>
      </c>
      <c r="F493" s="38" t="str">
        <f aca="false">_xlfn.XLOOKUP($E493,$A$5:$A$8,$B$5:$B$8,"")</f>
        <v>Dental – Employee</v>
      </c>
      <c r="G493" s="38" t="str">
        <f aca="false">_xlfn.XLOOKUP($E493,$A$5:$A$8,$D$5:$D$8,"")</f>
        <v>Pre-tax Section 125 (exempt from FIT/SIT/FICA)</v>
      </c>
      <c r="H493" s="38" t="str">
        <f aca="false">_xlfn.XLOOKUP($E493,$A$5:$A$8,$E$5:$E$8,"")</f>
        <v>Flat</v>
      </c>
      <c r="I493" s="44" t="str">
        <f aca="false">IF($H493="Percent",_xlfn.XLOOKUP($E493,$A$5:$A$8,$F$5:$F$8,""),"")</f>
        <v/>
      </c>
      <c r="J493" s="42" t="n">
        <f aca="false">IF($H493="Flat",_xlfn.XLOOKUP($E493,$A$5:$A$8,$F$5:$F$8,""),"")</f>
        <v>44</v>
      </c>
      <c r="K493" s="38" t="str">
        <f aca="false">_xlfn.XLOOKUP($E493,$A$5:$A$8,$G$5:$G$8,"")</f>
        <v>Per pay period</v>
      </c>
      <c r="L493" s="38" t="str">
        <f aca="false">_xlfn.XLOOKUP($E493,$A$5:$A$8,$H$5:$H$8,"")</f>
        <v>Every pay period (ongoing)</v>
      </c>
      <c r="M493" s="43" t="n">
        <f aca="false" t="array" ref="M493:M493">MAX(_xlfn.XLOOKUP($A493,TRIM(SUBSTITUTE('worker file'!$A$2:$A$406,_xlfn.UNICHAR(160)," ")),'worker file'!$M$2:$M$406,0),_xlfn.XLOOKUP($B493,TRIM('pay group &amp; schedule'!$A$2:$A$6),'pay group &amp; schedule'!$D$2:$D$6,0))</f>
        <v>46311</v>
      </c>
      <c r="N493" s="43" t="n">
        <f aca="false" t="array" ref="N493:N493">_xlfn.LET(_xlpm.t,_xlfn.XLOOKUP($A493,TRIM(SUBSTITUTE('worker file'!$A$2:$A$406,_xlfn.UNICHAR(160)," ")),'worker file'!$N$2:$N$406,""),IF(N(_xlpm.t)=0,"",_xlpm.t))</f>
        <v>46339</v>
      </c>
      <c r="O493" s="0" t="s">
        <v>644</v>
      </c>
    </row>
    <row r="494" customFormat="false" ht="15" hidden="false" customHeight="false" outlineLevel="0" collapsed="false">
      <c r="A494" s="39" t="s">
        <v>272</v>
      </c>
      <c r="B494" s="40" t="str">
        <f aca="false" t="array" ref="B494:B494">_xlfn.XLOOKUP($A494,TRIM(SUBSTITUTE('worker file'!$A$2:$A$406,_xlfn.UNICHAR(160)," ")),'worker file'!$L$2:$L$406,"Not found")</f>
        <v>US Semi-monthly</v>
      </c>
      <c r="C494" s="40" t="str">
        <f aca="false" t="array" ref="C494:C494">_xlfn.XLOOKUP($A494,TRIM(SUBSTITUTE('worker file'!$A$2:$A$406,_xlfn.UNICHAR(160)," ")),'worker file'!$D$2:$D$406,"Not found")</f>
        <v>CA</v>
      </c>
      <c r="D494" s="40" t="str">
        <f aca="false" t="array" ref="D494:D494">_xlfn.XLOOKUP($A494,TRIM(SUBSTITUTE('worker file'!$A$2:$A$406,_xlfn.UNICHAR(160)," ")),'worker file'!$Q$2:$Q$406,"Not found")</f>
        <v>Termination pending</v>
      </c>
      <c r="E494" s="39" t="s">
        <v>634</v>
      </c>
      <c r="F494" s="38" t="str">
        <f aca="false">_xlfn.XLOOKUP($E494,$A$5:$A$8,$B$5:$B$8,"")</f>
        <v>Vision – Employee</v>
      </c>
      <c r="G494" s="38" t="str">
        <f aca="false">_xlfn.XLOOKUP($E494,$A$5:$A$8,$D$5:$D$8,"")</f>
        <v>Pre-tax Section 125 (exempt from FIT/SIT/FICA)</v>
      </c>
      <c r="H494" s="38" t="str">
        <f aca="false">_xlfn.XLOOKUP($E494,$A$5:$A$8,$E$5:$E$8,"")</f>
        <v>Flat</v>
      </c>
      <c r="I494" s="44" t="str">
        <f aca="false">IF($H494="Percent",_xlfn.XLOOKUP($E494,$A$5:$A$8,$F$5:$F$8,""),"")</f>
        <v/>
      </c>
      <c r="J494" s="42" t="n">
        <f aca="false">IF($H494="Flat",_xlfn.XLOOKUP($E494,$A$5:$A$8,$F$5:$F$8,""),"")</f>
        <v>30</v>
      </c>
      <c r="K494" s="38" t="str">
        <f aca="false">_xlfn.XLOOKUP($E494,$A$5:$A$8,$G$5:$G$8,"")</f>
        <v>Per pay period</v>
      </c>
      <c r="L494" s="38" t="str">
        <f aca="false">_xlfn.XLOOKUP($E494,$A$5:$A$8,$H$5:$H$8,"")</f>
        <v>Every pay period (ongoing)</v>
      </c>
      <c r="M494" s="43" t="n">
        <f aca="false" t="array" ref="M494:M494">MAX(_xlfn.XLOOKUP($A494,TRIM(SUBSTITUTE('worker file'!$A$2:$A$406,_xlfn.UNICHAR(160)," ")),'worker file'!$M$2:$M$406,0),_xlfn.XLOOKUP($B494,TRIM('pay group &amp; schedule'!$A$2:$A$6),'pay group &amp; schedule'!$D$2:$D$6,0))</f>
        <v>46311</v>
      </c>
      <c r="N494" s="43" t="n">
        <f aca="false" t="array" ref="N494:N494">_xlfn.LET(_xlpm.t,_xlfn.XLOOKUP($A494,TRIM(SUBSTITUTE('worker file'!$A$2:$A$406,_xlfn.UNICHAR(160)," ")),'worker file'!$N$2:$N$406,""),IF(N(_xlpm.t)=0,"",_xlpm.t))</f>
        <v>46339</v>
      </c>
      <c r="O494" s="0" t="s">
        <v>644</v>
      </c>
    </row>
    <row r="495" customFormat="false" ht="15" hidden="false" customHeight="false" outlineLevel="0" collapsed="false">
      <c r="A495" s="39" t="s">
        <v>273</v>
      </c>
      <c r="B495" s="40" t="str">
        <f aca="false" t="array" ref="B495:B495">_xlfn.XLOOKUP($A495,TRIM(SUBSTITUTE('worker file'!$A$2:$A$406,_xlfn.UNICHAR(160)," ")),'worker file'!$L$2:$L$406,"Not found")</f>
        <v>US Semi-monthly</v>
      </c>
      <c r="C495" s="40" t="str">
        <f aca="false" t="array" ref="C495:C495">_xlfn.XLOOKUP($A495,TRIM(SUBSTITUTE('worker file'!$A$2:$A$406,_xlfn.UNICHAR(160)," ")),'worker file'!$D$2:$D$406,"Not found")</f>
        <v>CA</v>
      </c>
      <c r="D495" s="40" t="str">
        <f aca="false" t="array" ref="D495:D495">_xlfn.XLOOKUP($A495,TRIM(SUBSTITUTE('worker file'!$A$2:$A$406,_xlfn.UNICHAR(160)," ")),'worker file'!$Q$2:$Q$406,"Not found")</f>
        <v>Termination pending</v>
      </c>
      <c r="E495" s="39" t="s">
        <v>618</v>
      </c>
      <c r="F495" s="38" t="str">
        <f aca="false">_xlfn.XLOOKUP($E495,$A$5:$A$8,$B$5:$B$8,"")</f>
        <v>401(k) Employee Deferral</v>
      </c>
      <c r="G495" s="38" t="str">
        <f aca="false">_xlfn.XLOOKUP($E495,$A$5:$A$8,$D$5:$D$8,"")</f>
        <v>Pre-tax (exempt from FIT/SIT; subject to FICA)</v>
      </c>
      <c r="H495" s="38" t="str">
        <f aca="false">_xlfn.XLOOKUP($E495,$A$5:$A$8,$E$5:$E$8,"")</f>
        <v>Percent</v>
      </c>
      <c r="I495" s="41" t="n">
        <v>0.07</v>
      </c>
      <c r="J495" s="42" t="str">
        <f aca="false">IF($H495="Flat",_xlfn.XLOOKUP($E495,$A$5:$A$8,$F$5:$F$8,""),"")</f>
        <v/>
      </c>
      <c r="K495" s="38" t="str">
        <f aca="false">_xlfn.XLOOKUP($E495,$A$5:$A$8,$G$5:$G$8,"")</f>
        <v>Gross pay</v>
      </c>
      <c r="L495" s="38" t="str">
        <f aca="false">_xlfn.XLOOKUP($E495,$A$5:$A$8,$H$5:$H$8,"")</f>
        <v>Every pay period (ongoing)</v>
      </c>
      <c r="M495" s="43" t="n">
        <f aca="false" t="array" ref="M495:M495">MAX(_xlfn.XLOOKUP($A495,TRIM(SUBSTITUTE('worker file'!$A$2:$A$406,_xlfn.UNICHAR(160)," ")),'worker file'!$M$2:$M$406,0),_xlfn.XLOOKUP($B495,TRIM('pay group &amp; schedule'!$A$2:$A$6),'pay group &amp; schedule'!$D$2:$D$6,0))</f>
        <v>46311</v>
      </c>
      <c r="N495" s="43" t="n">
        <f aca="false" t="array" ref="N495:N495">_xlfn.LET(_xlpm.t,_xlfn.XLOOKUP($A495,TRIM(SUBSTITUTE('worker file'!$A$2:$A$406,_xlfn.UNICHAR(160)," ")),'worker file'!$N$2:$N$406,""),IF(N(_xlpm.t)=0,"",_xlpm.t))</f>
        <v>46332</v>
      </c>
      <c r="O495" s="0" t="s">
        <v>644</v>
      </c>
    </row>
    <row r="496" customFormat="false" ht="15" hidden="false" customHeight="false" outlineLevel="0" collapsed="false">
      <c r="A496" s="39" t="s">
        <v>273</v>
      </c>
      <c r="B496" s="40" t="str">
        <f aca="false" t="array" ref="B496:B496">_xlfn.XLOOKUP($A496,TRIM(SUBSTITUTE('worker file'!$A$2:$A$406,_xlfn.UNICHAR(160)," ")),'worker file'!$L$2:$L$406,"Not found")</f>
        <v>US Semi-monthly</v>
      </c>
      <c r="C496" s="40" t="str">
        <f aca="false" t="array" ref="C496:C496">_xlfn.XLOOKUP($A496,TRIM(SUBSTITUTE('worker file'!$A$2:$A$406,_xlfn.UNICHAR(160)," ")),'worker file'!$D$2:$D$406,"Not found")</f>
        <v>CA</v>
      </c>
      <c r="D496" s="40" t="str">
        <f aca="false" t="array" ref="D496:D496">_xlfn.XLOOKUP($A496,TRIM(SUBSTITUTE('worker file'!$A$2:$A$406,_xlfn.UNICHAR(160)," ")),'worker file'!$Q$2:$Q$406,"Not found")</f>
        <v>Termination pending</v>
      </c>
      <c r="E496" s="39" t="s">
        <v>626</v>
      </c>
      <c r="F496" s="38" t="str">
        <f aca="false">_xlfn.XLOOKUP($E496,$A$5:$A$8,$B$5:$B$8,"")</f>
        <v>Medical (Health) – Employee</v>
      </c>
      <c r="G496" s="38" t="str">
        <f aca="false">_xlfn.XLOOKUP($E496,$A$5:$A$8,$D$5:$D$8,"")</f>
        <v>Pre-tax Section 125 (exempt from FIT/SIT/FICA)</v>
      </c>
      <c r="H496" s="38" t="str">
        <f aca="false">_xlfn.XLOOKUP($E496,$A$5:$A$8,$E$5:$E$8,"")</f>
        <v>Flat</v>
      </c>
      <c r="I496" s="44" t="str">
        <f aca="false">IF($H496="Percent",_xlfn.XLOOKUP($E496,$A$5:$A$8,$F$5:$F$8,""),"")</f>
        <v/>
      </c>
      <c r="J496" s="42" t="n">
        <f aca="false">IF($H496="Flat",_xlfn.XLOOKUP($E496,$A$5:$A$8,$F$5:$F$8,""),"")</f>
        <v>200</v>
      </c>
      <c r="K496" s="38" t="str">
        <f aca="false">_xlfn.XLOOKUP($E496,$A$5:$A$8,$G$5:$G$8,"")</f>
        <v>Per pay period</v>
      </c>
      <c r="L496" s="38" t="str">
        <f aca="false">_xlfn.XLOOKUP($E496,$A$5:$A$8,$H$5:$H$8,"")</f>
        <v>Every pay period (ongoing)</v>
      </c>
      <c r="M496" s="43" t="n">
        <f aca="false" t="array" ref="M496:M496">MAX(_xlfn.XLOOKUP($A496,TRIM(SUBSTITUTE('worker file'!$A$2:$A$406,_xlfn.UNICHAR(160)," ")),'worker file'!$M$2:$M$406,0),_xlfn.XLOOKUP($B496,TRIM('pay group &amp; schedule'!$A$2:$A$6),'pay group &amp; schedule'!$D$2:$D$6,0))</f>
        <v>46311</v>
      </c>
      <c r="N496" s="43" t="n">
        <f aca="false" t="array" ref="N496:N496">_xlfn.LET(_xlpm.t,_xlfn.XLOOKUP($A496,TRIM(SUBSTITUTE('worker file'!$A$2:$A$406,_xlfn.UNICHAR(160)," ")),'worker file'!$N$2:$N$406,""),IF(N(_xlpm.t)=0,"",_xlpm.t))</f>
        <v>46332</v>
      </c>
      <c r="O496" s="0" t="s">
        <v>644</v>
      </c>
    </row>
    <row r="497" customFormat="false" ht="15" hidden="false" customHeight="false" outlineLevel="0" collapsed="false">
      <c r="A497" s="39" t="s">
        <v>273</v>
      </c>
      <c r="B497" s="40" t="str">
        <f aca="false" t="array" ref="B497:B497">_xlfn.XLOOKUP($A497,TRIM(SUBSTITUTE('worker file'!$A$2:$A$406,_xlfn.UNICHAR(160)," ")),'worker file'!$L$2:$L$406,"Not found")</f>
        <v>US Semi-monthly</v>
      </c>
      <c r="C497" s="40" t="str">
        <f aca="false" t="array" ref="C497:C497">_xlfn.XLOOKUP($A497,TRIM(SUBSTITUTE('worker file'!$A$2:$A$406,_xlfn.UNICHAR(160)," ")),'worker file'!$D$2:$D$406,"Not found")</f>
        <v>CA</v>
      </c>
      <c r="D497" s="40" t="str">
        <f aca="false" t="array" ref="D497:D497">_xlfn.XLOOKUP($A497,TRIM(SUBSTITUTE('worker file'!$A$2:$A$406,_xlfn.UNICHAR(160)," ")),'worker file'!$Q$2:$Q$406,"Not found")</f>
        <v>Termination pending</v>
      </c>
      <c r="E497" s="39" t="s">
        <v>632</v>
      </c>
      <c r="F497" s="38" t="str">
        <f aca="false">_xlfn.XLOOKUP($E497,$A$5:$A$8,$B$5:$B$8,"")</f>
        <v>Dental – Employee</v>
      </c>
      <c r="G497" s="38" t="str">
        <f aca="false">_xlfn.XLOOKUP($E497,$A$5:$A$8,$D$5:$D$8,"")</f>
        <v>Pre-tax Section 125 (exempt from FIT/SIT/FICA)</v>
      </c>
      <c r="H497" s="38" t="str">
        <f aca="false">_xlfn.XLOOKUP($E497,$A$5:$A$8,$E$5:$E$8,"")</f>
        <v>Flat</v>
      </c>
      <c r="I497" s="44" t="str">
        <f aca="false">IF($H497="Percent",_xlfn.XLOOKUP($E497,$A$5:$A$8,$F$5:$F$8,""),"")</f>
        <v/>
      </c>
      <c r="J497" s="42" t="n">
        <f aca="false">IF($H497="Flat",_xlfn.XLOOKUP($E497,$A$5:$A$8,$F$5:$F$8,""),"")</f>
        <v>44</v>
      </c>
      <c r="K497" s="38" t="str">
        <f aca="false">_xlfn.XLOOKUP($E497,$A$5:$A$8,$G$5:$G$8,"")</f>
        <v>Per pay period</v>
      </c>
      <c r="L497" s="38" t="str">
        <f aca="false">_xlfn.XLOOKUP($E497,$A$5:$A$8,$H$5:$H$8,"")</f>
        <v>Every pay period (ongoing)</v>
      </c>
      <c r="M497" s="43" t="n">
        <f aca="false" t="array" ref="M497:M497">MAX(_xlfn.XLOOKUP($A497,TRIM(SUBSTITUTE('worker file'!$A$2:$A$406,_xlfn.UNICHAR(160)," ")),'worker file'!$M$2:$M$406,0),_xlfn.XLOOKUP($B497,TRIM('pay group &amp; schedule'!$A$2:$A$6),'pay group &amp; schedule'!$D$2:$D$6,0))</f>
        <v>46311</v>
      </c>
      <c r="N497" s="43" t="n">
        <f aca="false" t="array" ref="N497:N497">_xlfn.LET(_xlpm.t,_xlfn.XLOOKUP($A497,TRIM(SUBSTITUTE('worker file'!$A$2:$A$406,_xlfn.UNICHAR(160)," ")),'worker file'!$N$2:$N$406,""),IF(N(_xlpm.t)=0,"",_xlpm.t))</f>
        <v>46332</v>
      </c>
      <c r="O497" s="0" t="s">
        <v>644</v>
      </c>
    </row>
    <row r="498" customFormat="false" ht="15" hidden="false" customHeight="false" outlineLevel="0" collapsed="false">
      <c r="A498" s="39" t="s">
        <v>273</v>
      </c>
      <c r="B498" s="40" t="str">
        <f aca="false" t="array" ref="B498:B498">_xlfn.XLOOKUP($A498,TRIM(SUBSTITUTE('worker file'!$A$2:$A$406,_xlfn.UNICHAR(160)," ")),'worker file'!$L$2:$L$406,"Not found")</f>
        <v>US Semi-monthly</v>
      </c>
      <c r="C498" s="40" t="str">
        <f aca="false" t="array" ref="C498:C498">_xlfn.XLOOKUP($A498,TRIM(SUBSTITUTE('worker file'!$A$2:$A$406,_xlfn.UNICHAR(160)," ")),'worker file'!$D$2:$D$406,"Not found")</f>
        <v>CA</v>
      </c>
      <c r="D498" s="40" t="str">
        <f aca="false" t="array" ref="D498:D498">_xlfn.XLOOKUP($A498,TRIM(SUBSTITUTE('worker file'!$A$2:$A$406,_xlfn.UNICHAR(160)," ")),'worker file'!$Q$2:$Q$406,"Not found")</f>
        <v>Termination pending</v>
      </c>
      <c r="E498" s="39" t="s">
        <v>634</v>
      </c>
      <c r="F498" s="38" t="str">
        <f aca="false">_xlfn.XLOOKUP($E498,$A$5:$A$8,$B$5:$B$8,"")</f>
        <v>Vision – Employee</v>
      </c>
      <c r="G498" s="38" t="str">
        <f aca="false">_xlfn.XLOOKUP($E498,$A$5:$A$8,$D$5:$D$8,"")</f>
        <v>Pre-tax Section 125 (exempt from FIT/SIT/FICA)</v>
      </c>
      <c r="H498" s="38" t="str">
        <f aca="false">_xlfn.XLOOKUP($E498,$A$5:$A$8,$E$5:$E$8,"")</f>
        <v>Flat</v>
      </c>
      <c r="I498" s="44" t="str">
        <f aca="false">IF($H498="Percent",_xlfn.XLOOKUP($E498,$A$5:$A$8,$F$5:$F$8,""),"")</f>
        <v/>
      </c>
      <c r="J498" s="42" t="n">
        <f aca="false">IF($H498="Flat",_xlfn.XLOOKUP($E498,$A$5:$A$8,$F$5:$F$8,""),"")</f>
        <v>30</v>
      </c>
      <c r="K498" s="38" t="str">
        <f aca="false">_xlfn.XLOOKUP($E498,$A$5:$A$8,$G$5:$G$8,"")</f>
        <v>Per pay period</v>
      </c>
      <c r="L498" s="38" t="str">
        <f aca="false">_xlfn.XLOOKUP($E498,$A$5:$A$8,$H$5:$H$8,"")</f>
        <v>Every pay period (ongoing)</v>
      </c>
      <c r="M498" s="43" t="n">
        <f aca="false" t="array" ref="M498:M498">MAX(_xlfn.XLOOKUP($A498,TRIM(SUBSTITUTE('worker file'!$A$2:$A$406,_xlfn.UNICHAR(160)," ")),'worker file'!$M$2:$M$406,0),_xlfn.XLOOKUP($B498,TRIM('pay group &amp; schedule'!$A$2:$A$6),'pay group &amp; schedule'!$D$2:$D$6,0))</f>
        <v>46311</v>
      </c>
      <c r="N498" s="43" t="n">
        <f aca="false" t="array" ref="N498:N498">_xlfn.LET(_xlpm.t,_xlfn.XLOOKUP($A498,TRIM(SUBSTITUTE('worker file'!$A$2:$A$406,_xlfn.UNICHAR(160)," ")),'worker file'!$N$2:$N$406,""),IF(N(_xlpm.t)=0,"",_xlpm.t))</f>
        <v>46332</v>
      </c>
      <c r="O498" s="0" t="s">
        <v>644</v>
      </c>
    </row>
    <row r="499" customFormat="false" ht="15" hidden="false" customHeight="false" outlineLevel="0" collapsed="false">
      <c r="A499" s="39" t="s">
        <v>274</v>
      </c>
      <c r="B499" s="40" t="str">
        <f aca="false" t="array" ref="B499:B499">_xlfn.XLOOKUP($A499,TRIM(SUBSTITUTE('worker file'!$A$2:$A$406,_xlfn.UNICHAR(160)," ")),'worker file'!$L$2:$L$406,"Not found")</f>
        <v>US Semi-monthly</v>
      </c>
      <c r="C499" s="40" t="str">
        <f aca="false" t="array" ref="C499:C499">_xlfn.XLOOKUP($A499,TRIM(SUBSTITUTE('worker file'!$A$2:$A$406,_xlfn.UNICHAR(160)," ")),'worker file'!$D$2:$D$406,"Not found")</f>
        <v>CA</v>
      </c>
      <c r="D499" s="40" t="str">
        <f aca="false" t="array" ref="D499:D499">_xlfn.XLOOKUP($A499,TRIM(SUBSTITUTE('worker file'!$A$2:$A$406,_xlfn.UNICHAR(160)," ")),'worker file'!$Q$2:$Q$406,"Not found")</f>
        <v>Active</v>
      </c>
      <c r="E499" s="39" t="s">
        <v>618</v>
      </c>
      <c r="F499" s="38" t="str">
        <f aca="false">_xlfn.XLOOKUP($E499,$A$5:$A$8,$B$5:$B$8,"")</f>
        <v>401(k) Employee Deferral</v>
      </c>
      <c r="G499" s="38" t="str">
        <f aca="false">_xlfn.XLOOKUP($E499,$A$5:$A$8,$D$5:$D$8,"")</f>
        <v>Pre-tax (exempt from FIT/SIT; subject to FICA)</v>
      </c>
      <c r="H499" s="38" t="str">
        <f aca="false">_xlfn.XLOOKUP($E499,$A$5:$A$8,$E$5:$E$8,"")</f>
        <v>Percent</v>
      </c>
      <c r="I499" s="41" t="n">
        <v>0.04</v>
      </c>
      <c r="J499" s="42" t="str">
        <f aca="false">IF($H499="Flat",_xlfn.XLOOKUP($E499,$A$5:$A$8,$F$5:$F$8,""),"")</f>
        <v/>
      </c>
      <c r="K499" s="38" t="str">
        <f aca="false">_xlfn.XLOOKUP($E499,$A$5:$A$8,$G$5:$G$8,"")</f>
        <v>Gross pay</v>
      </c>
      <c r="L499" s="38" t="str">
        <f aca="false">_xlfn.XLOOKUP($E499,$A$5:$A$8,$H$5:$H$8,"")</f>
        <v>Every pay period (ongoing)</v>
      </c>
      <c r="M499" s="43" t="n">
        <f aca="false" t="array" ref="M499:M499">MAX(_xlfn.XLOOKUP($A499,TRIM(SUBSTITUTE('worker file'!$A$2:$A$406,_xlfn.UNICHAR(160)," ")),'worker file'!$M$2:$M$406,0),_xlfn.XLOOKUP($B499,TRIM('pay group &amp; schedule'!$A$2:$A$6),'pay group &amp; schedule'!$D$2:$D$6,0))</f>
        <v>46311</v>
      </c>
      <c r="N499" s="43" t="str">
        <f aca="false" t="array" ref="N499:N499">_xlfn.LET(_xlpm.t,_xlfn.XLOOKUP($A499,TRIM(SUBSTITUTE('worker file'!$A$2:$A$406,_xlfn.UNICHAR(160)," ")),'worker file'!$N$2:$N$406,""),IF(N(_xlpm.t)=0,"",_xlpm.t))</f>
        <v/>
      </c>
    </row>
    <row r="500" customFormat="false" ht="15" hidden="false" customHeight="false" outlineLevel="0" collapsed="false">
      <c r="A500" s="39" t="s">
        <v>274</v>
      </c>
      <c r="B500" s="40" t="str">
        <f aca="false" t="array" ref="B500:B500">_xlfn.XLOOKUP($A500,TRIM(SUBSTITUTE('worker file'!$A$2:$A$406,_xlfn.UNICHAR(160)," ")),'worker file'!$L$2:$L$406,"Not found")</f>
        <v>US Semi-monthly</v>
      </c>
      <c r="C500" s="40" t="str">
        <f aca="false" t="array" ref="C500:C500">_xlfn.XLOOKUP($A500,TRIM(SUBSTITUTE('worker file'!$A$2:$A$406,_xlfn.UNICHAR(160)," ")),'worker file'!$D$2:$D$406,"Not found")</f>
        <v>CA</v>
      </c>
      <c r="D500" s="40" t="str">
        <f aca="false" t="array" ref="D500:D500">_xlfn.XLOOKUP($A500,TRIM(SUBSTITUTE('worker file'!$A$2:$A$406,_xlfn.UNICHAR(160)," ")),'worker file'!$Q$2:$Q$406,"Not found")</f>
        <v>Active</v>
      </c>
      <c r="E500" s="39" t="s">
        <v>626</v>
      </c>
      <c r="F500" s="38" t="str">
        <f aca="false">_xlfn.XLOOKUP($E500,$A$5:$A$8,$B$5:$B$8,"")</f>
        <v>Medical (Health) – Employee</v>
      </c>
      <c r="G500" s="38" t="str">
        <f aca="false">_xlfn.XLOOKUP($E500,$A$5:$A$8,$D$5:$D$8,"")</f>
        <v>Pre-tax Section 125 (exempt from FIT/SIT/FICA)</v>
      </c>
      <c r="H500" s="38" t="str">
        <f aca="false">_xlfn.XLOOKUP($E500,$A$5:$A$8,$E$5:$E$8,"")</f>
        <v>Flat</v>
      </c>
      <c r="I500" s="44" t="str">
        <f aca="false">IF($H500="Percent",_xlfn.XLOOKUP($E500,$A$5:$A$8,$F$5:$F$8,""),"")</f>
        <v/>
      </c>
      <c r="J500" s="42" t="n">
        <f aca="false">IF($H500="Flat",_xlfn.XLOOKUP($E500,$A$5:$A$8,$F$5:$F$8,""),"")</f>
        <v>200</v>
      </c>
      <c r="K500" s="38" t="str">
        <f aca="false">_xlfn.XLOOKUP($E500,$A$5:$A$8,$G$5:$G$8,"")</f>
        <v>Per pay period</v>
      </c>
      <c r="L500" s="38" t="str">
        <f aca="false">_xlfn.XLOOKUP($E500,$A$5:$A$8,$H$5:$H$8,"")</f>
        <v>Every pay period (ongoing)</v>
      </c>
      <c r="M500" s="43" t="n">
        <f aca="false" t="array" ref="M500:M500">MAX(_xlfn.XLOOKUP($A500,TRIM(SUBSTITUTE('worker file'!$A$2:$A$406,_xlfn.UNICHAR(160)," ")),'worker file'!$M$2:$M$406,0),_xlfn.XLOOKUP($B500,TRIM('pay group &amp; schedule'!$A$2:$A$6),'pay group &amp; schedule'!$D$2:$D$6,0))</f>
        <v>46311</v>
      </c>
      <c r="N500" s="43" t="str">
        <f aca="false" t="array" ref="N500:N500">_xlfn.LET(_xlpm.t,_xlfn.XLOOKUP($A500,TRIM(SUBSTITUTE('worker file'!$A$2:$A$406,_xlfn.UNICHAR(160)," ")),'worker file'!$N$2:$N$406,""),IF(N(_xlpm.t)=0,"",_xlpm.t))</f>
        <v/>
      </c>
    </row>
    <row r="501" customFormat="false" ht="15" hidden="false" customHeight="false" outlineLevel="0" collapsed="false">
      <c r="A501" s="39" t="s">
        <v>274</v>
      </c>
      <c r="B501" s="40" t="str">
        <f aca="false" t="array" ref="B501:B501">_xlfn.XLOOKUP($A501,TRIM(SUBSTITUTE('worker file'!$A$2:$A$406,_xlfn.UNICHAR(160)," ")),'worker file'!$L$2:$L$406,"Not found")</f>
        <v>US Semi-monthly</v>
      </c>
      <c r="C501" s="40" t="str">
        <f aca="false" t="array" ref="C501:C501">_xlfn.XLOOKUP($A501,TRIM(SUBSTITUTE('worker file'!$A$2:$A$406,_xlfn.UNICHAR(160)," ")),'worker file'!$D$2:$D$406,"Not found")</f>
        <v>CA</v>
      </c>
      <c r="D501" s="40" t="str">
        <f aca="false" t="array" ref="D501:D501">_xlfn.XLOOKUP($A501,TRIM(SUBSTITUTE('worker file'!$A$2:$A$406,_xlfn.UNICHAR(160)," ")),'worker file'!$Q$2:$Q$406,"Not found")</f>
        <v>Active</v>
      </c>
      <c r="E501" s="39" t="s">
        <v>632</v>
      </c>
      <c r="F501" s="38" t="str">
        <f aca="false">_xlfn.XLOOKUP($E501,$A$5:$A$8,$B$5:$B$8,"")</f>
        <v>Dental – Employee</v>
      </c>
      <c r="G501" s="38" t="str">
        <f aca="false">_xlfn.XLOOKUP($E501,$A$5:$A$8,$D$5:$D$8,"")</f>
        <v>Pre-tax Section 125 (exempt from FIT/SIT/FICA)</v>
      </c>
      <c r="H501" s="38" t="str">
        <f aca="false">_xlfn.XLOOKUP($E501,$A$5:$A$8,$E$5:$E$8,"")</f>
        <v>Flat</v>
      </c>
      <c r="I501" s="44" t="str">
        <f aca="false">IF($H501="Percent",_xlfn.XLOOKUP($E501,$A$5:$A$8,$F$5:$F$8,""),"")</f>
        <v/>
      </c>
      <c r="J501" s="42" t="n">
        <f aca="false">IF($H501="Flat",_xlfn.XLOOKUP($E501,$A$5:$A$8,$F$5:$F$8,""),"")</f>
        <v>44</v>
      </c>
      <c r="K501" s="38" t="str">
        <f aca="false">_xlfn.XLOOKUP($E501,$A$5:$A$8,$G$5:$G$8,"")</f>
        <v>Per pay period</v>
      </c>
      <c r="L501" s="38" t="str">
        <f aca="false">_xlfn.XLOOKUP($E501,$A$5:$A$8,$H$5:$H$8,"")</f>
        <v>Every pay period (ongoing)</v>
      </c>
      <c r="M501" s="43" t="n">
        <f aca="false" t="array" ref="M501:M501">MAX(_xlfn.XLOOKUP($A501,TRIM(SUBSTITUTE('worker file'!$A$2:$A$406,_xlfn.UNICHAR(160)," ")),'worker file'!$M$2:$M$406,0),_xlfn.XLOOKUP($B501,TRIM('pay group &amp; schedule'!$A$2:$A$6),'pay group &amp; schedule'!$D$2:$D$6,0))</f>
        <v>46311</v>
      </c>
      <c r="N501" s="43" t="str">
        <f aca="false" t="array" ref="N501:N501">_xlfn.LET(_xlpm.t,_xlfn.XLOOKUP($A501,TRIM(SUBSTITUTE('worker file'!$A$2:$A$406,_xlfn.UNICHAR(160)," ")),'worker file'!$N$2:$N$406,""),IF(N(_xlpm.t)=0,"",_xlpm.t))</f>
        <v/>
      </c>
    </row>
    <row r="502" customFormat="false" ht="15" hidden="false" customHeight="false" outlineLevel="0" collapsed="false">
      <c r="A502" s="39" t="s">
        <v>274</v>
      </c>
      <c r="B502" s="40" t="str">
        <f aca="false" t="array" ref="B502:B502">_xlfn.XLOOKUP($A502,TRIM(SUBSTITUTE('worker file'!$A$2:$A$406,_xlfn.UNICHAR(160)," ")),'worker file'!$L$2:$L$406,"Not found")</f>
        <v>US Semi-monthly</v>
      </c>
      <c r="C502" s="40" t="str">
        <f aca="false" t="array" ref="C502:C502">_xlfn.XLOOKUP($A502,TRIM(SUBSTITUTE('worker file'!$A$2:$A$406,_xlfn.UNICHAR(160)," ")),'worker file'!$D$2:$D$406,"Not found")</f>
        <v>CA</v>
      </c>
      <c r="D502" s="40" t="str">
        <f aca="false" t="array" ref="D502:D502">_xlfn.XLOOKUP($A502,TRIM(SUBSTITUTE('worker file'!$A$2:$A$406,_xlfn.UNICHAR(160)," ")),'worker file'!$Q$2:$Q$406,"Not found")</f>
        <v>Active</v>
      </c>
      <c r="E502" s="39" t="s">
        <v>634</v>
      </c>
      <c r="F502" s="38" t="str">
        <f aca="false">_xlfn.XLOOKUP($E502,$A$5:$A$8,$B$5:$B$8,"")</f>
        <v>Vision – Employee</v>
      </c>
      <c r="G502" s="38" t="str">
        <f aca="false">_xlfn.XLOOKUP($E502,$A$5:$A$8,$D$5:$D$8,"")</f>
        <v>Pre-tax Section 125 (exempt from FIT/SIT/FICA)</v>
      </c>
      <c r="H502" s="38" t="str">
        <f aca="false">_xlfn.XLOOKUP($E502,$A$5:$A$8,$E$5:$E$8,"")</f>
        <v>Flat</v>
      </c>
      <c r="I502" s="44" t="str">
        <f aca="false">IF($H502="Percent",_xlfn.XLOOKUP($E502,$A$5:$A$8,$F$5:$F$8,""),"")</f>
        <v/>
      </c>
      <c r="J502" s="42" t="n">
        <f aca="false">IF($H502="Flat",_xlfn.XLOOKUP($E502,$A$5:$A$8,$F$5:$F$8,""),"")</f>
        <v>30</v>
      </c>
      <c r="K502" s="38" t="str">
        <f aca="false">_xlfn.XLOOKUP($E502,$A$5:$A$8,$G$5:$G$8,"")</f>
        <v>Per pay period</v>
      </c>
      <c r="L502" s="38" t="str">
        <f aca="false">_xlfn.XLOOKUP($E502,$A$5:$A$8,$H$5:$H$8,"")</f>
        <v>Every pay period (ongoing)</v>
      </c>
      <c r="M502" s="43" t="n">
        <f aca="false" t="array" ref="M502:M502">MAX(_xlfn.XLOOKUP($A502,TRIM(SUBSTITUTE('worker file'!$A$2:$A$406,_xlfn.UNICHAR(160)," ")),'worker file'!$M$2:$M$406,0),_xlfn.XLOOKUP($B502,TRIM('pay group &amp; schedule'!$A$2:$A$6),'pay group &amp; schedule'!$D$2:$D$6,0))</f>
        <v>46311</v>
      </c>
      <c r="N502" s="43" t="str">
        <f aca="false" t="array" ref="N502:N502">_xlfn.LET(_xlpm.t,_xlfn.XLOOKUP($A502,TRIM(SUBSTITUTE('worker file'!$A$2:$A$406,_xlfn.UNICHAR(160)," ")),'worker file'!$N$2:$N$406,""),IF(N(_xlpm.t)=0,"",_xlpm.t))</f>
        <v/>
      </c>
    </row>
    <row r="503" customFormat="false" ht="15" hidden="false" customHeight="false" outlineLevel="0" collapsed="false">
      <c r="A503" s="39" t="s">
        <v>275</v>
      </c>
      <c r="B503" s="40" t="str">
        <f aca="false" t="array" ref="B503:B503">_xlfn.XLOOKUP($A503,TRIM(SUBSTITUTE('worker file'!$A$2:$A$406,_xlfn.UNICHAR(160)," ")),'worker file'!$L$2:$L$406,"Not found")</f>
        <v>US Semi-monthly</v>
      </c>
      <c r="C503" s="40" t="str">
        <f aca="false" t="array" ref="C503:C503">_xlfn.XLOOKUP($A503,TRIM(SUBSTITUTE('worker file'!$A$2:$A$406,_xlfn.UNICHAR(160)," ")),'worker file'!$D$2:$D$406,"Not found")</f>
        <v>CA</v>
      </c>
      <c r="D503" s="40" t="str">
        <f aca="false" t="array" ref="D503:D503">_xlfn.XLOOKUP($A503,TRIM(SUBSTITUTE('worker file'!$A$2:$A$406,_xlfn.UNICHAR(160)," ")),'worker file'!$Q$2:$Q$406,"Not found")</f>
        <v>Active</v>
      </c>
      <c r="E503" s="39" t="s">
        <v>618</v>
      </c>
      <c r="F503" s="38" t="str">
        <f aca="false">_xlfn.XLOOKUP($E503,$A$5:$A$8,$B$5:$B$8,"")</f>
        <v>401(k) Employee Deferral</v>
      </c>
      <c r="G503" s="38" t="str">
        <f aca="false">_xlfn.XLOOKUP($E503,$A$5:$A$8,$D$5:$D$8,"")</f>
        <v>Pre-tax (exempt from FIT/SIT; subject to FICA)</v>
      </c>
      <c r="H503" s="38" t="str">
        <f aca="false">_xlfn.XLOOKUP($E503,$A$5:$A$8,$E$5:$E$8,"")</f>
        <v>Percent</v>
      </c>
      <c r="I503" s="41" t="n">
        <v>0.01</v>
      </c>
      <c r="J503" s="42" t="str">
        <f aca="false">IF($H503="Flat",_xlfn.XLOOKUP($E503,$A$5:$A$8,$F$5:$F$8,""),"")</f>
        <v/>
      </c>
      <c r="K503" s="38" t="str">
        <f aca="false">_xlfn.XLOOKUP($E503,$A$5:$A$8,$G$5:$G$8,"")</f>
        <v>Gross pay</v>
      </c>
      <c r="L503" s="38" t="str">
        <f aca="false">_xlfn.XLOOKUP($E503,$A$5:$A$8,$H$5:$H$8,"")</f>
        <v>Every pay period (ongoing)</v>
      </c>
      <c r="M503" s="43" t="n">
        <f aca="false" t="array" ref="M503:M503">MAX(_xlfn.XLOOKUP($A503,TRIM(SUBSTITUTE('worker file'!$A$2:$A$406,_xlfn.UNICHAR(160)," ")),'worker file'!$M$2:$M$406,0),_xlfn.XLOOKUP($B503,TRIM('pay group &amp; schedule'!$A$2:$A$6),'pay group &amp; schedule'!$D$2:$D$6,0))</f>
        <v>46311</v>
      </c>
      <c r="N503" s="43" t="str">
        <f aca="false" t="array" ref="N503:N503">_xlfn.LET(_xlpm.t,_xlfn.XLOOKUP($A503,TRIM(SUBSTITUTE('worker file'!$A$2:$A$406,_xlfn.UNICHAR(160)," ")),'worker file'!$N$2:$N$406,""),IF(N(_xlpm.t)=0,"",_xlpm.t))</f>
        <v/>
      </c>
    </row>
    <row r="504" customFormat="false" ht="15" hidden="false" customHeight="false" outlineLevel="0" collapsed="false">
      <c r="A504" s="39" t="s">
        <v>275</v>
      </c>
      <c r="B504" s="40" t="str">
        <f aca="false" t="array" ref="B504:B504">_xlfn.XLOOKUP($A504,TRIM(SUBSTITUTE('worker file'!$A$2:$A$406,_xlfn.UNICHAR(160)," ")),'worker file'!$L$2:$L$406,"Not found")</f>
        <v>US Semi-monthly</v>
      </c>
      <c r="C504" s="40" t="str">
        <f aca="false" t="array" ref="C504:C504">_xlfn.XLOOKUP($A504,TRIM(SUBSTITUTE('worker file'!$A$2:$A$406,_xlfn.UNICHAR(160)," ")),'worker file'!$D$2:$D$406,"Not found")</f>
        <v>CA</v>
      </c>
      <c r="D504" s="40" t="str">
        <f aca="false" t="array" ref="D504:D504">_xlfn.XLOOKUP($A504,TRIM(SUBSTITUTE('worker file'!$A$2:$A$406,_xlfn.UNICHAR(160)," ")),'worker file'!$Q$2:$Q$406,"Not found")</f>
        <v>Active</v>
      </c>
      <c r="E504" s="39" t="s">
        <v>626</v>
      </c>
      <c r="F504" s="38" t="str">
        <f aca="false">_xlfn.XLOOKUP($E504,$A$5:$A$8,$B$5:$B$8,"")</f>
        <v>Medical (Health) – Employee</v>
      </c>
      <c r="G504" s="38" t="str">
        <f aca="false">_xlfn.XLOOKUP($E504,$A$5:$A$8,$D$5:$D$8,"")</f>
        <v>Pre-tax Section 125 (exempt from FIT/SIT/FICA)</v>
      </c>
      <c r="H504" s="38" t="str">
        <f aca="false">_xlfn.XLOOKUP($E504,$A$5:$A$8,$E$5:$E$8,"")</f>
        <v>Flat</v>
      </c>
      <c r="I504" s="44" t="str">
        <f aca="false">IF($H504="Percent",_xlfn.XLOOKUP($E504,$A$5:$A$8,$F$5:$F$8,""),"")</f>
        <v/>
      </c>
      <c r="J504" s="42" t="n">
        <f aca="false">IF($H504="Flat",_xlfn.XLOOKUP($E504,$A$5:$A$8,$F$5:$F$8,""),"")</f>
        <v>200</v>
      </c>
      <c r="K504" s="38" t="str">
        <f aca="false">_xlfn.XLOOKUP($E504,$A$5:$A$8,$G$5:$G$8,"")</f>
        <v>Per pay period</v>
      </c>
      <c r="L504" s="38" t="str">
        <f aca="false">_xlfn.XLOOKUP($E504,$A$5:$A$8,$H$5:$H$8,"")</f>
        <v>Every pay period (ongoing)</v>
      </c>
      <c r="M504" s="43" t="n">
        <f aca="false" t="array" ref="M504:M504">MAX(_xlfn.XLOOKUP($A504,TRIM(SUBSTITUTE('worker file'!$A$2:$A$406,_xlfn.UNICHAR(160)," ")),'worker file'!$M$2:$M$406,0),_xlfn.XLOOKUP($B504,TRIM('pay group &amp; schedule'!$A$2:$A$6),'pay group &amp; schedule'!$D$2:$D$6,0))</f>
        <v>46311</v>
      </c>
      <c r="N504" s="43" t="str">
        <f aca="false" t="array" ref="N504:N504">_xlfn.LET(_xlpm.t,_xlfn.XLOOKUP($A504,TRIM(SUBSTITUTE('worker file'!$A$2:$A$406,_xlfn.UNICHAR(160)," ")),'worker file'!$N$2:$N$406,""),IF(N(_xlpm.t)=0,"",_xlpm.t))</f>
        <v/>
      </c>
    </row>
    <row r="505" customFormat="false" ht="15" hidden="false" customHeight="false" outlineLevel="0" collapsed="false">
      <c r="A505" s="39" t="s">
        <v>275</v>
      </c>
      <c r="B505" s="40" t="str">
        <f aca="false" t="array" ref="B505:B505">_xlfn.XLOOKUP($A505,TRIM(SUBSTITUTE('worker file'!$A$2:$A$406,_xlfn.UNICHAR(160)," ")),'worker file'!$L$2:$L$406,"Not found")</f>
        <v>US Semi-monthly</v>
      </c>
      <c r="C505" s="40" t="str">
        <f aca="false" t="array" ref="C505:C505">_xlfn.XLOOKUP($A505,TRIM(SUBSTITUTE('worker file'!$A$2:$A$406,_xlfn.UNICHAR(160)," ")),'worker file'!$D$2:$D$406,"Not found")</f>
        <v>CA</v>
      </c>
      <c r="D505" s="40" t="str">
        <f aca="false" t="array" ref="D505:D505">_xlfn.XLOOKUP($A505,TRIM(SUBSTITUTE('worker file'!$A$2:$A$406,_xlfn.UNICHAR(160)," ")),'worker file'!$Q$2:$Q$406,"Not found")</f>
        <v>Active</v>
      </c>
      <c r="E505" s="39" t="s">
        <v>632</v>
      </c>
      <c r="F505" s="38" t="str">
        <f aca="false">_xlfn.XLOOKUP($E505,$A$5:$A$8,$B$5:$B$8,"")</f>
        <v>Dental – Employee</v>
      </c>
      <c r="G505" s="38" t="str">
        <f aca="false">_xlfn.XLOOKUP($E505,$A$5:$A$8,$D$5:$D$8,"")</f>
        <v>Pre-tax Section 125 (exempt from FIT/SIT/FICA)</v>
      </c>
      <c r="H505" s="38" t="str">
        <f aca="false">_xlfn.XLOOKUP($E505,$A$5:$A$8,$E$5:$E$8,"")</f>
        <v>Flat</v>
      </c>
      <c r="I505" s="44" t="str">
        <f aca="false">IF($H505="Percent",_xlfn.XLOOKUP($E505,$A$5:$A$8,$F$5:$F$8,""),"")</f>
        <v/>
      </c>
      <c r="J505" s="42" t="n">
        <f aca="false">IF($H505="Flat",_xlfn.XLOOKUP($E505,$A$5:$A$8,$F$5:$F$8,""),"")</f>
        <v>44</v>
      </c>
      <c r="K505" s="38" t="str">
        <f aca="false">_xlfn.XLOOKUP($E505,$A$5:$A$8,$G$5:$G$8,"")</f>
        <v>Per pay period</v>
      </c>
      <c r="L505" s="38" t="str">
        <f aca="false">_xlfn.XLOOKUP($E505,$A$5:$A$8,$H$5:$H$8,"")</f>
        <v>Every pay period (ongoing)</v>
      </c>
      <c r="M505" s="43" t="n">
        <f aca="false" t="array" ref="M505:M505">MAX(_xlfn.XLOOKUP($A505,TRIM(SUBSTITUTE('worker file'!$A$2:$A$406,_xlfn.UNICHAR(160)," ")),'worker file'!$M$2:$M$406,0),_xlfn.XLOOKUP($B505,TRIM('pay group &amp; schedule'!$A$2:$A$6),'pay group &amp; schedule'!$D$2:$D$6,0))</f>
        <v>46311</v>
      </c>
      <c r="N505" s="43" t="str">
        <f aca="false" t="array" ref="N505:N505">_xlfn.LET(_xlpm.t,_xlfn.XLOOKUP($A505,TRIM(SUBSTITUTE('worker file'!$A$2:$A$406,_xlfn.UNICHAR(160)," ")),'worker file'!$N$2:$N$406,""),IF(N(_xlpm.t)=0,"",_xlpm.t))</f>
        <v/>
      </c>
    </row>
    <row r="506" customFormat="false" ht="15" hidden="false" customHeight="false" outlineLevel="0" collapsed="false">
      <c r="A506" s="39" t="s">
        <v>275</v>
      </c>
      <c r="B506" s="40" t="str">
        <f aca="false" t="array" ref="B506:B506">_xlfn.XLOOKUP($A506,TRIM(SUBSTITUTE('worker file'!$A$2:$A$406,_xlfn.UNICHAR(160)," ")),'worker file'!$L$2:$L$406,"Not found")</f>
        <v>US Semi-monthly</v>
      </c>
      <c r="C506" s="40" t="str">
        <f aca="false" t="array" ref="C506:C506">_xlfn.XLOOKUP($A506,TRIM(SUBSTITUTE('worker file'!$A$2:$A$406,_xlfn.UNICHAR(160)," ")),'worker file'!$D$2:$D$406,"Not found")</f>
        <v>CA</v>
      </c>
      <c r="D506" s="40" t="str">
        <f aca="false" t="array" ref="D506:D506">_xlfn.XLOOKUP($A506,TRIM(SUBSTITUTE('worker file'!$A$2:$A$406,_xlfn.UNICHAR(160)," ")),'worker file'!$Q$2:$Q$406,"Not found")</f>
        <v>Active</v>
      </c>
      <c r="E506" s="39" t="s">
        <v>634</v>
      </c>
      <c r="F506" s="38" t="str">
        <f aca="false">_xlfn.XLOOKUP($E506,$A$5:$A$8,$B$5:$B$8,"")</f>
        <v>Vision – Employee</v>
      </c>
      <c r="G506" s="38" t="str">
        <f aca="false">_xlfn.XLOOKUP($E506,$A$5:$A$8,$D$5:$D$8,"")</f>
        <v>Pre-tax Section 125 (exempt from FIT/SIT/FICA)</v>
      </c>
      <c r="H506" s="38" t="str">
        <f aca="false">_xlfn.XLOOKUP($E506,$A$5:$A$8,$E$5:$E$8,"")</f>
        <v>Flat</v>
      </c>
      <c r="I506" s="44" t="str">
        <f aca="false">IF($H506="Percent",_xlfn.XLOOKUP($E506,$A$5:$A$8,$F$5:$F$8,""),"")</f>
        <v/>
      </c>
      <c r="J506" s="42" t="n">
        <f aca="false">IF($H506="Flat",_xlfn.XLOOKUP($E506,$A$5:$A$8,$F$5:$F$8,""),"")</f>
        <v>30</v>
      </c>
      <c r="K506" s="38" t="str">
        <f aca="false">_xlfn.XLOOKUP($E506,$A$5:$A$8,$G$5:$G$8,"")</f>
        <v>Per pay period</v>
      </c>
      <c r="L506" s="38" t="str">
        <f aca="false">_xlfn.XLOOKUP($E506,$A$5:$A$8,$H$5:$H$8,"")</f>
        <v>Every pay period (ongoing)</v>
      </c>
      <c r="M506" s="43" t="n">
        <f aca="false" t="array" ref="M506:M506">MAX(_xlfn.XLOOKUP($A506,TRIM(SUBSTITUTE('worker file'!$A$2:$A$406,_xlfn.UNICHAR(160)," ")),'worker file'!$M$2:$M$406,0),_xlfn.XLOOKUP($B506,TRIM('pay group &amp; schedule'!$A$2:$A$6),'pay group &amp; schedule'!$D$2:$D$6,0))</f>
        <v>46311</v>
      </c>
      <c r="N506" s="43" t="str">
        <f aca="false" t="array" ref="N506:N506">_xlfn.LET(_xlpm.t,_xlfn.XLOOKUP($A506,TRIM(SUBSTITUTE('worker file'!$A$2:$A$406,_xlfn.UNICHAR(160)," ")),'worker file'!$N$2:$N$406,""),IF(N(_xlpm.t)=0,"",_xlpm.t))</f>
        <v/>
      </c>
    </row>
    <row r="507" customFormat="false" ht="15" hidden="false" customHeight="false" outlineLevel="0" collapsed="false">
      <c r="A507" s="39" t="s">
        <v>278</v>
      </c>
      <c r="B507" s="40" t="str">
        <f aca="false" t="array" ref="B507:B507">_xlfn.XLOOKUP($A507,TRIM(SUBSTITUTE('worker file'!$A$2:$A$406,_xlfn.UNICHAR(160)," ")),'worker file'!$L$2:$L$406,"Not found")</f>
        <v>US Semi-monthly</v>
      </c>
      <c r="C507" s="40" t="str">
        <f aca="false" t="array" ref="C507:C507">_xlfn.XLOOKUP($A507,TRIM(SUBSTITUTE('worker file'!$A$2:$A$406,_xlfn.UNICHAR(160)," ")),'worker file'!$D$2:$D$406,"Not found")</f>
        <v>CA</v>
      </c>
      <c r="D507" s="40" t="str">
        <f aca="false" t="array" ref="D507:D507">_xlfn.XLOOKUP($A507,TRIM(SUBSTITUTE('worker file'!$A$2:$A$406,_xlfn.UNICHAR(160)," ")),'worker file'!$Q$2:$Q$406,"Not found")</f>
        <v>Active</v>
      </c>
      <c r="E507" s="39" t="s">
        <v>618</v>
      </c>
      <c r="F507" s="38" t="str">
        <f aca="false">_xlfn.XLOOKUP($E507,$A$5:$A$8,$B$5:$B$8,"")</f>
        <v>401(k) Employee Deferral</v>
      </c>
      <c r="G507" s="38" t="str">
        <f aca="false">_xlfn.XLOOKUP($E507,$A$5:$A$8,$D$5:$D$8,"")</f>
        <v>Pre-tax (exempt from FIT/SIT; subject to FICA)</v>
      </c>
      <c r="H507" s="38" t="str">
        <f aca="false">_xlfn.XLOOKUP($E507,$A$5:$A$8,$E$5:$E$8,"")</f>
        <v>Percent</v>
      </c>
      <c r="I507" s="41" t="n">
        <v>0.06</v>
      </c>
      <c r="J507" s="42" t="str">
        <f aca="false">IF($H507="Flat",_xlfn.XLOOKUP($E507,$A$5:$A$8,$F$5:$F$8,""),"")</f>
        <v/>
      </c>
      <c r="K507" s="38" t="str">
        <f aca="false">_xlfn.XLOOKUP($E507,$A$5:$A$8,$G$5:$G$8,"")</f>
        <v>Gross pay</v>
      </c>
      <c r="L507" s="38" t="str">
        <f aca="false">_xlfn.XLOOKUP($E507,$A$5:$A$8,$H$5:$H$8,"")</f>
        <v>Every pay period (ongoing)</v>
      </c>
      <c r="M507" s="43" t="n">
        <f aca="false" t="array" ref="M507:M507">MAX(_xlfn.XLOOKUP($A507,TRIM(SUBSTITUTE('worker file'!$A$2:$A$406,_xlfn.UNICHAR(160)," ")),'worker file'!$M$2:$M$406,0),_xlfn.XLOOKUP($B507,TRIM('pay group &amp; schedule'!$A$2:$A$6),'pay group &amp; schedule'!$D$2:$D$6,0))</f>
        <v>46311</v>
      </c>
      <c r="N507" s="43" t="str">
        <f aca="false" t="array" ref="N507:N507">_xlfn.LET(_xlpm.t,_xlfn.XLOOKUP($A507,TRIM(SUBSTITUTE('worker file'!$A$2:$A$406,_xlfn.UNICHAR(160)," ")),'worker file'!$N$2:$N$406,""),IF(N(_xlpm.t)=0,"",_xlpm.t))</f>
        <v/>
      </c>
    </row>
    <row r="508" customFormat="false" ht="15" hidden="false" customHeight="false" outlineLevel="0" collapsed="false">
      <c r="A508" s="39" t="s">
        <v>278</v>
      </c>
      <c r="B508" s="40" t="str">
        <f aca="false" t="array" ref="B508:B508">_xlfn.XLOOKUP($A508,TRIM(SUBSTITUTE('worker file'!$A$2:$A$406,_xlfn.UNICHAR(160)," ")),'worker file'!$L$2:$L$406,"Not found")</f>
        <v>US Semi-monthly</v>
      </c>
      <c r="C508" s="40" t="str">
        <f aca="false" t="array" ref="C508:C508">_xlfn.XLOOKUP($A508,TRIM(SUBSTITUTE('worker file'!$A$2:$A$406,_xlfn.UNICHAR(160)," ")),'worker file'!$D$2:$D$406,"Not found")</f>
        <v>CA</v>
      </c>
      <c r="D508" s="40" t="str">
        <f aca="false" t="array" ref="D508:D508">_xlfn.XLOOKUP($A508,TRIM(SUBSTITUTE('worker file'!$A$2:$A$406,_xlfn.UNICHAR(160)," ")),'worker file'!$Q$2:$Q$406,"Not found")</f>
        <v>Active</v>
      </c>
      <c r="E508" s="39" t="s">
        <v>626</v>
      </c>
      <c r="F508" s="38" t="str">
        <f aca="false">_xlfn.XLOOKUP($E508,$A$5:$A$8,$B$5:$B$8,"")</f>
        <v>Medical (Health) – Employee</v>
      </c>
      <c r="G508" s="38" t="str">
        <f aca="false">_xlfn.XLOOKUP($E508,$A$5:$A$8,$D$5:$D$8,"")</f>
        <v>Pre-tax Section 125 (exempt from FIT/SIT/FICA)</v>
      </c>
      <c r="H508" s="38" t="str">
        <f aca="false">_xlfn.XLOOKUP($E508,$A$5:$A$8,$E$5:$E$8,"")</f>
        <v>Flat</v>
      </c>
      <c r="I508" s="44" t="str">
        <f aca="false">IF($H508="Percent",_xlfn.XLOOKUP($E508,$A$5:$A$8,$F$5:$F$8,""),"")</f>
        <v/>
      </c>
      <c r="J508" s="42" t="n">
        <f aca="false">IF($H508="Flat",_xlfn.XLOOKUP($E508,$A$5:$A$8,$F$5:$F$8,""),"")</f>
        <v>200</v>
      </c>
      <c r="K508" s="38" t="str">
        <f aca="false">_xlfn.XLOOKUP($E508,$A$5:$A$8,$G$5:$G$8,"")</f>
        <v>Per pay period</v>
      </c>
      <c r="L508" s="38" t="str">
        <f aca="false">_xlfn.XLOOKUP($E508,$A$5:$A$8,$H$5:$H$8,"")</f>
        <v>Every pay period (ongoing)</v>
      </c>
      <c r="M508" s="43" t="n">
        <f aca="false" t="array" ref="M508:M508">MAX(_xlfn.XLOOKUP($A508,TRIM(SUBSTITUTE('worker file'!$A$2:$A$406,_xlfn.UNICHAR(160)," ")),'worker file'!$M$2:$M$406,0),_xlfn.XLOOKUP($B508,TRIM('pay group &amp; schedule'!$A$2:$A$6),'pay group &amp; schedule'!$D$2:$D$6,0))</f>
        <v>46311</v>
      </c>
      <c r="N508" s="43" t="str">
        <f aca="false" t="array" ref="N508:N508">_xlfn.LET(_xlpm.t,_xlfn.XLOOKUP($A508,TRIM(SUBSTITUTE('worker file'!$A$2:$A$406,_xlfn.UNICHAR(160)," ")),'worker file'!$N$2:$N$406,""),IF(N(_xlpm.t)=0,"",_xlpm.t))</f>
        <v/>
      </c>
    </row>
    <row r="509" customFormat="false" ht="15" hidden="false" customHeight="false" outlineLevel="0" collapsed="false">
      <c r="A509" s="39" t="s">
        <v>278</v>
      </c>
      <c r="B509" s="40" t="str">
        <f aca="false" t="array" ref="B509:B509">_xlfn.XLOOKUP($A509,TRIM(SUBSTITUTE('worker file'!$A$2:$A$406,_xlfn.UNICHAR(160)," ")),'worker file'!$L$2:$L$406,"Not found")</f>
        <v>US Semi-monthly</v>
      </c>
      <c r="C509" s="40" t="str">
        <f aca="false" t="array" ref="C509:C509">_xlfn.XLOOKUP($A509,TRIM(SUBSTITUTE('worker file'!$A$2:$A$406,_xlfn.UNICHAR(160)," ")),'worker file'!$D$2:$D$406,"Not found")</f>
        <v>CA</v>
      </c>
      <c r="D509" s="40" t="str">
        <f aca="false" t="array" ref="D509:D509">_xlfn.XLOOKUP($A509,TRIM(SUBSTITUTE('worker file'!$A$2:$A$406,_xlfn.UNICHAR(160)," ")),'worker file'!$Q$2:$Q$406,"Not found")</f>
        <v>Active</v>
      </c>
      <c r="E509" s="39" t="s">
        <v>632</v>
      </c>
      <c r="F509" s="38" t="str">
        <f aca="false">_xlfn.XLOOKUP($E509,$A$5:$A$8,$B$5:$B$8,"")</f>
        <v>Dental – Employee</v>
      </c>
      <c r="G509" s="38" t="str">
        <f aca="false">_xlfn.XLOOKUP($E509,$A$5:$A$8,$D$5:$D$8,"")</f>
        <v>Pre-tax Section 125 (exempt from FIT/SIT/FICA)</v>
      </c>
      <c r="H509" s="38" t="str">
        <f aca="false">_xlfn.XLOOKUP($E509,$A$5:$A$8,$E$5:$E$8,"")</f>
        <v>Flat</v>
      </c>
      <c r="I509" s="44" t="str">
        <f aca="false">IF($H509="Percent",_xlfn.XLOOKUP($E509,$A$5:$A$8,$F$5:$F$8,""),"")</f>
        <v/>
      </c>
      <c r="J509" s="42" t="n">
        <f aca="false">IF($H509="Flat",_xlfn.XLOOKUP($E509,$A$5:$A$8,$F$5:$F$8,""),"")</f>
        <v>44</v>
      </c>
      <c r="K509" s="38" t="str">
        <f aca="false">_xlfn.XLOOKUP($E509,$A$5:$A$8,$G$5:$G$8,"")</f>
        <v>Per pay period</v>
      </c>
      <c r="L509" s="38" t="str">
        <f aca="false">_xlfn.XLOOKUP($E509,$A$5:$A$8,$H$5:$H$8,"")</f>
        <v>Every pay period (ongoing)</v>
      </c>
      <c r="M509" s="43" t="n">
        <f aca="false" t="array" ref="M509:M509">MAX(_xlfn.XLOOKUP($A509,TRIM(SUBSTITUTE('worker file'!$A$2:$A$406,_xlfn.UNICHAR(160)," ")),'worker file'!$M$2:$M$406,0),_xlfn.XLOOKUP($B509,TRIM('pay group &amp; schedule'!$A$2:$A$6),'pay group &amp; schedule'!$D$2:$D$6,0))</f>
        <v>46311</v>
      </c>
      <c r="N509" s="43" t="str">
        <f aca="false" t="array" ref="N509:N509">_xlfn.LET(_xlpm.t,_xlfn.XLOOKUP($A509,TRIM(SUBSTITUTE('worker file'!$A$2:$A$406,_xlfn.UNICHAR(160)," ")),'worker file'!$N$2:$N$406,""),IF(N(_xlpm.t)=0,"",_xlpm.t))</f>
        <v/>
      </c>
    </row>
    <row r="510" customFormat="false" ht="15" hidden="false" customHeight="false" outlineLevel="0" collapsed="false">
      <c r="A510" s="39" t="s">
        <v>278</v>
      </c>
      <c r="B510" s="40" t="str">
        <f aca="false" t="array" ref="B510:B510">_xlfn.XLOOKUP($A510,TRIM(SUBSTITUTE('worker file'!$A$2:$A$406,_xlfn.UNICHAR(160)," ")),'worker file'!$L$2:$L$406,"Not found")</f>
        <v>US Semi-monthly</v>
      </c>
      <c r="C510" s="40" t="str">
        <f aca="false" t="array" ref="C510:C510">_xlfn.XLOOKUP($A510,TRIM(SUBSTITUTE('worker file'!$A$2:$A$406,_xlfn.UNICHAR(160)," ")),'worker file'!$D$2:$D$406,"Not found")</f>
        <v>CA</v>
      </c>
      <c r="D510" s="40" t="str">
        <f aca="false" t="array" ref="D510:D510">_xlfn.XLOOKUP($A510,TRIM(SUBSTITUTE('worker file'!$A$2:$A$406,_xlfn.UNICHAR(160)," ")),'worker file'!$Q$2:$Q$406,"Not found")</f>
        <v>Active</v>
      </c>
      <c r="E510" s="39" t="s">
        <v>634</v>
      </c>
      <c r="F510" s="38" t="str">
        <f aca="false">_xlfn.XLOOKUP($E510,$A$5:$A$8,$B$5:$B$8,"")</f>
        <v>Vision – Employee</v>
      </c>
      <c r="G510" s="38" t="str">
        <f aca="false">_xlfn.XLOOKUP($E510,$A$5:$A$8,$D$5:$D$8,"")</f>
        <v>Pre-tax Section 125 (exempt from FIT/SIT/FICA)</v>
      </c>
      <c r="H510" s="38" t="str">
        <f aca="false">_xlfn.XLOOKUP($E510,$A$5:$A$8,$E$5:$E$8,"")</f>
        <v>Flat</v>
      </c>
      <c r="I510" s="44" t="str">
        <f aca="false">IF($H510="Percent",_xlfn.XLOOKUP($E510,$A$5:$A$8,$F$5:$F$8,""),"")</f>
        <v/>
      </c>
      <c r="J510" s="42" t="n">
        <f aca="false">IF($H510="Flat",_xlfn.XLOOKUP($E510,$A$5:$A$8,$F$5:$F$8,""),"")</f>
        <v>30</v>
      </c>
      <c r="K510" s="38" t="str">
        <f aca="false">_xlfn.XLOOKUP($E510,$A$5:$A$8,$G$5:$G$8,"")</f>
        <v>Per pay period</v>
      </c>
      <c r="L510" s="38" t="str">
        <f aca="false">_xlfn.XLOOKUP($E510,$A$5:$A$8,$H$5:$H$8,"")</f>
        <v>Every pay period (ongoing)</v>
      </c>
      <c r="M510" s="43" t="n">
        <f aca="false" t="array" ref="M510:M510">MAX(_xlfn.XLOOKUP($A510,TRIM(SUBSTITUTE('worker file'!$A$2:$A$406,_xlfn.UNICHAR(160)," ")),'worker file'!$M$2:$M$406,0),_xlfn.XLOOKUP($B510,TRIM('pay group &amp; schedule'!$A$2:$A$6),'pay group &amp; schedule'!$D$2:$D$6,0))</f>
        <v>46311</v>
      </c>
      <c r="N510" s="43" t="str">
        <f aca="false" t="array" ref="N510:N510">_xlfn.LET(_xlpm.t,_xlfn.XLOOKUP($A510,TRIM(SUBSTITUTE('worker file'!$A$2:$A$406,_xlfn.UNICHAR(160)," ")),'worker file'!$N$2:$N$406,""),IF(N(_xlpm.t)=0,"",_xlpm.t))</f>
        <v/>
      </c>
    </row>
    <row r="511" customFormat="false" ht="15" hidden="false" customHeight="false" outlineLevel="0" collapsed="false">
      <c r="A511" s="39" t="s">
        <v>279</v>
      </c>
      <c r="B511" s="40" t="str">
        <f aca="false" t="array" ref="B511:B511">_xlfn.XLOOKUP($A511,TRIM(SUBSTITUTE('worker file'!$A$2:$A$406,_xlfn.UNICHAR(160)," ")),'worker file'!$L$2:$L$406,"Not found")</f>
        <v>US Biweekly</v>
      </c>
      <c r="C511" s="40" t="str">
        <f aca="false" t="array" ref="C511:C511">_xlfn.XLOOKUP($A511,TRIM(SUBSTITUTE('worker file'!$A$2:$A$406,_xlfn.UNICHAR(160)," ")),'worker file'!$D$2:$D$406,"Not found")</f>
        <v>TX</v>
      </c>
      <c r="D511" s="40" t="str">
        <f aca="false" t="array" ref="D511:D511">_xlfn.XLOOKUP($A511,TRIM(SUBSTITUTE('worker file'!$A$2:$A$406,_xlfn.UNICHAR(160)," ")),'worker file'!$Q$2:$Q$406,"Not found")</f>
        <v>Active</v>
      </c>
      <c r="E511" s="39" t="s">
        <v>618</v>
      </c>
      <c r="F511" s="38" t="str">
        <f aca="false">_xlfn.XLOOKUP($E511,$A$5:$A$8,$B$5:$B$8,"")</f>
        <v>401(k) Employee Deferral</v>
      </c>
      <c r="G511" s="38" t="str">
        <f aca="false">_xlfn.XLOOKUP($E511,$A$5:$A$8,$D$5:$D$8,"")</f>
        <v>Pre-tax (exempt from FIT/SIT; subject to FICA)</v>
      </c>
      <c r="H511" s="38" t="str">
        <f aca="false">_xlfn.XLOOKUP($E511,$A$5:$A$8,$E$5:$E$8,"")</f>
        <v>Percent</v>
      </c>
      <c r="I511" s="41" t="n">
        <v>0.03</v>
      </c>
      <c r="J511" s="42" t="str">
        <f aca="false">IF($H511="Flat",_xlfn.XLOOKUP($E511,$A$5:$A$8,$F$5:$F$8,""),"")</f>
        <v/>
      </c>
      <c r="K511" s="38" t="str">
        <f aca="false">_xlfn.XLOOKUP($E511,$A$5:$A$8,$G$5:$G$8,"")</f>
        <v>Gross pay</v>
      </c>
      <c r="L511" s="38" t="str">
        <f aca="false">_xlfn.XLOOKUP($E511,$A$5:$A$8,$H$5:$H$8,"")</f>
        <v>Every pay period (ongoing)</v>
      </c>
      <c r="M511" s="43" t="n">
        <f aca="false" t="array" ref="M511:M511">MAX(_xlfn.XLOOKUP($A511,TRIM(SUBSTITUTE('worker file'!$A$2:$A$406,_xlfn.UNICHAR(160)," ")),'worker file'!$M$2:$M$406,0),_xlfn.XLOOKUP($B511,TRIM('pay group &amp; schedule'!$A$2:$A$6),'pay group &amp; schedule'!$D$2:$D$6,0))</f>
        <v>46299</v>
      </c>
      <c r="N511" s="43" t="str">
        <f aca="false" t="array" ref="N511:N511">_xlfn.LET(_xlpm.t,_xlfn.XLOOKUP($A511,TRIM(SUBSTITUTE('worker file'!$A$2:$A$406,_xlfn.UNICHAR(160)," ")),'worker file'!$N$2:$N$406,""),IF(N(_xlpm.t)=0,"",_xlpm.t))</f>
        <v/>
      </c>
    </row>
    <row r="512" customFormat="false" ht="15" hidden="false" customHeight="false" outlineLevel="0" collapsed="false">
      <c r="A512" s="39" t="s">
        <v>279</v>
      </c>
      <c r="B512" s="40" t="str">
        <f aca="false" t="array" ref="B512:B512">_xlfn.XLOOKUP($A512,TRIM(SUBSTITUTE('worker file'!$A$2:$A$406,_xlfn.UNICHAR(160)," ")),'worker file'!$L$2:$L$406,"Not found")</f>
        <v>US Biweekly</v>
      </c>
      <c r="C512" s="40" t="str">
        <f aca="false" t="array" ref="C512:C512">_xlfn.XLOOKUP($A512,TRIM(SUBSTITUTE('worker file'!$A$2:$A$406,_xlfn.UNICHAR(160)," ")),'worker file'!$D$2:$D$406,"Not found")</f>
        <v>TX</v>
      </c>
      <c r="D512" s="40" t="str">
        <f aca="false" t="array" ref="D512:D512">_xlfn.XLOOKUP($A512,TRIM(SUBSTITUTE('worker file'!$A$2:$A$406,_xlfn.UNICHAR(160)," ")),'worker file'!$Q$2:$Q$406,"Not found")</f>
        <v>Active</v>
      </c>
      <c r="E512" s="39" t="s">
        <v>626</v>
      </c>
      <c r="F512" s="38" t="str">
        <f aca="false">_xlfn.XLOOKUP($E512,$A$5:$A$8,$B$5:$B$8,"")</f>
        <v>Medical (Health) – Employee</v>
      </c>
      <c r="G512" s="38" t="str">
        <f aca="false">_xlfn.XLOOKUP($E512,$A$5:$A$8,$D$5:$D$8,"")</f>
        <v>Pre-tax Section 125 (exempt from FIT/SIT/FICA)</v>
      </c>
      <c r="H512" s="38" t="str">
        <f aca="false">_xlfn.XLOOKUP($E512,$A$5:$A$8,$E$5:$E$8,"")</f>
        <v>Flat</v>
      </c>
      <c r="I512" s="44" t="str">
        <f aca="false">IF($H512="Percent",_xlfn.XLOOKUP($E512,$A$5:$A$8,$F$5:$F$8,""),"")</f>
        <v/>
      </c>
      <c r="J512" s="42" t="n">
        <f aca="false">IF($H512="Flat",_xlfn.XLOOKUP($E512,$A$5:$A$8,$F$5:$F$8,""),"")</f>
        <v>200</v>
      </c>
      <c r="K512" s="38" t="str">
        <f aca="false">_xlfn.XLOOKUP($E512,$A$5:$A$8,$G$5:$G$8,"")</f>
        <v>Per pay period</v>
      </c>
      <c r="L512" s="38" t="str">
        <f aca="false">_xlfn.XLOOKUP($E512,$A$5:$A$8,$H$5:$H$8,"")</f>
        <v>Every pay period (ongoing)</v>
      </c>
      <c r="M512" s="43" t="n">
        <f aca="false" t="array" ref="M512:M512">MAX(_xlfn.XLOOKUP($A512,TRIM(SUBSTITUTE('worker file'!$A$2:$A$406,_xlfn.UNICHAR(160)," ")),'worker file'!$M$2:$M$406,0),_xlfn.XLOOKUP($B512,TRIM('pay group &amp; schedule'!$A$2:$A$6),'pay group &amp; schedule'!$D$2:$D$6,0))</f>
        <v>46299</v>
      </c>
      <c r="N512" s="43" t="str">
        <f aca="false" t="array" ref="N512:N512">_xlfn.LET(_xlpm.t,_xlfn.XLOOKUP($A512,TRIM(SUBSTITUTE('worker file'!$A$2:$A$406,_xlfn.UNICHAR(160)," ")),'worker file'!$N$2:$N$406,""),IF(N(_xlpm.t)=0,"",_xlpm.t))</f>
        <v/>
      </c>
    </row>
    <row r="513" customFormat="false" ht="15" hidden="false" customHeight="false" outlineLevel="0" collapsed="false">
      <c r="A513" s="39" t="s">
        <v>279</v>
      </c>
      <c r="B513" s="40" t="str">
        <f aca="false" t="array" ref="B513:B513">_xlfn.XLOOKUP($A513,TRIM(SUBSTITUTE('worker file'!$A$2:$A$406,_xlfn.UNICHAR(160)," ")),'worker file'!$L$2:$L$406,"Not found")</f>
        <v>US Biweekly</v>
      </c>
      <c r="C513" s="40" t="str">
        <f aca="false" t="array" ref="C513:C513">_xlfn.XLOOKUP($A513,TRIM(SUBSTITUTE('worker file'!$A$2:$A$406,_xlfn.UNICHAR(160)," ")),'worker file'!$D$2:$D$406,"Not found")</f>
        <v>TX</v>
      </c>
      <c r="D513" s="40" t="str">
        <f aca="false" t="array" ref="D513:D513">_xlfn.XLOOKUP($A513,TRIM(SUBSTITUTE('worker file'!$A$2:$A$406,_xlfn.UNICHAR(160)," ")),'worker file'!$Q$2:$Q$406,"Not found")</f>
        <v>Active</v>
      </c>
      <c r="E513" s="39" t="s">
        <v>632</v>
      </c>
      <c r="F513" s="38" t="str">
        <f aca="false">_xlfn.XLOOKUP($E513,$A$5:$A$8,$B$5:$B$8,"")</f>
        <v>Dental – Employee</v>
      </c>
      <c r="G513" s="38" t="str">
        <f aca="false">_xlfn.XLOOKUP($E513,$A$5:$A$8,$D$5:$D$8,"")</f>
        <v>Pre-tax Section 125 (exempt from FIT/SIT/FICA)</v>
      </c>
      <c r="H513" s="38" t="str">
        <f aca="false">_xlfn.XLOOKUP($E513,$A$5:$A$8,$E$5:$E$8,"")</f>
        <v>Flat</v>
      </c>
      <c r="I513" s="44" t="str">
        <f aca="false">IF($H513="Percent",_xlfn.XLOOKUP($E513,$A$5:$A$8,$F$5:$F$8,""),"")</f>
        <v/>
      </c>
      <c r="J513" s="42" t="n">
        <f aca="false">IF($H513="Flat",_xlfn.XLOOKUP($E513,$A$5:$A$8,$F$5:$F$8,""),"")</f>
        <v>44</v>
      </c>
      <c r="K513" s="38" t="str">
        <f aca="false">_xlfn.XLOOKUP($E513,$A$5:$A$8,$G$5:$G$8,"")</f>
        <v>Per pay period</v>
      </c>
      <c r="L513" s="38" t="str">
        <f aca="false">_xlfn.XLOOKUP($E513,$A$5:$A$8,$H$5:$H$8,"")</f>
        <v>Every pay period (ongoing)</v>
      </c>
      <c r="M513" s="43" t="n">
        <f aca="false" t="array" ref="M513:M513">MAX(_xlfn.XLOOKUP($A513,TRIM(SUBSTITUTE('worker file'!$A$2:$A$406,_xlfn.UNICHAR(160)," ")),'worker file'!$M$2:$M$406,0),_xlfn.XLOOKUP($B513,TRIM('pay group &amp; schedule'!$A$2:$A$6),'pay group &amp; schedule'!$D$2:$D$6,0))</f>
        <v>46299</v>
      </c>
      <c r="N513" s="43" t="str">
        <f aca="false" t="array" ref="N513:N513">_xlfn.LET(_xlpm.t,_xlfn.XLOOKUP($A513,TRIM(SUBSTITUTE('worker file'!$A$2:$A$406,_xlfn.UNICHAR(160)," ")),'worker file'!$N$2:$N$406,""),IF(N(_xlpm.t)=0,"",_xlpm.t))</f>
        <v/>
      </c>
    </row>
    <row r="514" customFormat="false" ht="15" hidden="false" customHeight="false" outlineLevel="0" collapsed="false">
      <c r="A514" s="39" t="s">
        <v>279</v>
      </c>
      <c r="B514" s="40" t="str">
        <f aca="false" t="array" ref="B514:B514">_xlfn.XLOOKUP($A514,TRIM(SUBSTITUTE('worker file'!$A$2:$A$406,_xlfn.UNICHAR(160)," ")),'worker file'!$L$2:$L$406,"Not found")</f>
        <v>US Biweekly</v>
      </c>
      <c r="C514" s="40" t="str">
        <f aca="false" t="array" ref="C514:C514">_xlfn.XLOOKUP($A514,TRIM(SUBSTITUTE('worker file'!$A$2:$A$406,_xlfn.UNICHAR(160)," ")),'worker file'!$D$2:$D$406,"Not found")</f>
        <v>TX</v>
      </c>
      <c r="D514" s="40" t="str">
        <f aca="false" t="array" ref="D514:D514">_xlfn.XLOOKUP($A514,TRIM(SUBSTITUTE('worker file'!$A$2:$A$406,_xlfn.UNICHAR(160)," ")),'worker file'!$Q$2:$Q$406,"Not found")</f>
        <v>Active</v>
      </c>
      <c r="E514" s="39" t="s">
        <v>634</v>
      </c>
      <c r="F514" s="38" t="str">
        <f aca="false">_xlfn.XLOOKUP($E514,$A$5:$A$8,$B$5:$B$8,"")</f>
        <v>Vision – Employee</v>
      </c>
      <c r="G514" s="38" t="str">
        <f aca="false">_xlfn.XLOOKUP($E514,$A$5:$A$8,$D$5:$D$8,"")</f>
        <v>Pre-tax Section 125 (exempt from FIT/SIT/FICA)</v>
      </c>
      <c r="H514" s="38" t="str">
        <f aca="false">_xlfn.XLOOKUP($E514,$A$5:$A$8,$E$5:$E$8,"")</f>
        <v>Flat</v>
      </c>
      <c r="I514" s="44" t="str">
        <f aca="false">IF($H514="Percent",_xlfn.XLOOKUP($E514,$A$5:$A$8,$F$5:$F$8,""),"")</f>
        <v/>
      </c>
      <c r="J514" s="42" t="n">
        <f aca="false">IF($H514="Flat",_xlfn.XLOOKUP($E514,$A$5:$A$8,$F$5:$F$8,""),"")</f>
        <v>30</v>
      </c>
      <c r="K514" s="38" t="str">
        <f aca="false">_xlfn.XLOOKUP($E514,$A$5:$A$8,$G$5:$G$8,"")</f>
        <v>Per pay period</v>
      </c>
      <c r="L514" s="38" t="str">
        <f aca="false">_xlfn.XLOOKUP($E514,$A$5:$A$8,$H$5:$H$8,"")</f>
        <v>Every pay period (ongoing)</v>
      </c>
      <c r="M514" s="43" t="n">
        <f aca="false" t="array" ref="M514:M514">MAX(_xlfn.XLOOKUP($A514,TRIM(SUBSTITUTE('worker file'!$A$2:$A$406,_xlfn.UNICHAR(160)," ")),'worker file'!$M$2:$M$406,0),_xlfn.XLOOKUP($B514,TRIM('pay group &amp; schedule'!$A$2:$A$6),'pay group &amp; schedule'!$D$2:$D$6,0))</f>
        <v>46299</v>
      </c>
      <c r="N514" s="43" t="str">
        <f aca="false" t="array" ref="N514:N514">_xlfn.LET(_xlpm.t,_xlfn.XLOOKUP($A514,TRIM(SUBSTITUTE('worker file'!$A$2:$A$406,_xlfn.UNICHAR(160)," ")),'worker file'!$N$2:$N$406,""),IF(N(_xlpm.t)=0,"",_xlpm.t))</f>
        <v/>
      </c>
    </row>
    <row r="515" customFormat="false" ht="15" hidden="false" customHeight="false" outlineLevel="0" collapsed="false">
      <c r="A515" s="39" t="s">
        <v>280</v>
      </c>
      <c r="B515" s="40" t="str">
        <f aca="false" t="array" ref="B515:B515">_xlfn.XLOOKUP($A515,TRIM(SUBSTITUTE('worker file'!$A$2:$A$406,_xlfn.UNICHAR(160)," ")),'worker file'!$L$2:$L$406,"Not found")</f>
        <v>US Semi-monthly</v>
      </c>
      <c r="C515" s="40" t="str">
        <f aca="false" t="array" ref="C515:C515">_xlfn.XLOOKUP($A515,TRIM(SUBSTITUTE('worker file'!$A$2:$A$406,_xlfn.UNICHAR(160)," ")),'worker file'!$D$2:$D$406,"Not found")</f>
        <v>WA</v>
      </c>
      <c r="D515" s="40" t="str">
        <f aca="false" t="array" ref="D515:D515">_xlfn.XLOOKUP($A515,TRIM(SUBSTITUTE('worker file'!$A$2:$A$406,_xlfn.UNICHAR(160)," ")),'worker file'!$Q$2:$Q$406,"Not found")</f>
        <v>Active</v>
      </c>
      <c r="E515" s="39" t="s">
        <v>618</v>
      </c>
      <c r="F515" s="38" t="str">
        <f aca="false">_xlfn.XLOOKUP($E515,$A$5:$A$8,$B$5:$B$8,"")</f>
        <v>401(k) Employee Deferral</v>
      </c>
      <c r="G515" s="38" t="str">
        <f aca="false">_xlfn.XLOOKUP($E515,$A$5:$A$8,$D$5:$D$8,"")</f>
        <v>Pre-tax (exempt from FIT/SIT; subject to FICA)</v>
      </c>
      <c r="H515" s="38" t="str">
        <f aca="false">_xlfn.XLOOKUP($E515,$A$5:$A$8,$E$5:$E$8,"")</f>
        <v>Percent</v>
      </c>
      <c r="I515" s="41" t="n">
        <v>0</v>
      </c>
      <c r="J515" s="42" t="str">
        <f aca="false">IF($H515="Flat",_xlfn.XLOOKUP($E515,$A$5:$A$8,$F$5:$F$8,""),"")</f>
        <v/>
      </c>
      <c r="K515" s="38" t="str">
        <f aca="false">_xlfn.XLOOKUP($E515,$A$5:$A$8,$G$5:$G$8,"")</f>
        <v>Gross pay</v>
      </c>
      <c r="L515" s="38" t="str">
        <f aca="false">_xlfn.XLOOKUP($E515,$A$5:$A$8,$H$5:$H$8,"")</f>
        <v>Every pay period (ongoing)</v>
      </c>
      <c r="M515" s="43" t="n">
        <f aca="false" t="array" ref="M515:M515">MAX(_xlfn.XLOOKUP($A515,TRIM(SUBSTITUTE('worker file'!$A$2:$A$406,_xlfn.UNICHAR(160)," ")),'worker file'!$M$2:$M$406,0),_xlfn.XLOOKUP($B515,TRIM('pay group &amp; schedule'!$A$2:$A$6),'pay group &amp; schedule'!$D$2:$D$6,0))</f>
        <v>46311</v>
      </c>
      <c r="N515" s="43" t="str">
        <f aca="false" t="array" ref="N515:N515">_xlfn.LET(_xlpm.t,_xlfn.XLOOKUP($A515,TRIM(SUBSTITUTE('worker file'!$A$2:$A$406,_xlfn.UNICHAR(160)," ")),'worker file'!$N$2:$N$406,""),IF(N(_xlpm.t)=0,"",_xlpm.t))</f>
        <v/>
      </c>
    </row>
    <row r="516" customFormat="false" ht="15" hidden="false" customHeight="false" outlineLevel="0" collapsed="false">
      <c r="A516" s="39" t="s">
        <v>280</v>
      </c>
      <c r="B516" s="40" t="str">
        <f aca="false" t="array" ref="B516:B516">_xlfn.XLOOKUP($A516,TRIM(SUBSTITUTE('worker file'!$A$2:$A$406,_xlfn.UNICHAR(160)," ")),'worker file'!$L$2:$L$406,"Not found")</f>
        <v>US Semi-monthly</v>
      </c>
      <c r="C516" s="40" t="str">
        <f aca="false" t="array" ref="C516:C516">_xlfn.XLOOKUP($A516,TRIM(SUBSTITUTE('worker file'!$A$2:$A$406,_xlfn.UNICHAR(160)," ")),'worker file'!$D$2:$D$406,"Not found")</f>
        <v>WA</v>
      </c>
      <c r="D516" s="40" t="str">
        <f aca="false" t="array" ref="D516:D516">_xlfn.XLOOKUP($A516,TRIM(SUBSTITUTE('worker file'!$A$2:$A$406,_xlfn.UNICHAR(160)," ")),'worker file'!$Q$2:$Q$406,"Not found")</f>
        <v>Active</v>
      </c>
      <c r="E516" s="39" t="s">
        <v>626</v>
      </c>
      <c r="F516" s="38" t="str">
        <f aca="false">_xlfn.XLOOKUP($E516,$A$5:$A$8,$B$5:$B$8,"")</f>
        <v>Medical (Health) – Employee</v>
      </c>
      <c r="G516" s="38" t="str">
        <f aca="false">_xlfn.XLOOKUP($E516,$A$5:$A$8,$D$5:$D$8,"")</f>
        <v>Pre-tax Section 125 (exempt from FIT/SIT/FICA)</v>
      </c>
      <c r="H516" s="38" t="str">
        <f aca="false">_xlfn.XLOOKUP($E516,$A$5:$A$8,$E$5:$E$8,"")</f>
        <v>Flat</v>
      </c>
      <c r="I516" s="44" t="str">
        <f aca="false">IF($H516="Percent",_xlfn.XLOOKUP($E516,$A$5:$A$8,$F$5:$F$8,""),"")</f>
        <v/>
      </c>
      <c r="J516" s="42" t="n">
        <f aca="false">IF($H516="Flat",_xlfn.XLOOKUP($E516,$A$5:$A$8,$F$5:$F$8,""),"")</f>
        <v>200</v>
      </c>
      <c r="K516" s="38" t="str">
        <f aca="false">_xlfn.XLOOKUP($E516,$A$5:$A$8,$G$5:$G$8,"")</f>
        <v>Per pay period</v>
      </c>
      <c r="L516" s="38" t="str">
        <f aca="false">_xlfn.XLOOKUP($E516,$A$5:$A$8,$H$5:$H$8,"")</f>
        <v>Every pay period (ongoing)</v>
      </c>
      <c r="M516" s="43" t="n">
        <f aca="false" t="array" ref="M516:M516">MAX(_xlfn.XLOOKUP($A516,TRIM(SUBSTITUTE('worker file'!$A$2:$A$406,_xlfn.UNICHAR(160)," ")),'worker file'!$M$2:$M$406,0),_xlfn.XLOOKUP($B516,TRIM('pay group &amp; schedule'!$A$2:$A$6),'pay group &amp; schedule'!$D$2:$D$6,0))</f>
        <v>46311</v>
      </c>
      <c r="N516" s="43" t="str">
        <f aca="false" t="array" ref="N516:N516">_xlfn.LET(_xlpm.t,_xlfn.XLOOKUP($A516,TRIM(SUBSTITUTE('worker file'!$A$2:$A$406,_xlfn.UNICHAR(160)," ")),'worker file'!$N$2:$N$406,""),IF(N(_xlpm.t)=0,"",_xlpm.t))</f>
        <v/>
      </c>
    </row>
    <row r="517" customFormat="false" ht="15" hidden="false" customHeight="false" outlineLevel="0" collapsed="false">
      <c r="A517" s="39" t="s">
        <v>280</v>
      </c>
      <c r="B517" s="40" t="str">
        <f aca="false" t="array" ref="B517:B517">_xlfn.XLOOKUP($A517,TRIM(SUBSTITUTE('worker file'!$A$2:$A$406,_xlfn.UNICHAR(160)," ")),'worker file'!$L$2:$L$406,"Not found")</f>
        <v>US Semi-monthly</v>
      </c>
      <c r="C517" s="40" t="str">
        <f aca="false" t="array" ref="C517:C517">_xlfn.XLOOKUP($A517,TRIM(SUBSTITUTE('worker file'!$A$2:$A$406,_xlfn.UNICHAR(160)," ")),'worker file'!$D$2:$D$406,"Not found")</f>
        <v>WA</v>
      </c>
      <c r="D517" s="40" t="str">
        <f aca="false" t="array" ref="D517:D517">_xlfn.XLOOKUP($A517,TRIM(SUBSTITUTE('worker file'!$A$2:$A$406,_xlfn.UNICHAR(160)," ")),'worker file'!$Q$2:$Q$406,"Not found")</f>
        <v>Active</v>
      </c>
      <c r="E517" s="39" t="s">
        <v>632</v>
      </c>
      <c r="F517" s="38" t="str">
        <f aca="false">_xlfn.XLOOKUP($E517,$A$5:$A$8,$B$5:$B$8,"")</f>
        <v>Dental – Employee</v>
      </c>
      <c r="G517" s="38" t="str">
        <f aca="false">_xlfn.XLOOKUP($E517,$A$5:$A$8,$D$5:$D$8,"")</f>
        <v>Pre-tax Section 125 (exempt from FIT/SIT/FICA)</v>
      </c>
      <c r="H517" s="38" t="str">
        <f aca="false">_xlfn.XLOOKUP($E517,$A$5:$A$8,$E$5:$E$8,"")</f>
        <v>Flat</v>
      </c>
      <c r="I517" s="44" t="str">
        <f aca="false">IF($H517="Percent",_xlfn.XLOOKUP($E517,$A$5:$A$8,$F$5:$F$8,""),"")</f>
        <v/>
      </c>
      <c r="J517" s="42" t="n">
        <f aca="false">IF($H517="Flat",_xlfn.XLOOKUP($E517,$A$5:$A$8,$F$5:$F$8,""),"")</f>
        <v>44</v>
      </c>
      <c r="K517" s="38" t="str">
        <f aca="false">_xlfn.XLOOKUP($E517,$A$5:$A$8,$G$5:$G$8,"")</f>
        <v>Per pay period</v>
      </c>
      <c r="L517" s="38" t="str">
        <f aca="false">_xlfn.XLOOKUP($E517,$A$5:$A$8,$H$5:$H$8,"")</f>
        <v>Every pay period (ongoing)</v>
      </c>
      <c r="M517" s="43" t="n">
        <f aca="false" t="array" ref="M517:M517">MAX(_xlfn.XLOOKUP($A517,TRIM(SUBSTITUTE('worker file'!$A$2:$A$406,_xlfn.UNICHAR(160)," ")),'worker file'!$M$2:$M$406,0),_xlfn.XLOOKUP($B517,TRIM('pay group &amp; schedule'!$A$2:$A$6),'pay group &amp; schedule'!$D$2:$D$6,0))</f>
        <v>46311</v>
      </c>
      <c r="N517" s="43" t="str">
        <f aca="false" t="array" ref="N517:N517">_xlfn.LET(_xlpm.t,_xlfn.XLOOKUP($A517,TRIM(SUBSTITUTE('worker file'!$A$2:$A$406,_xlfn.UNICHAR(160)," ")),'worker file'!$N$2:$N$406,""),IF(N(_xlpm.t)=0,"",_xlpm.t))</f>
        <v/>
      </c>
    </row>
    <row r="518" customFormat="false" ht="15" hidden="false" customHeight="false" outlineLevel="0" collapsed="false">
      <c r="A518" s="39" t="s">
        <v>280</v>
      </c>
      <c r="B518" s="40" t="str">
        <f aca="false" t="array" ref="B518:B518">_xlfn.XLOOKUP($A518,TRIM(SUBSTITUTE('worker file'!$A$2:$A$406,_xlfn.UNICHAR(160)," ")),'worker file'!$L$2:$L$406,"Not found")</f>
        <v>US Semi-monthly</v>
      </c>
      <c r="C518" s="40" t="str">
        <f aca="false" t="array" ref="C518:C518">_xlfn.XLOOKUP($A518,TRIM(SUBSTITUTE('worker file'!$A$2:$A$406,_xlfn.UNICHAR(160)," ")),'worker file'!$D$2:$D$406,"Not found")</f>
        <v>WA</v>
      </c>
      <c r="D518" s="40" t="str">
        <f aca="false" t="array" ref="D518:D518">_xlfn.XLOOKUP($A518,TRIM(SUBSTITUTE('worker file'!$A$2:$A$406,_xlfn.UNICHAR(160)," ")),'worker file'!$Q$2:$Q$406,"Not found")</f>
        <v>Active</v>
      </c>
      <c r="E518" s="39" t="s">
        <v>634</v>
      </c>
      <c r="F518" s="38" t="str">
        <f aca="false">_xlfn.XLOOKUP($E518,$A$5:$A$8,$B$5:$B$8,"")</f>
        <v>Vision – Employee</v>
      </c>
      <c r="G518" s="38" t="str">
        <f aca="false">_xlfn.XLOOKUP($E518,$A$5:$A$8,$D$5:$D$8,"")</f>
        <v>Pre-tax Section 125 (exempt from FIT/SIT/FICA)</v>
      </c>
      <c r="H518" s="38" t="str">
        <f aca="false">_xlfn.XLOOKUP($E518,$A$5:$A$8,$E$5:$E$8,"")</f>
        <v>Flat</v>
      </c>
      <c r="I518" s="44" t="str">
        <f aca="false">IF($H518="Percent",_xlfn.XLOOKUP($E518,$A$5:$A$8,$F$5:$F$8,""),"")</f>
        <v/>
      </c>
      <c r="J518" s="42" t="n">
        <f aca="false">IF($H518="Flat",_xlfn.XLOOKUP($E518,$A$5:$A$8,$F$5:$F$8,""),"")</f>
        <v>30</v>
      </c>
      <c r="K518" s="38" t="str">
        <f aca="false">_xlfn.XLOOKUP($E518,$A$5:$A$8,$G$5:$G$8,"")</f>
        <v>Per pay period</v>
      </c>
      <c r="L518" s="38" t="str">
        <f aca="false">_xlfn.XLOOKUP($E518,$A$5:$A$8,$H$5:$H$8,"")</f>
        <v>Every pay period (ongoing)</v>
      </c>
      <c r="M518" s="43" t="n">
        <f aca="false" t="array" ref="M518:M518">MAX(_xlfn.XLOOKUP($A518,TRIM(SUBSTITUTE('worker file'!$A$2:$A$406,_xlfn.UNICHAR(160)," ")),'worker file'!$M$2:$M$406,0),_xlfn.XLOOKUP($B518,TRIM('pay group &amp; schedule'!$A$2:$A$6),'pay group &amp; schedule'!$D$2:$D$6,0))</f>
        <v>46311</v>
      </c>
      <c r="N518" s="43" t="str">
        <f aca="false" t="array" ref="N518:N518">_xlfn.LET(_xlpm.t,_xlfn.XLOOKUP($A518,TRIM(SUBSTITUTE('worker file'!$A$2:$A$406,_xlfn.UNICHAR(160)," ")),'worker file'!$N$2:$N$406,""),IF(N(_xlpm.t)=0,"",_xlpm.t))</f>
        <v/>
      </c>
    </row>
    <row r="519" customFormat="false" ht="15" hidden="false" customHeight="false" outlineLevel="0" collapsed="false">
      <c r="A519" s="39" t="s">
        <v>283</v>
      </c>
      <c r="B519" s="40" t="str">
        <f aca="false" t="array" ref="B519:B519">_xlfn.XLOOKUP($A519,TRIM(SUBSTITUTE('worker file'!$A$2:$A$406,_xlfn.UNICHAR(160)," ")),'worker file'!$L$2:$L$406,"Not found")</f>
        <v>US Semi-monthly</v>
      </c>
      <c r="C519" s="40" t="str">
        <f aca="false" t="array" ref="C519:C519">_xlfn.XLOOKUP($A519,TRIM(SUBSTITUTE('worker file'!$A$2:$A$406,_xlfn.UNICHAR(160)," ")),'worker file'!$D$2:$D$406,"Not found")</f>
        <v>WA</v>
      </c>
      <c r="D519" s="40" t="str">
        <f aca="false" t="array" ref="D519:D519">_xlfn.XLOOKUP($A519,TRIM(SUBSTITUTE('worker file'!$A$2:$A$406,_xlfn.UNICHAR(160)," ")),'worker file'!$Q$2:$Q$406,"Not found")</f>
        <v>Active</v>
      </c>
      <c r="E519" s="39" t="s">
        <v>618</v>
      </c>
      <c r="F519" s="38" t="str">
        <f aca="false">_xlfn.XLOOKUP($E519,$A$5:$A$8,$B$5:$B$8,"")</f>
        <v>401(k) Employee Deferral</v>
      </c>
      <c r="G519" s="38" t="str">
        <f aca="false">_xlfn.XLOOKUP($E519,$A$5:$A$8,$D$5:$D$8,"")</f>
        <v>Pre-tax (exempt from FIT/SIT; subject to FICA)</v>
      </c>
      <c r="H519" s="38" t="str">
        <f aca="false">_xlfn.XLOOKUP($E519,$A$5:$A$8,$E$5:$E$8,"")</f>
        <v>Percent</v>
      </c>
      <c r="I519" s="41" t="n">
        <v>0.05</v>
      </c>
      <c r="J519" s="42" t="str">
        <f aca="false">IF($H519="Flat",_xlfn.XLOOKUP($E519,$A$5:$A$8,$F$5:$F$8,""),"")</f>
        <v/>
      </c>
      <c r="K519" s="38" t="str">
        <f aca="false">_xlfn.XLOOKUP($E519,$A$5:$A$8,$G$5:$G$8,"")</f>
        <v>Gross pay</v>
      </c>
      <c r="L519" s="38" t="str">
        <f aca="false">_xlfn.XLOOKUP($E519,$A$5:$A$8,$H$5:$H$8,"")</f>
        <v>Every pay period (ongoing)</v>
      </c>
      <c r="M519" s="43" t="n">
        <f aca="false" t="array" ref="M519:M519">MAX(_xlfn.XLOOKUP($A519,TRIM(SUBSTITUTE('worker file'!$A$2:$A$406,_xlfn.UNICHAR(160)," ")),'worker file'!$M$2:$M$406,0),_xlfn.XLOOKUP($B519,TRIM('pay group &amp; schedule'!$A$2:$A$6),'pay group &amp; schedule'!$D$2:$D$6,0))</f>
        <v>46311</v>
      </c>
      <c r="N519" s="43" t="str">
        <f aca="false" t="array" ref="N519:N519">_xlfn.LET(_xlpm.t,_xlfn.XLOOKUP($A519,TRIM(SUBSTITUTE('worker file'!$A$2:$A$406,_xlfn.UNICHAR(160)," ")),'worker file'!$N$2:$N$406,""),IF(N(_xlpm.t)=0,"",_xlpm.t))</f>
        <v/>
      </c>
    </row>
    <row r="520" customFormat="false" ht="15" hidden="false" customHeight="false" outlineLevel="0" collapsed="false">
      <c r="A520" s="39" t="s">
        <v>283</v>
      </c>
      <c r="B520" s="40" t="str">
        <f aca="false" t="array" ref="B520:B520">_xlfn.XLOOKUP($A520,TRIM(SUBSTITUTE('worker file'!$A$2:$A$406,_xlfn.UNICHAR(160)," ")),'worker file'!$L$2:$L$406,"Not found")</f>
        <v>US Semi-monthly</v>
      </c>
      <c r="C520" s="40" t="str">
        <f aca="false" t="array" ref="C520:C520">_xlfn.XLOOKUP($A520,TRIM(SUBSTITUTE('worker file'!$A$2:$A$406,_xlfn.UNICHAR(160)," ")),'worker file'!$D$2:$D$406,"Not found")</f>
        <v>WA</v>
      </c>
      <c r="D520" s="40" t="str">
        <f aca="false" t="array" ref="D520:D520">_xlfn.XLOOKUP($A520,TRIM(SUBSTITUTE('worker file'!$A$2:$A$406,_xlfn.UNICHAR(160)," ")),'worker file'!$Q$2:$Q$406,"Not found")</f>
        <v>Active</v>
      </c>
      <c r="E520" s="39" t="s">
        <v>626</v>
      </c>
      <c r="F520" s="38" t="str">
        <f aca="false">_xlfn.XLOOKUP($E520,$A$5:$A$8,$B$5:$B$8,"")</f>
        <v>Medical (Health) – Employee</v>
      </c>
      <c r="G520" s="38" t="str">
        <f aca="false">_xlfn.XLOOKUP($E520,$A$5:$A$8,$D$5:$D$8,"")</f>
        <v>Pre-tax Section 125 (exempt from FIT/SIT/FICA)</v>
      </c>
      <c r="H520" s="38" t="str">
        <f aca="false">_xlfn.XLOOKUP($E520,$A$5:$A$8,$E$5:$E$8,"")</f>
        <v>Flat</v>
      </c>
      <c r="I520" s="44" t="str">
        <f aca="false">IF($H520="Percent",_xlfn.XLOOKUP($E520,$A$5:$A$8,$F$5:$F$8,""),"")</f>
        <v/>
      </c>
      <c r="J520" s="42" t="n">
        <f aca="false">IF($H520="Flat",_xlfn.XLOOKUP($E520,$A$5:$A$8,$F$5:$F$8,""),"")</f>
        <v>200</v>
      </c>
      <c r="K520" s="38" t="str">
        <f aca="false">_xlfn.XLOOKUP($E520,$A$5:$A$8,$G$5:$G$8,"")</f>
        <v>Per pay period</v>
      </c>
      <c r="L520" s="38" t="str">
        <f aca="false">_xlfn.XLOOKUP($E520,$A$5:$A$8,$H$5:$H$8,"")</f>
        <v>Every pay period (ongoing)</v>
      </c>
      <c r="M520" s="43" t="n">
        <f aca="false" t="array" ref="M520:M520">MAX(_xlfn.XLOOKUP($A520,TRIM(SUBSTITUTE('worker file'!$A$2:$A$406,_xlfn.UNICHAR(160)," ")),'worker file'!$M$2:$M$406,0),_xlfn.XLOOKUP($B520,TRIM('pay group &amp; schedule'!$A$2:$A$6),'pay group &amp; schedule'!$D$2:$D$6,0))</f>
        <v>46311</v>
      </c>
      <c r="N520" s="43" t="str">
        <f aca="false" t="array" ref="N520:N520">_xlfn.LET(_xlpm.t,_xlfn.XLOOKUP($A520,TRIM(SUBSTITUTE('worker file'!$A$2:$A$406,_xlfn.UNICHAR(160)," ")),'worker file'!$N$2:$N$406,""),IF(N(_xlpm.t)=0,"",_xlpm.t))</f>
        <v/>
      </c>
    </row>
    <row r="521" customFormat="false" ht="15" hidden="false" customHeight="false" outlineLevel="0" collapsed="false">
      <c r="A521" s="39" t="s">
        <v>283</v>
      </c>
      <c r="B521" s="40" t="str">
        <f aca="false" t="array" ref="B521:B521">_xlfn.XLOOKUP($A521,TRIM(SUBSTITUTE('worker file'!$A$2:$A$406,_xlfn.UNICHAR(160)," ")),'worker file'!$L$2:$L$406,"Not found")</f>
        <v>US Semi-monthly</v>
      </c>
      <c r="C521" s="40" t="str">
        <f aca="false" t="array" ref="C521:C521">_xlfn.XLOOKUP($A521,TRIM(SUBSTITUTE('worker file'!$A$2:$A$406,_xlfn.UNICHAR(160)," ")),'worker file'!$D$2:$D$406,"Not found")</f>
        <v>WA</v>
      </c>
      <c r="D521" s="40" t="str">
        <f aca="false" t="array" ref="D521:D521">_xlfn.XLOOKUP($A521,TRIM(SUBSTITUTE('worker file'!$A$2:$A$406,_xlfn.UNICHAR(160)," ")),'worker file'!$Q$2:$Q$406,"Not found")</f>
        <v>Active</v>
      </c>
      <c r="E521" s="39" t="s">
        <v>632</v>
      </c>
      <c r="F521" s="38" t="str">
        <f aca="false">_xlfn.XLOOKUP($E521,$A$5:$A$8,$B$5:$B$8,"")</f>
        <v>Dental – Employee</v>
      </c>
      <c r="G521" s="38" t="str">
        <f aca="false">_xlfn.XLOOKUP($E521,$A$5:$A$8,$D$5:$D$8,"")</f>
        <v>Pre-tax Section 125 (exempt from FIT/SIT/FICA)</v>
      </c>
      <c r="H521" s="38" t="str">
        <f aca="false">_xlfn.XLOOKUP($E521,$A$5:$A$8,$E$5:$E$8,"")</f>
        <v>Flat</v>
      </c>
      <c r="I521" s="44" t="str">
        <f aca="false">IF($H521="Percent",_xlfn.XLOOKUP($E521,$A$5:$A$8,$F$5:$F$8,""),"")</f>
        <v/>
      </c>
      <c r="J521" s="42" t="n">
        <f aca="false">IF($H521="Flat",_xlfn.XLOOKUP($E521,$A$5:$A$8,$F$5:$F$8,""),"")</f>
        <v>44</v>
      </c>
      <c r="K521" s="38" t="str">
        <f aca="false">_xlfn.XLOOKUP($E521,$A$5:$A$8,$G$5:$G$8,"")</f>
        <v>Per pay period</v>
      </c>
      <c r="L521" s="38" t="str">
        <f aca="false">_xlfn.XLOOKUP($E521,$A$5:$A$8,$H$5:$H$8,"")</f>
        <v>Every pay period (ongoing)</v>
      </c>
      <c r="M521" s="43" t="n">
        <f aca="false" t="array" ref="M521:M521">MAX(_xlfn.XLOOKUP($A521,TRIM(SUBSTITUTE('worker file'!$A$2:$A$406,_xlfn.UNICHAR(160)," ")),'worker file'!$M$2:$M$406,0),_xlfn.XLOOKUP($B521,TRIM('pay group &amp; schedule'!$A$2:$A$6),'pay group &amp; schedule'!$D$2:$D$6,0))</f>
        <v>46311</v>
      </c>
      <c r="N521" s="43" t="str">
        <f aca="false" t="array" ref="N521:N521">_xlfn.LET(_xlpm.t,_xlfn.XLOOKUP($A521,TRIM(SUBSTITUTE('worker file'!$A$2:$A$406,_xlfn.UNICHAR(160)," ")),'worker file'!$N$2:$N$406,""),IF(N(_xlpm.t)=0,"",_xlpm.t))</f>
        <v/>
      </c>
    </row>
    <row r="522" customFormat="false" ht="15" hidden="false" customHeight="false" outlineLevel="0" collapsed="false">
      <c r="A522" s="39" t="s">
        <v>283</v>
      </c>
      <c r="B522" s="40" t="str">
        <f aca="false" t="array" ref="B522:B522">_xlfn.XLOOKUP($A522,TRIM(SUBSTITUTE('worker file'!$A$2:$A$406,_xlfn.UNICHAR(160)," ")),'worker file'!$L$2:$L$406,"Not found")</f>
        <v>US Semi-monthly</v>
      </c>
      <c r="C522" s="40" t="str">
        <f aca="false" t="array" ref="C522:C522">_xlfn.XLOOKUP($A522,TRIM(SUBSTITUTE('worker file'!$A$2:$A$406,_xlfn.UNICHAR(160)," ")),'worker file'!$D$2:$D$406,"Not found")</f>
        <v>WA</v>
      </c>
      <c r="D522" s="40" t="str">
        <f aca="false" t="array" ref="D522:D522">_xlfn.XLOOKUP($A522,TRIM(SUBSTITUTE('worker file'!$A$2:$A$406,_xlfn.UNICHAR(160)," ")),'worker file'!$Q$2:$Q$406,"Not found")</f>
        <v>Active</v>
      </c>
      <c r="E522" s="39" t="s">
        <v>634</v>
      </c>
      <c r="F522" s="38" t="str">
        <f aca="false">_xlfn.XLOOKUP($E522,$A$5:$A$8,$B$5:$B$8,"")</f>
        <v>Vision – Employee</v>
      </c>
      <c r="G522" s="38" t="str">
        <f aca="false">_xlfn.XLOOKUP($E522,$A$5:$A$8,$D$5:$D$8,"")</f>
        <v>Pre-tax Section 125 (exempt from FIT/SIT/FICA)</v>
      </c>
      <c r="H522" s="38" t="str">
        <f aca="false">_xlfn.XLOOKUP($E522,$A$5:$A$8,$E$5:$E$8,"")</f>
        <v>Flat</v>
      </c>
      <c r="I522" s="44" t="str">
        <f aca="false">IF($H522="Percent",_xlfn.XLOOKUP($E522,$A$5:$A$8,$F$5:$F$8,""),"")</f>
        <v/>
      </c>
      <c r="J522" s="42" t="n">
        <f aca="false">IF($H522="Flat",_xlfn.XLOOKUP($E522,$A$5:$A$8,$F$5:$F$8,""),"")</f>
        <v>30</v>
      </c>
      <c r="K522" s="38" t="str">
        <f aca="false">_xlfn.XLOOKUP($E522,$A$5:$A$8,$G$5:$G$8,"")</f>
        <v>Per pay period</v>
      </c>
      <c r="L522" s="38" t="str">
        <f aca="false">_xlfn.XLOOKUP($E522,$A$5:$A$8,$H$5:$H$8,"")</f>
        <v>Every pay period (ongoing)</v>
      </c>
      <c r="M522" s="43" t="n">
        <f aca="false" t="array" ref="M522:M522">MAX(_xlfn.XLOOKUP($A522,TRIM(SUBSTITUTE('worker file'!$A$2:$A$406,_xlfn.UNICHAR(160)," ")),'worker file'!$M$2:$M$406,0),_xlfn.XLOOKUP($B522,TRIM('pay group &amp; schedule'!$A$2:$A$6),'pay group &amp; schedule'!$D$2:$D$6,0))</f>
        <v>46311</v>
      </c>
      <c r="N522" s="43" t="str">
        <f aca="false" t="array" ref="N522:N522">_xlfn.LET(_xlpm.t,_xlfn.XLOOKUP($A522,TRIM(SUBSTITUTE('worker file'!$A$2:$A$406,_xlfn.UNICHAR(160)," ")),'worker file'!$N$2:$N$406,""),IF(N(_xlpm.t)=0,"",_xlpm.t))</f>
        <v/>
      </c>
    </row>
    <row r="523" customFormat="false" ht="15" hidden="false" customHeight="false" outlineLevel="0" collapsed="false">
      <c r="A523" s="39" t="s">
        <v>285</v>
      </c>
      <c r="B523" s="40" t="str">
        <f aca="false" t="array" ref="B523:B523">_xlfn.XLOOKUP($A523,TRIM(SUBSTITUTE('worker file'!$A$2:$A$406,_xlfn.UNICHAR(160)," ")),'worker file'!$L$2:$L$406,"Not found")</f>
        <v>US Semi-monthly</v>
      </c>
      <c r="C523" s="40" t="str">
        <f aca="false" t="array" ref="C523:C523">_xlfn.XLOOKUP($A523,TRIM(SUBSTITUTE('worker file'!$A$2:$A$406,_xlfn.UNICHAR(160)," ")),'worker file'!$D$2:$D$406,"Not found")</f>
        <v>NY</v>
      </c>
      <c r="D523" s="40" t="str">
        <f aca="false" t="array" ref="D523:D523">_xlfn.XLOOKUP($A523,TRIM(SUBSTITUTE('worker file'!$A$2:$A$406,_xlfn.UNICHAR(160)," ")),'worker file'!$Q$2:$Q$406,"Not found")</f>
        <v>Active</v>
      </c>
      <c r="E523" s="39" t="s">
        <v>626</v>
      </c>
      <c r="F523" s="38" t="str">
        <f aca="false">_xlfn.XLOOKUP($E523,$A$5:$A$8,$B$5:$B$8,"")</f>
        <v>Medical (Health) – Employee</v>
      </c>
      <c r="G523" s="38" t="str">
        <f aca="false">_xlfn.XLOOKUP($E523,$A$5:$A$8,$D$5:$D$8,"")</f>
        <v>Pre-tax Section 125 (exempt from FIT/SIT/FICA)</v>
      </c>
      <c r="H523" s="38" t="str">
        <f aca="false">_xlfn.XLOOKUP($E523,$A$5:$A$8,$E$5:$E$8,"")</f>
        <v>Flat</v>
      </c>
      <c r="I523" s="44" t="str">
        <f aca="false">IF($H523="Percent",_xlfn.XLOOKUP($E523,$A$5:$A$8,$F$5:$F$8,""),"")</f>
        <v/>
      </c>
      <c r="J523" s="42" t="n">
        <f aca="false">IF($H523="Flat",_xlfn.XLOOKUP($E523,$A$5:$A$8,$F$5:$F$8,""),"")</f>
        <v>200</v>
      </c>
      <c r="K523" s="38" t="str">
        <f aca="false">_xlfn.XLOOKUP($E523,$A$5:$A$8,$G$5:$G$8,"")</f>
        <v>Per pay period</v>
      </c>
      <c r="L523" s="38" t="str">
        <f aca="false">_xlfn.XLOOKUP($E523,$A$5:$A$8,$H$5:$H$8,"")</f>
        <v>Every pay period (ongoing)</v>
      </c>
      <c r="M523" s="43" t="n">
        <f aca="false" t="array" ref="M523:M523">MAX(_xlfn.XLOOKUP($A523,TRIM(SUBSTITUTE('worker file'!$A$2:$A$406,_xlfn.UNICHAR(160)," ")),'worker file'!$M$2:$M$406,0),_xlfn.XLOOKUP($B523,TRIM('pay group &amp; schedule'!$A$2:$A$6),'pay group &amp; schedule'!$D$2:$D$6,0))</f>
        <v>46311</v>
      </c>
      <c r="N523" s="43" t="str">
        <f aca="false" t="array" ref="N523:N523">_xlfn.LET(_xlpm.t,_xlfn.XLOOKUP($A523,TRIM(SUBSTITUTE('worker file'!$A$2:$A$406,_xlfn.UNICHAR(160)," ")),'worker file'!$N$2:$N$406,""),IF(N(_xlpm.t)=0,"",_xlpm.t))</f>
        <v/>
      </c>
    </row>
    <row r="524" customFormat="false" ht="15" hidden="false" customHeight="false" outlineLevel="0" collapsed="false">
      <c r="A524" s="39" t="s">
        <v>285</v>
      </c>
      <c r="B524" s="40" t="str">
        <f aca="false" t="array" ref="B524:B524">_xlfn.XLOOKUP($A524,TRIM(SUBSTITUTE('worker file'!$A$2:$A$406,_xlfn.UNICHAR(160)," ")),'worker file'!$L$2:$L$406,"Not found")</f>
        <v>US Semi-monthly</v>
      </c>
      <c r="C524" s="40" t="str">
        <f aca="false" t="array" ref="C524:C524">_xlfn.XLOOKUP($A524,TRIM(SUBSTITUTE('worker file'!$A$2:$A$406,_xlfn.UNICHAR(160)," ")),'worker file'!$D$2:$D$406,"Not found")</f>
        <v>NY</v>
      </c>
      <c r="D524" s="40" t="str">
        <f aca="false" t="array" ref="D524:D524">_xlfn.XLOOKUP($A524,TRIM(SUBSTITUTE('worker file'!$A$2:$A$406,_xlfn.UNICHAR(160)," ")),'worker file'!$Q$2:$Q$406,"Not found")</f>
        <v>Active</v>
      </c>
      <c r="E524" s="39" t="s">
        <v>632</v>
      </c>
      <c r="F524" s="38" t="str">
        <f aca="false">_xlfn.XLOOKUP($E524,$A$5:$A$8,$B$5:$B$8,"")</f>
        <v>Dental – Employee</v>
      </c>
      <c r="G524" s="38" t="str">
        <f aca="false">_xlfn.XLOOKUP($E524,$A$5:$A$8,$D$5:$D$8,"")</f>
        <v>Pre-tax Section 125 (exempt from FIT/SIT/FICA)</v>
      </c>
      <c r="H524" s="38" t="str">
        <f aca="false">_xlfn.XLOOKUP($E524,$A$5:$A$8,$E$5:$E$8,"")</f>
        <v>Flat</v>
      </c>
      <c r="I524" s="44" t="str">
        <f aca="false">IF($H524="Percent",_xlfn.XLOOKUP($E524,$A$5:$A$8,$F$5:$F$8,""),"")</f>
        <v/>
      </c>
      <c r="J524" s="42" t="n">
        <f aca="false">IF($H524="Flat",_xlfn.XLOOKUP($E524,$A$5:$A$8,$F$5:$F$8,""),"")</f>
        <v>44</v>
      </c>
      <c r="K524" s="38" t="str">
        <f aca="false">_xlfn.XLOOKUP($E524,$A$5:$A$8,$G$5:$G$8,"")</f>
        <v>Per pay period</v>
      </c>
      <c r="L524" s="38" t="str">
        <f aca="false">_xlfn.XLOOKUP($E524,$A$5:$A$8,$H$5:$H$8,"")</f>
        <v>Every pay period (ongoing)</v>
      </c>
      <c r="M524" s="43" t="n">
        <f aca="false" t="array" ref="M524:M524">MAX(_xlfn.XLOOKUP($A524,TRIM(SUBSTITUTE('worker file'!$A$2:$A$406,_xlfn.UNICHAR(160)," ")),'worker file'!$M$2:$M$406,0),_xlfn.XLOOKUP($B524,TRIM('pay group &amp; schedule'!$A$2:$A$6),'pay group &amp; schedule'!$D$2:$D$6,0))</f>
        <v>46311</v>
      </c>
      <c r="N524" s="43" t="str">
        <f aca="false" t="array" ref="N524:N524">_xlfn.LET(_xlpm.t,_xlfn.XLOOKUP($A524,TRIM(SUBSTITUTE('worker file'!$A$2:$A$406,_xlfn.UNICHAR(160)," ")),'worker file'!$N$2:$N$406,""),IF(N(_xlpm.t)=0,"",_xlpm.t))</f>
        <v/>
      </c>
    </row>
    <row r="525" customFormat="false" ht="15" hidden="false" customHeight="false" outlineLevel="0" collapsed="false">
      <c r="A525" s="39" t="s">
        <v>285</v>
      </c>
      <c r="B525" s="40" t="str">
        <f aca="false" t="array" ref="B525:B525">_xlfn.XLOOKUP($A525,TRIM(SUBSTITUTE('worker file'!$A$2:$A$406,_xlfn.UNICHAR(160)," ")),'worker file'!$L$2:$L$406,"Not found")</f>
        <v>US Semi-monthly</v>
      </c>
      <c r="C525" s="40" t="str">
        <f aca="false" t="array" ref="C525:C525">_xlfn.XLOOKUP($A525,TRIM(SUBSTITUTE('worker file'!$A$2:$A$406,_xlfn.UNICHAR(160)," ")),'worker file'!$D$2:$D$406,"Not found")</f>
        <v>NY</v>
      </c>
      <c r="D525" s="40" t="str">
        <f aca="false" t="array" ref="D525:D525">_xlfn.XLOOKUP($A525,TRIM(SUBSTITUTE('worker file'!$A$2:$A$406,_xlfn.UNICHAR(160)," ")),'worker file'!$Q$2:$Q$406,"Not found")</f>
        <v>Active</v>
      </c>
      <c r="E525" s="39" t="s">
        <v>634</v>
      </c>
      <c r="F525" s="38" t="str">
        <f aca="false">_xlfn.XLOOKUP($E525,$A$5:$A$8,$B$5:$B$8,"")</f>
        <v>Vision – Employee</v>
      </c>
      <c r="G525" s="38" t="str">
        <f aca="false">_xlfn.XLOOKUP($E525,$A$5:$A$8,$D$5:$D$8,"")</f>
        <v>Pre-tax Section 125 (exempt from FIT/SIT/FICA)</v>
      </c>
      <c r="H525" s="38" t="str">
        <f aca="false">_xlfn.XLOOKUP($E525,$A$5:$A$8,$E$5:$E$8,"")</f>
        <v>Flat</v>
      </c>
      <c r="I525" s="44" t="str">
        <f aca="false">IF($H525="Percent",_xlfn.XLOOKUP($E525,$A$5:$A$8,$F$5:$F$8,""),"")</f>
        <v/>
      </c>
      <c r="J525" s="42" t="n">
        <f aca="false">IF($H525="Flat",_xlfn.XLOOKUP($E525,$A$5:$A$8,$F$5:$F$8,""),"")</f>
        <v>30</v>
      </c>
      <c r="K525" s="38" t="str">
        <f aca="false">_xlfn.XLOOKUP($E525,$A$5:$A$8,$G$5:$G$8,"")</f>
        <v>Per pay period</v>
      </c>
      <c r="L525" s="38" t="str">
        <f aca="false">_xlfn.XLOOKUP($E525,$A$5:$A$8,$H$5:$H$8,"")</f>
        <v>Every pay period (ongoing)</v>
      </c>
      <c r="M525" s="43" t="n">
        <f aca="false" t="array" ref="M525:M525">MAX(_xlfn.XLOOKUP($A525,TRIM(SUBSTITUTE('worker file'!$A$2:$A$406,_xlfn.UNICHAR(160)," ")),'worker file'!$M$2:$M$406,0),_xlfn.XLOOKUP($B525,TRIM('pay group &amp; schedule'!$A$2:$A$6),'pay group &amp; schedule'!$D$2:$D$6,0))</f>
        <v>46311</v>
      </c>
      <c r="N525" s="43" t="str">
        <f aca="false" t="array" ref="N525:N525">_xlfn.LET(_xlpm.t,_xlfn.XLOOKUP($A525,TRIM(SUBSTITUTE('worker file'!$A$2:$A$406,_xlfn.UNICHAR(160)," ")),'worker file'!$N$2:$N$406,""),IF(N(_xlpm.t)=0,"",_xlpm.t))</f>
        <v/>
      </c>
    </row>
    <row r="526" customFormat="false" ht="15" hidden="false" customHeight="false" outlineLevel="0" collapsed="false">
      <c r="A526" s="39" t="s">
        <v>286</v>
      </c>
      <c r="B526" s="40" t="str">
        <f aca="false" t="array" ref="B526:B526">_xlfn.XLOOKUP($A526,TRIM(SUBSTITUTE('worker file'!$A$2:$A$406,_xlfn.UNICHAR(160)," ")),'worker file'!$L$2:$L$406,"Not found")</f>
        <v>US Semi-monthly</v>
      </c>
      <c r="C526" s="40" t="str">
        <f aca="false" t="array" ref="C526:C526">_xlfn.XLOOKUP($A526,TRIM(SUBSTITUTE('worker file'!$A$2:$A$406,_xlfn.UNICHAR(160)," ")),'worker file'!$D$2:$D$406,"Not found")</f>
        <v>CA</v>
      </c>
      <c r="D526" s="40" t="str">
        <f aca="false" t="array" ref="D526:D526">_xlfn.XLOOKUP($A526,TRIM(SUBSTITUTE('worker file'!$A$2:$A$406,_xlfn.UNICHAR(160)," ")),'worker file'!$Q$2:$Q$406,"Not found")</f>
        <v>On Leave(paid)</v>
      </c>
      <c r="E526" s="39" t="s">
        <v>618</v>
      </c>
      <c r="F526" s="38" t="str">
        <f aca="false">_xlfn.XLOOKUP($E526,$A$5:$A$8,$B$5:$B$8,"")</f>
        <v>401(k) Employee Deferral</v>
      </c>
      <c r="G526" s="38" t="str">
        <f aca="false">_xlfn.XLOOKUP($E526,$A$5:$A$8,$D$5:$D$8,"")</f>
        <v>Pre-tax (exempt from FIT/SIT; subject to FICA)</v>
      </c>
      <c r="H526" s="38" t="str">
        <f aca="false">_xlfn.XLOOKUP($E526,$A$5:$A$8,$E$5:$E$8,"")</f>
        <v>Percent</v>
      </c>
      <c r="I526" s="41" t="n">
        <v>0.07</v>
      </c>
      <c r="J526" s="42" t="str">
        <f aca="false">IF($H526="Flat",_xlfn.XLOOKUP($E526,$A$5:$A$8,$F$5:$F$8,""),"")</f>
        <v/>
      </c>
      <c r="K526" s="38" t="str">
        <f aca="false">_xlfn.XLOOKUP($E526,$A$5:$A$8,$G$5:$G$8,"")</f>
        <v>Gross pay</v>
      </c>
      <c r="L526" s="38" t="str">
        <f aca="false">_xlfn.XLOOKUP($E526,$A$5:$A$8,$H$5:$H$8,"")</f>
        <v>Every pay period (ongoing)</v>
      </c>
      <c r="M526" s="43" t="n">
        <f aca="false" t="array" ref="M526:M526">MAX(_xlfn.XLOOKUP($A526,TRIM(SUBSTITUTE('worker file'!$A$2:$A$406,_xlfn.UNICHAR(160)," ")),'worker file'!$M$2:$M$406,0),_xlfn.XLOOKUP($B526,TRIM('pay group &amp; schedule'!$A$2:$A$6),'pay group &amp; schedule'!$D$2:$D$6,0))</f>
        <v>46311</v>
      </c>
      <c r="N526" s="43" t="str">
        <f aca="false" t="array" ref="N526:N526">_xlfn.LET(_xlpm.t,_xlfn.XLOOKUP($A526,TRIM(SUBSTITUTE('worker file'!$A$2:$A$406,_xlfn.UNICHAR(160)," ")),'worker file'!$N$2:$N$406,""),IF(N(_xlpm.t)=0,"",_xlpm.t))</f>
        <v/>
      </c>
      <c r="O526" s="0" t="s">
        <v>648</v>
      </c>
    </row>
    <row r="527" customFormat="false" ht="15" hidden="false" customHeight="false" outlineLevel="0" collapsed="false">
      <c r="A527" s="39" t="s">
        <v>286</v>
      </c>
      <c r="B527" s="40" t="str">
        <f aca="false" t="array" ref="B527:B527">_xlfn.XLOOKUP($A527,TRIM(SUBSTITUTE('worker file'!$A$2:$A$406,_xlfn.UNICHAR(160)," ")),'worker file'!$L$2:$L$406,"Not found")</f>
        <v>US Semi-monthly</v>
      </c>
      <c r="C527" s="40" t="str">
        <f aca="false" t="array" ref="C527:C527">_xlfn.XLOOKUP($A527,TRIM(SUBSTITUTE('worker file'!$A$2:$A$406,_xlfn.UNICHAR(160)," ")),'worker file'!$D$2:$D$406,"Not found")</f>
        <v>CA</v>
      </c>
      <c r="D527" s="40" t="str">
        <f aca="false" t="array" ref="D527:D527">_xlfn.XLOOKUP($A527,TRIM(SUBSTITUTE('worker file'!$A$2:$A$406,_xlfn.UNICHAR(160)," ")),'worker file'!$Q$2:$Q$406,"Not found")</f>
        <v>On Leave(paid)</v>
      </c>
      <c r="E527" s="39" t="s">
        <v>626</v>
      </c>
      <c r="F527" s="38" t="str">
        <f aca="false">_xlfn.XLOOKUP($E527,$A$5:$A$8,$B$5:$B$8,"")</f>
        <v>Medical (Health) – Employee</v>
      </c>
      <c r="G527" s="38" t="str">
        <f aca="false">_xlfn.XLOOKUP($E527,$A$5:$A$8,$D$5:$D$8,"")</f>
        <v>Pre-tax Section 125 (exempt from FIT/SIT/FICA)</v>
      </c>
      <c r="H527" s="38" t="str">
        <f aca="false">_xlfn.XLOOKUP($E527,$A$5:$A$8,$E$5:$E$8,"")</f>
        <v>Flat</v>
      </c>
      <c r="I527" s="44" t="str">
        <f aca="false">IF($H527="Percent",_xlfn.XLOOKUP($E527,$A$5:$A$8,$F$5:$F$8,""),"")</f>
        <v/>
      </c>
      <c r="J527" s="42" t="n">
        <f aca="false">IF($H527="Flat",_xlfn.XLOOKUP($E527,$A$5:$A$8,$F$5:$F$8,""),"")</f>
        <v>200</v>
      </c>
      <c r="K527" s="38" t="str">
        <f aca="false">_xlfn.XLOOKUP($E527,$A$5:$A$8,$G$5:$G$8,"")</f>
        <v>Per pay period</v>
      </c>
      <c r="L527" s="38" t="str">
        <f aca="false">_xlfn.XLOOKUP($E527,$A$5:$A$8,$H$5:$H$8,"")</f>
        <v>Every pay period (ongoing)</v>
      </c>
      <c r="M527" s="43" t="n">
        <f aca="false" t="array" ref="M527:M527">MAX(_xlfn.XLOOKUP($A527,TRIM(SUBSTITUTE('worker file'!$A$2:$A$406,_xlfn.UNICHAR(160)," ")),'worker file'!$M$2:$M$406,0),_xlfn.XLOOKUP($B527,TRIM('pay group &amp; schedule'!$A$2:$A$6),'pay group &amp; schedule'!$D$2:$D$6,0))</f>
        <v>46311</v>
      </c>
      <c r="N527" s="43" t="str">
        <f aca="false" t="array" ref="N527:N527">_xlfn.LET(_xlpm.t,_xlfn.XLOOKUP($A527,TRIM(SUBSTITUTE('worker file'!$A$2:$A$406,_xlfn.UNICHAR(160)," ")),'worker file'!$N$2:$N$406,""),IF(N(_xlpm.t)=0,"",_xlpm.t))</f>
        <v/>
      </c>
      <c r="O527" s="0" t="s">
        <v>648</v>
      </c>
    </row>
    <row r="528" customFormat="false" ht="15" hidden="false" customHeight="false" outlineLevel="0" collapsed="false">
      <c r="A528" s="39" t="s">
        <v>286</v>
      </c>
      <c r="B528" s="40" t="str">
        <f aca="false" t="array" ref="B528:B528">_xlfn.XLOOKUP($A528,TRIM(SUBSTITUTE('worker file'!$A$2:$A$406,_xlfn.UNICHAR(160)," ")),'worker file'!$L$2:$L$406,"Not found")</f>
        <v>US Semi-monthly</v>
      </c>
      <c r="C528" s="40" t="str">
        <f aca="false" t="array" ref="C528:C528">_xlfn.XLOOKUP($A528,TRIM(SUBSTITUTE('worker file'!$A$2:$A$406,_xlfn.UNICHAR(160)," ")),'worker file'!$D$2:$D$406,"Not found")</f>
        <v>CA</v>
      </c>
      <c r="D528" s="40" t="str">
        <f aca="false" t="array" ref="D528:D528">_xlfn.XLOOKUP($A528,TRIM(SUBSTITUTE('worker file'!$A$2:$A$406,_xlfn.UNICHAR(160)," ")),'worker file'!$Q$2:$Q$406,"Not found")</f>
        <v>On Leave(paid)</v>
      </c>
      <c r="E528" s="39" t="s">
        <v>632</v>
      </c>
      <c r="F528" s="38" t="str">
        <f aca="false">_xlfn.XLOOKUP($E528,$A$5:$A$8,$B$5:$B$8,"")</f>
        <v>Dental – Employee</v>
      </c>
      <c r="G528" s="38" t="str">
        <f aca="false">_xlfn.XLOOKUP($E528,$A$5:$A$8,$D$5:$D$8,"")</f>
        <v>Pre-tax Section 125 (exempt from FIT/SIT/FICA)</v>
      </c>
      <c r="H528" s="38" t="str">
        <f aca="false">_xlfn.XLOOKUP($E528,$A$5:$A$8,$E$5:$E$8,"")</f>
        <v>Flat</v>
      </c>
      <c r="I528" s="44" t="str">
        <f aca="false">IF($H528="Percent",_xlfn.XLOOKUP($E528,$A$5:$A$8,$F$5:$F$8,""),"")</f>
        <v/>
      </c>
      <c r="J528" s="42" t="n">
        <f aca="false">IF($H528="Flat",_xlfn.XLOOKUP($E528,$A$5:$A$8,$F$5:$F$8,""),"")</f>
        <v>44</v>
      </c>
      <c r="K528" s="38" t="str">
        <f aca="false">_xlfn.XLOOKUP($E528,$A$5:$A$8,$G$5:$G$8,"")</f>
        <v>Per pay period</v>
      </c>
      <c r="L528" s="38" t="str">
        <f aca="false">_xlfn.XLOOKUP($E528,$A$5:$A$8,$H$5:$H$8,"")</f>
        <v>Every pay period (ongoing)</v>
      </c>
      <c r="M528" s="43" t="n">
        <f aca="false" t="array" ref="M528:M528">MAX(_xlfn.XLOOKUP($A528,TRIM(SUBSTITUTE('worker file'!$A$2:$A$406,_xlfn.UNICHAR(160)," ")),'worker file'!$M$2:$M$406,0),_xlfn.XLOOKUP($B528,TRIM('pay group &amp; schedule'!$A$2:$A$6),'pay group &amp; schedule'!$D$2:$D$6,0))</f>
        <v>46311</v>
      </c>
      <c r="N528" s="43" t="str">
        <f aca="false" t="array" ref="N528:N528">_xlfn.LET(_xlpm.t,_xlfn.XLOOKUP($A528,TRIM(SUBSTITUTE('worker file'!$A$2:$A$406,_xlfn.UNICHAR(160)," ")),'worker file'!$N$2:$N$406,""),IF(N(_xlpm.t)=0,"",_xlpm.t))</f>
        <v/>
      </c>
      <c r="O528" s="0" t="s">
        <v>648</v>
      </c>
    </row>
    <row r="529" customFormat="false" ht="15" hidden="false" customHeight="false" outlineLevel="0" collapsed="false">
      <c r="A529" s="39" t="s">
        <v>286</v>
      </c>
      <c r="B529" s="40" t="str">
        <f aca="false" t="array" ref="B529:B529">_xlfn.XLOOKUP($A529,TRIM(SUBSTITUTE('worker file'!$A$2:$A$406,_xlfn.UNICHAR(160)," ")),'worker file'!$L$2:$L$406,"Not found")</f>
        <v>US Semi-monthly</v>
      </c>
      <c r="C529" s="40" t="str">
        <f aca="false" t="array" ref="C529:C529">_xlfn.XLOOKUP($A529,TRIM(SUBSTITUTE('worker file'!$A$2:$A$406,_xlfn.UNICHAR(160)," ")),'worker file'!$D$2:$D$406,"Not found")</f>
        <v>CA</v>
      </c>
      <c r="D529" s="40" t="str">
        <f aca="false" t="array" ref="D529:D529">_xlfn.XLOOKUP($A529,TRIM(SUBSTITUTE('worker file'!$A$2:$A$406,_xlfn.UNICHAR(160)," ")),'worker file'!$Q$2:$Q$406,"Not found")</f>
        <v>On Leave(paid)</v>
      </c>
      <c r="E529" s="39" t="s">
        <v>634</v>
      </c>
      <c r="F529" s="38" t="str">
        <f aca="false">_xlfn.XLOOKUP($E529,$A$5:$A$8,$B$5:$B$8,"")</f>
        <v>Vision – Employee</v>
      </c>
      <c r="G529" s="38" t="str">
        <f aca="false">_xlfn.XLOOKUP($E529,$A$5:$A$8,$D$5:$D$8,"")</f>
        <v>Pre-tax Section 125 (exempt from FIT/SIT/FICA)</v>
      </c>
      <c r="H529" s="38" t="str">
        <f aca="false">_xlfn.XLOOKUP($E529,$A$5:$A$8,$E$5:$E$8,"")</f>
        <v>Flat</v>
      </c>
      <c r="I529" s="44" t="str">
        <f aca="false">IF($H529="Percent",_xlfn.XLOOKUP($E529,$A$5:$A$8,$F$5:$F$8,""),"")</f>
        <v/>
      </c>
      <c r="J529" s="42" t="n">
        <f aca="false">IF($H529="Flat",_xlfn.XLOOKUP($E529,$A$5:$A$8,$F$5:$F$8,""),"")</f>
        <v>30</v>
      </c>
      <c r="K529" s="38" t="str">
        <f aca="false">_xlfn.XLOOKUP($E529,$A$5:$A$8,$G$5:$G$8,"")</f>
        <v>Per pay period</v>
      </c>
      <c r="L529" s="38" t="str">
        <f aca="false">_xlfn.XLOOKUP($E529,$A$5:$A$8,$H$5:$H$8,"")</f>
        <v>Every pay period (ongoing)</v>
      </c>
      <c r="M529" s="43" t="n">
        <f aca="false" t="array" ref="M529:M529">MAX(_xlfn.XLOOKUP($A529,TRIM(SUBSTITUTE('worker file'!$A$2:$A$406,_xlfn.UNICHAR(160)," ")),'worker file'!$M$2:$M$406,0),_xlfn.XLOOKUP($B529,TRIM('pay group &amp; schedule'!$A$2:$A$6),'pay group &amp; schedule'!$D$2:$D$6,0))</f>
        <v>46311</v>
      </c>
      <c r="N529" s="43" t="str">
        <f aca="false" t="array" ref="N529:N529">_xlfn.LET(_xlpm.t,_xlfn.XLOOKUP($A529,TRIM(SUBSTITUTE('worker file'!$A$2:$A$406,_xlfn.UNICHAR(160)," ")),'worker file'!$N$2:$N$406,""),IF(N(_xlpm.t)=0,"",_xlpm.t))</f>
        <v/>
      </c>
      <c r="O529" s="0" t="s">
        <v>648</v>
      </c>
    </row>
    <row r="530" customFormat="false" ht="15" hidden="false" customHeight="false" outlineLevel="0" collapsed="false">
      <c r="A530" s="39" t="s">
        <v>288</v>
      </c>
      <c r="B530" s="40" t="str">
        <f aca="false" t="array" ref="B530:B530">_xlfn.XLOOKUP($A530,TRIM(SUBSTITUTE('worker file'!$A$2:$A$406,_xlfn.UNICHAR(160)," ")),'worker file'!$L$2:$L$406,"Not found")</f>
        <v>US Semi-monthly</v>
      </c>
      <c r="C530" s="40" t="str">
        <f aca="false" t="array" ref="C530:C530">_xlfn.XLOOKUP($A530,TRIM(SUBSTITUTE('worker file'!$A$2:$A$406,_xlfn.UNICHAR(160)," ")),'worker file'!$D$2:$D$406,"Not found")</f>
        <v>WA</v>
      </c>
      <c r="D530" s="40" t="str">
        <f aca="false" t="array" ref="D530:D530">_xlfn.XLOOKUP($A530,TRIM(SUBSTITUTE('worker file'!$A$2:$A$406,_xlfn.UNICHAR(160)," ")),'worker file'!$Q$2:$Q$406,"Not found")</f>
        <v>Active</v>
      </c>
      <c r="E530" s="39" t="s">
        <v>618</v>
      </c>
      <c r="F530" s="38" t="str">
        <f aca="false">_xlfn.XLOOKUP($E530,$A$5:$A$8,$B$5:$B$8,"")</f>
        <v>401(k) Employee Deferral</v>
      </c>
      <c r="G530" s="38" t="str">
        <f aca="false">_xlfn.XLOOKUP($E530,$A$5:$A$8,$D$5:$D$8,"")</f>
        <v>Pre-tax (exempt from FIT/SIT; subject to FICA)</v>
      </c>
      <c r="H530" s="38" t="str">
        <f aca="false">_xlfn.XLOOKUP($E530,$A$5:$A$8,$E$5:$E$8,"")</f>
        <v>Percent</v>
      </c>
      <c r="I530" s="41" t="n">
        <v>0.04</v>
      </c>
      <c r="J530" s="42" t="str">
        <f aca="false">IF($H530="Flat",_xlfn.XLOOKUP($E530,$A$5:$A$8,$F$5:$F$8,""),"")</f>
        <v/>
      </c>
      <c r="K530" s="38" t="str">
        <f aca="false">_xlfn.XLOOKUP($E530,$A$5:$A$8,$G$5:$G$8,"")</f>
        <v>Gross pay</v>
      </c>
      <c r="L530" s="38" t="str">
        <f aca="false">_xlfn.XLOOKUP($E530,$A$5:$A$8,$H$5:$H$8,"")</f>
        <v>Every pay period (ongoing)</v>
      </c>
      <c r="M530" s="43" t="n">
        <f aca="false" t="array" ref="M530:M530">MAX(_xlfn.XLOOKUP($A530,TRIM(SUBSTITUTE('worker file'!$A$2:$A$406,_xlfn.UNICHAR(160)," ")),'worker file'!$M$2:$M$406,0),_xlfn.XLOOKUP($B530,TRIM('pay group &amp; schedule'!$A$2:$A$6),'pay group &amp; schedule'!$D$2:$D$6,0))</f>
        <v>46311</v>
      </c>
      <c r="N530" s="43" t="str">
        <f aca="false" t="array" ref="N530:N530">_xlfn.LET(_xlpm.t,_xlfn.XLOOKUP($A530,TRIM(SUBSTITUTE('worker file'!$A$2:$A$406,_xlfn.UNICHAR(160)," ")),'worker file'!$N$2:$N$406,""),IF(N(_xlpm.t)=0,"",_xlpm.t))</f>
        <v/>
      </c>
    </row>
    <row r="531" customFormat="false" ht="15" hidden="false" customHeight="false" outlineLevel="0" collapsed="false">
      <c r="A531" s="39" t="s">
        <v>288</v>
      </c>
      <c r="B531" s="40" t="str">
        <f aca="false" t="array" ref="B531:B531">_xlfn.XLOOKUP($A531,TRIM(SUBSTITUTE('worker file'!$A$2:$A$406,_xlfn.UNICHAR(160)," ")),'worker file'!$L$2:$L$406,"Not found")</f>
        <v>US Semi-monthly</v>
      </c>
      <c r="C531" s="40" t="str">
        <f aca="false" t="array" ref="C531:C531">_xlfn.XLOOKUP($A531,TRIM(SUBSTITUTE('worker file'!$A$2:$A$406,_xlfn.UNICHAR(160)," ")),'worker file'!$D$2:$D$406,"Not found")</f>
        <v>WA</v>
      </c>
      <c r="D531" s="40" t="str">
        <f aca="false" t="array" ref="D531:D531">_xlfn.XLOOKUP($A531,TRIM(SUBSTITUTE('worker file'!$A$2:$A$406,_xlfn.UNICHAR(160)," ")),'worker file'!$Q$2:$Q$406,"Not found")</f>
        <v>Active</v>
      </c>
      <c r="E531" s="39" t="s">
        <v>626</v>
      </c>
      <c r="F531" s="38" t="str">
        <f aca="false">_xlfn.XLOOKUP($E531,$A$5:$A$8,$B$5:$B$8,"")</f>
        <v>Medical (Health) – Employee</v>
      </c>
      <c r="G531" s="38" t="str">
        <f aca="false">_xlfn.XLOOKUP($E531,$A$5:$A$8,$D$5:$D$8,"")</f>
        <v>Pre-tax Section 125 (exempt from FIT/SIT/FICA)</v>
      </c>
      <c r="H531" s="38" t="str">
        <f aca="false">_xlfn.XLOOKUP($E531,$A$5:$A$8,$E$5:$E$8,"")</f>
        <v>Flat</v>
      </c>
      <c r="I531" s="44" t="str">
        <f aca="false">IF($H531="Percent",_xlfn.XLOOKUP($E531,$A$5:$A$8,$F$5:$F$8,""),"")</f>
        <v/>
      </c>
      <c r="J531" s="42" t="n">
        <f aca="false">IF($H531="Flat",_xlfn.XLOOKUP($E531,$A$5:$A$8,$F$5:$F$8,""),"")</f>
        <v>200</v>
      </c>
      <c r="K531" s="38" t="str">
        <f aca="false">_xlfn.XLOOKUP($E531,$A$5:$A$8,$G$5:$G$8,"")</f>
        <v>Per pay period</v>
      </c>
      <c r="L531" s="38" t="str">
        <f aca="false">_xlfn.XLOOKUP($E531,$A$5:$A$8,$H$5:$H$8,"")</f>
        <v>Every pay period (ongoing)</v>
      </c>
      <c r="M531" s="43" t="n">
        <f aca="false" t="array" ref="M531:M531">MAX(_xlfn.XLOOKUP($A531,TRIM(SUBSTITUTE('worker file'!$A$2:$A$406,_xlfn.UNICHAR(160)," ")),'worker file'!$M$2:$M$406,0),_xlfn.XLOOKUP($B531,TRIM('pay group &amp; schedule'!$A$2:$A$6),'pay group &amp; schedule'!$D$2:$D$6,0))</f>
        <v>46311</v>
      </c>
      <c r="N531" s="43" t="str">
        <f aca="false" t="array" ref="N531:N531">_xlfn.LET(_xlpm.t,_xlfn.XLOOKUP($A531,TRIM(SUBSTITUTE('worker file'!$A$2:$A$406,_xlfn.UNICHAR(160)," ")),'worker file'!$N$2:$N$406,""),IF(N(_xlpm.t)=0,"",_xlpm.t))</f>
        <v/>
      </c>
    </row>
    <row r="532" customFormat="false" ht="15" hidden="false" customHeight="false" outlineLevel="0" collapsed="false">
      <c r="A532" s="39" t="s">
        <v>288</v>
      </c>
      <c r="B532" s="40" t="str">
        <f aca="false" t="array" ref="B532:B532">_xlfn.XLOOKUP($A532,TRIM(SUBSTITUTE('worker file'!$A$2:$A$406,_xlfn.UNICHAR(160)," ")),'worker file'!$L$2:$L$406,"Not found")</f>
        <v>US Semi-monthly</v>
      </c>
      <c r="C532" s="40" t="str">
        <f aca="false" t="array" ref="C532:C532">_xlfn.XLOOKUP($A532,TRIM(SUBSTITUTE('worker file'!$A$2:$A$406,_xlfn.UNICHAR(160)," ")),'worker file'!$D$2:$D$406,"Not found")</f>
        <v>WA</v>
      </c>
      <c r="D532" s="40" t="str">
        <f aca="false" t="array" ref="D532:D532">_xlfn.XLOOKUP($A532,TRIM(SUBSTITUTE('worker file'!$A$2:$A$406,_xlfn.UNICHAR(160)," ")),'worker file'!$Q$2:$Q$406,"Not found")</f>
        <v>Active</v>
      </c>
      <c r="E532" s="39" t="s">
        <v>632</v>
      </c>
      <c r="F532" s="38" t="str">
        <f aca="false">_xlfn.XLOOKUP($E532,$A$5:$A$8,$B$5:$B$8,"")</f>
        <v>Dental – Employee</v>
      </c>
      <c r="G532" s="38" t="str">
        <f aca="false">_xlfn.XLOOKUP($E532,$A$5:$A$8,$D$5:$D$8,"")</f>
        <v>Pre-tax Section 125 (exempt from FIT/SIT/FICA)</v>
      </c>
      <c r="H532" s="38" t="str">
        <f aca="false">_xlfn.XLOOKUP($E532,$A$5:$A$8,$E$5:$E$8,"")</f>
        <v>Flat</v>
      </c>
      <c r="I532" s="44" t="str">
        <f aca="false">IF($H532="Percent",_xlfn.XLOOKUP($E532,$A$5:$A$8,$F$5:$F$8,""),"")</f>
        <v/>
      </c>
      <c r="J532" s="42" t="n">
        <f aca="false">IF($H532="Flat",_xlfn.XLOOKUP($E532,$A$5:$A$8,$F$5:$F$8,""),"")</f>
        <v>44</v>
      </c>
      <c r="K532" s="38" t="str">
        <f aca="false">_xlfn.XLOOKUP($E532,$A$5:$A$8,$G$5:$G$8,"")</f>
        <v>Per pay period</v>
      </c>
      <c r="L532" s="38" t="str">
        <f aca="false">_xlfn.XLOOKUP($E532,$A$5:$A$8,$H$5:$H$8,"")</f>
        <v>Every pay period (ongoing)</v>
      </c>
      <c r="M532" s="43" t="n">
        <f aca="false" t="array" ref="M532:M532">MAX(_xlfn.XLOOKUP($A532,TRIM(SUBSTITUTE('worker file'!$A$2:$A$406,_xlfn.UNICHAR(160)," ")),'worker file'!$M$2:$M$406,0),_xlfn.XLOOKUP($B532,TRIM('pay group &amp; schedule'!$A$2:$A$6),'pay group &amp; schedule'!$D$2:$D$6,0))</f>
        <v>46311</v>
      </c>
      <c r="N532" s="43" t="str">
        <f aca="false" t="array" ref="N532:N532">_xlfn.LET(_xlpm.t,_xlfn.XLOOKUP($A532,TRIM(SUBSTITUTE('worker file'!$A$2:$A$406,_xlfn.UNICHAR(160)," ")),'worker file'!$N$2:$N$406,""),IF(N(_xlpm.t)=0,"",_xlpm.t))</f>
        <v/>
      </c>
    </row>
    <row r="533" customFormat="false" ht="15" hidden="false" customHeight="false" outlineLevel="0" collapsed="false">
      <c r="A533" s="39" t="s">
        <v>288</v>
      </c>
      <c r="B533" s="40" t="str">
        <f aca="false" t="array" ref="B533:B533">_xlfn.XLOOKUP($A533,TRIM(SUBSTITUTE('worker file'!$A$2:$A$406,_xlfn.UNICHAR(160)," ")),'worker file'!$L$2:$L$406,"Not found")</f>
        <v>US Semi-monthly</v>
      </c>
      <c r="C533" s="40" t="str">
        <f aca="false" t="array" ref="C533:C533">_xlfn.XLOOKUP($A533,TRIM(SUBSTITUTE('worker file'!$A$2:$A$406,_xlfn.UNICHAR(160)," ")),'worker file'!$D$2:$D$406,"Not found")</f>
        <v>WA</v>
      </c>
      <c r="D533" s="40" t="str">
        <f aca="false" t="array" ref="D533:D533">_xlfn.XLOOKUP($A533,TRIM(SUBSTITUTE('worker file'!$A$2:$A$406,_xlfn.UNICHAR(160)," ")),'worker file'!$Q$2:$Q$406,"Not found")</f>
        <v>Active</v>
      </c>
      <c r="E533" s="39" t="s">
        <v>634</v>
      </c>
      <c r="F533" s="38" t="str">
        <f aca="false">_xlfn.XLOOKUP($E533,$A$5:$A$8,$B$5:$B$8,"")</f>
        <v>Vision – Employee</v>
      </c>
      <c r="G533" s="38" t="str">
        <f aca="false">_xlfn.XLOOKUP($E533,$A$5:$A$8,$D$5:$D$8,"")</f>
        <v>Pre-tax Section 125 (exempt from FIT/SIT/FICA)</v>
      </c>
      <c r="H533" s="38" t="str">
        <f aca="false">_xlfn.XLOOKUP($E533,$A$5:$A$8,$E$5:$E$8,"")</f>
        <v>Flat</v>
      </c>
      <c r="I533" s="44" t="str">
        <f aca="false">IF($H533="Percent",_xlfn.XLOOKUP($E533,$A$5:$A$8,$F$5:$F$8,""),"")</f>
        <v/>
      </c>
      <c r="J533" s="42" t="n">
        <f aca="false">IF($H533="Flat",_xlfn.XLOOKUP($E533,$A$5:$A$8,$F$5:$F$8,""),"")</f>
        <v>30</v>
      </c>
      <c r="K533" s="38" t="str">
        <f aca="false">_xlfn.XLOOKUP($E533,$A$5:$A$8,$G$5:$G$8,"")</f>
        <v>Per pay period</v>
      </c>
      <c r="L533" s="38" t="str">
        <f aca="false">_xlfn.XLOOKUP($E533,$A$5:$A$8,$H$5:$H$8,"")</f>
        <v>Every pay period (ongoing)</v>
      </c>
      <c r="M533" s="43" t="n">
        <f aca="false" t="array" ref="M533:M533">MAX(_xlfn.XLOOKUP($A533,TRIM(SUBSTITUTE('worker file'!$A$2:$A$406,_xlfn.UNICHAR(160)," ")),'worker file'!$M$2:$M$406,0),_xlfn.XLOOKUP($B533,TRIM('pay group &amp; schedule'!$A$2:$A$6),'pay group &amp; schedule'!$D$2:$D$6,0))</f>
        <v>46311</v>
      </c>
      <c r="N533" s="43" t="str">
        <f aca="false" t="array" ref="N533:N533">_xlfn.LET(_xlpm.t,_xlfn.XLOOKUP($A533,TRIM(SUBSTITUTE('worker file'!$A$2:$A$406,_xlfn.UNICHAR(160)," ")),'worker file'!$N$2:$N$406,""),IF(N(_xlpm.t)=0,"",_xlpm.t))</f>
        <v/>
      </c>
    </row>
    <row r="534" customFormat="false" ht="15" hidden="false" customHeight="false" outlineLevel="0" collapsed="false">
      <c r="A534" s="39" t="s">
        <v>289</v>
      </c>
      <c r="B534" s="40" t="str">
        <f aca="false" t="array" ref="B534:B534">_xlfn.XLOOKUP($A534,TRIM(SUBSTITUTE('worker file'!$A$2:$A$406,_xlfn.UNICHAR(160)," ")),'worker file'!$L$2:$L$406,"Not found")</f>
        <v>US Semi-monthly</v>
      </c>
      <c r="C534" s="40" t="str">
        <f aca="false" t="array" ref="C534:C534">_xlfn.XLOOKUP($A534,TRIM(SUBSTITUTE('worker file'!$A$2:$A$406,_xlfn.UNICHAR(160)," ")),'worker file'!$D$2:$D$406,"Not found")</f>
        <v>CA</v>
      </c>
      <c r="D534" s="40" t="str">
        <f aca="false" t="array" ref="D534:D534">_xlfn.XLOOKUP($A534,TRIM(SUBSTITUTE('worker file'!$A$2:$A$406,_xlfn.UNICHAR(160)," ")),'worker file'!$Q$2:$Q$406,"Not found")</f>
        <v>Active</v>
      </c>
      <c r="E534" s="39" t="s">
        <v>618</v>
      </c>
      <c r="F534" s="38" t="str">
        <f aca="false">_xlfn.XLOOKUP($E534,$A$5:$A$8,$B$5:$B$8,"")</f>
        <v>401(k) Employee Deferral</v>
      </c>
      <c r="G534" s="38" t="str">
        <f aca="false">_xlfn.XLOOKUP($E534,$A$5:$A$8,$D$5:$D$8,"")</f>
        <v>Pre-tax (exempt from FIT/SIT; subject to FICA)</v>
      </c>
      <c r="H534" s="38" t="str">
        <f aca="false">_xlfn.XLOOKUP($E534,$A$5:$A$8,$E$5:$E$8,"")</f>
        <v>Percent</v>
      </c>
      <c r="I534" s="41" t="n">
        <v>0.01</v>
      </c>
      <c r="J534" s="42" t="str">
        <f aca="false">IF($H534="Flat",_xlfn.XLOOKUP($E534,$A$5:$A$8,$F$5:$F$8,""),"")</f>
        <v/>
      </c>
      <c r="K534" s="38" t="str">
        <f aca="false">_xlfn.XLOOKUP($E534,$A$5:$A$8,$G$5:$G$8,"")</f>
        <v>Gross pay</v>
      </c>
      <c r="L534" s="38" t="str">
        <f aca="false">_xlfn.XLOOKUP($E534,$A$5:$A$8,$H$5:$H$8,"")</f>
        <v>Every pay period (ongoing)</v>
      </c>
      <c r="M534" s="43" t="n">
        <f aca="false" t="array" ref="M534:M534">MAX(_xlfn.XLOOKUP($A534,TRIM(SUBSTITUTE('worker file'!$A$2:$A$406,_xlfn.UNICHAR(160)," ")),'worker file'!$M$2:$M$406,0),_xlfn.XLOOKUP($B534,TRIM('pay group &amp; schedule'!$A$2:$A$6),'pay group &amp; schedule'!$D$2:$D$6,0))</f>
        <v>46311</v>
      </c>
      <c r="N534" s="43" t="str">
        <f aca="false" t="array" ref="N534:N534">_xlfn.LET(_xlpm.t,_xlfn.XLOOKUP($A534,TRIM(SUBSTITUTE('worker file'!$A$2:$A$406,_xlfn.UNICHAR(160)," ")),'worker file'!$N$2:$N$406,""),IF(N(_xlpm.t)=0,"",_xlpm.t))</f>
        <v/>
      </c>
    </row>
    <row r="535" customFormat="false" ht="15" hidden="false" customHeight="false" outlineLevel="0" collapsed="false">
      <c r="A535" s="39" t="s">
        <v>289</v>
      </c>
      <c r="B535" s="40" t="str">
        <f aca="false" t="array" ref="B535:B535">_xlfn.XLOOKUP($A535,TRIM(SUBSTITUTE('worker file'!$A$2:$A$406,_xlfn.UNICHAR(160)," ")),'worker file'!$L$2:$L$406,"Not found")</f>
        <v>US Semi-monthly</v>
      </c>
      <c r="C535" s="40" t="str">
        <f aca="false" t="array" ref="C535:C535">_xlfn.XLOOKUP($A535,TRIM(SUBSTITUTE('worker file'!$A$2:$A$406,_xlfn.UNICHAR(160)," ")),'worker file'!$D$2:$D$406,"Not found")</f>
        <v>CA</v>
      </c>
      <c r="D535" s="40" t="str">
        <f aca="false" t="array" ref="D535:D535">_xlfn.XLOOKUP($A535,TRIM(SUBSTITUTE('worker file'!$A$2:$A$406,_xlfn.UNICHAR(160)," ")),'worker file'!$Q$2:$Q$406,"Not found")</f>
        <v>Active</v>
      </c>
      <c r="E535" s="39" t="s">
        <v>626</v>
      </c>
      <c r="F535" s="38" t="str">
        <f aca="false">_xlfn.XLOOKUP($E535,$A$5:$A$8,$B$5:$B$8,"")</f>
        <v>Medical (Health) – Employee</v>
      </c>
      <c r="G535" s="38" t="str">
        <f aca="false">_xlfn.XLOOKUP($E535,$A$5:$A$8,$D$5:$D$8,"")</f>
        <v>Pre-tax Section 125 (exempt from FIT/SIT/FICA)</v>
      </c>
      <c r="H535" s="38" t="str">
        <f aca="false">_xlfn.XLOOKUP($E535,$A$5:$A$8,$E$5:$E$8,"")</f>
        <v>Flat</v>
      </c>
      <c r="I535" s="44" t="str">
        <f aca="false">IF($H535="Percent",_xlfn.XLOOKUP($E535,$A$5:$A$8,$F$5:$F$8,""),"")</f>
        <v/>
      </c>
      <c r="J535" s="42" t="n">
        <f aca="false">IF($H535="Flat",_xlfn.XLOOKUP($E535,$A$5:$A$8,$F$5:$F$8,""),"")</f>
        <v>200</v>
      </c>
      <c r="K535" s="38" t="str">
        <f aca="false">_xlfn.XLOOKUP($E535,$A$5:$A$8,$G$5:$G$8,"")</f>
        <v>Per pay period</v>
      </c>
      <c r="L535" s="38" t="str">
        <f aca="false">_xlfn.XLOOKUP($E535,$A$5:$A$8,$H$5:$H$8,"")</f>
        <v>Every pay period (ongoing)</v>
      </c>
      <c r="M535" s="43" t="n">
        <f aca="false" t="array" ref="M535:M535">MAX(_xlfn.XLOOKUP($A535,TRIM(SUBSTITUTE('worker file'!$A$2:$A$406,_xlfn.UNICHAR(160)," ")),'worker file'!$M$2:$M$406,0),_xlfn.XLOOKUP($B535,TRIM('pay group &amp; schedule'!$A$2:$A$6),'pay group &amp; schedule'!$D$2:$D$6,0))</f>
        <v>46311</v>
      </c>
      <c r="N535" s="43" t="str">
        <f aca="false" t="array" ref="N535:N535">_xlfn.LET(_xlpm.t,_xlfn.XLOOKUP($A535,TRIM(SUBSTITUTE('worker file'!$A$2:$A$406,_xlfn.UNICHAR(160)," ")),'worker file'!$N$2:$N$406,""),IF(N(_xlpm.t)=0,"",_xlpm.t))</f>
        <v/>
      </c>
    </row>
    <row r="536" customFormat="false" ht="15" hidden="false" customHeight="false" outlineLevel="0" collapsed="false">
      <c r="A536" s="39" t="s">
        <v>289</v>
      </c>
      <c r="B536" s="40" t="str">
        <f aca="false" t="array" ref="B536:B536">_xlfn.XLOOKUP($A536,TRIM(SUBSTITUTE('worker file'!$A$2:$A$406,_xlfn.UNICHAR(160)," ")),'worker file'!$L$2:$L$406,"Not found")</f>
        <v>US Semi-monthly</v>
      </c>
      <c r="C536" s="40" t="str">
        <f aca="false" t="array" ref="C536:C536">_xlfn.XLOOKUP($A536,TRIM(SUBSTITUTE('worker file'!$A$2:$A$406,_xlfn.UNICHAR(160)," ")),'worker file'!$D$2:$D$406,"Not found")</f>
        <v>CA</v>
      </c>
      <c r="D536" s="40" t="str">
        <f aca="false" t="array" ref="D536:D536">_xlfn.XLOOKUP($A536,TRIM(SUBSTITUTE('worker file'!$A$2:$A$406,_xlfn.UNICHAR(160)," ")),'worker file'!$Q$2:$Q$406,"Not found")</f>
        <v>Active</v>
      </c>
      <c r="E536" s="39" t="s">
        <v>632</v>
      </c>
      <c r="F536" s="38" t="str">
        <f aca="false">_xlfn.XLOOKUP($E536,$A$5:$A$8,$B$5:$B$8,"")</f>
        <v>Dental – Employee</v>
      </c>
      <c r="G536" s="38" t="str">
        <f aca="false">_xlfn.XLOOKUP($E536,$A$5:$A$8,$D$5:$D$8,"")</f>
        <v>Pre-tax Section 125 (exempt from FIT/SIT/FICA)</v>
      </c>
      <c r="H536" s="38" t="str">
        <f aca="false">_xlfn.XLOOKUP($E536,$A$5:$A$8,$E$5:$E$8,"")</f>
        <v>Flat</v>
      </c>
      <c r="I536" s="44" t="str">
        <f aca="false">IF($H536="Percent",_xlfn.XLOOKUP($E536,$A$5:$A$8,$F$5:$F$8,""),"")</f>
        <v/>
      </c>
      <c r="J536" s="42" t="n">
        <f aca="false">IF($H536="Flat",_xlfn.XLOOKUP($E536,$A$5:$A$8,$F$5:$F$8,""),"")</f>
        <v>44</v>
      </c>
      <c r="K536" s="38" t="str">
        <f aca="false">_xlfn.XLOOKUP($E536,$A$5:$A$8,$G$5:$G$8,"")</f>
        <v>Per pay period</v>
      </c>
      <c r="L536" s="38" t="str">
        <f aca="false">_xlfn.XLOOKUP($E536,$A$5:$A$8,$H$5:$H$8,"")</f>
        <v>Every pay period (ongoing)</v>
      </c>
      <c r="M536" s="43" t="n">
        <f aca="false" t="array" ref="M536:M536">MAX(_xlfn.XLOOKUP($A536,TRIM(SUBSTITUTE('worker file'!$A$2:$A$406,_xlfn.UNICHAR(160)," ")),'worker file'!$M$2:$M$406,0),_xlfn.XLOOKUP($B536,TRIM('pay group &amp; schedule'!$A$2:$A$6),'pay group &amp; schedule'!$D$2:$D$6,0))</f>
        <v>46311</v>
      </c>
      <c r="N536" s="43" t="str">
        <f aca="false" t="array" ref="N536:N536">_xlfn.LET(_xlpm.t,_xlfn.XLOOKUP($A536,TRIM(SUBSTITUTE('worker file'!$A$2:$A$406,_xlfn.UNICHAR(160)," ")),'worker file'!$N$2:$N$406,""),IF(N(_xlpm.t)=0,"",_xlpm.t))</f>
        <v/>
      </c>
    </row>
    <row r="537" customFormat="false" ht="15" hidden="false" customHeight="false" outlineLevel="0" collapsed="false">
      <c r="A537" s="39" t="s">
        <v>289</v>
      </c>
      <c r="B537" s="40" t="str">
        <f aca="false" t="array" ref="B537:B537">_xlfn.XLOOKUP($A537,TRIM(SUBSTITUTE('worker file'!$A$2:$A$406,_xlfn.UNICHAR(160)," ")),'worker file'!$L$2:$L$406,"Not found")</f>
        <v>US Semi-monthly</v>
      </c>
      <c r="C537" s="40" t="str">
        <f aca="false" t="array" ref="C537:C537">_xlfn.XLOOKUP($A537,TRIM(SUBSTITUTE('worker file'!$A$2:$A$406,_xlfn.UNICHAR(160)," ")),'worker file'!$D$2:$D$406,"Not found")</f>
        <v>CA</v>
      </c>
      <c r="D537" s="40" t="str">
        <f aca="false" t="array" ref="D537:D537">_xlfn.XLOOKUP($A537,TRIM(SUBSTITUTE('worker file'!$A$2:$A$406,_xlfn.UNICHAR(160)," ")),'worker file'!$Q$2:$Q$406,"Not found")</f>
        <v>Active</v>
      </c>
      <c r="E537" s="39" t="s">
        <v>634</v>
      </c>
      <c r="F537" s="38" t="str">
        <f aca="false">_xlfn.XLOOKUP($E537,$A$5:$A$8,$B$5:$B$8,"")</f>
        <v>Vision – Employee</v>
      </c>
      <c r="G537" s="38" t="str">
        <f aca="false">_xlfn.XLOOKUP($E537,$A$5:$A$8,$D$5:$D$8,"")</f>
        <v>Pre-tax Section 125 (exempt from FIT/SIT/FICA)</v>
      </c>
      <c r="H537" s="38" t="str">
        <f aca="false">_xlfn.XLOOKUP($E537,$A$5:$A$8,$E$5:$E$8,"")</f>
        <v>Flat</v>
      </c>
      <c r="I537" s="44" t="str">
        <f aca="false">IF($H537="Percent",_xlfn.XLOOKUP($E537,$A$5:$A$8,$F$5:$F$8,""),"")</f>
        <v/>
      </c>
      <c r="J537" s="42" t="n">
        <f aca="false">IF($H537="Flat",_xlfn.XLOOKUP($E537,$A$5:$A$8,$F$5:$F$8,""),"")</f>
        <v>30</v>
      </c>
      <c r="K537" s="38" t="str">
        <f aca="false">_xlfn.XLOOKUP($E537,$A$5:$A$8,$G$5:$G$8,"")</f>
        <v>Per pay period</v>
      </c>
      <c r="L537" s="38" t="str">
        <f aca="false">_xlfn.XLOOKUP($E537,$A$5:$A$8,$H$5:$H$8,"")</f>
        <v>Every pay period (ongoing)</v>
      </c>
      <c r="M537" s="43" t="n">
        <f aca="false" t="array" ref="M537:M537">MAX(_xlfn.XLOOKUP($A537,TRIM(SUBSTITUTE('worker file'!$A$2:$A$406,_xlfn.UNICHAR(160)," ")),'worker file'!$M$2:$M$406,0),_xlfn.XLOOKUP($B537,TRIM('pay group &amp; schedule'!$A$2:$A$6),'pay group &amp; schedule'!$D$2:$D$6,0))</f>
        <v>46311</v>
      </c>
      <c r="N537" s="43" t="str">
        <f aca="false" t="array" ref="N537:N537">_xlfn.LET(_xlpm.t,_xlfn.XLOOKUP($A537,TRIM(SUBSTITUTE('worker file'!$A$2:$A$406,_xlfn.UNICHAR(160)," ")),'worker file'!$N$2:$N$406,""),IF(N(_xlpm.t)=0,"",_xlpm.t))</f>
        <v/>
      </c>
    </row>
    <row r="538" customFormat="false" ht="15" hidden="false" customHeight="false" outlineLevel="0" collapsed="false">
      <c r="A538" s="39" t="s">
        <v>290</v>
      </c>
      <c r="B538" s="40" t="str">
        <f aca="false" t="array" ref="B538:B538">_xlfn.XLOOKUP($A538,TRIM(SUBSTITUTE('worker file'!$A$2:$A$406,_xlfn.UNICHAR(160)," ")),'worker file'!$L$2:$L$406,"Not found")</f>
        <v>US Semi-monthly</v>
      </c>
      <c r="C538" s="40" t="str">
        <f aca="false" t="array" ref="C538:C538">_xlfn.XLOOKUP($A538,TRIM(SUBSTITUTE('worker file'!$A$2:$A$406,_xlfn.UNICHAR(160)," ")),'worker file'!$D$2:$D$406,"Not found")</f>
        <v>CA</v>
      </c>
      <c r="D538" s="40" t="str">
        <f aca="false" t="array" ref="D538:D538">_xlfn.XLOOKUP($A538,TRIM(SUBSTITUTE('worker file'!$A$2:$A$406,_xlfn.UNICHAR(160)," ")),'worker file'!$Q$2:$Q$406,"Not found")</f>
        <v>Active</v>
      </c>
      <c r="E538" s="39" t="s">
        <v>618</v>
      </c>
      <c r="F538" s="38" t="str">
        <f aca="false">_xlfn.XLOOKUP($E538,$A$5:$A$8,$B$5:$B$8,"")</f>
        <v>401(k) Employee Deferral</v>
      </c>
      <c r="G538" s="38" t="str">
        <f aca="false">_xlfn.XLOOKUP($E538,$A$5:$A$8,$D$5:$D$8,"")</f>
        <v>Pre-tax (exempt from FIT/SIT; subject to FICA)</v>
      </c>
      <c r="H538" s="38" t="str">
        <f aca="false">_xlfn.XLOOKUP($E538,$A$5:$A$8,$E$5:$E$8,"")</f>
        <v>Percent</v>
      </c>
      <c r="I538" s="41" t="n">
        <v>0.06</v>
      </c>
      <c r="J538" s="42" t="str">
        <f aca="false">IF($H538="Flat",_xlfn.XLOOKUP($E538,$A$5:$A$8,$F$5:$F$8,""),"")</f>
        <v/>
      </c>
      <c r="K538" s="38" t="str">
        <f aca="false">_xlfn.XLOOKUP($E538,$A$5:$A$8,$G$5:$G$8,"")</f>
        <v>Gross pay</v>
      </c>
      <c r="L538" s="38" t="str">
        <f aca="false">_xlfn.XLOOKUP($E538,$A$5:$A$8,$H$5:$H$8,"")</f>
        <v>Every pay period (ongoing)</v>
      </c>
      <c r="M538" s="43" t="n">
        <f aca="false" t="array" ref="M538:M538">MAX(_xlfn.XLOOKUP($A538,TRIM(SUBSTITUTE('worker file'!$A$2:$A$406,_xlfn.UNICHAR(160)," ")),'worker file'!$M$2:$M$406,0),_xlfn.XLOOKUP($B538,TRIM('pay group &amp; schedule'!$A$2:$A$6),'pay group &amp; schedule'!$D$2:$D$6,0))</f>
        <v>46311</v>
      </c>
      <c r="N538" s="43" t="str">
        <f aca="false" t="array" ref="N538:N538">_xlfn.LET(_xlpm.t,_xlfn.XLOOKUP($A538,TRIM(SUBSTITUTE('worker file'!$A$2:$A$406,_xlfn.UNICHAR(160)," ")),'worker file'!$N$2:$N$406,""),IF(N(_xlpm.t)=0,"",_xlpm.t))</f>
        <v/>
      </c>
    </row>
    <row r="539" customFormat="false" ht="15" hidden="false" customHeight="false" outlineLevel="0" collapsed="false">
      <c r="A539" s="39" t="s">
        <v>290</v>
      </c>
      <c r="B539" s="40" t="str">
        <f aca="false" t="array" ref="B539:B539">_xlfn.XLOOKUP($A539,TRIM(SUBSTITUTE('worker file'!$A$2:$A$406,_xlfn.UNICHAR(160)," ")),'worker file'!$L$2:$L$406,"Not found")</f>
        <v>US Semi-monthly</v>
      </c>
      <c r="C539" s="40" t="str">
        <f aca="false" t="array" ref="C539:C539">_xlfn.XLOOKUP($A539,TRIM(SUBSTITUTE('worker file'!$A$2:$A$406,_xlfn.UNICHAR(160)," ")),'worker file'!$D$2:$D$406,"Not found")</f>
        <v>CA</v>
      </c>
      <c r="D539" s="40" t="str">
        <f aca="false" t="array" ref="D539:D539">_xlfn.XLOOKUP($A539,TRIM(SUBSTITUTE('worker file'!$A$2:$A$406,_xlfn.UNICHAR(160)," ")),'worker file'!$Q$2:$Q$406,"Not found")</f>
        <v>Active</v>
      </c>
      <c r="E539" s="39" t="s">
        <v>626</v>
      </c>
      <c r="F539" s="38" t="str">
        <f aca="false">_xlfn.XLOOKUP($E539,$A$5:$A$8,$B$5:$B$8,"")</f>
        <v>Medical (Health) – Employee</v>
      </c>
      <c r="G539" s="38" t="str">
        <f aca="false">_xlfn.XLOOKUP($E539,$A$5:$A$8,$D$5:$D$8,"")</f>
        <v>Pre-tax Section 125 (exempt from FIT/SIT/FICA)</v>
      </c>
      <c r="H539" s="38" t="str">
        <f aca="false">_xlfn.XLOOKUP($E539,$A$5:$A$8,$E$5:$E$8,"")</f>
        <v>Flat</v>
      </c>
      <c r="I539" s="44" t="str">
        <f aca="false">IF($H539="Percent",_xlfn.XLOOKUP($E539,$A$5:$A$8,$F$5:$F$8,""),"")</f>
        <v/>
      </c>
      <c r="J539" s="42" t="n">
        <f aca="false">IF($H539="Flat",_xlfn.XLOOKUP($E539,$A$5:$A$8,$F$5:$F$8,""),"")</f>
        <v>200</v>
      </c>
      <c r="K539" s="38" t="str">
        <f aca="false">_xlfn.XLOOKUP($E539,$A$5:$A$8,$G$5:$G$8,"")</f>
        <v>Per pay period</v>
      </c>
      <c r="L539" s="38" t="str">
        <f aca="false">_xlfn.XLOOKUP($E539,$A$5:$A$8,$H$5:$H$8,"")</f>
        <v>Every pay period (ongoing)</v>
      </c>
      <c r="M539" s="43" t="n">
        <f aca="false" t="array" ref="M539:M539">MAX(_xlfn.XLOOKUP($A539,TRIM(SUBSTITUTE('worker file'!$A$2:$A$406,_xlfn.UNICHAR(160)," ")),'worker file'!$M$2:$M$406,0),_xlfn.XLOOKUP($B539,TRIM('pay group &amp; schedule'!$A$2:$A$6),'pay group &amp; schedule'!$D$2:$D$6,0))</f>
        <v>46311</v>
      </c>
      <c r="N539" s="43" t="str">
        <f aca="false" t="array" ref="N539:N539">_xlfn.LET(_xlpm.t,_xlfn.XLOOKUP($A539,TRIM(SUBSTITUTE('worker file'!$A$2:$A$406,_xlfn.UNICHAR(160)," ")),'worker file'!$N$2:$N$406,""),IF(N(_xlpm.t)=0,"",_xlpm.t))</f>
        <v/>
      </c>
    </row>
    <row r="540" customFormat="false" ht="15" hidden="false" customHeight="false" outlineLevel="0" collapsed="false">
      <c r="A540" s="39" t="s">
        <v>290</v>
      </c>
      <c r="B540" s="40" t="str">
        <f aca="false" t="array" ref="B540:B540">_xlfn.XLOOKUP($A540,TRIM(SUBSTITUTE('worker file'!$A$2:$A$406,_xlfn.UNICHAR(160)," ")),'worker file'!$L$2:$L$406,"Not found")</f>
        <v>US Semi-monthly</v>
      </c>
      <c r="C540" s="40" t="str">
        <f aca="false" t="array" ref="C540:C540">_xlfn.XLOOKUP($A540,TRIM(SUBSTITUTE('worker file'!$A$2:$A$406,_xlfn.UNICHAR(160)," ")),'worker file'!$D$2:$D$406,"Not found")</f>
        <v>CA</v>
      </c>
      <c r="D540" s="40" t="str">
        <f aca="false" t="array" ref="D540:D540">_xlfn.XLOOKUP($A540,TRIM(SUBSTITUTE('worker file'!$A$2:$A$406,_xlfn.UNICHAR(160)," ")),'worker file'!$Q$2:$Q$406,"Not found")</f>
        <v>Active</v>
      </c>
      <c r="E540" s="39" t="s">
        <v>632</v>
      </c>
      <c r="F540" s="38" t="str">
        <f aca="false">_xlfn.XLOOKUP($E540,$A$5:$A$8,$B$5:$B$8,"")</f>
        <v>Dental – Employee</v>
      </c>
      <c r="G540" s="38" t="str">
        <f aca="false">_xlfn.XLOOKUP($E540,$A$5:$A$8,$D$5:$D$8,"")</f>
        <v>Pre-tax Section 125 (exempt from FIT/SIT/FICA)</v>
      </c>
      <c r="H540" s="38" t="str">
        <f aca="false">_xlfn.XLOOKUP($E540,$A$5:$A$8,$E$5:$E$8,"")</f>
        <v>Flat</v>
      </c>
      <c r="I540" s="44" t="str">
        <f aca="false">IF($H540="Percent",_xlfn.XLOOKUP($E540,$A$5:$A$8,$F$5:$F$8,""),"")</f>
        <v/>
      </c>
      <c r="J540" s="42" t="n">
        <f aca="false">IF($H540="Flat",_xlfn.XLOOKUP($E540,$A$5:$A$8,$F$5:$F$8,""),"")</f>
        <v>44</v>
      </c>
      <c r="K540" s="38" t="str">
        <f aca="false">_xlfn.XLOOKUP($E540,$A$5:$A$8,$G$5:$G$8,"")</f>
        <v>Per pay period</v>
      </c>
      <c r="L540" s="38" t="str">
        <f aca="false">_xlfn.XLOOKUP($E540,$A$5:$A$8,$H$5:$H$8,"")</f>
        <v>Every pay period (ongoing)</v>
      </c>
      <c r="M540" s="43" t="n">
        <f aca="false" t="array" ref="M540:M540">MAX(_xlfn.XLOOKUP($A540,TRIM(SUBSTITUTE('worker file'!$A$2:$A$406,_xlfn.UNICHAR(160)," ")),'worker file'!$M$2:$M$406,0),_xlfn.XLOOKUP($B540,TRIM('pay group &amp; schedule'!$A$2:$A$6),'pay group &amp; schedule'!$D$2:$D$6,0))</f>
        <v>46311</v>
      </c>
      <c r="N540" s="43" t="str">
        <f aca="false" t="array" ref="N540:N540">_xlfn.LET(_xlpm.t,_xlfn.XLOOKUP($A540,TRIM(SUBSTITUTE('worker file'!$A$2:$A$406,_xlfn.UNICHAR(160)," ")),'worker file'!$N$2:$N$406,""),IF(N(_xlpm.t)=0,"",_xlpm.t))</f>
        <v/>
      </c>
    </row>
    <row r="541" customFormat="false" ht="15" hidden="false" customHeight="false" outlineLevel="0" collapsed="false">
      <c r="A541" s="39" t="s">
        <v>290</v>
      </c>
      <c r="B541" s="40" t="str">
        <f aca="false" t="array" ref="B541:B541">_xlfn.XLOOKUP($A541,TRIM(SUBSTITUTE('worker file'!$A$2:$A$406,_xlfn.UNICHAR(160)," ")),'worker file'!$L$2:$L$406,"Not found")</f>
        <v>US Semi-monthly</v>
      </c>
      <c r="C541" s="40" t="str">
        <f aca="false" t="array" ref="C541:C541">_xlfn.XLOOKUP($A541,TRIM(SUBSTITUTE('worker file'!$A$2:$A$406,_xlfn.UNICHAR(160)," ")),'worker file'!$D$2:$D$406,"Not found")</f>
        <v>CA</v>
      </c>
      <c r="D541" s="40" t="str">
        <f aca="false" t="array" ref="D541:D541">_xlfn.XLOOKUP($A541,TRIM(SUBSTITUTE('worker file'!$A$2:$A$406,_xlfn.UNICHAR(160)," ")),'worker file'!$Q$2:$Q$406,"Not found")</f>
        <v>Active</v>
      </c>
      <c r="E541" s="39" t="s">
        <v>634</v>
      </c>
      <c r="F541" s="38" t="str">
        <f aca="false">_xlfn.XLOOKUP($E541,$A$5:$A$8,$B$5:$B$8,"")</f>
        <v>Vision – Employee</v>
      </c>
      <c r="G541" s="38" t="str">
        <f aca="false">_xlfn.XLOOKUP($E541,$A$5:$A$8,$D$5:$D$8,"")</f>
        <v>Pre-tax Section 125 (exempt from FIT/SIT/FICA)</v>
      </c>
      <c r="H541" s="38" t="str">
        <f aca="false">_xlfn.XLOOKUP($E541,$A$5:$A$8,$E$5:$E$8,"")</f>
        <v>Flat</v>
      </c>
      <c r="I541" s="44" t="str">
        <f aca="false">IF($H541="Percent",_xlfn.XLOOKUP($E541,$A$5:$A$8,$F$5:$F$8,""),"")</f>
        <v/>
      </c>
      <c r="J541" s="42" t="n">
        <f aca="false">IF($H541="Flat",_xlfn.XLOOKUP($E541,$A$5:$A$8,$F$5:$F$8,""),"")</f>
        <v>30</v>
      </c>
      <c r="K541" s="38" t="str">
        <f aca="false">_xlfn.XLOOKUP($E541,$A$5:$A$8,$G$5:$G$8,"")</f>
        <v>Per pay period</v>
      </c>
      <c r="L541" s="38" t="str">
        <f aca="false">_xlfn.XLOOKUP($E541,$A$5:$A$8,$H$5:$H$8,"")</f>
        <v>Every pay period (ongoing)</v>
      </c>
      <c r="M541" s="43" t="n">
        <f aca="false" t="array" ref="M541:M541">MAX(_xlfn.XLOOKUP($A541,TRIM(SUBSTITUTE('worker file'!$A$2:$A$406,_xlfn.UNICHAR(160)," ")),'worker file'!$M$2:$M$406,0),_xlfn.XLOOKUP($B541,TRIM('pay group &amp; schedule'!$A$2:$A$6),'pay group &amp; schedule'!$D$2:$D$6,0))</f>
        <v>46311</v>
      </c>
      <c r="N541" s="43" t="str">
        <f aca="false" t="array" ref="N541:N541">_xlfn.LET(_xlpm.t,_xlfn.XLOOKUP($A541,TRIM(SUBSTITUTE('worker file'!$A$2:$A$406,_xlfn.UNICHAR(160)," ")),'worker file'!$N$2:$N$406,""),IF(N(_xlpm.t)=0,"",_xlpm.t))</f>
        <v/>
      </c>
    </row>
    <row r="542" customFormat="false" ht="15" hidden="false" customHeight="false" outlineLevel="0" collapsed="false">
      <c r="A542" s="39" t="s">
        <v>291</v>
      </c>
      <c r="B542" s="40" t="str">
        <f aca="false" t="array" ref="B542:B542">_xlfn.XLOOKUP($A542,TRIM(SUBSTITUTE('worker file'!$A$2:$A$406,_xlfn.UNICHAR(160)," ")),'worker file'!$L$2:$L$406,"Not found")</f>
        <v>US Semi-monthly</v>
      </c>
      <c r="C542" s="40" t="str">
        <f aca="false" t="array" ref="C542:C542">_xlfn.XLOOKUP($A542,TRIM(SUBSTITUTE('worker file'!$A$2:$A$406,_xlfn.UNICHAR(160)," ")),'worker file'!$D$2:$D$406,"Not found")</f>
        <v>CA</v>
      </c>
      <c r="D542" s="40" t="str">
        <f aca="false" t="array" ref="D542:D542">_xlfn.XLOOKUP($A542,TRIM(SUBSTITUTE('worker file'!$A$2:$A$406,_xlfn.UNICHAR(160)," ")),'worker file'!$Q$2:$Q$406,"Not found")</f>
        <v>Active</v>
      </c>
      <c r="E542" s="39" t="s">
        <v>618</v>
      </c>
      <c r="F542" s="38" t="str">
        <f aca="false">_xlfn.XLOOKUP($E542,$A$5:$A$8,$B$5:$B$8,"")</f>
        <v>401(k) Employee Deferral</v>
      </c>
      <c r="G542" s="38" t="str">
        <f aca="false">_xlfn.XLOOKUP($E542,$A$5:$A$8,$D$5:$D$8,"")</f>
        <v>Pre-tax (exempt from FIT/SIT; subject to FICA)</v>
      </c>
      <c r="H542" s="38" t="str">
        <f aca="false">_xlfn.XLOOKUP($E542,$A$5:$A$8,$E$5:$E$8,"")</f>
        <v>Percent</v>
      </c>
      <c r="I542" s="41" t="n">
        <v>0.03</v>
      </c>
      <c r="J542" s="42" t="str">
        <f aca="false">IF($H542="Flat",_xlfn.XLOOKUP($E542,$A$5:$A$8,$F$5:$F$8,""),"")</f>
        <v/>
      </c>
      <c r="K542" s="38" t="str">
        <f aca="false">_xlfn.XLOOKUP($E542,$A$5:$A$8,$G$5:$G$8,"")</f>
        <v>Gross pay</v>
      </c>
      <c r="L542" s="38" t="str">
        <f aca="false">_xlfn.XLOOKUP($E542,$A$5:$A$8,$H$5:$H$8,"")</f>
        <v>Every pay period (ongoing)</v>
      </c>
      <c r="M542" s="43" t="n">
        <f aca="false" t="array" ref="M542:M542">MAX(_xlfn.XLOOKUP($A542,TRIM(SUBSTITUTE('worker file'!$A$2:$A$406,_xlfn.UNICHAR(160)," ")),'worker file'!$M$2:$M$406,0),_xlfn.XLOOKUP($B542,TRIM('pay group &amp; schedule'!$A$2:$A$6),'pay group &amp; schedule'!$D$2:$D$6,0))</f>
        <v>46311</v>
      </c>
      <c r="N542" s="43" t="str">
        <f aca="false" t="array" ref="N542:N542">_xlfn.LET(_xlpm.t,_xlfn.XLOOKUP($A542,TRIM(SUBSTITUTE('worker file'!$A$2:$A$406,_xlfn.UNICHAR(160)," ")),'worker file'!$N$2:$N$406,""),IF(N(_xlpm.t)=0,"",_xlpm.t))</f>
        <v/>
      </c>
    </row>
    <row r="543" customFormat="false" ht="15" hidden="false" customHeight="false" outlineLevel="0" collapsed="false">
      <c r="A543" s="39" t="s">
        <v>291</v>
      </c>
      <c r="B543" s="40" t="str">
        <f aca="false" t="array" ref="B543:B543">_xlfn.XLOOKUP($A543,TRIM(SUBSTITUTE('worker file'!$A$2:$A$406,_xlfn.UNICHAR(160)," ")),'worker file'!$L$2:$L$406,"Not found")</f>
        <v>US Semi-monthly</v>
      </c>
      <c r="C543" s="40" t="str">
        <f aca="false" t="array" ref="C543:C543">_xlfn.XLOOKUP($A543,TRIM(SUBSTITUTE('worker file'!$A$2:$A$406,_xlfn.UNICHAR(160)," ")),'worker file'!$D$2:$D$406,"Not found")</f>
        <v>CA</v>
      </c>
      <c r="D543" s="40" t="str">
        <f aca="false" t="array" ref="D543:D543">_xlfn.XLOOKUP($A543,TRIM(SUBSTITUTE('worker file'!$A$2:$A$406,_xlfn.UNICHAR(160)," ")),'worker file'!$Q$2:$Q$406,"Not found")</f>
        <v>Active</v>
      </c>
      <c r="E543" s="39" t="s">
        <v>626</v>
      </c>
      <c r="F543" s="38" t="str">
        <f aca="false">_xlfn.XLOOKUP($E543,$A$5:$A$8,$B$5:$B$8,"")</f>
        <v>Medical (Health) – Employee</v>
      </c>
      <c r="G543" s="38" t="str">
        <f aca="false">_xlfn.XLOOKUP($E543,$A$5:$A$8,$D$5:$D$8,"")</f>
        <v>Pre-tax Section 125 (exempt from FIT/SIT/FICA)</v>
      </c>
      <c r="H543" s="38" t="str">
        <f aca="false">_xlfn.XLOOKUP($E543,$A$5:$A$8,$E$5:$E$8,"")</f>
        <v>Flat</v>
      </c>
      <c r="I543" s="44" t="str">
        <f aca="false">IF($H543="Percent",_xlfn.XLOOKUP($E543,$A$5:$A$8,$F$5:$F$8,""),"")</f>
        <v/>
      </c>
      <c r="J543" s="42" t="n">
        <f aca="false">IF($H543="Flat",_xlfn.XLOOKUP($E543,$A$5:$A$8,$F$5:$F$8,""),"")</f>
        <v>200</v>
      </c>
      <c r="K543" s="38" t="str">
        <f aca="false">_xlfn.XLOOKUP($E543,$A$5:$A$8,$G$5:$G$8,"")</f>
        <v>Per pay period</v>
      </c>
      <c r="L543" s="38" t="str">
        <f aca="false">_xlfn.XLOOKUP($E543,$A$5:$A$8,$H$5:$H$8,"")</f>
        <v>Every pay period (ongoing)</v>
      </c>
      <c r="M543" s="43" t="n">
        <f aca="false" t="array" ref="M543:M543">MAX(_xlfn.XLOOKUP($A543,TRIM(SUBSTITUTE('worker file'!$A$2:$A$406,_xlfn.UNICHAR(160)," ")),'worker file'!$M$2:$M$406,0),_xlfn.XLOOKUP($B543,TRIM('pay group &amp; schedule'!$A$2:$A$6),'pay group &amp; schedule'!$D$2:$D$6,0))</f>
        <v>46311</v>
      </c>
      <c r="N543" s="43" t="str">
        <f aca="false" t="array" ref="N543:N543">_xlfn.LET(_xlpm.t,_xlfn.XLOOKUP($A543,TRIM(SUBSTITUTE('worker file'!$A$2:$A$406,_xlfn.UNICHAR(160)," ")),'worker file'!$N$2:$N$406,""),IF(N(_xlpm.t)=0,"",_xlpm.t))</f>
        <v/>
      </c>
    </row>
    <row r="544" customFormat="false" ht="15" hidden="false" customHeight="false" outlineLevel="0" collapsed="false">
      <c r="A544" s="39" t="s">
        <v>291</v>
      </c>
      <c r="B544" s="40" t="str">
        <f aca="false" t="array" ref="B544:B544">_xlfn.XLOOKUP($A544,TRIM(SUBSTITUTE('worker file'!$A$2:$A$406,_xlfn.UNICHAR(160)," ")),'worker file'!$L$2:$L$406,"Not found")</f>
        <v>US Semi-monthly</v>
      </c>
      <c r="C544" s="40" t="str">
        <f aca="false" t="array" ref="C544:C544">_xlfn.XLOOKUP($A544,TRIM(SUBSTITUTE('worker file'!$A$2:$A$406,_xlfn.UNICHAR(160)," ")),'worker file'!$D$2:$D$406,"Not found")</f>
        <v>CA</v>
      </c>
      <c r="D544" s="40" t="str">
        <f aca="false" t="array" ref="D544:D544">_xlfn.XLOOKUP($A544,TRIM(SUBSTITUTE('worker file'!$A$2:$A$406,_xlfn.UNICHAR(160)," ")),'worker file'!$Q$2:$Q$406,"Not found")</f>
        <v>Active</v>
      </c>
      <c r="E544" s="39" t="s">
        <v>632</v>
      </c>
      <c r="F544" s="38" t="str">
        <f aca="false">_xlfn.XLOOKUP($E544,$A$5:$A$8,$B$5:$B$8,"")</f>
        <v>Dental – Employee</v>
      </c>
      <c r="G544" s="38" t="str">
        <f aca="false">_xlfn.XLOOKUP($E544,$A$5:$A$8,$D$5:$D$8,"")</f>
        <v>Pre-tax Section 125 (exempt from FIT/SIT/FICA)</v>
      </c>
      <c r="H544" s="38" t="str">
        <f aca="false">_xlfn.XLOOKUP($E544,$A$5:$A$8,$E$5:$E$8,"")</f>
        <v>Flat</v>
      </c>
      <c r="I544" s="44" t="str">
        <f aca="false">IF($H544="Percent",_xlfn.XLOOKUP($E544,$A$5:$A$8,$F$5:$F$8,""),"")</f>
        <v/>
      </c>
      <c r="J544" s="42" t="n">
        <f aca="false">IF($H544="Flat",_xlfn.XLOOKUP($E544,$A$5:$A$8,$F$5:$F$8,""),"")</f>
        <v>44</v>
      </c>
      <c r="K544" s="38" t="str">
        <f aca="false">_xlfn.XLOOKUP($E544,$A$5:$A$8,$G$5:$G$8,"")</f>
        <v>Per pay period</v>
      </c>
      <c r="L544" s="38" t="str">
        <f aca="false">_xlfn.XLOOKUP($E544,$A$5:$A$8,$H$5:$H$8,"")</f>
        <v>Every pay period (ongoing)</v>
      </c>
      <c r="M544" s="43" t="n">
        <f aca="false" t="array" ref="M544:M544">MAX(_xlfn.XLOOKUP($A544,TRIM(SUBSTITUTE('worker file'!$A$2:$A$406,_xlfn.UNICHAR(160)," ")),'worker file'!$M$2:$M$406,0),_xlfn.XLOOKUP($B544,TRIM('pay group &amp; schedule'!$A$2:$A$6),'pay group &amp; schedule'!$D$2:$D$6,0))</f>
        <v>46311</v>
      </c>
      <c r="N544" s="43" t="str">
        <f aca="false" t="array" ref="N544:N544">_xlfn.LET(_xlpm.t,_xlfn.XLOOKUP($A544,TRIM(SUBSTITUTE('worker file'!$A$2:$A$406,_xlfn.UNICHAR(160)," ")),'worker file'!$N$2:$N$406,""),IF(N(_xlpm.t)=0,"",_xlpm.t))</f>
        <v/>
      </c>
    </row>
    <row r="545" customFormat="false" ht="15" hidden="false" customHeight="false" outlineLevel="0" collapsed="false">
      <c r="A545" s="39" t="s">
        <v>291</v>
      </c>
      <c r="B545" s="40" t="str">
        <f aca="false" t="array" ref="B545:B545">_xlfn.XLOOKUP($A545,TRIM(SUBSTITUTE('worker file'!$A$2:$A$406,_xlfn.UNICHAR(160)," ")),'worker file'!$L$2:$L$406,"Not found")</f>
        <v>US Semi-monthly</v>
      </c>
      <c r="C545" s="40" t="str">
        <f aca="false" t="array" ref="C545:C545">_xlfn.XLOOKUP($A545,TRIM(SUBSTITUTE('worker file'!$A$2:$A$406,_xlfn.UNICHAR(160)," ")),'worker file'!$D$2:$D$406,"Not found")</f>
        <v>CA</v>
      </c>
      <c r="D545" s="40" t="str">
        <f aca="false" t="array" ref="D545:D545">_xlfn.XLOOKUP($A545,TRIM(SUBSTITUTE('worker file'!$A$2:$A$406,_xlfn.UNICHAR(160)," ")),'worker file'!$Q$2:$Q$406,"Not found")</f>
        <v>Active</v>
      </c>
      <c r="E545" s="39" t="s">
        <v>634</v>
      </c>
      <c r="F545" s="38" t="str">
        <f aca="false">_xlfn.XLOOKUP($E545,$A$5:$A$8,$B$5:$B$8,"")</f>
        <v>Vision – Employee</v>
      </c>
      <c r="G545" s="38" t="str">
        <f aca="false">_xlfn.XLOOKUP($E545,$A$5:$A$8,$D$5:$D$8,"")</f>
        <v>Pre-tax Section 125 (exempt from FIT/SIT/FICA)</v>
      </c>
      <c r="H545" s="38" t="str">
        <f aca="false">_xlfn.XLOOKUP($E545,$A$5:$A$8,$E$5:$E$8,"")</f>
        <v>Flat</v>
      </c>
      <c r="I545" s="44" t="str">
        <f aca="false">IF($H545="Percent",_xlfn.XLOOKUP($E545,$A$5:$A$8,$F$5:$F$8,""),"")</f>
        <v/>
      </c>
      <c r="J545" s="42" t="n">
        <f aca="false">IF($H545="Flat",_xlfn.XLOOKUP($E545,$A$5:$A$8,$F$5:$F$8,""),"")</f>
        <v>30</v>
      </c>
      <c r="K545" s="38" t="str">
        <f aca="false">_xlfn.XLOOKUP($E545,$A$5:$A$8,$G$5:$G$8,"")</f>
        <v>Per pay period</v>
      </c>
      <c r="L545" s="38" t="str">
        <f aca="false">_xlfn.XLOOKUP($E545,$A$5:$A$8,$H$5:$H$8,"")</f>
        <v>Every pay period (ongoing)</v>
      </c>
      <c r="M545" s="43" t="n">
        <f aca="false" t="array" ref="M545:M545">MAX(_xlfn.XLOOKUP($A545,TRIM(SUBSTITUTE('worker file'!$A$2:$A$406,_xlfn.UNICHAR(160)," ")),'worker file'!$M$2:$M$406,0),_xlfn.XLOOKUP($B545,TRIM('pay group &amp; schedule'!$A$2:$A$6),'pay group &amp; schedule'!$D$2:$D$6,0))</f>
        <v>46311</v>
      </c>
      <c r="N545" s="43" t="str">
        <f aca="false" t="array" ref="N545:N545">_xlfn.LET(_xlpm.t,_xlfn.XLOOKUP($A545,TRIM(SUBSTITUTE('worker file'!$A$2:$A$406,_xlfn.UNICHAR(160)," ")),'worker file'!$N$2:$N$406,""),IF(N(_xlpm.t)=0,"",_xlpm.t))</f>
        <v/>
      </c>
    </row>
    <row r="546" customFormat="false" ht="15" hidden="false" customHeight="false" outlineLevel="0" collapsed="false">
      <c r="A546" s="39" t="s">
        <v>292</v>
      </c>
      <c r="B546" s="40" t="str">
        <f aca="false" t="array" ref="B546:B546">_xlfn.XLOOKUP($A546,TRIM(SUBSTITUTE('worker file'!$A$2:$A$406,_xlfn.UNICHAR(160)," ")),'worker file'!$L$2:$L$406,"Not found")</f>
        <v>US Semi-monthly</v>
      </c>
      <c r="C546" s="40" t="str">
        <f aca="false" t="array" ref="C546:C546">_xlfn.XLOOKUP($A546,TRIM(SUBSTITUTE('worker file'!$A$2:$A$406,_xlfn.UNICHAR(160)," ")),'worker file'!$D$2:$D$406,"Not found")</f>
        <v>WA</v>
      </c>
      <c r="D546" s="40" t="str">
        <f aca="false" t="array" ref="D546:D546">_xlfn.XLOOKUP($A546,TRIM(SUBSTITUTE('worker file'!$A$2:$A$406,_xlfn.UNICHAR(160)," ")),'worker file'!$Q$2:$Q$406,"Not found")</f>
        <v>Active</v>
      </c>
      <c r="E546" s="39" t="s">
        <v>618</v>
      </c>
      <c r="F546" s="38" t="str">
        <f aca="false">_xlfn.XLOOKUP($E546,$A$5:$A$8,$B$5:$B$8,"")</f>
        <v>401(k) Employee Deferral</v>
      </c>
      <c r="G546" s="38" t="str">
        <f aca="false">_xlfn.XLOOKUP($E546,$A$5:$A$8,$D$5:$D$8,"")</f>
        <v>Pre-tax (exempt from FIT/SIT; subject to FICA)</v>
      </c>
      <c r="H546" s="38" t="str">
        <f aca="false">_xlfn.XLOOKUP($E546,$A$5:$A$8,$E$5:$E$8,"")</f>
        <v>Percent</v>
      </c>
      <c r="I546" s="41" t="n">
        <v>0</v>
      </c>
      <c r="J546" s="42" t="str">
        <f aca="false">IF($H546="Flat",_xlfn.XLOOKUP($E546,$A$5:$A$8,$F$5:$F$8,""),"")</f>
        <v/>
      </c>
      <c r="K546" s="38" t="str">
        <f aca="false">_xlfn.XLOOKUP($E546,$A$5:$A$8,$G$5:$G$8,"")</f>
        <v>Gross pay</v>
      </c>
      <c r="L546" s="38" t="str">
        <f aca="false">_xlfn.XLOOKUP($E546,$A$5:$A$8,$H$5:$H$8,"")</f>
        <v>Every pay period (ongoing)</v>
      </c>
      <c r="M546" s="43" t="n">
        <f aca="false" t="array" ref="M546:M546">MAX(_xlfn.XLOOKUP($A546,TRIM(SUBSTITUTE('worker file'!$A$2:$A$406,_xlfn.UNICHAR(160)," ")),'worker file'!$M$2:$M$406,0),_xlfn.XLOOKUP($B546,TRIM('pay group &amp; schedule'!$A$2:$A$6),'pay group &amp; schedule'!$D$2:$D$6,0))</f>
        <v>46311</v>
      </c>
      <c r="N546" s="43" t="str">
        <f aca="false" t="array" ref="N546:N546">_xlfn.LET(_xlpm.t,_xlfn.XLOOKUP($A546,TRIM(SUBSTITUTE('worker file'!$A$2:$A$406,_xlfn.UNICHAR(160)," ")),'worker file'!$N$2:$N$406,""),IF(N(_xlpm.t)=0,"",_xlpm.t))</f>
        <v/>
      </c>
    </row>
    <row r="547" customFormat="false" ht="15" hidden="false" customHeight="false" outlineLevel="0" collapsed="false">
      <c r="A547" s="39" t="s">
        <v>292</v>
      </c>
      <c r="B547" s="40" t="str">
        <f aca="false" t="array" ref="B547:B547">_xlfn.XLOOKUP($A547,TRIM(SUBSTITUTE('worker file'!$A$2:$A$406,_xlfn.UNICHAR(160)," ")),'worker file'!$L$2:$L$406,"Not found")</f>
        <v>US Semi-monthly</v>
      </c>
      <c r="C547" s="40" t="str">
        <f aca="false" t="array" ref="C547:C547">_xlfn.XLOOKUP($A547,TRIM(SUBSTITUTE('worker file'!$A$2:$A$406,_xlfn.UNICHAR(160)," ")),'worker file'!$D$2:$D$406,"Not found")</f>
        <v>WA</v>
      </c>
      <c r="D547" s="40" t="str">
        <f aca="false" t="array" ref="D547:D547">_xlfn.XLOOKUP($A547,TRIM(SUBSTITUTE('worker file'!$A$2:$A$406,_xlfn.UNICHAR(160)," ")),'worker file'!$Q$2:$Q$406,"Not found")</f>
        <v>Active</v>
      </c>
      <c r="E547" s="39" t="s">
        <v>626</v>
      </c>
      <c r="F547" s="38" t="str">
        <f aca="false">_xlfn.XLOOKUP($E547,$A$5:$A$8,$B$5:$B$8,"")</f>
        <v>Medical (Health) – Employee</v>
      </c>
      <c r="G547" s="38" t="str">
        <f aca="false">_xlfn.XLOOKUP($E547,$A$5:$A$8,$D$5:$D$8,"")</f>
        <v>Pre-tax Section 125 (exempt from FIT/SIT/FICA)</v>
      </c>
      <c r="H547" s="38" t="str">
        <f aca="false">_xlfn.XLOOKUP($E547,$A$5:$A$8,$E$5:$E$8,"")</f>
        <v>Flat</v>
      </c>
      <c r="I547" s="44" t="str">
        <f aca="false">IF($H547="Percent",_xlfn.XLOOKUP($E547,$A$5:$A$8,$F$5:$F$8,""),"")</f>
        <v/>
      </c>
      <c r="J547" s="42" t="n">
        <f aca="false">IF($H547="Flat",_xlfn.XLOOKUP($E547,$A$5:$A$8,$F$5:$F$8,""),"")</f>
        <v>200</v>
      </c>
      <c r="K547" s="38" t="str">
        <f aca="false">_xlfn.XLOOKUP($E547,$A$5:$A$8,$G$5:$G$8,"")</f>
        <v>Per pay period</v>
      </c>
      <c r="L547" s="38" t="str">
        <f aca="false">_xlfn.XLOOKUP($E547,$A$5:$A$8,$H$5:$H$8,"")</f>
        <v>Every pay period (ongoing)</v>
      </c>
      <c r="M547" s="43" t="n">
        <f aca="false" t="array" ref="M547:M547">MAX(_xlfn.XLOOKUP($A547,TRIM(SUBSTITUTE('worker file'!$A$2:$A$406,_xlfn.UNICHAR(160)," ")),'worker file'!$M$2:$M$406,0),_xlfn.XLOOKUP($B547,TRIM('pay group &amp; schedule'!$A$2:$A$6),'pay group &amp; schedule'!$D$2:$D$6,0))</f>
        <v>46311</v>
      </c>
      <c r="N547" s="43" t="str">
        <f aca="false" t="array" ref="N547:N547">_xlfn.LET(_xlpm.t,_xlfn.XLOOKUP($A547,TRIM(SUBSTITUTE('worker file'!$A$2:$A$406,_xlfn.UNICHAR(160)," ")),'worker file'!$N$2:$N$406,""),IF(N(_xlpm.t)=0,"",_xlpm.t))</f>
        <v/>
      </c>
    </row>
    <row r="548" customFormat="false" ht="15" hidden="false" customHeight="false" outlineLevel="0" collapsed="false">
      <c r="A548" s="39" t="s">
        <v>292</v>
      </c>
      <c r="B548" s="40" t="str">
        <f aca="false" t="array" ref="B548:B548">_xlfn.XLOOKUP($A548,TRIM(SUBSTITUTE('worker file'!$A$2:$A$406,_xlfn.UNICHAR(160)," ")),'worker file'!$L$2:$L$406,"Not found")</f>
        <v>US Semi-monthly</v>
      </c>
      <c r="C548" s="40" t="str">
        <f aca="false" t="array" ref="C548:C548">_xlfn.XLOOKUP($A548,TRIM(SUBSTITUTE('worker file'!$A$2:$A$406,_xlfn.UNICHAR(160)," ")),'worker file'!$D$2:$D$406,"Not found")</f>
        <v>WA</v>
      </c>
      <c r="D548" s="40" t="str">
        <f aca="false" t="array" ref="D548:D548">_xlfn.XLOOKUP($A548,TRIM(SUBSTITUTE('worker file'!$A$2:$A$406,_xlfn.UNICHAR(160)," ")),'worker file'!$Q$2:$Q$406,"Not found")</f>
        <v>Active</v>
      </c>
      <c r="E548" s="39" t="s">
        <v>632</v>
      </c>
      <c r="F548" s="38" t="str">
        <f aca="false">_xlfn.XLOOKUP($E548,$A$5:$A$8,$B$5:$B$8,"")</f>
        <v>Dental – Employee</v>
      </c>
      <c r="G548" s="38" t="str">
        <f aca="false">_xlfn.XLOOKUP($E548,$A$5:$A$8,$D$5:$D$8,"")</f>
        <v>Pre-tax Section 125 (exempt from FIT/SIT/FICA)</v>
      </c>
      <c r="H548" s="38" t="str">
        <f aca="false">_xlfn.XLOOKUP($E548,$A$5:$A$8,$E$5:$E$8,"")</f>
        <v>Flat</v>
      </c>
      <c r="I548" s="44" t="str">
        <f aca="false">IF($H548="Percent",_xlfn.XLOOKUP($E548,$A$5:$A$8,$F$5:$F$8,""),"")</f>
        <v/>
      </c>
      <c r="J548" s="42" t="n">
        <f aca="false">IF($H548="Flat",_xlfn.XLOOKUP($E548,$A$5:$A$8,$F$5:$F$8,""),"")</f>
        <v>44</v>
      </c>
      <c r="K548" s="38" t="str">
        <f aca="false">_xlfn.XLOOKUP($E548,$A$5:$A$8,$G$5:$G$8,"")</f>
        <v>Per pay period</v>
      </c>
      <c r="L548" s="38" t="str">
        <f aca="false">_xlfn.XLOOKUP($E548,$A$5:$A$8,$H$5:$H$8,"")</f>
        <v>Every pay period (ongoing)</v>
      </c>
      <c r="M548" s="43" t="n">
        <f aca="false" t="array" ref="M548:M548">MAX(_xlfn.XLOOKUP($A548,TRIM(SUBSTITUTE('worker file'!$A$2:$A$406,_xlfn.UNICHAR(160)," ")),'worker file'!$M$2:$M$406,0),_xlfn.XLOOKUP($B548,TRIM('pay group &amp; schedule'!$A$2:$A$6),'pay group &amp; schedule'!$D$2:$D$6,0))</f>
        <v>46311</v>
      </c>
      <c r="N548" s="43" t="str">
        <f aca="false" t="array" ref="N548:N548">_xlfn.LET(_xlpm.t,_xlfn.XLOOKUP($A548,TRIM(SUBSTITUTE('worker file'!$A$2:$A$406,_xlfn.UNICHAR(160)," ")),'worker file'!$N$2:$N$406,""),IF(N(_xlpm.t)=0,"",_xlpm.t))</f>
        <v/>
      </c>
    </row>
    <row r="549" customFormat="false" ht="15" hidden="false" customHeight="false" outlineLevel="0" collapsed="false">
      <c r="A549" s="39" t="s">
        <v>292</v>
      </c>
      <c r="B549" s="40" t="str">
        <f aca="false" t="array" ref="B549:B549">_xlfn.XLOOKUP($A549,TRIM(SUBSTITUTE('worker file'!$A$2:$A$406,_xlfn.UNICHAR(160)," ")),'worker file'!$L$2:$L$406,"Not found")</f>
        <v>US Semi-monthly</v>
      </c>
      <c r="C549" s="40" t="str">
        <f aca="false" t="array" ref="C549:C549">_xlfn.XLOOKUP($A549,TRIM(SUBSTITUTE('worker file'!$A$2:$A$406,_xlfn.UNICHAR(160)," ")),'worker file'!$D$2:$D$406,"Not found")</f>
        <v>WA</v>
      </c>
      <c r="D549" s="40" t="str">
        <f aca="false" t="array" ref="D549:D549">_xlfn.XLOOKUP($A549,TRIM(SUBSTITUTE('worker file'!$A$2:$A$406,_xlfn.UNICHAR(160)," ")),'worker file'!$Q$2:$Q$406,"Not found")</f>
        <v>Active</v>
      </c>
      <c r="E549" s="39" t="s">
        <v>634</v>
      </c>
      <c r="F549" s="38" t="str">
        <f aca="false">_xlfn.XLOOKUP($E549,$A$5:$A$8,$B$5:$B$8,"")</f>
        <v>Vision – Employee</v>
      </c>
      <c r="G549" s="38" t="str">
        <f aca="false">_xlfn.XLOOKUP($E549,$A$5:$A$8,$D$5:$D$8,"")</f>
        <v>Pre-tax Section 125 (exempt from FIT/SIT/FICA)</v>
      </c>
      <c r="H549" s="38" t="str">
        <f aca="false">_xlfn.XLOOKUP($E549,$A$5:$A$8,$E$5:$E$8,"")</f>
        <v>Flat</v>
      </c>
      <c r="I549" s="44" t="str">
        <f aca="false">IF($H549="Percent",_xlfn.XLOOKUP($E549,$A$5:$A$8,$F$5:$F$8,""),"")</f>
        <v/>
      </c>
      <c r="J549" s="42" t="n">
        <f aca="false">IF($H549="Flat",_xlfn.XLOOKUP($E549,$A$5:$A$8,$F$5:$F$8,""),"")</f>
        <v>30</v>
      </c>
      <c r="K549" s="38" t="str">
        <f aca="false">_xlfn.XLOOKUP($E549,$A$5:$A$8,$G$5:$G$8,"")</f>
        <v>Per pay period</v>
      </c>
      <c r="L549" s="38" t="str">
        <f aca="false">_xlfn.XLOOKUP($E549,$A$5:$A$8,$H$5:$H$8,"")</f>
        <v>Every pay period (ongoing)</v>
      </c>
      <c r="M549" s="43" t="n">
        <f aca="false" t="array" ref="M549:M549">MAX(_xlfn.XLOOKUP($A549,TRIM(SUBSTITUTE('worker file'!$A$2:$A$406,_xlfn.UNICHAR(160)," ")),'worker file'!$M$2:$M$406,0),_xlfn.XLOOKUP($B549,TRIM('pay group &amp; schedule'!$A$2:$A$6),'pay group &amp; schedule'!$D$2:$D$6,0))</f>
        <v>46311</v>
      </c>
      <c r="N549" s="43" t="str">
        <f aca="false" t="array" ref="N549:N549">_xlfn.LET(_xlpm.t,_xlfn.XLOOKUP($A549,TRIM(SUBSTITUTE('worker file'!$A$2:$A$406,_xlfn.UNICHAR(160)," ")),'worker file'!$N$2:$N$406,""),IF(N(_xlpm.t)=0,"",_xlpm.t))</f>
        <v/>
      </c>
    </row>
    <row r="550" customFormat="false" ht="15" hidden="false" customHeight="false" outlineLevel="0" collapsed="false">
      <c r="A550" s="39" t="s">
        <v>294</v>
      </c>
      <c r="B550" s="40" t="str">
        <f aca="false" t="array" ref="B550:B550">_xlfn.XLOOKUP($A550,TRIM(SUBSTITUTE('worker file'!$A$2:$A$406,_xlfn.UNICHAR(160)," ")),'worker file'!$L$2:$L$406,"Not found")</f>
        <v>US Semi-monthly</v>
      </c>
      <c r="C550" s="40" t="str">
        <f aca="false" t="array" ref="C550:C550">_xlfn.XLOOKUP($A550,TRIM(SUBSTITUTE('worker file'!$A$2:$A$406,_xlfn.UNICHAR(160)," ")),'worker file'!$D$2:$D$406,"Not found")</f>
        <v>CA</v>
      </c>
      <c r="D550" s="40" t="str">
        <f aca="false" t="array" ref="D550:D550">_xlfn.XLOOKUP($A550,TRIM(SUBSTITUTE('worker file'!$A$2:$A$406,_xlfn.UNICHAR(160)," ")),'worker file'!$Q$2:$Q$406,"Not found")</f>
        <v>Active</v>
      </c>
      <c r="E550" s="39" t="s">
        <v>618</v>
      </c>
      <c r="F550" s="38" t="str">
        <f aca="false">_xlfn.XLOOKUP($E550,$A$5:$A$8,$B$5:$B$8,"")</f>
        <v>401(k) Employee Deferral</v>
      </c>
      <c r="G550" s="38" t="str">
        <f aca="false">_xlfn.XLOOKUP($E550,$A$5:$A$8,$D$5:$D$8,"")</f>
        <v>Pre-tax (exempt from FIT/SIT; subject to FICA)</v>
      </c>
      <c r="H550" s="38" t="str">
        <f aca="false">_xlfn.XLOOKUP($E550,$A$5:$A$8,$E$5:$E$8,"")</f>
        <v>Percent</v>
      </c>
      <c r="I550" s="41" t="n">
        <v>0.05</v>
      </c>
      <c r="J550" s="42" t="str">
        <f aca="false">IF($H550="Flat",_xlfn.XLOOKUP($E550,$A$5:$A$8,$F$5:$F$8,""),"")</f>
        <v/>
      </c>
      <c r="K550" s="38" t="str">
        <f aca="false">_xlfn.XLOOKUP($E550,$A$5:$A$8,$G$5:$G$8,"")</f>
        <v>Gross pay</v>
      </c>
      <c r="L550" s="38" t="str">
        <f aca="false">_xlfn.XLOOKUP($E550,$A$5:$A$8,$H$5:$H$8,"")</f>
        <v>Every pay period (ongoing)</v>
      </c>
      <c r="M550" s="43" t="n">
        <f aca="false" t="array" ref="M550:M550">MAX(_xlfn.XLOOKUP($A550,TRIM(SUBSTITUTE('worker file'!$A$2:$A$406,_xlfn.UNICHAR(160)," ")),'worker file'!$M$2:$M$406,0),_xlfn.XLOOKUP($B550,TRIM('pay group &amp; schedule'!$A$2:$A$6),'pay group &amp; schedule'!$D$2:$D$6,0))</f>
        <v>46311</v>
      </c>
      <c r="N550" s="43" t="str">
        <f aca="false" t="array" ref="N550:N550">_xlfn.LET(_xlpm.t,_xlfn.XLOOKUP($A550,TRIM(SUBSTITUTE('worker file'!$A$2:$A$406,_xlfn.UNICHAR(160)," ")),'worker file'!$N$2:$N$406,""),IF(N(_xlpm.t)=0,"",_xlpm.t))</f>
        <v/>
      </c>
    </row>
    <row r="551" customFormat="false" ht="15" hidden="false" customHeight="false" outlineLevel="0" collapsed="false">
      <c r="A551" s="39" t="s">
        <v>294</v>
      </c>
      <c r="B551" s="40" t="str">
        <f aca="false" t="array" ref="B551:B551">_xlfn.XLOOKUP($A551,TRIM(SUBSTITUTE('worker file'!$A$2:$A$406,_xlfn.UNICHAR(160)," ")),'worker file'!$L$2:$L$406,"Not found")</f>
        <v>US Semi-monthly</v>
      </c>
      <c r="C551" s="40" t="str">
        <f aca="false" t="array" ref="C551:C551">_xlfn.XLOOKUP($A551,TRIM(SUBSTITUTE('worker file'!$A$2:$A$406,_xlfn.UNICHAR(160)," ")),'worker file'!$D$2:$D$406,"Not found")</f>
        <v>CA</v>
      </c>
      <c r="D551" s="40" t="str">
        <f aca="false" t="array" ref="D551:D551">_xlfn.XLOOKUP($A551,TRIM(SUBSTITUTE('worker file'!$A$2:$A$406,_xlfn.UNICHAR(160)," ")),'worker file'!$Q$2:$Q$406,"Not found")</f>
        <v>Active</v>
      </c>
      <c r="E551" s="39" t="s">
        <v>626</v>
      </c>
      <c r="F551" s="38" t="str">
        <f aca="false">_xlfn.XLOOKUP($E551,$A$5:$A$8,$B$5:$B$8,"")</f>
        <v>Medical (Health) – Employee</v>
      </c>
      <c r="G551" s="38" t="str">
        <f aca="false">_xlfn.XLOOKUP($E551,$A$5:$A$8,$D$5:$D$8,"")</f>
        <v>Pre-tax Section 125 (exempt from FIT/SIT/FICA)</v>
      </c>
      <c r="H551" s="38" t="str">
        <f aca="false">_xlfn.XLOOKUP($E551,$A$5:$A$8,$E$5:$E$8,"")</f>
        <v>Flat</v>
      </c>
      <c r="I551" s="44" t="str">
        <f aca="false">IF($H551="Percent",_xlfn.XLOOKUP($E551,$A$5:$A$8,$F$5:$F$8,""),"")</f>
        <v/>
      </c>
      <c r="J551" s="42" t="n">
        <f aca="false">IF($H551="Flat",_xlfn.XLOOKUP($E551,$A$5:$A$8,$F$5:$F$8,""),"")</f>
        <v>200</v>
      </c>
      <c r="K551" s="38" t="str">
        <f aca="false">_xlfn.XLOOKUP($E551,$A$5:$A$8,$G$5:$G$8,"")</f>
        <v>Per pay period</v>
      </c>
      <c r="L551" s="38" t="str">
        <f aca="false">_xlfn.XLOOKUP($E551,$A$5:$A$8,$H$5:$H$8,"")</f>
        <v>Every pay period (ongoing)</v>
      </c>
      <c r="M551" s="43" t="n">
        <f aca="false" t="array" ref="M551:M551">MAX(_xlfn.XLOOKUP($A551,TRIM(SUBSTITUTE('worker file'!$A$2:$A$406,_xlfn.UNICHAR(160)," ")),'worker file'!$M$2:$M$406,0),_xlfn.XLOOKUP($B551,TRIM('pay group &amp; schedule'!$A$2:$A$6),'pay group &amp; schedule'!$D$2:$D$6,0))</f>
        <v>46311</v>
      </c>
      <c r="N551" s="43" t="str">
        <f aca="false" t="array" ref="N551:N551">_xlfn.LET(_xlpm.t,_xlfn.XLOOKUP($A551,TRIM(SUBSTITUTE('worker file'!$A$2:$A$406,_xlfn.UNICHAR(160)," ")),'worker file'!$N$2:$N$406,""),IF(N(_xlpm.t)=0,"",_xlpm.t))</f>
        <v/>
      </c>
    </row>
    <row r="552" customFormat="false" ht="15" hidden="false" customHeight="false" outlineLevel="0" collapsed="false">
      <c r="A552" s="39" t="s">
        <v>294</v>
      </c>
      <c r="B552" s="40" t="str">
        <f aca="false" t="array" ref="B552:B552">_xlfn.XLOOKUP($A552,TRIM(SUBSTITUTE('worker file'!$A$2:$A$406,_xlfn.UNICHAR(160)," ")),'worker file'!$L$2:$L$406,"Not found")</f>
        <v>US Semi-monthly</v>
      </c>
      <c r="C552" s="40" t="str">
        <f aca="false" t="array" ref="C552:C552">_xlfn.XLOOKUP($A552,TRIM(SUBSTITUTE('worker file'!$A$2:$A$406,_xlfn.UNICHAR(160)," ")),'worker file'!$D$2:$D$406,"Not found")</f>
        <v>CA</v>
      </c>
      <c r="D552" s="40" t="str">
        <f aca="false" t="array" ref="D552:D552">_xlfn.XLOOKUP($A552,TRIM(SUBSTITUTE('worker file'!$A$2:$A$406,_xlfn.UNICHAR(160)," ")),'worker file'!$Q$2:$Q$406,"Not found")</f>
        <v>Active</v>
      </c>
      <c r="E552" s="39" t="s">
        <v>632</v>
      </c>
      <c r="F552" s="38" t="str">
        <f aca="false">_xlfn.XLOOKUP($E552,$A$5:$A$8,$B$5:$B$8,"")</f>
        <v>Dental – Employee</v>
      </c>
      <c r="G552" s="38" t="str">
        <f aca="false">_xlfn.XLOOKUP($E552,$A$5:$A$8,$D$5:$D$8,"")</f>
        <v>Pre-tax Section 125 (exempt from FIT/SIT/FICA)</v>
      </c>
      <c r="H552" s="38" t="str">
        <f aca="false">_xlfn.XLOOKUP($E552,$A$5:$A$8,$E$5:$E$8,"")</f>
        <v>Flat</v>
      </c>
      <c r="I552" s="44" t="str">
        <f aca="false">IF($H552="Percent",_xlfn.XLOOKUP($E552,$A$5:$A$8,$F$5:$F$8,""),"")</f>
        <v/>
      </c>
      <c r="J552" s="42" t="n">
        <f aca="false">IF($H552="Flat",_xlfn.XLOOKUP($E552,$A$5:$A$8,$F$5:$F$8,""),"")</f>
        <v>44</v>
      </c>
      <c r="K552" s="38" t="str">
        <f aca="false">_xlfn.XLOOKUP($E552,$A$5:$A$8,$G$5:$G$8,"")</f>
        <v>Per pay period</v>
      </c>
      <c r="L552" s="38" t="str">
        <f aca="false">_xlfn.XLOOKUP($E552,$A$5:$A$8,$H$5:$H$8,"")</f>
        <v>Every pay period (ongoing)</v>
      </c>
      <c r="M552" s="43" t="n">
        <f aca="false" t="array" ref="M552:M552">MAX(_xlfn.XLOOKUP($A552,TRIM(SUBSTITUTE('worker file'!$A$2:$A$406,_xlfn.UNICHAR(160)," ")),'worker file'!$M$2:$M$406,0),_xlfn.XLOOKUP($B552,TRIM('pay group &amp; schedule'!$A$2:$A$6),'pay group &amp; schedule'!$D$2:$D$6,0))</f>
        <v>46311</v>
      </c>
      <c r="N552" s="43" t="str">
        <f aca="false" t="array" ref="N552:N552">_xlfn.LET(_xlpm.t,_xlfn.XLOOKUP($A552,TRIM(SUBSTITUTE('worker file'!$A$2:$A$406,_xlfn.UNICHAR(160)," ")),'worker file'!$N$2:$N$406,""),IF(N(_xlpm.t)=0,"",_xlpm.t))</f>
        <v/>
      </c>
    </row>
    <row r="553" customFormat="false" ht="15" hidden="false" customHeight="false" outlineLevel="0" collapsed="false">
      <c r="A553" s="39" t="s">
        <v>294</v>
      </c>
      <c r="B553" s="40" t="str">
        <f aca="false" t="array" ref="B553:B553">_xlfn.XLOOKUP($A553,TRIM(SUBSTITUTE('worker file'!$A$2:$A$406,_xlfn.UNICHAR(160)," ")),'worker file'!$L$2:$L$406,"Not found")</f>
        <v>US Semi-monthly</v>
      </c>
      <c r="C553" s="40" t="str">
        <f aca="false" t="array" ref="C553:C553">_xlfn.XLOOKUP($A553,TRIM(SUBSTITUTE('worker file'!$A$2:$A$406,_xlfn.UNICHAR(160)," ")),'worker file'!$D$2:$D$406,"Not found")</f>
        <v>CA</v>
      </c>
      <c r="D553" s="40" t="str">
        <f aca="false" t="array" ref="D553:D553">_xlfn.XLOOKUP($A553,TRIM(SUBSTITUTE('worker file'!$A$2:$A$406,_xlfn.UNICHAR(160)," ")),'worker file'!$Q$2:$Q$406,"Not found")</f>
        <v>Active</v>
      </c>
      <c r="E553" s="39" t="s">
        <v>634</v>
      </c>
      <c r="F553" s="38" t="str">
        <f aca="false">_xlfn.XLOOKUP($E553,$A$5:$A$8,$B$5:$B$8,"")</f>
        <v>Vision – Employee</v>
      </c>
      <c r="G553" s="38" t="str">
        <f aca="false">_xlfn.XLOOKUP($E553,$A$5:$A$8,$D$5:$D$8,"")</f>
        <v>Pre-tax Section 125 (exempt from FIT/SIT/FICA)</v>
      </c>
      <c r="H553" s="38" t="str">
        <f aca="false">_xlfn.XLOOKUP($E553,$A$5:$A$8,$E$5:$E$8,"")</f>
        <v>Flat</v>
      </c>
      <c r="I553" s="44" t="str">
        <f aca="false">IF($H553="Percent",_xlfn.XLOOKUP($E553,$A$5:$A$8,$F$5:$F$8,""),"")</f>
        <v/>
      </c>
      <c r="J553" s="42" t="n">
        <f aca="false">IF($H553="Flat",_xlfn.XLOOKUP($E553,$A$5:$A$8,$F$5:$F$8,""),"")</f>
        <v>30</v>
      </c>
      <c r="K553" s="38" t="str">
        <f aca="false">_xlfn.XLOOKUP($E553,$A$5:$A$8,$G$5:$G$8,"")</f>
        <v>Per pay period</v>
      </c>
      <c r="L553" s="38" t="str">
        <f aca="false">_xlfn.XLOOKUP($E553,$A$5:$A$8,$H$5:$H$8,"")</f>
        <v>Every pay period (ongoing)</v>
      </c>
      <c r="M553" s="43" t="n">
        <f aca="false" t="array" ref="M553:M553">MAX(_xlfn.XLOOKUP($A553,TRIM(SUBSTITUTE('worker file'!$A$2:$A$406,_xlfn.UNICHAR(160)," ")),'worker file'!$M$2:$M$406,0),_xlfn.XLOOKUP($B553,TRIM('pay group &amp; schedule'!$A$2:$A$6),'pay group &amp; schedule'!$D$2:$D$6,0))</f>
        <v>46311</v>
      </c>
      <c r="N553" s="43" t="str">
        <f aca="false" t="array" ref="N553:N553">_xlfn.LET(_xlpm.t,_xlfn.XLOOKUP($A553,TRIM(SUBSTITUTE('worker file'!$A$2:$A$406,_xlfn.UNICHAR(160)," ")),'worker file'!$N$2:$N$406,""),IF(N(_xlpm.t)=0,"",_xlpm.t))</f>
        <v/>
      </c>
    </row>
    <row r="554" customFormat="false" ht="15" hidden="false" customHeight="false" outlineLevel="0" collapsed="false">
      <c r="A554" s="39" t="s">
        <v>295</v>
      </c>
      <c r="B554" s="40" t="str">
        <f aca="false" t="array" ref="B554:B554">_xlfn.XLOOKUP($A554,TRIM(SUBSTITUTE('worker file'!$A$2:$A$406,_xlfn.UNICHAR(160)," ")),'worker file'!$L$2:$L$406,"Not found")</f>
        <v>US Semi-monthly</v>
      </c>
      <c r="C554" s="40" t="str">
        <f aca="false" t="array" ref="C554:C554">_xlfn.XLOOKUP($A554,TRIM(SUBSTITUTE('worker file'!$A$2:$A$406,_xlfn.UNICHAR(160)," ")),'worker file'!$D$2:$D$406,"Not found")</f>
        <v>GA</v>
      </c>
      <c r="D554" s="40" t="str">
        <f aca="false" t="array" ref="D554:D554">_xlfn.XLOOKUP($A554,TRIM(SUBSTITUTE('worker file'!$A$2:$A$406,_xlfn.UNICHAR(160)," ")),'worker file'!$Q$2:$Q$406,"Not found")</f>
        <v>Active</v>
      </c>
      <c r="E554" s="39" t="s">
        <v>618</v>
      </c>
      <c r="F554" s="38" t="str">
        <f aca="false">_xlfn.XLOOKUP($E554,$A$5:$A$8,$B$5:$B$8,"")</f>
        <v>401(k) Employee Deferral</v>
      </c>
      <c r="G554" s="38" t="str">
        <f aca="false">_xlfn.XLOOKUP($E554,$A$5:$A$8,$D$5:$D$8,"")</f>
        <v>Pre-tax (exempt from FIT/SIT; subject to FICA)</v>
      </c>
      <c r="H554" s="38" t="str">
        <f aca="false">_xlfn.XLOOKUP($E554,$A$5:$A$8,$E$5:$E$8,"")</f>
        <v>Percent</v>
      </c>
      <c r="I554" s="41" t="n">
        <v>0.02</v>
      </c>
      <c r="J554" s="42" t="str">
        <f aca="false">IF($H554="Flat",_xlfn.XLOOKUP($E554,$A$5:$A$8,$F$5:$F$8,""),"")</f>
        <v/>
      </c>
      <c r="K554" s="38" t="str">
        <f aca="false">_xlfn.XLOOKUP($E554,$A$5:$A$8,$G$5:$G$8,"")</f>
        <v>Gross pay</v>
      </c>
      <c r="L554" s="38" t="str">
        <f aca="false">_xlfn.XLOOKUP($E554,$A$5:$A$8,$H$5:$H$8,"")</f>
        <v>Every pay period (ongoing)</v>
      </c>
      <c r="M554" s="43" t="n">
        <f aca="false" t="array" ref="M554:M554">MAX(_xlfn.XLOOKUP($A554,TRIM(SUBSTITUTE('worker file'!$A$2:$A$406,_xlfn.UNICHAR(160)," ")),'worker file'!$M$2:$M$406,0),_xlfn.XLOOKUP($B554,TRIM('pay group &amp; schedule'!$A$2:$A$6),'pay group &amp; schedule'!$D$2:$D$6,0))</f>
        <v>46311</v>
      </c>
      <c r="N554" s="43" t="str">
        <f aca="false" t="array" ref="N554:N554">_xlfn.LET(_xlpm.t,_xlfn.XLOOKUP($A554,TRIM(SUBSTITUTE('worker file'!$A$2:$A$406,_xlfn.UNICHAR(160)," ")),'worker file'!$N$2:$N$406,""),IF(N(_xlpm.t)=0,"",_xlpm.t))</f>
        <v/>
      </c>
    </row>
    <row r="555" customFormat="false" ht="15" hidden="false" customHeight="false" outlineLevel="0" collapsed="false">
      <c r="A555" s="39" t="s">
        <v>295</v>
      </c>
      <c r="B555" s="40" t="str">
        <f aca="false" t="array" ref="B555:B555">_xlfn.XLOOKUP($A555,TRIM(SUBSTITUTE('worker file'!$A$2:$A$406,_xlfn.UNICHAR(160)," ")),'worker file'!$L$2:$L$406,"Not found")</f>
        <v>US Semi-monthly</v>
      </c>
      <c r="C555" s="40" t="str">
        <f aca="false" t="array" ref="C555:C555">_xlfn.XLOOKUP($A555,TRIM(SUBSTITUTE('worker file'!$A$2:$A$406,_xlfn.UNICHAR(160)," ")),'worker file'!$D$2:$D$406,"Not found")</f>
        <v>GA</v>
      </c>
      <c r="D555" s="40" t="str">
        <f aca="false" t="array" ref="D555:D555">_xlfn.XLOOKUP($A555,TRIM(SUBSTITUTE('worker file'!$A$2:$A$406,_xlfn.UNICHAR(160)," ")),'worker file'!$Q$2:$Q$406,"Not found")</f>
        <v>Active</v>
      </c>
      <c r="E555" s="39" t="s">
        <v>626</v>
      </c>
      <c r="F555" s="38" t="str">
        <f aca="false">_xlfn.XLOOKUP($E555,$A$5:$A$8,$B$5:$B$8,"")</f>
        <v>Medical (Health) – Employee</v>
      </c>
      <c r="G555" s="38" t="str">
        <f aca="false">_xlfn.XLOOKUP($E555,$A$5:$A$8,$D$5:$D$8,"")</f>
        <v>Pre-tax Section 125 (exempt from FIT/SIT/FICA)</v>
      </c>
      <c r="H555" s="38" t="str">
        <f aca="false">_xlfn.XLOOKUP($E555,$A$5:$A$8,$E$5:$E$8,"")</f>
        <v>Flat</v>
      </c>
      <c r="I555" s="44" t="str">
        <f aca="false">IF($H555="Percent",_xlfn.XLOOKUP($E555,$A$5:$A$8,$F$5:$F$8,""),"")</f>
        <v/>
      </c>
      <c r="J555" s="42" t="n">
        <f aca="false">IF($H555="Flat",_xlfn.XLOOKUP($E555,$A$5:$A$8,$F$5:$F$8,""),"")</f>
        <v>200</v>
      </c>
      <c r="K555" s="38" t="str">
        <f aca="false">_xlfn.XLOOKUP($E555,$A$5:$A$8,$G$5:$G$8,"")</f>
        <v>Per pay period</v>
      </c>
      <c r="L555" s="38" t="str">
        <f aca="false">_xlfn.XLOOKUP($E555,$A$5:$A$8,$H$5:$H$8,"")</f>
        <v>Every pay period (ongoing)</v>
      </c>
      <c r="M555" s="43" t="n">
        <f aca="false" t="array" ref="M555:M555">MAX(_xlfn.XLOOKUP($A555,TRIM(SUBSTITUTE('worker file'!$A$2:$A$406,_xlfn.UNICHAR(160)," ")),'worker file'!$M$2:$M$406,0),_xlfn.XLOOKUP($B555,TRIM('pay group &amp; schedule'!$A$2:$A$6),'pay group &amp; schedule'!$D$2:$D$6,0))</f>
        <v>46311</v>
      </c>
      <c r="N555" s="43" t="str">
        <f aca="false" t="array" ref="N555:N555">_xlfn.LET(_xlpm.t,_xlfn.XLOOKUP($A555,TRIM(SUBSTITUTE('worker file'!$A$2:$A$406,_xlfn.UNICHAR(160)," ")),'worker file'!$N$2:$N$406,""),IF(N(_xlpm.t)=0,"",_xlpm.t))</f>
        <v/>
      </c>
    </row>
    <row r="556" customFormat="false" ht="15" hidden="false" customHeight="false" outlineLevel="0" collapsed="false">
      <c r="A556" s="39" t="s">
        <v>295</v>
      </c>
      <c r="B556" s="40" t="str">
        <f aca="false" t="array" ref="B556:B556">_xlfn.XLOOKUP($A556,TRIM(SUBSTITUTE('worker file'!$A$2:$A$406,_xlfn.UNICHAR(160)," ")),'worker file'!$L$2:$L$406,"Not found")</f>
        <v>US Semi-monthly</v>
      </c>
      <c r="C556" s="40" t="str">
        <f aca="false" t="array" ref="C556:C556">_xlfn.XLOOKUP($A556,TRIM(SUBSTITUTE('worker file'!$A$2:$A$406,_xlfn.UNICHAR(160)," ")),'worker file'!$D$2:$D$406,"Not found")</f>
        <v>GA</v>
      </c>
      <c r="D556" s="40" t="str">
        <f aca="false" t="array" ref="D556:D556">_xlfn.XLOOKUP($A556,TRIM(SUBSTITUTE('worker file'!$A$2:$A$406,_xlfn.UNICHAR(160)," ")),'worker file'!$Q$2:$Q$406,"Not found")</f>
        <v>Active</v>
      </c>
      <c r="E556" s="39" t="s">
        <v>632</v>
      </c>
      <c r="F556" s="38" t="str">
        <f aca="false">_xlfn.XLOOKUP($E556,$A$5:$A$8,$B$5:$B$8,"")</f>
        <v>Dental – Employee</v>
      </c>
      <c r="G556" s="38" t="str">
        <f aca="false">_xlfn.XLOOKUP($E556,$A$5:$A$8,$D$5:$D$8,"")</f>
        <v>Pre-tax Section 125 (exempt from FIT/SIT/FICA)</v>
      </c>
      <c r="H556" s="38" t="str">
        <f aca="false">_xlfn.XLOOKUP($E556,$A$5:$A$8,$E$5:$E$8,"")</f>
        <v>Flat</v>
      </c>
      <c r="I556" s="44" t="str">
        <f aca="false">IF($H556="Percent",_xlfn.XLOOKUP($E556,$A$5:$A$8,$F$5:$F$8,""),"")</f>
        <v/>
      </c>
      <c r="J556" s="42" t="n">
        <f aca="false">IF($H556="Flat",_xlfn.XLOOKUP($E556,$A$5:$A$8,$F$5:$F$8,""),"")</f>
        <v>44</v>
      </c>
      <c r="K556" s="38" t="str">
        <f aca="false">_xlfn.XLOOKUP($E556,$A$5:$A$8,$G$5:$G$8,"")</f>
        <v>Per pay period</v>
      </c>
      <c r="L556" s="38" t="str">
        <f aca="false">_xlfn.XLOOKUP($E556,$A$5:$A$8,$H$5:$H$8,"")</f>
        <v>Every pay period (ongoing)</v>
      </c>
      <c r="M556" s="43" t="n">
        <f aca="false" t="array" ref="M556:M556">MAX(_xlfn.XLOOKUP($A556,TRIM(SUBSTITUTE('worker file'!$A$2:$A$406,_xlfn.UNICHAR(160)," ")),'worker file'!$M$2:$M$406,0),_xlfn.XLOOKUP($B556,TRIM('pay group &amp; schedule'!$A$2:$A$6),'pay group &amp; schedule'!$D$2:$D$6,0))</f>
        <v>46311</v>
      </c>
      <c r="N556" s="43" t="str">
        <f aca="false" t="array" ref="N556:N556">_xlfn.LET(_xlpm.t,_xlfn.XLOOKUP($A556,TRIM(SUBSTITUTE('worker file'!$A$2:$A$406,_xlfn.UNICHAR(160)," ")),'worker file'!$N$2:$N$406,""),IF(N(_xlpm.t)=0,"",_xlpm.t))</f>
        <v/>
      </c>
    </row>
    <row r="557" customFormat="false" ht="15" hidden="false" customHeight="false" outlineLevel="0" collapsed="false">
      <c r="A557" s="39" t="s">
        <v>295</v>
      </c>
      <c r="B557" s="40" t="str">
        <f aca="false" t="array" ref="B557:B557">_xlfn.XLOOKUP($A557,TRIM(SUBSTITUTE('worker file'!$A$2:$A$406,_xlfn.UNICHAR(160)," ")),'worker file'!$L$2:$L$406,"Not found")</f>
        <v>US Semi-monthly</v>
      </c>
      <c r="C557" s="40" t="str">
        <f aca="false" t="array" ref="C557:C557">_xlfn.XLOOKUP($A557,TRIM(SUBSTITUTE('worker file'!$A$2:$A$406,_xlfn.UNICHAR(160)," ")),'worker file'!$D$2:$D$406,"Not found")</f>
        <v>GA</v>
      </c>
      <c r="D557" s="40" t="str">
        <f aca="false" t="array" ref="D557:D557">_xlfn.XLOOKUP($A557,TRIM(SUBSTITUTE('worker file'!$A$2:$A$406,_xlfn.UNICHAR(160)," ")),'worker file'!$Q$2:$Q$406,"Not found")</f>
        <v>Active</v>
      </c>
      <c r="E557" s="39" t="s">
        <v>634</v>
      </c>
      <c r="F557" s="38" t="str">
        <f aca="false">_xlfn.XLOOKUP($E557,$A$5:$A$8,$B$5:$B$8,"")</f>
        <v>Vision – Employee</v>
      </c>
      <c r="G557" s="38" t="str">
        <f aca="false">_xlfn.XLOOKUP($E557,$A$5:$A$8,$D$5:$D$8,"")</f>
        <v>Pre-tax Section 125 (exempt from FIT/SIT/FICA)</v>
      </c>
      <c r="H557" s="38" t="str">
        <f aca="false">_xlfn.XLOOKUP($E557,$A$5:$A$8,$E$5:$E$8,"")</f>
        <v>Flat</v>
      </c>
      <c r="I557" s="44" t="str">
        <f aca="false">IF($H557="Percent",_xlfn.XLOOKUP($E557,$A$5:$A$8,$F$5:$F$8,""),"")</f>
        <v/>
      </c>
      <c r="J557" s="42" t="n">
        <f aca="false">IF($H557="Flat",_xlfn.XLOOKUP($E557,$A$5:$A$8,$F$5:$F$8,""),"")</f>
        <v>30</v>
      </c>
      <c r="K557" s="38" t="str">
        <f aca="false">_xlfn.XLOOKUP($E557,$A$5:$A$8,$G$5:$G$8,"")</f>
        <v>Per pay period</v>
      </c>
      <c r="L557" s="38" t="str">
        <f aca="false">_xlfn.XLOOKUP($E557,$A$5:$A$8,$H$5:$H$8,"")</f>
        <v>Every pay period (ongoing)</v>
      </c>
      <c r="M557" s="43" t="n">
        <f aca="false" t="array" ref="M557:M557">MAX(_xlfn.XLOOKUP($A557,TRIM(SUBSTITUTE('worker file'!$A$2:$A$406,_xlfn.UNICHAR(160)," ")),'worker file'!$M$2:$M$406,0),_xlfn.XLOOKUP($B557,TRIM('pay group &amp; schedule'!$A$2:$A$6),'pay group &amp; schedule'!$D$2:$D$6,0))</f>
        <v>46311</v>
      </c>
      <c r="N557" s="43" t="str">
        <f aca="false" t="array" ref="N557:N557">_xlfn.LET(_xlpm.t,_xlfn.XLOOKUP($A557,TRIM(SUBSTITUTE('worker file'!$A$2:$A$406,_xlfn.UNICHAR(160)," ")),'worker file'!$N$2:$N$406,""),IF(N(_xlpm.t)=0,"",_xlpm.t))</f>
        <v/>
      </c>
    </row>
    <row r="558" customFormat="false" ht="15" hidden="false" customHeight="false" outlineLevel="0" collapsed="false">
      <c r="A558" s="39" t="s">
        <v>296</v>
      </c>
      <c r="B558" s="40" t="str">
        <f aca="false" t="array" ref="B558:B558">_xlfn.XLOOKUP($A558,TRIM(SUBSTITUTE('worker file'!$A$2:$A$406,_xlfn.UNICHAR(160)," ")),'worker file'!$L$2:$L$406,"Not found")</f>
        <v>US Semi-monthly</v>
      </c>
      <c r="C558" s="40" t="str">
        <f aca="false" t="array" ref="C558:C558">_xlfn.XLOOKUP($A558,TRIM(SUBSTITUTE('worker file'!$A$2:$A$406,_xlfn.UNICHAR(160)," ")),'worker file'!$D$2:$D$406,"Not found")</f>
        <v>CA</v>
      </c>
      <c r="D558" s="40" t="str">
        <f aca="false" t="array" ref="D558:D558">_xlfn.XLOOKUP($A558,TRIM(SUBSTITUTE('worker file'!$A$2:$A$406,_xlfn.UNICHAR(160)," ")),'worker file'!$Q$2:$Q$406,"Not found")</f>
        <v>Active</v>
      </c>
      <c r="E558" s="39" t="s">
        <v>618</v>
      </c>
      <c r="F558" s="38" t="str">
        <f aca="false">_xlfn.XLOOKUP($E558,$A$5:$A$8,$B$5:$B$8,"")</f>
        <v>401(k) Employee Deferral</v>
      </c>
      <c r="G558" s="38" t="str">
        <f aca="false">_xlfn.XLOOKUP($E558,$A$5:$A$8,$D$5:$D$8,"")</f>
        <v>Pre-tax (exempt from FIT/SIT; subject to FICA)</v>
      </c>
      <c r="H558" s="38" t="str">
        <f aca="false">_xlfn.XLOOKUP($E558,$A$5:$A$8,$E$5:$E$8,"")</f>
        <v>Percent</v>
      </c>
      <c r="I558" s="41" t="n">
        <v>0.07</v>
      </c>
      <c r="J558" s="42" t="str">
        <f aca="false">IF($H558="Flat",_xlfn.XLOOKUP($E558,$A$5:$A$8,$F$5:$F$8,""),"")</f>
        <v/>
      </c>
      <c r="K558" s="38" t="str">
        <f aca="false">_xlfn.XLOOKUP($E558,$A$5:$A$8,$G$5:$G$8,"")</f>
        <v>Gross pay</v>
      </c>
      <c r="L558" s="38" t="str">
        <f aca="false">_xlfn.XLOOKUP($E558,$A$5:$A$8,$H$5:$H$8,"")</f>
        <v>Every pay period (ongoing)</v>
      </c>
      <c r="M558" s="43" t="n">
        <f aca="false" t="array" ref="M558:M558">MAX(_xlfn.XLOOKUP($A558,TRIM(SUBSTITUTE('worker file'!$A$2:$A$406,_xlfn.UNICHAR(160)," ")),'worker file'!$M$2:$M$406,0),_xlfn.XLOOKUP($B558,TRIM('pay group &amp; schedule'!$A$2:$A$6),'pay group &amp; schedule'!$D$2:$D$6,0))</f>
        <v>46311</v>
      </c>
      <c r="N558" s="43" t="str">
        <f aca="false" t="array" ref="N558:N558">_xlfn.LET(_xlpm.t,_xlfn.XLOOKUP($A558,TRIM(SUBSTITUTE('worker file'!$A$2:$A$406,_xlfn.UNICHAR(160)," ")),'worker file'!$N$2:$N$406,""),IF(N(_xlpm.t)=0,"",_xlpm.t))</f>
        <v/>
      </c>
    </row>
    <row r="559" customFormat="false" ht="15" hidden="false" customHeight="false" outlineLevel="0" collapsed="false">
      <c r="A559" s="39" t="s">
        <v>296</v>
      </c>
      <c r="B559" s="40" t="str">
        <f aca="false" t="array" ref="B559:B559">_xlfn.XLOOKUP($A559,TRIM(SUBSTITUTE('worker file'!$A$2:$A$406,_xlfn.UNICHAR(160)," ")),'worker file'!$L$2:$L$406,"Not found")</f>
        <v>US Semi-monthly</v>
      </c>
      <c r="C559" s="40" t="str">
        <f aca="false" t="array" ref="C559:C559">_xlfn.XLOOKUP($A559,TRIM(SUBSTITUTE('worker file'!$A$2:$A$406,_xlfn.UNICHAR(160)," ")),'worker file'!$D$2:$D$406,"Not found")</f>
        <v>CA</v>
      </c>
      <c r="D559" s="40" t="str">
        <f aca="false" t="array" ref="D559:D559">_xlfn.XLOOKUP($A559,TRIM(SUBSTITUTE('worker file'!$A$2:$A$406,_xlfn.UNICHAR(160)," ")),'worker file'!$Q$2:$Q$406,"Not found")</f>
        <v>Active</v>
      </c>
      <c r="E559" s="39" t="s">
        <v>626</v>
      </c>
      <c r="F559" s="38" t="str">
        <f aca="false">_xlfn.XLOOKUP($E559,$A$5:$A$8,$B$5:$B$8,"")</f>
        <v>Medical (Health) – Employee</v>
      </c>
      <c r="G559" s="38" t="str">
        <f aca="false">_xlfn.XLOOKUP($E559,$A$5:$A$8,$D$5:$D$8,"")</f>
        <v>Pre-tax Section 125 (exempt from FIT/SIT/FICA)</v>
      </c>
      <c r="H559" s="38" t="str">
        <f aca="false">_xlfn.XLOOKUP($E559,$A$5:$A$8,$E$5:$E$8,"")</f>
        <v>Flat</v>
      </c>
      <c r="I559" s="44" t="str">
        <f aca="false">IF($H559="Percent",_xlfn.XLOOKUP($E559,$A$5:$A$8,$F$5:$F$8,""),"")</f>
        <v/>
      </c>
      <c r="J559" s="42" t="n">
        <f aca="false">IF($H559="Flat",_xlfn.XLOOKUP($E559,$A$5:$A$8,$F$5:$F$8,""),"")</f>
        <v>200</v>
      </c>
      <c r="K559" s="38" t="str">
        <f aca="false">_xlfn.XLOOKUP($E559,$A$5:$A$8,$G$5:$G$8,"")</f>
        <v>Per pay period</v>
      </c>
      <c r="L559" s="38" t="str">
        <f aca="false">_xlfn.XLOOKUP($E559,$A$5:$A$8,$H$5:$H$8,"")</f>
        <v>Every pay period (ongoing)</v>
      </c>
      <c r="M559" s="43" t="n">
        <f aca="false" t="array" ref="M559:M559">MAX(_xlfn.XLOOKUP($A559,TRIM(SUBSTITUTE('worker file'!$A$2:$A$406,_xlfn.UNICHAR(160)," ")),'worker file'!$M$2:$M$406,0),_xlfn.XLOOKUP($B559,TRIM('pay group &amp; schedule'!$A$2:$A$6),'pay group &amp; schedule'!$D$2:$D$6,0))</f>
        <v>46311</v>
      </c>
      <c r="N559" s="43" t="str">
        <f aca="false" t="array" ref="N559:N559">_xlfn.LET(_xlpm.t,_xlfn.XLOOKUP($A559,TRIM(SUBSTITUTE('worker file'!$A$2:$A$406,_xlfn.UNICHAR(160)," ")),'worker file'!$N$2:$N$406,""),IF(N(_xlpm.t)=0,"",_xlpm.t))</f>
        <v/>
      </c>
    </row>
    <row r="560" customFormat="false" ht="15" hidden="false" customHeight="false" outlineLevel="0" collapsed="false">
      <c r="A560" s="39" t="s">
        <v>296</v>
      </c>
      <c r="B560" s="40" t="str">
        <f aca="false" t="array" ref="B560:B560">_xlfn.XLOOKUP($A560,TRIM(SUBSTITUTE('worker file'!$A$2:$A$406,_xlfn.UNICHAR(160)," ")),'worker file'!$L$2:$L$406,"Not found")</f>
        <v>US Semi-monthly</v>
      </c>
      <c r="C560" s="40" t="str">
        <f aca="false" t="array" ref="C560:C560">_xlfn.XLOOKUP($A560,TRIM(SUBSTITUTE('worker file'!$A$2:$A$406,_xlfn.UNICHAR(160)," ")),'worker file'!$D$2:$D$406,"Not found")</f>
        <v>CA</v>
      </c>
      <c r="D560" s="40" t="str">
        <f aca="false" t="array" ref="D560:D560">_xlfn.XLOOKUP($A560,TRIM(SUBSTITUTE('worker file'!$A$2:$A$406,_xlfn.UNICHAR(160)," ")),'worker file'!$Q$2:$Q$406,"Not found")</f>
        <v>Active</v>
      </c>
      <c r="E560" s="39" t="s">
        <v>632</v>
      </c>
      <c r="F560" s="38" t="str">
        <f aca="false">_xlfn.XLOOKUP($E560,$A$5:$A$8,$B$5:$B$8,"")</f>
        <v>Dental – Employee</v>
      </c>
      <c r="G560" s="38" t="str">
        <f aca="false">_xlfn.XLOOKUP($E560,$A$5:$A$8,$D$5:$D$8,"")</f>
        <v>Pre-tax Section 125 (exempt from FIT/SIT/FICA)</v>
      </c>
      <c r="H560" s="38" t="str">
        <f aca="false">_xlfn.XLOOKUP($E560,$A$5:$A$8,$E$5:$E$8,"")</f>
        <v>Flat</v>
      </c>
      <c r="I560" s="44" t="str">
        <f aca="false">IF($H560="Percent",_xlfn.XLOOKUP($E560,$A$5:$A$8,$F$5:$F$8,""),"")</f>
        <v/>
      </c>
      <c r="J560" s="42" t="n">
        <f aca="false">IF($H560="Flat",_xlfn.XLOOKUP($E560,$A$5:$A$8,$F$5:$F$8,""),"")</f>
        <v>44</v>
      </c>
      <c r="K560" s="38" t="str">
        <f aca="false">_xlfn.XLOOKUP($E560,$A$5:$A$8,$G$5:$G$8,"")</f>
        <v>Per pay period</v>
      </c>
      <c r="L560" s="38" t="str">
        <f aca="false">_xlfn.XLOOKUP($E560,$A$5:$A$8,$H$5:$H$8,"")</f>
        <v>Every pay period (ongoing)</v>
      </c>
      <c r="M560" s="43" t="n">
        <f aca="false" t="array" ref="M560:M560">MAX(_xlfn.XLOOKUP($A560,TRIM(SUBSTITUTE('worker file'!$A$2:$A$406,_xlfn.UNICHAR(160)," ")),'worker file'!$M$2:$M$406,0),_xlfn.XLOOKUP($B560,TRIM('pay group &amp; schedule'!$A$2:$A$6),'pay group &amp; schedule'!$D$2:$D$6,0))</f>
        <v>46311</v>
      </c>
      <c r="N560" s="43" t="str">
        <f aca="false" t="array" ref="N560:N560">_xlfn.LET(_xlpm.t,_xlfn.XLOOKUP($A560,TRIM(SUBSTITUTE('worker file'!$A$2:$A$406,_xlfn.UNICHAR(160)," ")),'worker file'!$N$2:$N$406,""),IF(N(_xlpm.t)=0,"",_xlpm.t))</f>
        <v/>
      </c>
    </row>
    <row r="561" customFormat="false" ht="15" hidden="false" customHeight="false" outlineLevel="0" collapsed="false">
      <c r="A561" s="39" t="s">
        <v>296</v>
      </c>
      <c r="B561" s="40" t="str">
        <f aca="false" t="array" ref="B561:B561">_xlfn.XLOOKUP($A561,TRIM(SUBSTITUTE('worker file'!$A$2:$A$406,_xlfn.UNICHAR(160)," ")),'worker file'!$L$2:$L$406,"Not found")</f>
        <v>US Semi-monthly</v>
      </c>
      <c r="C561" s="40" t="str">
        <f aca="false" t="array" ref="C561:C561">_xlfn.XLOOKUP($A561,TRIM(SUBSTITUTE('worker file'!$A$2:$A$406,_xlfn.UNICHAR(160)," ")),'worker file'!$D$2:$D$406,"Not found")</f>
        <v>CA</v>
      </c>
      <c r="D561" s="40" t="str">
        <f aca="false" t="array" ref="D561:D561">_xlfn.XLOOKUP($A561,TRIM(SUBSTITUTE('worker file'!$A$2:$A$406,_xlfn.UNICHAR(160)," ")),'worker file'!$Q$2:$Q$406,"Not found")</f>
        <v>Active</v>
      </c>
      <c r="E561" s="39" t="s">
        <v>634</v>
      </c>
      <c r="F561" s="38" t="str">
        <f aca="false">_xlfn.XLOOKUP($E561,$A$5:$A$8,$B$5:$B$8,"")</f>
        <v>Vision – Employee</v>
      </c>
      <c r="G561" s="38" t="str">
        <f aca="false">_xlfn.XLOOKUP($E561,$A$5:$A$8,$D$5:$D$8,"")</f>
        <v>Pre-tax Section 125 (exempt from FIT/SIT/FICA)</v>
      </c>
      <c r="H561" s="38" t="str">
        <f aca="false">_xlfn.XLOOKUP($E561,$A$5:$A$8,$E$5:$E$8,"")</f>
        <v>Flat</v>
      </c>
      <c r="I561" s="44" t="str">
        <f aca="false">IF($H561="Percent",_xlfn.XLOOKUP($E561,$A$5:$A$8,$F$5:$F$8,""),"")</f>
        <v/>
      </c>
      <c r="J561" s="42" t="n">
        <f aca="false">IF($H561="Flat",_xlfn.XLOOKUP($E561,$A$5:$A$8,$F$5:$F$8,""),"")</f>
        <v>30</v>
      </c>
      <c r="K561" s="38" t="str">
        <f aca="false">_xlfn.XLOOKUP($E561,$A$5:$A$8,$G$5:$G$8,"")</f>
        <v>Per pay period</v>
      </c>
      <c r="L561" s="38" t="str">
        <f aca="false">_xlfn.XLOOKUP($E561,$A$5:$A$8,$H$5:$H$8,"")</f>
        <v>Every pay period (ongoing)</v>
      </c>
      <c r="M561" s="43" t="n">
        <f aca="false" t="array" ref="M561:M561">MAX(_xlfn.XLOOKUP($A561,TRIM(SUBSTITUTE('worker file'!$A$2:$A$406,_xlfn.UNICHAR(160)," ")),'worker file'!$M$2:$M$406,0),_xlfn.XLOOKUP($B561,TRIM('pay group &amp; schedule'!$A$2:$A$6),'pay group &amp; schedule'!$D$2:$D$6,0))</f>
        <v>46311</v>
      </c>
      <c r="N561" s="43" t="str">
        <f aca="false" t="array" ref="N561:N561">_xlfn.LET(_xlpm.t,_xlfn.XLOOKUP($A561,TRIM(SUBSTITUTE('worker file'!$A$2:$A$406,_xlfn.UNICHAR(160)," ")),'worker file'!$N$2:$N$406,""),IF(N(_xlpm.t)=0,"",_xlpm.t))</f>
        <v/>
      </c>
    </row>
    <row r="562" customFormat="false" ht="15" hidden="false" customHeight="false" outlineLevel="0" collapsed="false">
      <c r="A562" s="39" t="s">
        <v>297</v>
      </c>
      <c r="B562" s="40" t="str">
        <f aca="false" t="array" ref="B562:B562">_xlfn.XLOOKUP($A562,TRIM(SUBSTITUTE('worker file'!$A$2:$A$406,_xlfn.UNICHAR(160)," ")),'worker file'!$L$2:$L$406,"Not found")</f>
        <v>US Biweekly</v>
      </c>
      <c r="C562" s="40" t="str">
        <f aca="false" t="array" ref="C562:C562">_xlfn.XLOOKUP($A562,TRIM(SUBSTITUTE('worker file'!$A$2:$A$406,_xlfn.UNICHAR(160)," ")),'worker file'!$D$2:$D$406,"Not found")</f>
        <v>CA</v>
      </c>
      <c r="D562" s="40" t="str">
        <f aca="false" t="array" ref="D562:D562">_xlfn.XLOOKUP($A562,TRIM(SUBSTITUTE('worker file'!$A$2:$A$406,_xlfn.UNICHAR(160)," ")),'worker file'!$Q$2:$Q$406,"Not found")</f>
        <v>Active</v>
      </c>
      <c r="E562" s="39" t="s">
        <v>626</v>
      </c>
      <c r="F562" s="38" t="str">
        <f aca="false">_xlfn.XLOOKUP($E562,$A$5:$A$8,$B$5:$B$8,"")</f>
        <v>Medical (Health) – Employee</v>
      </c>
      <c r="G562" s="38" t="str">
        <f aca="false">_xlfn.XLOOKUP($E562,$A$5:$A$8,$D$5:$D$8,"")</f>
        <v>Pre-tax Section 125 (exempt from FIT/SIT/FICA)</v>
      </c>
      <c r="H562" s="38" t="str">
        <f aca="false">_xlfn.XLOOKUP($E562,$A$5:$A$8,$E$5:$E$8,"")</f>
        <v>Flat</v>
      </c>
      <c r="I562" s="44" t="str">
        <f aca="false">IF($H562="Percent",_xlfn.XLOOKUP($E562,$A$5:$A$8,$F$5:$F$8,""),"")</f>
        <v/>
      </c>
      <c r="J562" s="42" t="n">
        <f aca="false">IF($H562="Flat",_xlfn.XLOOKUP($E562,$A$5:$A$8,$F$5:$F$8,""),"")</f>
        <v>200</v>
      </c>
      <c r="K562" s="38" t="str">
        <f aca="false">_xlfn.XLOOKUP($E562,$A$5:$A$8,$G$5:$G$8,"")</f>
        <v>Per pay period</v>
      </c>
      <c r="L562" s="38" t="str">
        <f aca="false">_xlfn.XLOOKUP($E562,$A$5:$A$8,$H$5:$H$8,"")</f>
        <v>Every pay period (ongoing)</v>
      </c>
      <c r="M562" s="43" t="n">
        <f aca="false" t="array" ref="M562:M562">MAX(_xlfn.XLOOKUP($A562,TRIM(SUBSTITUTE('worker file'!$A$2:$A$406,_xlfn.UNICHAR(160)," ")),'worker file'!$M$2:$M$406,0),_xlfn.XLOOKUP($B562,TRIM('pay group &amp; schedule'!$A$2:$A$6),'pay group &amp; schedule'!$D$2:$D$6,0))</f>
        <v>46299</v>
      </c>
      <c r="N562" s="43" t="str">
        <f aca="false" t="array" ref="N562:N562">_xlfn.LET(_xlpm.t,_xlfn.XLOOKUP($A562,TRIM(SUBSTITUTE('worker file'!$A$2:$A$406,_xlfn.UNICHAR(160)," ")),'worker file'!$N$2:$N$406,""),IF(N(_xlpm.t)=0,"",_xlpm.t))</f>
        <v/>
      </c>
    </row>
    <row r="563" customFormat="false" ht="15" hidden="false" customHeight="false" outlineLevel="0" collapsed="false">
      <c r="A563" s="39" t="s">
        <v>297</v>
      </c>
      <c r="B563" s="40" t="str">
        <f aca="false" t="array" ref="B563:B563">_xlfn.XLOOKUP($A563,TRIM(SUBSTITUTE('worker file'!$A$2:$A$406,_xlfn.UNICHAR(160)," ")),'worker file'!$L$2:$L$406,"Not found")</f>
        <v>US Biweekly</v>
      </c>
      <c r="C563" s="40" t="str">
        <f aca="false" t="array" ref="C563:C563">_xlfn.XLOOKUP($A563,TRIM(SUBSTITUTE('worker file'!$A$2:$A$406,_xlfn.UNICHAR(160)," ")),'worker file'!$D$2:$D$406,"Not found")</f>
        <v>CA</v>
      </c>
      <c r="D563" s="40" t="str">
        <f aca="false" t="array" ref="D563:D563">_xlfn.XLOOKUP($A563,TRIM(SUBSTITUTE('worker file'!$A$2:$A$406,_xlfn.UNICHAR(160)," ")),'worker file'!$Q$2:$Q$406,"Not found")</f>
        <v>Active</v>
      </c>
      <c r="E563" s="39" t="s">
        <v>632</v>
      </c>
      <c r="F563" s="38" t="str">
        <f aca="false">_xlfn.XLOOKUP($E563,$A$5:$A$8,$B$5:$B$8,"")</f>
        <v>Dental – Employee</v>
      </c>
      <c r="G563" s="38" t="str">
        <f aca="false">_xlfn.XLOOKUP($E563,$A$5:$A$8,$D$5:$D$8,"")</f>
        <v>Pre-tax Section 125 (exempt from FIT/SIT/FICA)</v>
      </c>
      <c r="H563" s="38" t="str">
        <f aca="false">_xlfn.XLOOKUP($E563,$A$5:$A$8,$E$5:$E$8,"")</f>
        <v>Flat</v>
      </c>
      <c r="I563" s="44" t="str">
        <f aca="false">IF($H563="Percent",_xlfn.XLOOKUP($E563,$A$5:$A$8,$F$5:$F$8,""),"")</f>
        <v/>
      </c>
      <c r="J563" s="42" t="n">
        <f aca="false">IF($H563="Flat",_xlfn.XLOOKUP($E563,$A$5:$A$8,$F$5:$F$8,""),"")</f>
        <v>44</v>
      </c>
      <c r="K563" s="38" t="str">
        <f aca="false">_xlfn.XLOOKUP($E563,$A$5:$A$8,$G$5:$G$8,"")</f>
        <v>Per pay period</v>
      </c>
      <c r="L563" s="38" t="str">
        <f aca="false">_xlfn.XLOOKUP($E563,$A$5:$A$8,$H$5:$H$8,"")</f>
        <v>Every pay period (ongoing)</v>
      </c>
      <c r="M563" s="43" t="n">
        <f aca="false" t="array" ref="M563:M563">MAX(_xlfn.XLOOKUP($A563,TRIM(SUBSTITUTE('worker file'!$A$2:$A$406,_xlfn.UNICHAR(160)," ")),'worker file'!$M$2:$M$406,0),_xlfn.XLOOKUP($B563,TRIM('pay group &amp; schedule'!$A$2:$A$6),'pay group &amp; schedule'!$D$2:$D$6,0))</f>
        <v>46299</v>
      </c>
      <c r="N563" s="43" t="str">
        <f aca="false" t="array" ref="N563:N563">_xlfn.LET(_xlpm.t,_xlfn.XLOOKUP($A563,TRIM(SUBSTITUTE('worker file'!$A$2:$A$406,_xlfn.UNICHAR(160)," ")),'worker file'!$N$2:$N$406,""),IF(N(_xlpm.t)=0,"",_xlpm.t))</f>
        <v/>
      </c>
    </row>
    <row r="564" customFormat="false" ht="15" hidden="false" customHeight="false" outlineLevel="0" collapsed="false">
      <c r="A564" s="39" t="s">
        <v>297</v>
      </c>
      <c r="B564" s="40" t="str">
        <f aca="false" t="array" ref="B564:B564">_xlfn.XLOOKUP($A564,TRIM(SUBSTITUTE('worker file'!$A$2:$A$406,_xlfn.UNICHAR(160)," ")),'worker file'!$L$2:$L$406,"Not found")</f>
        <v>US Biweekly</v>
      </c>
      <c r="C564" s="40" t="str">
        <f aca="false" t="array" ref="C564:C564">_xlfn.XLOOKUP($A564,TRIM(SUBSTITUTE('worker file'!$A$2:$A$406,_xlfn.UNICHAR(160)," ")),'worker file'!$D$2:$D$406,"Not found")</f>
        <v>CA</v>
      </c>
      <c r="D564" s="40" t="str">
        <f aca="false" t="array" ref="D564:D564">_xlfn.XLOOKUP($A564,TRIM(SUBSTITUTE('worker file'!$A$2:$A$406,_xlfn.UNICHAR(160)," ")),'worker file'!$Q$2:$Q$406,"Not found")</f>
        <v>Active</v>
      </c>
      <c r="E564" s="39" t="s">
        <v>634</v>
      </c>
      <c r="F564" s="38" t="str">
        <f aca="false">_xlfn.XLOOKUP($E564,$A$5:$A$8,$B$5:$B$8,"")</f>
        <v>Vision – Employee</v>
      </c>
      <c r="G564" s="38" t="str">
        <f aca="false">_xlfn.XLOOKUP($E564,$A$5:$A$8,$D$5:$D$8,"")</f>
        <v>Pre-tax Section 125 (exempt from FIT/SIT/FICA)</v>
      </c>
      <c r="H564" s="38" t="str">
        <f aca="false">_xlfn.XLOOKUP($E564,$A$5:$A$8,$E$5:$E$8,"")</f>
        <v>Flat</v>
      </c>
      <c r="I564" s="44" t="str">
        <f aca="false">IF($H564="Percent",_xlfn.XLOOKUP($E564,$A$5:$A$8,$F$5:$F$8,""),"")</f>
        <v/>
      </c>
      <c r="J564" s="42" t="n">
        <f aca="false">IF($H564="Flat",_xlfn.XLOOKUP($E564,$A$5:$A$8,$F$5:$F$8,""),"")</f>
        <v>30</v>
      </c>
      <c r="K564" s="38" t="str">
        <f aca="false">_xlfn.XLOOKUP($E564,$A$5:$A$8,$G$5:$G$8,"")</f>
        <v>Per pay period</v>
      </c>
      <c r="L564" s="38" t="str">
        <f aca="false">_xlfn.XLOOKUP($E564,$A$5:$A$8,$H$5:$H$8,"")</f>
        <v>Every pay period (ongoing)</v>
      </c>
      <c r="M564" s="43" t="n">
        <f aca="false" t="array" ref="M564:M564">MAX(_xlfn.XLOOKUP($A564,TRIM(SUBSTITUTE('worker file'!$A$2:$A$406,_xlfn.UNICHAR(160)," ")),'worker file'!$M$2:$M$406,0),_xlfn.XLOOKUP($B564,TRIM('pay group &amp; schedule'!$A$2:$A$6),'pay group &amp; schedule'!$D$2:$D$6,0))</f>
        <v>46299</v>
      </c>
      <c r="N564" s="43" t="str">
        <f aca="false" t="array" ref="N564:N564">_xlfn.LET(_xlpm.t,_xlfn.XLOOKUP($A564,TRIM(SUBSTITUTE('worker file'!$A$2:$A$406,_xlfn.UNICHAR(160)," ")),'worker file'!$N$2:$N$406,""),IF(N(_xlpm.t)=0,"",_xlpm.t))</f>
        <v/>
      </c>
    </row>
    <row r="565" customFormat="false" ht="15" hidden="false" customHeight="false" outlineLevel="0" collapsed="false">
      <c r="A565" s="39" t="s">
        <v>301</v>
      </c>
      <c r="B565" s="40" t="str">
        <f aca="false" t="array" ref="B565:B565">_xlfn.XLOOKUP($A565,TRIM(SUBSTITUTE('worker file'!$A$2:$A$406,_xlfn.UNICHAR(160)," ")),'worker file'!$L$2:$L$406,"Not found")</f>
        <v>US Semi-monthly</v>
      </c>
      <c r="C565" s="40" t="str">
        <f aca="false" t="array" ref="C565:C565">_xlfn.XLOOKUP($A565,TRIM(SUBSTITUTE('worker file'!$A$2:$A$406,_xlfn.UNICHAR(160)," ")),'worker file'!$D$2:$D$406,"Not found")</f>
        <v>MA</v>
      </c>
      <c r="D565" s="40" t="str">
        <f aca="false" t="array" ref="D565:D565">_xlfn.XLOOKUP($A565,TRIM(SUBSTITUTE('worker file'!$A$2:$A$406,_xlfn.UNICHAR(160)," ")),'worker file'!$Q$2:$Q$406,"Not found")</f>
        <v>Active</v>
      </c>
      <c r="E565" s="39" t="s">
        <v>618</v>
      </c>
      <c r="F565" s="38" t="str">
        <f aca="false">_xlfn.XLOOKUP($E565,$A$5:$A$8,$B$5:$B$8,"")</f>
        <v>401(k) Employee Deferral</v>
      </c>
      <c r="G565" s="38" t="str">
        <f aca="false">_xlfn.XLOOKUP($E565,$A$5:$A$8,$D$5:$D$8,"")</f>
        <v>Pre-tax (exempt from FIT/SIT; subject to FICA)</v>
      </c>
      <c r="H565" s="38" t="str">
        <f aca="false">_xlfn.XLOOKUP($E565,$A$5:$A$8,$E$5:$E$8,"")</f>
        <v>Percent</v>
      </c>
      <c r="I565" s="41" t="n">
        <v>0.01</v>
      </c>
      <c r="J565" s="42" t="str">
        <f aca="false">IF($H565="Flat",_xlfn.XLOOKUP($E565,$A$5:$A$8,$F$5:$F$8,""),"")</f>
        <v/>
      </c>
      <c r="K565" s="38" t="str">
        <f aca="false">_xlfn.XLOOKUP($E565,$A$5:$A$8,$G$5:$G$8,"")</f>
        <v>Gross pay</v>
      </c>
      <c r="L565" s="38" t="str">
        <f aca="false">_xlfn.XLOOKUP($E565,$A$5:$A$8,$H$5:$H$8,"")</f>
        <v>Every pay period (ongoing)</v>
      </c>
      <c r="M565" s="43" t="n">
        <f aca="false" t="array" ref="M565:M565">MAX(_xlfn.XLOOKUP($A565,TRIM(SUBSTITUTE('worker file'!$A$2:$A$406,_xlfn.UNICHAR(160)," ")),'worker file'!$M$2:$M$406,0),_xlfn.XLOOKUP($B565,TRIM('pay group &amp; schedule'!$A$2:$A$6),'pay group &amp; schedule'!$D$2:$D$6,0))</f>
        <v>46311</v>
      </c>
      <c r="N565" s="43" t="str">
        <f aca="false" t="array" ref="N565:N565">_xlfn.LET(_xlpm.t,_xlfn.XLOOKUP($A565,TRIM(SUBSTITUTE('worker file'!$A$2:$A$406,_xlfn.UNICHAR(160)," ")),'worker file'!$N$2:$N$406,""),IF(N(_xlpm.t)=0,"",_xlpm.t))</f>
        <v/>
      </c>
    </row>
    <row r="566" customFormat="false" ht="15" hidden="false" customHeight="false" outlineLevel="0" collapsed="false">
      <c r="A566" s="39" t="s">
        <v>301</v>
      </c>
      <c r="B566" s="40" t="str">
        <f aca="false" t="array" ref="B566:B566">_xlfn.XLOOKUP($A566,TRIM(SUBSTITUTE('worker file'!$A$2:$A$406,_xlfn.UNICHAR(160)," ")),'worker file'!$L$2:$L$406,"Not found")</f>
        <v>US Semi-monthly</v>
      </c>
      <c r="C566" s="40" t="str">
        <f aca="false" t="array" ref="C566:C566">_xlfn.XLOOKUP($A566,TRIM(SUBSTITUTE('worker file'!$A$2:$A$406,_xlfn.UNICHAR(160)," ")),'worker file'!$D$2:$D$406,"Not found")</f>
        <v>MA</v>
      </c>
      <c r="D566" s="40" t="str">
        <f aca="false" t="array" ref="D566:D566">_xlfn.XLOOKUP($A566,TRIM(SUBSTITUTE('worker file'!$A$2:$A$406,_xlfn.UNICHAR(160)," ")),'worker file'!$Q$2:$Q$406,"Not found")</f>
        <v>Active</v>
      </c>
      <c r="E566" s="39" t="s">
        <v>626</v>
      </c>
      <c r="F566" s="38" t="str">
        <f aca="false">_xlfn.XLOOKUP($E566,$A$5:$A$8,$B$5:$B$8,"")</f>
        <v>Medical (Health) – Employee</v>
      </c>
      <c r="G566" s="38" t="str">
        <f aca="false">_xlfn.XLOOKUP($E566,$A$5:$A$8,$D$5:$D$8,"")</f>
        <v>Pre-tax Section 125 (exempt from FIT/SIT/FICA)</v>
      </c>
      <c r="H566" s="38" t="str">
        <f aca="false">_xlfn.XLOOKUP($E566,$A$5:$A$8,$E$5:$E$8,"")</f>
        <v>Flat</v>
      </c>
      <c r="I566" s="44" t="str">
        <f aca="false">IF($H566="Percent",_xlfn.XLOOKUP($E566,$A$5:$A$8,$F$5:$F$8,""),"")</f>
        <v/>
      </c>
      <c r="J566" s="42" t="n">
        <f aca="false">IF($H566="Flat",_xlfn.XLOOKUP($E566,$A$5:$A$8,$F$5:$F$8,""),"")</f>
        <v>200</v>
      </c>
      <c r="K566" s="38" t="str">
        <f aca="false">_xlfn.XLOOKUP($E566,$A$5:$A$8,$G$5:$G$8,"")</f>
        <v>Per pay period</v>
      </c>
      <c r="L566" s="38" t="str">
        <f aca="false">_xlfn.XLOOKUP($E566,$A$5:$A$8,$H$5:$H$8,"")</f>
        <v>Every pay period (ongoing)</v>
      </c>
      <c r="M566" s="43" t="n">
        <f aca="false" t="array" ref="M566:M566">MAX(_xlfn.XLOOKUP($A566,TRIM(SUBSTITUTE('worker file'!$A$2:$A$406,_xlfn.UNICHAR(160)," ")),'worker file'!$M$2:$M$406,0),_xlfn.XLOOKUP($B566,TRIM('pay group &amp; schedule'!$A$2:$A$6),'pay group &amp; schedule'!$D$2:$D$6,0))</f>
        <v>46311</v>
      </c>
      <c r="N566" s="43" t="str">
        <f aca="false" t="array" ref="N566:N566">_xlfn.LET(_xlpm.t,_xlfn.XLOOKUP($A566,TRIM(SUBSTITUTE('worker file'!$A$2:$A$406,_xlfn.UNICHAR(160)," ")),'worker file'!$N$2:$N$406,""),IF(N(_xlpm.t)=0,"",_xlpm.t))</f>
        <v/>
      </c>
    </row>
    <row r="567" customFormat="false" ht="15" hidden="false" customHeight="false" outlineLevel="0" collapsed="false">
      <c r="A567" s="39" t="s">
        <v>301</v>
      </c>
      <c r="B567" s="40" t="str">
        <f aca="false" t="array" ref="B567:B567">_xlfn.XLOOKUP($A567,TRIM(SUBSTITUTE('worker file'!$A$2:$A$406,_xlfn.UNICHAR(160)," ")),'worker file'!$L$2:$L$406,"Not found")</f>
        <v>US Semi-monthly</v>
      </c>
      <c r="C567" s="40" t="str">
        <f aca="false" t="array" ref="C567:C567">_xlfn.XLOOKUP($A567,TRIM(SUBSTITUTE('worker file'!$A$2:$A$406,_xlfn.UNICHAR(160)," ")),'worker file'!$D$2:$D$406,"Not found")</f>
        <v>MA</v>
      </c>
      <c r="D567" s="40" t="str">
        <f aca="false" t="array" ref="D567:D567">_xlfn.XLOOKUP($A567,TRIM(SUBSTITUTE('worker file'!$A$2:$A$406,_xlfn.UNICHAR(160)," ")),'worker file'!$Q$2:$Q$406,"Not found")</f>
        <v>Active</v>
      </c>
      <c r="E567" s="39" t="s">
        <v>632</v>
      </c>
      <c r="F567" s="38" t="str">
        <f aca="false">_xlfn.XLOOKUP($E567,$A$5:$A$8,$B$5:$B$8,"")</f>
        <v>Dental – Employee</v>
      </c>
      <c r="G567" s="38" t="str">
        <f aca="false">_xlfn.XLOOKUP($E567,$A$5:$A$8,$D$5:$D$8,"")</f>
        <v>Pre-tax Section 125 (exempt from FIT/SIT/FICA)</v>
      </c>
      <c r="H567" s="38" t="str">
        <f aca="false">_xlfn.XLOOKUP($E567,$A$5:$A$8,$E$5:$E$8,"")</f>
        <v>Flat</v>
      </c>
      <c r="I567" s="44" t="str">
        <f aca="false">IF($H567="Percent",_xlfn.XLOOKUP($E567,$A$5:$A$8,$F$5:$F$8,""),"")</f>
        <v/>
      </c>
      <c r="J567" s="42" t="n">
        <f aca="false">IF($H567="Flat",_xlfn.XLOOKUP($E567,$A$5:$A$8,$F$5:$F$8,""),"")</f>
        <v>44</v>
      </c>
      <c r="K567" s="38" t="str">
        <f aca="false">_xlfn.XLOOKUP($E567,$A$5:$A$8,$G$5:$G$8,"")</f>
        <v>Per pay period</v>
      </c>
      <c r="L567" s="38" t="str">
        <f aca="false">_xlfn.XLOOKUP($E567,$A$5:$A$8,$H$5:$H$8,"")</f>
        <v>Every pay period (ongoing)</v>
      </c>
      <c r="M567" s="43" t="n">
        <f aca="false" t="array" ref="M567:M567">MAX(_xlfn.XLOOKUP($A567,TRIM(SUBSTITUTE('worker file'!$A$2:$A$406,_xlfn.UNICHAR(160)," ")),'worker file'!$M$2:$M$406,0),_xlfn.XLOOKUP($B567,TRIM('pay group &amp; schedule'!$A$2:$A$6),'pay group &amp; schedule'!$D$2:$D$6,0))</f>
        <v>46311</v>
      </c>
      <c r="N567" s="43" t="str">
        <f aca="false" t="array" ref="N567:N567">_xlfn.LET(_xlpm.t,_xlfn.XLOOKUP($A567,TRIM(SUBSTITUTE('worker file'!$A$2:$A$406,_xlfn.UNICHAR(160)," ")),'worker file'!$N$2:$N$406,""),IF(N(_xlpm.t)=0,"",_xlpm.t))</f>
        <v/>
      </c>
    </row>
    <row r="568" customFormat="false" ht="15" hidden="false" customHeight="false" outlineLevel="0" collapsed="false">
      <c r="A568" s="39" t="s">
        <v>301</v>
      </c>
      <c r="B568" s="40" t="str">
        <f aca="false" t="array" ref="B568:B568">_xlfn.XLOOKUP($A568,TRIM(SUBSTITUTE('worker file'!$A$2:$A$406,_xlfn.UNICHAR(160)," ")),'worker file'!$L$2:$L$406,"Not found")</f>
        <v>US Semi-monthly</v>
      </c>
      <c r="C568" s="40" t="str">
        <f aca="false" t="array" ref="C568:C568">_xlfn.XLOOKUP($A568,TRIM(SUBSTITUTE('worker file'!$A$2:$A$406,_xlfn.UNICHAR(160)," ")),'worker file'!$D$2:$D$406,"Not found")</f>
        <v>MA</v>
      </c>
      <c r="D568" s="40" t="str">
        <f aca="false" t="array" ref="D568:D568">_xlfn.XLOOKUP($A568,TRIM(SUBSTITUTE('worker file'!$A$2:$A$406,_xlfn.UNICHAR(160)," ")),'worker file'!$Q$2:$Q$406,"Not found")</f>
        <v>Active</v>
      </c>
      <c r="E568" s="39" t="s">
        <v>634</v>
      </c>
      <c r="F568" s="38" t="str">
        <f aca="false">_xlfn.XLOOKUP($E568,$A$5:$A$8,$B$5:$B$8,"")</f>
        <v>Vision – Employee</v>
      </c>
      <c r="G568" s="38" t="str">
        <f aca="false">_xlfn.XLOOKUP($E568,$A$5:$A$8,$D$5:$D$8,"")</f>
        <v>Pre-tax Section 125 (exempt from FIT/SIT/FICA)</v>
      </c>
      <c r="H568" s="38" t="str">
        <f aca="false">_xlfn.XLOOKUP($E568,$A$5:$A$8,$E$5:$E$8,"")</f>
        <v>Flat</v>
      </c>
      <c r="I568" s="44" t="str">
        <f aca="false">IF($H568="Percent",_xlfn.XLOOKUP($E568,$A$5:$A$8,$F$5:$F$8,""),"")</f>
        <v/>
      </c>
      <c r="J568" s="42" t="n">
        <f aca="false">IF($H568="Flat",_xlfn.XLOOKUP($E568,$A$5:$A$8,$F$5:$F$8,""),"")</f>
        <v>30</v>
      </c>
      <c r="K568" s="38" t="str">
        <f aca="false">_xlfn.XLOOKUP($E568,$A$5:$A$8,$G$5:$G$8,"")</f>
        <v>Per pay period</v>
      </c>
      <c r="L568" s="38" t="str">
        <f aca="false">_xlfn.XLOOKUP($E568,$A$5:$A$8,$H$5:$H$8,"")</f>
        <v>Every pay period (ongoing)</v>
      </c>
      <c r="M568" s="43" t="n">
        <f aca="false" t="array" ref="M568:M568">MAX(_xlfn.XLOOKUP($A568,TRIM(SUBSTITUTE('worker file'!$A$2:$A$406,_xlfn.UNICHAR(160)," ")),'worker file'!$M$2:$M$406,0),_xlfn.XLOOKUP($B568,TRIM('pay group &amp; schedule'!$A$2:$A$6),'pay group &amp; schedule'!$D$2:$D$6,0))</f>
        <v>46311</v>
      </c>
      <c r="N568" s="43" t="str">
        <f aca="false" t="array" ref="N568:N568">_xlfn.LET(_xlpm.t,_xlfn.XLOOKUP($A568,TRIM(SUBSTITUTE('worker file'!$A$2:$A$406,_xlfn.UNICHAR(160)," ")),'worker file'!$N$2:$N$406,""),IF(N(_xlpm.t)=0,"",_xlpm.t))</f>
        <v/>
      </c>
    </row>
    <row r="569" customFormat="false" ht="15" hidden="false" customHeight="false" outlineLevel="0" collapsed="false">
      <c r="A569" s="39" t="s">
        <v>303</v>
      </c>
      <c r="B569" s="40" t="str">
        <f aca="false" t="array" ref="B569:B569">_xlfn.XLOOKUP($A569,TRIM(SUBSTITUTE('worker file'!$A$2:$A$406,_xlfn.UNICHAR(160)," ")),'worker file'!$L$2:$L$406,"Not found")</f>
        <v>US Semi-monthly</v>
      </c>
      <c r="C569" s="40" t="str">
        <f aca="false" t="array" ref="C569:C569">_xlfn.XLOOKUP($A569,TRIM(SUBSTITUTE('worker file'!$A$2:$A$406,_xlfn.UNICHAR(160)," ")),'worker file'!$D$2:$D$406,"Not found")</f>
        <v>CA</v>
      </c>
      <c r="D569" s="40" t="str">
        <f aca="false" t="array" ref="D569:D569">_xlfn.XLOOKUP($A569,TRIM(SUBSTITUTE('worker file'!$A$2:$A$406,_xlfn.UNICHAR(160)," ")),'worker file'!$Q$2:$Q$406,"Not found")</f>
        <v>Active</v>
      </c>
      <c r="E569" s="39" t="s">
        <v>618</v>
      </c>
      <c r="F569" s="38" t="str">
        <f aca="false">_xlfn.XLOOKUP($E569,$A$5:$A$8,$B$5:$B$8,"")</f>
        <v>401(k) Employee Deferral</v>
      </c>
      <c r="G569" s="38" t="str">
        <f aca="false">_xlfn.XLOOKUP($E569,$A$5:$A$8,$D$5:$D$8,"")</f>
        <v>Pre-tax (exempt from FIT/SIT; subject to FICA)</v>
      </c>
      <c r="H569" s="38" t="str">
        <f aca="false">_xlfn.XLOOKUP($E569,$A$5:$A$8,$E$5:$E$8,"")</f>
        <v>Percent</v>
      </c>
      <c r="I569" s="41" t="n">
        <v>0.06</v>
      </c>
      <c r="J569" s="42" t="str">
        <f aca="false">IF($H569="Flat",_xlfn.XLOOKUP($E569,$A$5:$A$8,$F$5:$F$8,""),"")</f>
        <v/>
      </c>
      <c r="K569" s="38" t="str">
        <f aca="false">_xlfn.XLOOKUP($E569,$A$5:$A$8,$G$5:$G$8,"")</f>
        <v>Gross pay</v>
      </c>
      <c r="L569" s="38" t="str">
        <f aca="false">_xlfn.XLOOKUP($E569,$A$5:$A$8,$H$5:$H$8,"")</f>
        <v>Every pay period (ongoing)</v>
      </c>
      <c r="M569" s="43" t="n">
        <f aca="false" t="array" ref="M569:M569">MAX(_xlfn.XLOOKUP($A569,TRIM(SUBSTITUTE('worker file'!$A$2:$A$406,_xlfn.UNICHAR(160)," ")),'worker file'!$M$2:$M$406,0),_xlfn.XLOOKUP($B569,TRIM('pay group &amp; schedule'!$A$2:$A$6),'pay group &amp; schedule'!$D$2:$D$6,0))</f>
        <v>46311</v>
      </c>
      <c r="N569" s="43" t="str">
        <f aca="false" t="array" ref="N569:N569">_xlfn.LET(_xlpm.t,_xlfn.XLOOKUP($A569,TRIM(SUBSTITUTE('worker file'!$A$2:$A$406,_xlfn.UNICHAR(160)," ")),'worker file'!$N$2:$N$406,""),IF(N(_xlpm.t)=0,"",_xlpm.t))</f>
        <v/>
      </c>
    </row>
    <row r="570" customFormat="false" ht="15" hidden="false" customHeight="false" outlineLevel="0" collapsed="false">
      <c r="A570" s="39" t="s">
        <v>303</v>
      </c>
      <c r="B570" s="40" t="str">
        <f aca="false" t="array" ref="B570:B570">_xlfn.XLOOKUP($A570,TRIM(SUBSTITUTE('worker file'!$A$2:$A$406,_xlfn.UNICHAR(160)," ")),'worker file'!$L$2:$L$406,"Not found")</f>
        <v>US Semi-monthly</v>
      </c>
      <c r="C570" s="40" t="str">
        <f aca="false" t="array" ref="C570:C570">_xlfn.XLOOKUP($A570,TRIM(SUBSTITUTE('worker file'!$A$2:$A$406,_xlfn.UNICHAR(160)," ")),'worker file'!$D$2:$D$406,"Not found")</f>
        <v>CA</v>
      </c>
      <c r="D570" s="40" t="str">
        <f aca="false" t="array" ref="D570:D570">_xlfn.XLOOKUP($A570,TRIM(SUBSTITUTE('worker file'!$A$2:$A$406,_xlfn.UNICHAR(160)," ")),'worker file'!$Q$2:$Q$406,"Not found")</f>
        <v>Active</v>
      </c>
      <c r="E570" s="39" t="s">
        <v>626</v>
      </c>
      <c r="F570" s="38" t="str">
        <f aca="false">_xlfn.XLOOKUP($E570,$A$5:$A$8,$B$5:$B$8,"")</f>
        <v>Medical (Health) – Employee</v>
      </c>
      <c r="G570" s="38" t="str">
        <f aca="false">_xlfn.XLOOKUP($E570,$A$5:$A$8,$D$5:$D$8,"")</f>
        <v>Pre-tax Section 125 (exempt from FIT/SIT/FICA)</v>
      </c>
      <c r="H570" s="38" t="str">
        <f aca="false">_xlfn.XLOOKUP($E570,$A$5:$A$8,$E$5:$E$8,"")</f>
        <v>Flat</v>
      </c>
      <c r="I570" s="44" t="str">
        <f aca="false">IF($H570="Percent",_xlfn.XLOOKUP($E570,$A$5:$A$8,$F$5:$F$8,""),"")</f>
        <v/>
      </c>
      <c r="J570" s="42" t="n">
        <f aca="false">IF($H570="Flat",_xlfn.XLOOKUP($E570,$A$5:$A$8,$F$5:$F$8,""),"")</f>
        <v>200</v>
      </c>
      <c r="K570" s="38" t="str">
        <f aca="false">_xlfn.XLOOKUP($E570,$A$5:$A$8,$G$5:$G$8,"")</f>
        <v>Per pay period</v>
      </c>
      <c r="L570" s="38" t="str">
        <f aca="false">_xlfn.XLOOKUP($E570,$A$5:$A$8,$H$5:$H$8,"")</f>
        <v>Every pay period (ongoing)</v>
      </c>
      <c r="M570" s="43" t="n">
        <f aca="false" t="array" ref="M570:M570">MAX(_xlfn.XLOOKUP($A570,TRIM(SUBSTITUTE('worker file'!$A$2:$A$406,_xlfn.UNICHAR(160)," ")),'worker file'!$M$2:$M$406,0),_xlfn.XLOOKUP($B570,TRIM('pay group &amp; schedule'!$A$2:$A$6),'pay group &amp; schedule'!$D$2:$D$6,0))</f>
        <v>46311</v>
      </c>
      <c r="N570" s="43" t="str">
        <f aca="false" t="array" ref="N570:N570">_xlfn.LET(_xlpm.t,_xlfn.XLOOKUP($A570,TRIM(SUBSTITUTE('worker file'!$A$2:$A$406,_xlfn.UNICHAR(160)," ")),'worker file'!$N$2:$N$406,""),IF(N(_xlpm.t)=0,"",_xlpm.t))</f>
        <v/>
      </c>
    </row>
    <row r="571" customFormat="false" ht="15" hidden="false" customHeight="false" outlineLevel="0" collapsed="false">
      <c r="A571" s="39" t="s">
        <v>303</v>
      </c>
      <c r="B571" s="40" t="str">
        <f aca="false" t="array" ref="B571:B571">_xlfn.XLOOKUP($A571,TRIM(SUBSTITUTE('worker file'!$A$2:$A$406,_xlfn.UNICHAR(160)," ")),'worker file'!$L$2:$L$406,"Not found")</f>
        <v>US Semi-monthly</v>
      </c>
      <c r="C571" s="40" t="str">
        <f aca="false" t="array" ref="C571:C571">_xlfn.XLOOKUP($A571,TRIM(SUBSTITUTE('worker file'!$A$2:$A$406,_xlfn.UNICHAR(160)," ")),'worker file'!$D$2:$D$406,"Not found")</f>
        <v>CA</v>
      </c>
      <c r="D571" s="40" t="str">
        <f aca="false" t="array" ref="D571:D571">_xlfn.XLOOKUP($A571,TRIM(SUBSTITUTE('worker file'!$A$2:$A$406,_xlfn.UNICHAR(160)," ")),'worker file'!$Q$2:$Q$406,"Not found")</f>
        <v>Active</v>
      </c>
      <c r="E571" s="39" t="s">
        <v>632</v>
      </c>
      <c r="F571" s="38" t="str">
        <f aca="false">_xlfn.XLOOKUP($E571,$A$5:$A$8,$B$5:$B$8,"")</f>
        <v>Dental – Employee</v>
      </c>
      <c r="G571" s="38" t="str">
        <f aca="false">_xlfn.XLOOKUP($E571,$A$5:$A$8,$D$5:$D$8,"")</f>
        <v>Pre-tax Section 125 (exempt from FIT/SIT/FICA)</v>
      </c>
      <c r="H571" s="38" t="str">
        <f aca="false">_xlfn.XLOOKUP($E571,$A$5:$A$8,$E$5:$E$8,"")</f>
        <v>Flat</v>
      </c>
      <c r="I571" s="44" t="str">
        <f aca="false">IF($H571="Percent",_xlfn.XLOOKUP($E571,$A$5:$A$8,$F$5:$F$8,""),"")</f>
        <v/>
      </c>
      <c r="J571" s="42" t="n">
        <f aca="false">IF($H571="Flat",_xlfn.XLOOKUP($E571,$A$5:$A$8,$F$5:$F$8,""),"")</f>
        <v>44</v>
      </c>
      <c r="K571" s="38" t="str">
        <f aca="false">_xlfn.XLOOKUP($E571,$A$5:$A$8,$G$5:$G$8,"")</f>
        <v>Per pay period</v>
      </c>
      <c r="L571" s="38" t="str">
        <f aca="false">_xlfn.XLOOKUP($E571,$A$5:$A$8,$H$5:$H$8,"")</f>
        <v>Every pay period (ongoing)</v>
      </c>
      <c r="M571" s="43" t="n">
        <f aca="false" t="array" ref="M571:M571">MAX(_xlfn.XLOOKUP($A571,TRIM(SUBSTITUTE('worker file'!$A$2:$A$406,_xlfn.UNICHAR(160)," ")),'worker file'!$M$2:$M$406,0),_xlfn.XLOOKUP($B571,TRIM('pay group &amp; schedule'!$A$2:$A$6),'pay group &amp; schedule'!$D$2:$D$6,0))</f>
        <v>46311</v>
      </c>
      <c r="N571" s="43" t="str">
        <f aca="false" t="array" ref="N571:N571">_xlfn.LET(_xlpm.t,_xlfn.XLOOKUP($A571,TRIM(SUBSTITUTE('worker file'!$A$2:$A$406,_xlfn.UNICHAR(160)," ")),'worker file'!$N$2:$N$406,""),IF(N(_xlpm.t)=0,"",_xlpm.t))</f>
        <v/>
      </c>
    </row>
    <row r="572" customFormat="false" ht="15" hidden="false" customHeight="false" outlineLevel="0" collapsed="false">
      <c r="A572" s="39" t="s">
        <v>303</v>
      </c>
      <c r="B572" s="40" t="str">
        <f aca="false" t="array" ref="B572:B572">_xlfn.XLOOKUP($A572,TRIM(SUBSTITUTE('worker file'!$A$2:$A$406,_xlfn.UNICHAR(160)," ")),'worker file'!$L$2:$L$406,"Not found")</f>
        <v>US Semi-monthly</v>
      </c>
      <c r="C572" s="40" t="str">
        <f aca="false" t="array" ref="C572:C572">_xlfn.XLOOKUP($A572,TRIM(SUBSTITUTE('worker file'!$A$2:$A$406,_xlfn.UNICHAR(160)," ")),'worker file'!$D$2:$D$406,"Not found")</f>
        <v>CA</v>
      </c>
      <c r="D572" s="40" t="str">
        <f aca="false" t="array" ref="D572:D572">_xlfn.XLOOKUP($A572,TRIM(SUBSTITUTE('worker file'!$A$2:$A$406,_xlfn.UNICHAR(160)," ")),'worker file'!$Q$2:$Q$406,"Not found")</f>
        <v>Active</v>
      </c>
      <c r="E572" s="39" t="s">
        <v>634</v>
      </c>
      <c r="F572" s="38" t="str">
        <f aca="false">_xlfn.XLOOKUP($E572,$A$5:$A$8,$B$5:$B$8,"")</f>
        <v>Vision – Employee</v>
      </c>
      <c r="G572" s="38" t="str">
        <f aca="false">_xlfn.XLOOKUP($E572,$A$5:$A$8,$D$5:$D$8,"")</f>
        <v>Pre-tax Section 125 (exempt from FIT/SIT/FICA)</v>
      </c>
      <c r="H572" s="38" t="str">
        <f aca="false">_xlfn.XLOOKUP($E572,$A$5:$A$8,$E$5:$E$8,"")</f>
        <v>Flat</v>
      </c>
      <c r="I572" s="44" t="str">
        <f aca="false">IF($H572="Percent",_xlfn.XLOOKUP($E572,$A$5:$A$8,$F$5:$F$8,""),"")</f>
        <v/>
      </c>
      <c r="J572" s="42" t="n">
        <f aca="false">IF($H572="Flat",_xlfn.XLOOKUP($E572,$A$5:$A$8,$F$5:$F$8,""),"")</f>
        <v>30</v>
      </c>
      <c r="K572" s="38" t="str">
        <f aca="false">_xlfn.XLOOKUP($E572,$A$5:$A$8,$G$5:$G$8,"")</f>
        <v>Per pay period</v>
      </c>
      <c r="L572" s="38" t="str">
        <f aca="false">_xlfn.XLOOKUP($E572,$A$5:$A$8,$H$5:$H$8,"")</f>
        <v>Every pay period (ongoing)</v>
      </c>
      <c r="M572" s="43" t="n">
        <f aca="false" t="array" ref="M572:M572">MAX(_xlfn.XLOOKUP($A572,TRIM(SUBSTITUTE('worker file'!$A$2:$A$406,_xlfn.UNICHAR(160)," ")),'worker file'!$M$2:$M$406,0),_xlfn.XLOOKUP($B572,TRIM('pay group &amp; schedule'!$A$2:$A$6),'pay group &amp; schedule'!$D$2:$D$6,0))</f>
        <v>46311</v>
      </c>
      <c r="N572" s="43" t="str">
        <f aca="false" t="array" ref="N572:N572">_xlfn.LET(_xlpm.t,_xlfn.XLOOKUP($A572,TRIM(SUBSTITUTE('worker file'!$A$2:$A$406,_xlfn.UNICHAR(160)," ")),'worker file'!$N$2:$N$406,""),IF(N(_xlpm.t)=0,"",_xlpm.t))</f>
        <v/>
      </c>
    </row>
    <row r="573" customFormat="false" ht="15" hidden="false" customHeight="false" outlineLevel="0" collapsed="false">
      <c r="A573" s="39" t="s">
        <v>304</v>
      </c>
      <c r="B573" s="40" t="str">
        <f aca="false" t="array" ref="B573:B573">_xlfn.XLOOKUP($A573,TRIM(SUBSTITUTE('worker file'!$A$2:$A$406,_xlfn.UNICHAR(160)," ")),'worker file'!$L$2:$L$406,"Not found")</f>
        <v>US Semi-monthly</v>
      </c>
      <c r="C573" s="40" t="str">
        <f aca="false" t="array" ref="C573:C573">_xlfn.XLOOKUP($A573,TRIM(SUBSTITUTE('worker file'!$A$2:$A$406,_xlfn.UNICHAR(160)," ")),'worker file'!$D$2:$D$406,"Not found")</f>
        <v>CA</v>
      </c>
      <c r="D573" s="40" t="str">
        <f aca="false" t="array" ref="D573:D573">_xlfn.XLOOKUP($A573,TRIM(SUBSTITUTE('worker file'!$A$2:$A$406,_xlfn.UNICHAR(160)," ")),'worker file'!$Q$2:$Q$406,"Not found")</f>
        <v>Active</v>
      </c>
      <c r="E573" s="39" t="s">
        <v>618</v>
      </c>
      <c r="F573" s="38" t="str">
        <f aca="false">_xlfn.XLOOKUP($E573,$A$5:$A$8,$B$5:$B$8,"")</f>
        <v>401(k) Employee Deferral</v>
      </c>
      <c r="G573" s="38" t="str">
        <f aca="false">_xlfn.XLOOKUP($E573,$A$5:$A$8,$D$5:$D$8,"")</f>
        <v>Pre-tax (exempt from FIT/SIT; subject to FICA)</v>
      </c>
      <c r="H573" s="38" t="str">
        <f aca="false">_xlfn.XLOOKUP($E573,$A$5:$A$8,$E$5:$E$8,"")</f>
        <v>Percent</v>
      </c>
      <c r="I573" s="41" t="n">
        <v>0.03</v>
      </c>
      <c r="J573" s="42" t="str">
        <f aca="false">IF($H573="Flat",_xlfn.XLOOKUP($E573,$A$5:$A$8,$F$5:$F$8,""),"")</f>
        <v/>
      </c>
      <c r="K573" s="38" t="str">
        <f aca="false">_xlfn.XLOOKUP($E573,$A$5:$A$8,$G$5:$G$8,"")</f>
        <v>Gross pay</v>
      </c>
      <c r="L573" s="38" t="str">
        <f aca="false">_xlfn.XLOOKUP($E573,$A$5:$A$8,$H$5:$H$8,"")</f>
        <v>Every pay period (ongoing)</v>
      </c>
      <c r="M573" s="43" t="n">
        <f aca="false" t="array" ref="M573:M573">MAX(_xlfn.XLOOKUP($A573,TRIM(SUBSTITUTE('worker file'!$A$2:$A$406,_xlfn.UNICHAR(160)," ")),'worker file'!$M$2:$M$406,0),_xlfn.XLOOKUP($B573,TRIM('pay group &amp; schedule'!$A$2:$A$6),'pay group &amp; schedule'!$D$2:$D$6,0))</f>
        <v>46311</v>
      </c>
      <c r="N573" s="43" t="str">
        <f aca="false" t="array" ref="N573:N573">_xlfn.LET(_xlpm.t,_xlfn.XLOOKUP($A573,TRIM(SUBSTITUTE('worker file'!$A$2:$A$406,_xlfn.UNICHAR(160)," ")),'worker file'!$N$2:$N$406,""),IF(N(_xlpm.t)=0,"",_xlpm.t))</f>
        <v/>
      </c>
    </row>
    <row r="574" customFormat="false" ht="15" hidden="false" customHeight="false" outlineLevel="0" collapsed="false">
      <c r="A574" s="39" t="s">
        <v>304</v>
      </c>
      <c r="B574" s="40" t="str">
        <f aca="false" t="array" ref="B574:B574">_xlfn.XLOOKUP($A574,TRIM(SUBSTITUTE('worker file'!$A$2:$A$406,_xlfn.UNICHAR(160)," ")),'worker file'!$L$2:$L$406,"Not found")</f>
        <v>US Semi-monthly</v>
      </c>
      <c r="C574" s="40" t="str">
        <f aca="false" t="array" ref="C574:C574">_xlfn.XLOOKUP($A574,TRIM(SUBSTITUTE('worker file'!$A$2:$A$406,_xlfn.UNICHAR(160)," ")),'worker file'!$D$2:$D$406,"Not found")</f>
        <v>CA</v>
      </c>
      <c r="D574" s="40" t="str">
        <f aca="false" t="array" ref="D574:D574">_xlfn.XLOOKUP($A574,TRIM(SUBSTITUTE('worker file'!$A$2:$A$406,_xlfn.UNICHAR(160)," ")),'worker file'!$Q$2:$Q$406,"Not found")</f>
        <v>Active</v>
      </c>
      <c r="E574" s="39" t="s">
        <v>626</v>
      </c>
      <c r="F574" s="38" t="str">
        <f aca="false">_xlfn.XLOOKUP($E574,$A$5:$A$8,$B$5:$B$8,"")</f>
        <v>Medical (Health) – Employee</v>
      </c>
      <c r="G574" s="38" t="str">
        <f aca="false">_xlfn.XLOOKUP($E574,$A$5:$A$8,$D$5:$D$8,"")</f>
        <v>Pre-tax Section 125 (exempt from FIT/SIT/FICA)</v>
      </c>
      <c r="H574" s="38" t="str">
        <f aca="false">_xlfn.XLOOKUP($E574,$A$5:$A$8,$E$5:$E$8,"")</f>
        <v>Flat</v>
      </c>
      <c r="I574" s="44" t="str">
        <f aca="false">IF($H574="Percent",_xlfn.XLOOKUP($E574,$A$5:$A$8,$F$5:$F$8,""),"")</f>
        <v/>
      </c>
      <c r="J574" s="42" t="n">
        <f aca="false">IF($H574="Flat",_xlfn.XLOOKUP($E574,$A$5:$A$8,$F$5:$F$8,""),"")</f>
        <v>200</v>
      </c>
      <c r="K574" s="38" t="str">
        <f aca="false">_xlfn.XLOOKUP($E574,$A$5:$A$8,$G$5:$G$8,"")</f>
        <v>Per pay period</v>
      </c>
      <c r="L574" s="38" t="str">
        <f aca="false">_xlfn.XLOOKUP($E574,$A$5:$A$8,$H$5:$H$8,"")</f>
        <v>Every pay period (ongoing)</v>
      </c>
      <c r="M574" s="43" t="n">
        <f aca="false" t="array" ref="M574:M574">MAX(_xlfn.XLOOKUP($A574,TRIM(SUBSTITUTE('worker file'!$A$2:$A$406,_xlfn.UNICHAR(160)," ")),'worker file'!$M$2:$M$406,0),_xlfn.XLOOKUP($B574,TRIM('pay group &amp; schedule'!$A$2:$A$6),'pay group &amp; schedule'!$D$2:$D$6,0))</f>
        <v>46311</v>
      </c>
      <c r="N574" s="43" t="str">
        <f aca="false" t="array" ref="N574:N574">_xlfn.LET(_xlpm.t,_xlfn.XLOOKUP($A574,TRIM(SUBSTITUTE('worker file'!$A$2:$A$406,_xlfn.UNICHAR(160)," ")),'worker file'!$N$2:$N$406,""),IF(N(_xlpm.t)=0,"",_xlpm.t))</f>
        <v/>
      </c>
    </row>
    <row r="575" customFormat="false" ht="15" hidden="false" customHeight="false" outlineLevel="0" collapsed="false">
      <c r="A575" s="39" t="s">
        <v>304</v>
      </c>
      <c r="B575" s="40" t="str">
        <f aca="false" t="array" ref="B575:B575">_xlfn.XLOOKUP($A575,TRIM(SUBSTITUTE('worker file'!$A$2:$A$406,_xlfn.UNICHAR(160)," ")),'worker file'!$L$2:$L$406,"Not found")</f>
        <v>US Semi-monthly</v>
      </c>
      <c r="C575" s="40" t="str">
        <f aca="false" t="array" ref="C575:C575">_xlfn.XLOOKUP($A575,TRIM(SUBSTITUTE('worker file'!$A$2:$A$406,_xlfn.UNICHAR(160)," ")),'worker file'!$D$2:$D$406,"Not found")</f>
        <v>CA</v>
      </c>
      <c r="D575" s="40" t="str">
        <f aca="false" t="array" ref="D575:D575">_xlfn.XLOOKUP($A575,TRIM(SUBSTITUTE('worker file'!$A$2:$A$406,_xlfn.UNICHAR(160)," ")),'worker file'!$Q$2:$Q$406,"Not found")</f>
        <v>Active</v>
      </c>
      <c r="E575" s="39" t="s">
        <v>632</v>
      </c>
      <c r="F575" s="38" t="str">
        <f aca="false">_xlfn.XLOOKUP($E575,$A$5:$A$8,$B$5:$B$8,"")</f>
        <v>Dental – Employee</v>
      </c>
      <c r="G575" s="38" t="str">
        <f aca="false">_xlfn.XLOOKUP($E575,$A$5:$A$8,$D$5:$D$8,"")</f>
        <v>Pre-tax Section 125 (exempt from FIT/SIT/FICA)</v>
      </c>
      <c r="H575" s="38" t="str">
        <f aca="false">_xlfn.XLOOKUP($E575,$A$5:$A$8,$E$5:$E$8,"")</f>
        <v>Flat</v>
      </c>
      <c r="I575" s="44" t="str">
        <f aca="false">IF($H575="Percent",_xlfn.XLOOKUP($E575,$A$5:$A$8,$F$5:$F$8,""),"")</f>
        <v/>
      </c>
      <c r="J575" s="42" t="n">
        <f aca="false">IF($H575="Flat",_xlfn.XLOOKUP($E575,$A$5:$A$8,$F$5:$F$8,""),"")</f>
        <v>44</v>
      </c>
      <c r="K575" s="38" t="str">
        <f aca="false">_xlfn.XLOOKUP($E575,$A$5:$A$8,$G$5:$G$8,"")</f>
        <v>Per pay period</v>
      </c>
      <c r="L575" s="38" t="str">
        <f aca="false">_xlfn.XLOOKUP($E575,$A$5:$A$8,$H$5:$H$8,"")</f>
        <v>Every pay period (ongoing)</v>
      </c>
      <c r="M575" s="43" t="n">
        <f aca="false" t="array" ref="M575:M575">MAX(_xlfn.XLOOKUP($A575,TRIM(SUBSTITUTE('worker file'!$A$2:$A$406,_xlfn.UNICHAR(160)," ")),'worker file'!$M$2:$M$406,0),_xlfn.XLOOKUP($B575,TRIM('pay group &amp; schedule'!$A$2:$A$6),'pay group &amp; schedule'!$D$2:$D$6,0))</f>
        <v>46311</v>
      </c>
      <c r="N575" s="43" t="str">
        <f aca="false" t="array" ref="N575:N575">_xlfn.LET(_xlpm.t,_xlfn.XLOOKUP($A575,TRIM(SUBSTITUTE('worker file'!$A$2:$A$406,_xlfn.UNICHAR(160)," ")),'worker file'!$N$2:$N$406,""),IF(N(_xlpm.t)=0,"",_xlpm.t))</f>
        <v/>
      </c>
    </row>
    <row r="576" customFormat="false" ht="15" hidden="false" customHeight="false" outlineLevel="0" collapsed="false">
      <c r="A576" s="39" t="s">
        <v>304</v>
      </c>
      <c r="B576" s="40" t="str">
        <f aca="false" t="array" ref="B576:B576">_xlfn.XLOOKUP($A576,TRIM(SUBSTITUTE('worker file'!$A$2:$A$406,_xlfn.UNICHAR(160)," ")),'worker file'!$L$2:$L$406,"Not found")</f>
        <v>US Semi-monthly</v>
      </c>
      <c r="C576" s="40" t="str">
        <f aca="false" t="array" ref="C576:C576">_xlfn.XLOOKUP($A576,TRIM(SUBSTITUTE('worker file'!$A$2:$A$406,_xlfn.UNICHAR(160)," ")),'worker file'!$D$2:$D$406,"Not found")</f>
        <v>CA</v>
      </c>
      <c r="D576" s="40" t="str">
        <f aca="false" t="array" ref="D576:D576">_xlfn.XLOOKUP($A576,TRIM(SUBSTITUTE('worker file'!$A$2:$A$406,_xlfn.UNICHAR(160)," ")),'worker file'!$Q$2:$Q$406,"Not found")</f>
        <v>Active</v>
      </c>
      <c r="E576" s="39" t="s">
        <v>634</v>
      </c>
      <c r="F576" s="38" t="str">
        <f aca="false">_xlfn.XLOOKUP($E576,$A$5:$A$8,$B$5:$B$8,"")</f>
        <v>Vision – Employee</v>
      </c>
      <c r="G576" s="38" t="str">
        <f aca="false">_xlfn.XLOOKUP($E576,$A$5:$A$8,$D$5:$D$8,"")</f>
        <v>Pre-tax Section 125 (exempt from FIT/SIT/FICA)</v>
      </c>
      <c r="H576" s="38" t="str">
        <f aca="false">_xlfn.XLOOKUP($E576,$A$5:$A$8,$E$5:$E$8,"")</f>
        <v>Flat</v>
      </c>
      <c r="I576" s="44" t="str">
        <f aca="false">IF($H576="Percent",_xlfn.XLOOKUP($E576,$A$5:$A$8,$F$5:$F$8,""),"")</f>
        <v/>
      </c>
      <c r="J576" s="42" t="n">
        <f aca="false">IF($H576="Flat",_xlfn.XLOOKUP($E576,$A$5:$A$8,$F$5:$F$8,""),"")</f>
        <v>30</v>
      </c>
      <c r="K576" s="38" t="str">
        <f aca="false">_xlfn.XLOOKUP($E576,$A$5:$A$8,$G$5:$G$8,"")</f>
        <v>Per pay period</v>
      </c>
      <c r="L576" s="38" t="str">
        <f aca="false">_xlfn.XLOOKUP($E576,$A$5:$A$8,$H$5:$H$8,"")</f>
        <v>Every pay period (ongoing)</v>
      </c>
      <c r="M576" s="43" t="n">
        <f aca="false" t="array" ref="M576:M576">MAX(_xlfn.XLOOKUP($A576,TRIM(SUBSTITUTE('worker file'!$A$2:$A$406,_xlfn.UNICHAR(160)," ")),'worker file'!$M$2:$M$406,0),_xlfn.XLOOKUP($B576,TRIM('pay group &amp; schedule'!$A$2:$A$6),'pay group &amp; schedule'!$D$2:$D$6,0))</f>
        <v>46311</v>
      </c>
      <c r="N576" s="43" t="str">
        <f aca="false" t="array" ref="N576:N576">_xlfn.LET(_xlpm.t,_xlfn.XLOOKUP($A576,TRIM(SUBSTITUTE('worker file'!$A$2:$A$406,_xlfn.UNICHAR(160)," ")),'worker file'!$N$2:$N$406,""),IF(N(_xlpm.t)=0,"",_xlpm.t))</f>
        <v/>
      </c>
    </row>
    <row r="577" customFormat="false" ht="15" hidden="false" customHeight="false" outlineLevel="0" collapsed="false">
      <c r="A577" s="39" t="s">
        <v>305</v>
      </c>
      <c r="B577" s="40" t="str">
        <f aca="false" t="array" ref="B577:B577">_xlfn.XLOOKUP($A577,TRIM(SUBSTITUTE('worker file'!$A$2:$A$406,_xlfn.UNICHAR(160)," ")),'worker file'!$L$2:$L$406,"Not found")</f>
        <v>US Semi-monthly</v>
      </c>
      <c r="C577" s="40" t="str">
        <f aca="false" t="array" ref="C577:C577">_xlfn.XLOOKUP($A577,TRIM(SUBSTITUTE('worker file'!$A$2:$A$406,_xlfn.UNICHAR(160)," ")),'worker file'!$D$2:$D$406,"Not found")</f>
        <v>NY</v>
      </c>
      <c r="D577" s="40" t="str">
        <f aca="false" t="array" ref="D577:D577">_xlfn.XLOOKUP($A577,TRIM(SUBSTITUTE('worker file'!$A$2:$A$406,_xlfn.UNICHAR(160)," ")),'worker file'!$Q$2:$Q$406,"Not found")</f>
        <v>Active</v>
      </c>
      <c r="E577" s="39" t="s">
        <v>618</v>
      </c>
      <c r="F577" s="38" t="str">
        <f aca="false">_xlfn.XLOOKUP($E577,$A$5:$A$8,$B$5:$B$8,"")</f>
        <v>401(k) Employee Deferral</v>
      </c>
      <c r="G577" s="38" t="str">
        <f aca="false">_xlfn.XLOOKUP($E577,$A$5:$A$8,$D$5:$D$8,"")</f>
        <v>Pre-tax (exempt from FIT/SIT; subject to FICA)</v>
      </c>
      <c r="H577" s="38" t="str">
        <f aca="false">_xlfn.XLOOKUP($E577,$A$5:$A$8,$E$5:$E$8,"")</f>
        <v>Percent</v>
      </c>
      <c r="I577" s="41" t="n">
        <v>0</v>
      </c>
      <c r="J577" s="42" t="str">
        <f aca="false">IF($H577="Flat",_xlfn.XLOOKUP($E577,$A$5:$A$8,$F$5:$F$8,""),"")</f>
        <v/>
      </c>
      <c r="K577" s="38" t="str">
        <f aca="false">_xlfn.XLOOKUP($E577,$A$5:$A$8,$G$5:$G$8,"")</f>
        <v>Gross pay</v>
      </c>
      <c r="L577" s="38" t="str">
        <f aca="false">_xlfn.XLOOKUP($E577,$A$5:$A$8,$H$5:$H$8,"")</f>
        <v>Every pay period (ongoing)</v>
      </c>
      <c r="M577" s="43" t="n">
        <f aca="false" t="array" ref="M577:M577">MAX(_xlfn.XLOOKUP($A577,TRIM(SUBSTITUTE('worker file'!$A$2:$A$406,_xlfn.UNICHAR(160)," ")),'worker file'!$M$2:$M$406,0),_xlfn.XLOOKUP($B577,TRIM('pay group &amp; schedule'!$A$2:$A$6),'pay group &amp; schedule'!$D$2:$D$6,0))</f>
        <v>46311</v>
      </c>
      <c r="N577" s="43" t="str">
        <f aca="false" t="array" ref="N577:N577">_xlfn.LET(_xlpm.t,_xlfn.XLOOKUP($A577,TRIM(SUBSTITUTE('worker file'!$A$2:$A$406,_xlfn.UNICHAR(160)," ")),'worker file'!$N$2:$N$406,""),IF(N(_xlpm.t)=0,"",_xlpm.t))</f>
        <v/>
      </c>
    </row>
    <row r="578" customFormat="false" ht="15" hidden="false" customHeight="false" outlineLevel="0" collapsed="false">
      <c r="A578" s="39" t="s">
        <v>305</v>
      </c>
      <c r="B578" s="40" t="str">
        <f aca="false" t="array" ref="B578:B578">_xlfn.XLOOKUP($A578,TRIM(SUBSTITUTE('worker file'!$A$2:$A$406,_xlfn.UNICHAR(160)," ")),'worker file'!$L$2:$L$406,"Not found")</f>
        <v>US Semi-monthly</v>
      </c>
      <c r="C578" s="40" t="str">
        <f aca="false" t="array" ref="C578:C578">_xlfn.XLOOKUP($A578,TRIM(SUBSTITUTE('worker file'!$A$2:$A$406,_xlfn.UNICHAR(160)," ")),'worker file'!$D$2:$D$406,"Not found")</f>
        <v>NY</v>
      </c>
      <c r="D578" s="40" t="str">
        <f aca="false" t="array" ref="D578:D578">_xlfn.XLOOKUP($A578,TRIM(SUBSTITUTE('worker file'!$A$2:$A$406,_xlfn.UNICHAR(160)," ")),'worker file'!$Q$2:$Q$406,"Not found")</f>
        <v>Active</v>
      </c>
      <c r="E578" s="39" t="s">
        <v>626</v>
      </c>
      <c r="F578" s="38" t="str">
        <f aca="false">_xlfn.XLOOKUP($E578,$A$5:$A$8,$B$5:$B$8,"")</f>
        <v>Medical (Health) – Employee</v>
      </c>
      <c r="G578" s="38" t="str">
        <f aca="false">_xlfn.XLOOKUP($E578,$A$5:$A$8,$D$5:$D$8,"")</f>
        <v>Pre-tax Section 125 (exempt from FIT/SIT/FICA)</v>
      </c>
      <c r="H578" s="38" t="str">
        <f aca="false">_xlfn.XLOOKUP($E578,$A$5:$A$8,$E$5:$E$8,"")</f>
        <v>Flat</v>
      </c>
      <c r="I578" s="44" t="str">
        <f aca="false">IF($H578="Percent",_xlfn.XLOOKUP($E578,$A$5:$A$8,$F$5:$F$8,""),"")</f>
        <v/>
      </c>
      <c r="J578" s="42" t="n">
        <f aca="false">IF($H578="Flat",_xlfn.XLOOKUP($E578,$A$5:$A$8,$F$5:$F$8,""),"")</f>
        <v>200</v>
      </c>
      <c r="K578" s="38" t="str">
        <f aca="false">_xlfn.XLOOKUP($E578,$A$5:$A$8,$G$5:$G$8,"")</f>
        <v>Per pay period</v>
      </c>
      <c r="L578" s="38" t="str">
        <f aca="false">_xlfn.XLOOKUP($E578,$A$5:$A$8,$H$5:$H$8,"")</f>
        <v>Every pay period (ongoing)</v>
      </c>
      <c r="M578" s="43" t="n">
        <f aca="false" t="array" ref="M578:M578">MAX(_xlfn.XLOOKUP($A578,TRIM(SUBSTITUTE('worker file'!$A$2:$A$406,_xlfn.UNICHAR(160)," ")),'worker file'!$M$2:$M$406,0),_xlfn.XLOOKUP($B578,TRIM('pay group &amp; schedule'!$A$2:$A$6),'pay group &amp; schedule'!$D$2:$D$6,0))</f>
        <v>46311</v>
      </c>
      <c r="N578" s="43" t="str">
        <f aca="false" t="array" ref="N578:N578">_xlfn.LET(_xlpm.t,_xlfn.XLOOKUP($A578,TRIM(SUBSTITUTE('worker file'!$A$2:$A$406,_xlfn.UNICHAR(160)," ")),'worker file'!$N$2:$N$406,""),IF(N(_xlpm.t)=0,"",_xlpm.t))</f>
        <v/>
      </c>
    </row>
    <row r="579" customFormat="false" ht="15" hidden="false" customHeight="false" outlineLevel="0" collapsed="false">
      <c r="A579" s="39" t="s">
        <v>305</v>
      </c>
      <c r="B579" s="40" t="str">
        <f aca="false" t="array" ref="B579:B579">_xlfn.XLOOKUP($A579,TRIM(SUBSTITUTE('worker file'!$A$2:$A$406,_xlfn.UNICHAR(160)," ")),'worker file'!$L$2:$L$406,"Not found")</f>
        <v>US Semi-monthly</v>
      </c>
      <c r="C579" s="40" t="str">
        <f aca="false" t="array" ref="C579:C579">_xlfn.XLOOKUP($A579,TRIM(SUBSTITUTE('worker file'!$A$2:$A$406,_xlfn.UNICHAR(160)," ")),'worker file'!$D$2:$D$406,"Not found")</f>
        <v>NY</v>
      </c>
      <c r="D579" s="40" t="str">
        <f aca="false" t="array" ref="D579:D579">_xlfn.XLOOKUP($A579,TRIM(SUBSTITUTE('worker file'!$A$2:$A$406,_xlfn.UNICHAR(160)," ")),'worker file'!$Q$2:$Q$406,"Not found")</f>
        <v>Active</v>
      </c>
      <c r="E579" s="39" t="s">
        <v>632</v>
      </c>
      <c r="F579" s="38" t="str">
        <f aca="false">_xlfn.XLOOKUP($E579,$A$5:$A$8,$B$5:$B$8,"")</f>
        <v>Dental – Employee</v>
      </c>
      <c r="G579" s="38" t="str">
        <f aca="false">_xlfn.XLOOKUP($E579,$A$5:$A$8,$D$5:$D$8,"")</f>
        <v>Pre-tax Section 125 (exempt from FIT/SIT/FICA)</v>
      </c>
      <c r="H579" s="38" t="str">
        <f aca="false">_xlfn.XLOOKUP($E579,$A$5:$A$8,$E$5:$E$8,"")</f>
        <v>Flat</v>
      </c>
      <c r="I579" s="44" t="str">
        <f aca="false">IF($H579="Percent",_xlfn.XLOOKUP($E579,$A$5:$A$8,$F$5:$F$8,""),"")</f>
        <v/>
      </c>
      <c r="J579" s="42" t="n">
        <f aca="false">IF($H579="Flat",_xlfn.XLOOKUP($E579,$A$5:$A$8,$F$5:$F$8,""),"")</f>
        <v>44</v>
      </c>
      <c r="K579" s="38" t="str">
        <f aca="false">_xlfn.XLOOKUP($E579,$A$5:$A$8,$G$5:$G$8,"")</f>
        <v>Per pay period</v>
      </c>
      <c r="L579" s="38" t="str">
        <f aca="false">_xlfn.XLOOKUP($E579,$A$5:$A$8,$H$5:$H$8,"")</f>
        <v>Every pay period (ongoing)</v>
      </c>
      <c r="M579" s="43" t="n">
        <f aca="false" t="array" ref="M579:M579">MAX(_xlfn.XLOOKUP($A579,TRIM(SUBSTITUTE('worker file'!$A$2:$A$406,_xlfn.UNICHAR(160)," ")),'worker file'!$M$2:$M$406,0),_xlfn.XLOOKUP($B579,TRIM('pay group &amp; schedule'!$A$2:$A$6),'pay group &amp; schedule'!$D$2:$D$6,0))</f>
        <v>46311</v>
      </c>
      <c r="N579" s="43" t="str">
        <f aca="false" t="array" ref="N579:N579">_xlfn.LET(_xlpm.t,_xlfn.XLOOKUP($A579,TRIM(SUBSTITUTE('worker file'!$A$2:$A$406,_xlfn.UNICHAR(160)," ")),'worker file'!$N$2:$N$406,""),IF(N(_xlpm.t)=0,"",_xlpm.t))</f>
        <v/>
      </c>
    </row>
    <row r="580" customFormat="false" ht="15" hidden="false" customHeight="false" outlineLevel="0" collapsed="false">
      <c r="A580" s="39" t="s">
        <v>305</v>
      </c>
      <c r="B580" s="40" t="str">
        <f aca="false" t="array" ref="B580:B580">_xlfn.XLOOKUP($A580,TRIM(SUBSTITUTE('worker file'!$A$2:$A$406,_xlfn.UNICHAR(160)," ")),'worker file'!$L$2:$L$406,"Not found")</f>
        <v>US Semi-monthly</v>
      </c>
      <c r="C580" s="40" t="str">
        <f aca="false" t="array" ref="C580:C580">_xlfn.XLOOKUP($A580,TRIM(SUBSTITUTE('worker file'!$A$2:$A$406,_xlfn.UNICHAR(160)," ")),'worker file'!$D$2:$D$406,"Not found")</f>
        <v>NY</v>
      </c>
      <c r="D580" s="40" t="str">
        <f aca="false" t="array" ref="D580:D580">_xlfn.XLOOKUP($A580,TRIM(SUBSTITUTE('worker file'!$A$2:$A$406,_xlfn.UNICHAR(160)," ")),'worker file'!$Q$2:$Q$406,"Not found")</f>
        <v>Active</v>
      </c>
      <c r="E580" s="39" t="s">
        <v>634</v>
      </c>
      <c r="F580" s="38" t="str">
        <f aca="false">_xlfn.XLOOKUP($E580,$A$5:$A$8,$B$5:$B$8,"")</f>
        <v>Vision – Employee</v>
      </c>
      <c r="G580" s="38" t="str">
        <f aca="false">_xlfn.XLOOKUP($E580,$A$5:$A$8,$D$5:$D$8,"")</f>
        <v>Pre-tax Section 125 (exempt from FIT/SIT/FICA)</v>
      </c>
      <c r="H580" s="38" t="str">
        <f aca="false">_xlfn.XLOOKUP($E580,$A$5:$A$8,$E$5:$E$8,"")</f>
        <v>Flat</v>
      </c>
      <c r="I580" s="44" t="str">
        <f aca="false">IF($H580="Percent",_xlfn.XLOOKUP($E580,$A$5:$A$8,$F$5:$F$8,""),"")</f>
        <v/>
      </c>
      <c r="J580" s="42" t="n">
        <f aca="false">IF($H580="Flat",_xlfn.XLOOKUP($E580,$A$5:$A$8,$F$5:$F$8,""),"")</f>
        <v>30</v>
      </c>
      <c r="K580" s="38" t="str">
        <f aca="false">_xlfn.XLOOKUP($E580,$A$5:$A$8,$G$5:$G$8,"")</f>
        <v>Per pay period</v>
      </c>
      <c r="L580" s="38" t="str">
        <f aca="false">_xlfn.XLOOKUP($E580,$A$5:$A$8,$H$5:$H$8,"")</f>
        <v>Every pay period (ongoing)</v>
      </c>
      <c r="M580" s="43" t="n">
        <f aca="false" t="array" ref="M580:M580">MAX(_xlfn.XLOOKUP($A580,TRIM(SUBSTITUTE('worker file'!$A$2:$A$406,_xlfn.UNICHAR(160)," ")),'worker file'!$M$2:$M$406,0),_xlfn.XLOOKUP($B580,TRIM('pay group &amp; schedule'!$A$2:$A$6),'pay group &amp; schedule'!$D$2:$D$6,0))</f>
        <v>46311</v>
      </c>
      <c r="N580" s="43" t="str">
        <f aca="false" t="array" ref="N580:N580">_xlfn.LET(_xlpm.t,_xlfn.XLOOKUP($A580,TRIM(SUBSTITUTE('worker file'!$A$2:$A$406,_xlfn.UNICHAR(160)," ")),'worker file'!$N$2:$N$406,""),IF(N(_xlpm.t)=0,"",_xlpm.t))</f>
        <v/>
      </c>
    </row>
    <row r="581" customFormat="false" ht="15" hidden="false" customHeight="false" outlineLevel="0" collapsed="false">
      <c r="A581" s="39" t="s">
        <v>306</v>
      </c>
      <c r="B581" s="40" t="str">
        <f aca="false" t="array" ref="B581:B581">_xlfn.XLOOKUP($A581,TRIM(SUBSTITUTE('worker file'!$A$2:$A$406,_xlfn.UNICHAR(160)," ")),'worker file'!$L$2:$L$406,"Not found")</f>
        <v>US Semi-monthly</v>
      </c>
      <c r="C581" s="40" t="str">
        <f aca="false" t="array" ref="C581:C581">_xlfn.XLOOKUP($A581,TRIM(SUBSTITUTE('worker file'!$A$2:$A$406,_xlfn.UNICHAR(160)," ")),'worker file'!$D$2:$D$406,"Not found")</f>
        <v>CA</v>
      </c>
      <c r="D581" s="40" t="str">
        <f aca="false" t="array" ref="D581:D581">_xlfn.XLOOKUP($A581,TRIM(SUBSTITUTE('worker file'!$A$2:$A$406,_xlfn.UNICHAR(160)," ")),'worker file'!$Q$2:$Q$406,"Not found")</f>
        <v>Active</v>
      </c>
      <c r="E581" s="39" t="s">
        <v>618</v>
      </c>
      <c r="F581" s="38" t="str">
        <f aca="false">_xlfn.XLOOKUP($E581,$A$5:$A$8,$B$5:$B$8,"")</f>
        <v>401(k) Employee Deferral</v>
      </c>
      <c r="G581" s="38" t="str">
        <f aca="false">_xlfn.XLOOKUP($E581,$A$5:$A$8,$D$5:$D$8,"")</f>
        <v>Pre-tax (exempt from FIT/SIT; subject to FICA)</v>
      </c>
      <c r="H581" s="38" t="str">
        <f aca="false">_xlfn.XLOOKUP($E581,$A$5:$A$8,$E$5:$E$8,"")</f>
        <v>Percent</v>
      </c>
      <c r="I581" s="41" t="n">
        <v>0.05</v>
      </c>
      <c r="J581" s="42" t="str">
        <f aca="false">IF($H581="Flat",_xlfn.XLOOKUP($E581,$A$5:$A$8,$F$5:$F$8,""),"")</f>
        <v/>
      </c>
      <c r="K581" s="38" t="str">
        <f aca="false">_xlfn.XLOOKUP($E581,$A$5:$A$8,$G$5:$G$8,"")</f>
        <v>Gross pay</v>
      </c>
      <c r="L581" s="38" t="str">
        <f aca="false">_xlfn.XLOOKUP($E581,$A$5:$A$8,$H$5:$H$8,"")</f>
        <v>Every pay period (ongoing)</v>
      </c>
      <c r="M581" s="43" t="n">
        <f aca="false" t="array" ref="M581:M581">MAX(_xlfn.XLOOKUP($A581,TRIM(SUBSTITUTE('worker file'!$A$2:$A$406,_xlfn.UNICHAR(160)," ")),'worker file'!$M$2:$M$406,0),_xlfn.XLOOKUP($B581,TRIM('pay group &amp; schedule'!$A$2:$A$6),'pay group &amp; schedule'!$D$2:$D$6,0))</f>
        <v>46311</v>
      </c>
      <c r="N581" s="43" t="str">
        <f aca="false" t="array" ref="N581:N581">_xlfn.LET(_xlpm.t,_xlfn.XLOOKUP($A581,TRIM(SUBSTITUTE('worker file'!$A$2:$A$406,_xlfn.UNICHAR(160)," ")),'worker file'!$N$2:$N$406,""),IF(N(_xlpm.t)=0,"",_xlpm.t))</f>
        <v/>
      </c>
    </row>
    <row r="582" customFormat="false" ht="15" hidden="false" customHeight="false" outlineLevel="0" collapsed="false">
      <c r="A582" s="39" t="s">
        <v>306</v>
      </c>
      <c r="B582" s="40" t="str">
        <f aca="false" t="array" ref="B582:B582">_xlfn.XLOOKUP($A582,TRIM(SUBSTITUTE('worker file'!$A$2:$A$406,_xlfn.UNICHAR(160)," ")),'worker file'!$L$2:$L$406,"Not found")</f>
        <v>US Semi-monthly</v>
      </c>
      <c r="C582" s="40" t="str">
        <f aca="false" t="array" ref="C582:C582">_xlfn.XLOOKUP($A582,TRIM(SUBSTITUTE('worker file'!$A$2:$A$406,_xlfn.UNICHAR(160)," ")),'worker file'!$D$2:$D$406,"Not found")</f>
        <v>CA</v>
      </c>
      <c r="D582" s="40" t="str">
        <f aca="false" t="array" ref="D582:D582">_xlfn.XLOOKUP($A582,TRIM(SUBSTITUTE('worker file'!$A$2:$A$406,_xlfn.UNICHAR(160)," ")),'worker file'!$Q$2:$Q$406,"Not found")</f>
        <v>Active</v>
      </c>
      <c r="E582" s="39" t="s">
        <v>626</v>
      </c>
      <c r="F582" s="38" t="str">
        <f aca="false">_xlfn.XLOOKUP($E582,$A$5:$A$8,$B$5:$B$8,"")</f>
        <v>Medical (Health) – Employee</v>
      </c>
      <c r="G582" s="38" t="str">
        <f aca="false">_xlfn.XLOOKUP($E582,$A$5:$A$8,$D$5:$D$8,"")</f>
        <v>Pre-tax Section 125 (exempt from FIT/SIT/FICA)</v>
      </c>
      <c r="H582" s="38" t="str">
        <f aca="false">_xlfn.XLOOKUP($E582,$A$5:$A$8,$E$5:$E$8,"")</f>
        <v>Flat</v>
      </c>
      <c r="I582" s="44" t="str">
        <f aca="false">IF($H582="Percent",_xlfn.XLOOKUP($E582,$A$5:$A$8,$F$5:$F$8,""),"")</f>
        <v/>
      </c>
      <c r="J582" s="42" t="n">
        <f aca="false">IF($H582="Flat",_xlfn.XLOOKUP($E582,$A$5:$A$8,$F$5:$F$8,""),"")</f>
        <v>200</v>
      </c>
      <c r="K582" s="38" t="str">
        <f aca="false">_xlfn.XLOOKUP($E582,$A$5:$A$8,$G$5:$G$8,"")</f>
        <v>Per pay period</v>
      </c>
      <c r="L582" s="38" t="str">
        <f aca="false">_xlfn.XLOOKUP($E582,$A$5:$A$8,$H$5:$H$8,"")</f>
        <v>Every pay period (ongoing)</v>
      </c>
      <c r="M582" s="43" t="n">
        <f aca="false" t="array" ref="M582:M582">MAX(_xlfn.XLOOKUP($A582,TRIM(SUBSTITUTE('worker file'!$A$2:$A$406,_xlfn.UNICHAR(160)," ")),'worker file'!$M$2:$M$406,0),_xlfn.XLOOKUP($B582,TRIM('pay group &amp; schedule'!$A$2:$A$6),'pay group &amp; schedule'!$D$2:$D$6,0))</f>
        <v>46311</v>
      </c>
      <c r="N582" s="43" t="str">
        <f aca="false" t="array" ref="N582:N582">_xlfn.LET(_xlpm.t,_xlfn.XLOOKUP($A582,TRIM(SUBSTITUTE('worker file'!$A$2:$A$406,_xlfn.UNICHAR(160)," ")),'worker file'!$N$2:$N$406,""),IF(N(_xlpm.t)=0,"",_xlpm.t))</f>
        <v/>
      </c>
    </row>
    <row r="583" customFormat="false" ht="15" hidden="false" customHeight="false" outlineLevel="0" collapsed="false">
      <c r="A583" s="39" t="s">
        <v>306</v>
      </c>
      <c r="B583" s="40" t="str">
        <f aca="false" t="array" ref="B583:B583">_xlfn.XLOOKUP($A583,TRIM(SUBSTITUTE('worker file'!$A$2:$A$406,_xlfn.UNICHAR(160)," ")),'worker file'!$L$2:$L$406,"Not found")</f>
        <v>US Semi-monthly</v>
      </c>
      <c r="C583" s="40" t="str">
        <f aca="false" t="array" ref="C583:C583">_xlfn.XLOOKUP($A583,TRIM(SUBSTITUTE('worker file'!$A$2:$A$406,_xlfn.UNICHAR(160)," ")),'worker file'!$D$2:$D$406,"Not found")</f>
        <v>CA</v>
      </c>
      <c r="D583" s="40" t="str">
        <f aca="false" t="array" ref="D583:D583">_xlfn.XLOOKUP($A583,TRIM(SUBSTITUTE('worker file'!$A$2:$A$406,_xlfn.UNICHAR(160)," ")),'worker file'!$Q$2:$Q$406,"Not found")</f>
        <v>Active</v>
      </c>
      <c r="E583" s="39" t="s">
        <v>632</v>
      </c>
      <c r="F583" s="38" t="str">
        <f aca="false">_xlfn.XLOOKUP($E583,$A$5:$A$8,$B$5:$B$8,"")</f>
        <v>Dental – Employee</v>
      </c>
      <c r="G583" s="38" t="str">
        <f aca="false">_xlfn.XLOOKUP($E583,$A$5:$A$8,$D$5:$D$8,"")</f>
        <v>Pre-tax Section 125 (exempt from FIT/SIT/FICA)</v>
      </c>
      <c r="H583" s="38" t="str">
        <f aca="false">_xlfn.XLOOKUP($E583,$A$5:$A$8,$E$5:$E$8,"")</f>
        <v>Flat</v>
      </c>
      <c r="I583" s="44" t="str">
        <f aca="false">IF($H583="Percent",_xlfn.XLOOKUP($E583,$A$5:$A$8,$F$5:$F$8,""),"")</f>
        <v/>
      </c>
      <c r="J583" s="42" t="n">
        <f aca="false">IF($H583="Flat",_xlfn.XLOOKUP($E583,$A$5:$A$8,$F$5:$F$8,""),"")</f>
        <v>44</v>
      </c>
      <c r="K583" s="38" t="str">
        <f aca="false">_xlfn.XLOOKUP($E583,$A$5:$A$8,$G$5:$G$8,"")</f>
        <v>Per pay period</v>
      </c>
      <c r="L583" s="38" t="str">
        <f aca="false">_xlfn.XLOOKUP($E583,$A$5:$A$8,$H$5:$H$8,"")</f>
        <v>Every pay period (ongoing)</v>
      </c>
      <c r="M583" s="43" t="n">
        <f aca="false" t="array" ref="M583:M583">MAX(_xlfn.XLOOKUP($A583,TRIM(SUBSTITUTE('worker file'!$A$2:$A$406,_xlfn.UNICHAR(160)," ")),'worker file'!$M$2:$M$406,0),_xlfn.XLOOKUP($B583,TRIM('pay group &amp; schedule'!$A$2:$A$6),'pay group &amp; schedule'!$D$2:$D$6,0))</f>
        <v>46311</v>
      </c>
      <c r="N583" s="43" t="str">
        <f aca="false" t="array" ref="N583:N583">_xlfn.LET(_xlpm.t,_xlfn.XLOOKUP($A583,TRIM(SUBSTITUTE('worker file'!$A$2:$A$406,_xlfn.UNICHAR(160)," ")),'worker file'!$N$2:$N$406,""),IF(N(_xlpm.t)=0,"",_xlpm.t))</f>
        <v/>
      </c>
    </row>
    <row r="584" customFormat="false" ht="15" hidden="false" customHeight="false" outlineLevel="0" collapsed="false">
      <c r="A584" s="39" t="s">
        <v>306</v>
      </c>
      <c r="B584" s="40" t="str">
        <f aca="false" t="array" ref="B584:B584">_xlfn.XLOOKUP($A584,TRIM(SUBSTITUTE('worker file'!$A$2:$A$406,_xlfn.UNICHAR(160)," ")),'worker file'!$L$2:$L$406,"Not found")</f>
        <v>US Semi-monthly</v>
      </c>
      <c r="C584" s="40" t="str">
        <f aca="false" t="array" ref="C584:C584">_xlfn.XLOOKUP($A584,TRIM(SUBSTITUTE('worker file'!$A$2:$A$406,_xlfn.UNICHAR(160)," ")),'worker file'!$D$2:$D$406,"Not found")</f>
        <v>CA</v>
      </c>
      <c r="D584" s="40" t="str">
        <f aca="false" t="array" ref="D584:D584">_xlfn.XLOOKUP($A584,TRIM(SUBSTITUTE('worker file'!$A$2:$A$406,_xlfn.UNICHAR(160)," ")),'worker file'!$Q$2:$Q$406,"Not found")</f>
        <v>Active</v>
      </c>
      <c r="E584" s="39" t="s">
        <v>634</v>
      </c>
      <c r="F584" s="38" t="str">
        <f aca="false">_xlfn.XLOOKUP($E584,$A$5:$A$8,$B$5:$B$8,"")</f>
        <v>Vision – Employee</v>
      </c>
      <c r="G584" s="38" t="str">
        <f aca="false">_xlfn.XLOOKUP($E584,$A$5:$A$8,$D$5:$D$8,"")</f>
        <v>Pre-tax Section 125 (exempt from FIT/SIT/FICA)</v>
      </c>
      <c r="H584" s="38" t="str">
        <f aca="false">_xlfn.XLOOKUP($E584,$A$5:$A$8,$E$5:$E$8,"")</f>
        <v>Flat</v>
      </c>
      <c r="I584" s="44" t="str">
        <f aca="false">IF($H584="Percent",_xlfn.XLOOKUP($E584,$A$5:$A$8,$F$5:$F$8,""),"")</f>
        <v/>
      </c>
      <c r="J584" s="42" t="n">
        <f aca="false">IF($H584="Flat",_xlfn.XLOOKUP($E584,$A$5:$A$8,$F$5:$F$8,""),"")</f>
        <v>30</v>
      </c>
      <c r="K584" s="38" t="str">
        <f aca="false">_xlfn.XLOOKUP($E584,$A$5:$A$8,$G$5:$G$8,"")</f>
        <v>Per pay period</v>
      </c>
      <c r="L584" s="38" t="str">
        <f aca="false">_xlfn.XLOOKUP($E584,$A$5:$A$8,$H$5:$H$8,"")</f>
        <v>Every pay period (ongoing)</v>
      </c>
      <c r="M584" s="43" t="n">
        <f aca="false" t="array" ref="M584:M584">MAX(_xlfn.XLOOKUP($A584,TRIM(SUBSTITUTE('worker file'!$A$2:$A$406,_xlfn.UNICHAR(160)," ")),'worker file'!$M$2:$M$406,0),_xlfn.XLOOKUP($B584,TRIM('pay group &amp; schedule'!$A$2:$A$6),'pay group &amp; schedule'!$D$2:$D$6,0))</f>
        <v>46311</v>
      </c>
      <c r="N584" s="43" t="str">
        <f aca="false" t="array" ref="N584:N584">_xlfn.LET(_xlpm.t,_xlfn.XLOOKUP($A584,TRIM(SUBSTITUTE('worker file'!$A$2:$A$406,_xlfn.UNICHAR(160)," ")),'worker file'!$N$2:$N$406,""),IF(N(_xlpm.t)=0,"",_xlpm.t))</f>
        <v/>
      </c>
    </row>
    <row r="585" customFormat="false" ht="15" hidden="false" customHeight="false" outlineLevel="0" collapsed="false">
      <c r="A585" s="39" t="s">
        <v>307</v>
      </c>
      <c r="B585" s="40" t="str">
        <f aca="false" t="array" ref="B585:B585">_xlfn.XLOOKUP($A585,TRIM(SUBSTITUTE('worker file'!$A$2:$A$406,_xlfn.UNICHAR(160)," ")),'worker file'!$L$2:$L$406,"Not found")</f>
        <v>US Biweekly</v>
      </c>
      <c r="C585" s="40" t="str">
        <f aca="false" t="array" ref="C585:C585">_xlfn.XLOOKUP($A585,TRIM(SUBSTITUTE('worker file'!$A$2:$A$406,_xlfn.UNICHAR(160)," ")),'worker file'!$D$2:$D$406,"Not found")</f>
        <v>TX</v>
      </c>
      <c r="D585" s="40" t="str">
        <f aca="false" t="array" ref="D585:D585">_xlfn.XLOOKUP($A585,TRIM(SUBSTITUTE('worker file'!$A$2:$A$406,_xlfn.UNICHAR(160)," ")),'worker file'!$Q$2:$Q$406,"Not found")</f>
        <v>Active</v>
      </c>
      <c r="E585" s="39" t="s">
        <v>618</v>
      </c>
      <c r="F585" s="38" t="str">
        <f aca="false">_xlfn.XLOOKUP($E585,$A$5:$A$8,$B$5:$B$8,"")</f>
        <v>401(k) Employee Deferral</v>
      </c>
      <c r="G585" s="38" t="str">
        <f aca="false">_xlfn.XLOOKUP($E585,$A$5:$A$8,$D$5:$D$8,"")</f>
        <v>Pre-tax (exempt from FIT/SIT; subject to FICA)</v>
      </c>
      <c r="H585" s="38" t="str">
        <f aca="false">_xlfn.XLOOKUP($E585,$A$5:$A$8,$E$5:$E$8,"")</f>
        <v>Percent</v>
      </c>
      <c r="I585" s="41" t="n">
        <v>0.02</v>
      </c>
      <c r="J585" s="42" t="str">
        <f aca="false">IF($H585="Flat",_xlfn.XLOOKUP($E585,$A$5:$A$8,$F$5:$F$8,""),"")</f>
        <v/>
      </c>
      <c r="K585" s="38" t="str">
        <f aca="false">_xlfn.XLOOKUP($E585,$A$5:$A$8,$G$5:$G$8,"")</f>
        <v>Gross pay</v>
      </c>
      <c r="L585" s="38" t="str">
        <f aca="false">_xlfn.XLOOKUP($E585,$A$5:$A$8,$H$5:$H$8,"")</f>
        <v>Every pay period (ongoing)</v>
      </c>
      <c r="M585" s="43" t="n">
        <f aca="false" t="array" ref="M585:M585">MAX(_xlfn.XLOOKUP($A585,TRIM(SUBSTITUTE('worker file'!$A$2:$A$406,_xlfn.UNICHAR(160)," ")),'worker file'!$M$2:$M$406,0),_xlfn.XLOOKUP($B585,TRIM('pay group &amp; schedule'!$A$2:$A$6),'pay group &amp; schedule'!$D$2:$D$6,0))</f>
        <v>46299</v>
      </c>
      <c r="N585" s="43" t="str">
        <f aca="false" t="array" ref="N585:N585">_xlfn.LET(_xlpm.t,_xlfn.XLOOKUP($A585,TRIM(SUBSTITUTE('worker file'!$A$2:$A$406,_xlfn.UNICHAR(160)," ")),'worker file'!$N$2:$N$406,""),IF(N(_xlpm.t)=0,"",_xlpm.t))</f>
        <v/>
      </c>
    </row>
    <row r="586" customFormat="false" ht="15" hidden="false" customHeight="false" outlineLevel="0" collapsed="false">
      <c r="A586" s="39" t="s">
        <v>307</v>
      </c>
      <c r="B586" s="40" t="str">
        <f aca="false" t="array" ref="B586:B586">_xlfn.XLOOKUP($A586,TRIM(SUBSTITUTE('worker file'!$A$2:$A$406,_xlfn.UNICHAR(160)," ")),'worker file'!$L$2:$L$406,"Not found")</f>
        <v>US Biweekly</v>
      </c>
      <c r="C586" s="40" t="str">
        <f aca="false" t="array" ref="C586:C586">_xlfn.XLOOKUP($A586,TRIM(SUBSTITUTE('worker file'!$A$2:$A$406,_xlfn.UNICHAR(160)," ")),'worker file'!$D$2:$D$406,"Not found")</f>
        <v>TX</v>
      </c>
      <c r="D586" s="40" t="str">
        <f aca="false" t="array" ref="D586:D586">_xlfn.XLOOKUP($A586,TRIM(SUBSTITUTE('worker file'!$A$2:$A$406,_xlfn.UNICHAR(160)," ")),'worker file'!$Q$2:$Q$406,"Not found")</f>
        <v>Active</v>
      </c>
      <c r="E586" s="39" t="s">
        <v>626</v>
      </c>
      <c r="F586" s="38" t="str">
        <f aca="false">_xlfn.XLOOKUP($E586,$A$5:$A$8,$B$5:$B$8,"")</f>
        <v>Medical (Health) – Employee</v>
      </c>
      <c r="G586" s="38" t="str">
        <f aca="false">_xlfn.XLOOKUP($E586,$A$5:$A$8,$D$5:$D$8,"")</f>
        <v>Pre-tax Section 125 (exempt from FIT/SIT/FICA)</v>
      </c>
      <c r="H586" s="38" t="str">
        <f aca="false">_xlfn.XLOOKUP($E586,$A$5:$A$8,$E$5:$E$8,"")</f>
        <v>Flat</v>
      </c>
      <c r="I586" s="44" t="str">
        <f aca="false">IF($H586="Percent",_xlfn.XLOOKUP($E586,$A$5:$A$8,$F$5:$F$8,""),"")</f>
        <v/>
      </c>
      <c r="J586" s="42" t="n">
        <f aca="false">IF($H586="Flat",_xlfn.XLOOKUP($E586,$A$5:$A$8,$F$5:$F$8,""),"")</f>
        <v>200</v>
      </c>
      <c r="K586" s="38" t="str">
        <f aca="false">_xlfn.XLOOKUP($E586,$A$5:$A$8,$G$5:$G$8,"")</f>
        <v>Per pay period</v>
      </c>
      <c r="L586" s="38" t="str">
        <f aca="false">_xlfn.XLOOKUP($E586,$A$5:$A$8,$H$5:$H$8,"")</f>
        <v>Every pay period (ongoing)</v>
      </c>
      <c r="M586" s="43" t="n">
        <f aca="false" t="array" ref="M586:M586">MAX(_xlfn.XLOOKUP($A586,TRIM(SUBSTITUTE('worker file'!$A$2:$A$406,_xlfn.UNICHAR(160)," ")),'worker file'!$M$2:$M$406,0),_xlfn.XLOOKUP($B586,TRIM('pay group &amp; schedule'!$A$2:$A$6),'pay group &amp; schedule'!$D$2:$D$6,0))</f>
        <v>46299</v>
      </c>
      <c r="N586" s="43" t="str">
        <f aca="false" t="array" ref="N586:N586">_xlfn.LET(_xlpm.t,_xlfn.XLOOKUP($A586,TRIM(SUBSTITUTE('worker file'!$A$2:$A$406,_xlfn.UNICHAR(160)," ")),'worker file'!$N$2:$N$406,""),IF(N(_xlpm.t)=0,"",_xlpm.t))</f>
        <v/>
      </c>
    </row>
    <row r="587" customFormat="false" ht="15" hidden="false" customHeight="false" outlineLevel="0" collapsed="false">
      <c r="A587" s="39" t="s">
        <v>307</v>
      </c>
      <c r="B587" s="40" t="str">
        <f aca="false" t="array" ref="B587:B587">_xlfn.XLOOKUP($A587,TRIM(SUBSTITUTE('worker file'!$A$2:$A$406,_xlfn.UNICHAR(160)," ")),'worker file'!$L$2:$L$406,"Not found")</f>
        <v>US Biweekly</v>
      </c>
      <c r="C587" s="40" t="str">
        <f aca="false" t="array" ref="C587:C587">_xlfn.XLOOKUP($A587,TRIM(SUBSTITUTE('worker file'!$A$2:$A$406,_xlfn.UNICHAR(160)," ")),'worker file'!$D$2:$D$406,"Not found")</f>
        <v>TX</v>
      </c>
      <c r="D587" s="40" t="str">
        <f aca="false" t="array" ref="D587:D587">_xlfn.XLOOKUP($A587,TRIM(SUBSTITUTE('worker file'!$A$2:$A$406,_xlfn.UNICHAR(160)," ")),'worker file'!$Q$2:$Q$406,"Not found")</f>
        <v>Active</v>
      </c>
      <c r="E587" s="39" t="s">
        <v>632</v>
      </c>
      <c r="F587" s="38" t="str">
        <f aca="false">_xlfn.XLOOKUP($E587,$A$5:$A$8,$B$5:$B$8,"")</f>
        <v>Dental – Employee</v>
      </c>
      <c r="G587" s="38" t="str">
        <f aca="false">_xlfn.XLOOKUP($E587,$A$5:$A$8,$D$5:$D$8,"")</f>
        <v>Pre-tax Section 125 (exempt from FIT/SIT/FICA)</v>
      </c>
      <c r="H587" s="38" t="str">
        <f aca="false">_xlfn.XLOOKUP($E587,$A$5:$A$8,$E$5:$E$8,"")</f>
        <v>Flat</v>
      </c>
      <c r="I587" s="44" t="str">
        <f aca="false">IF($H587="Percent",_xlfn.XLOOKUP($E587,$A$5:$A$8,$F$5:$F$8,""),"")</f>
        <v/>
      </c>
      <c r="J587" s="42" t="n">
        <f aca="false">IF($H587="Flat",_xlfn.XLOOKUP($E587,$A$5:$A$8,$F$5:$F$8,""),"")</f>
        <v>44</v>
      </c>
      <c r="K587" s="38" t="str">
        <f aca="false">_xlfn.XLOOKUP($E587,$A$5:$A$8,$G$5:$G$8,"")</f>
        <v>Per pay period</v>
      </c>
      <c r="L587" s="38" t="str">
        <f aca="false">_xlfn.XLOOKUP($E587,$A$5:$A$8,$H$5:$H$8,"")</f>
        <v>Every pay period (ongoing)</v>
      </c>
      <c r="M587" s="43" t="n">
        <f aca="false" t="array" ref="M587:M587">MAX(_xlfn.XLOOKUP($A587,TRIM(SUBSTITUTE('worker file'!$A$2:$A$406,_xlfn.UNICHAR(160)," ")),'worker file'!$M$2:$M$406,0),_xlfn.XLOOKUP($B587,TRIM('pay group &amp; schedule'!$A$2:$A$6),'pay group &amp; schedule'!$D$2:$D$6,0))</f>
        <v>46299</v>
      </c>
      <c r="N587" s="43" t="str">
        <f aca="false" t="array" ref="N587:N587">_xlfn.LET(_xlpm.t,_xlfn.XLOOKUP($A587,TRIM(SUBSTITUTE('worker file'!$A$2:$A$406,_xlfn.UNICHAR(160)," ")),'worker file'!$N$2:$N$406,""),IF(N(_xlpm.t)=0,"",_xlpm.t))</f>
        <v/>
      </c>
    </row>
    <row r="588" customFormat="false" ht="15" hidden="false" customHeight="false" outlineLevel="0" collapsed="false">
      <c r="A588" s="39" t="s">
        <v>307</v>
      </c>
      <c r="B588" s="40" t="str">
        <f aca="false" t="array" ref="B588:B588">_xlfn.XLOOKUP($A588,TRIM(SUBSTITUTE('worker file'!$A$2:$A$406,_xlfn.UNICHAR(160)," ")),'worker file'!$L$2:$L$406,"Not found")</f>
        <v>US Biweekly</v>
      </c>
      <c r="C588" s="40" t="str">
        <f aca="false" t="array" ref="C588:C588">_xlfn.XLOOKUP($A588,TRIM(SUBSTITUTE('worker file'!$A$2:$A$406,_xlfn.UNICHAR(160)," ")),'worker file'!$D$2:$D$406,"Not found")</f>
        <v>TX</v>
      </c>
      <c r="D588" s="40" t="str">
        <f aca="false" t="array" ref="D588:D588">_xlfn.XLOOKUP($A588,TRIM(SUBSTITUTE('worker file'!$A$2:$A$406,_xlfn.UNICHAR(160)," ")),'worker file'!$Q$2:$Q$406,"Not found")</f>
        <v>Active</v>
      </c>
      <c r="E588" s="39" t="s">
        <v>634</v>
      </c>
      <c r="F588" s="38" t="str">
        <f aca="false">_xlfn.XLOOKUP($E588,$A$5:$A$8,$B$5:$B$8,"")</f>
        <v>Vision – Employee</v>
      </c>
      <c r="G588" s="38" t="str">
        <f aca="false">_xlfn.XLOOKUP($E588,$A$5:$A$8,$D$5:$D$8,"")</f>
        <v>Pre-tax Section 125 (exempt from FIT/SIT/FICA)</v>
      </c>
      <c r="H588" s="38" t="str">
        <f aca="false">_xlfn.XLOOKUP($E588,$A$5:$A$8,$E$5:$E$8,"")</f>
        <v>Flat</v>
      </c>
      <c r="I588" s="44" t="str">
        <f aca="false">IF($H588="Percent",_xlfn.XLOOKUP($E588,$A$5:$A$8,$F$5:$F$8,""),"")</f>
        <v/>
      </c>
      <c r="J588" s="42" t="n">
        <f aca="false">IF($H588="Flat",_xlfn.XLOOKUP($E588,$A$5:$A$8,$F$5:$F$8,""),"")</f>
        <v>30</v>
      </c>
      <c r="K588" s="38" t="str">
        <f aca="false">_xlfn.XLOOKUP($E588,$A$5:$A$8,$G$5:$G$8,"")</f>
        <v>Per pay period</v>
      </c>
      <c r="L588" s="38" t="str">
        <f aca="false">_xlfn.XLOOKUP($E588,$A$5:$A$8,$H$5:$H$8,"")</f>
        <v>Every pay period (ongoing)</v>
      </c>
      <c r="M588" s="43" t="n">
        <f aca="false" t="array" ref="M588:M588">MAX(_xlfn.XLOOKUP($A588,TRIM(SUBSTITUTE('worker file'!$A$2:$A$406,_xlfn.UNICHAR(160)," ")),'worker file'!$M$2:$M$406,0),_xlfn.XLOOKUP($B588,TRIM('pay group &amp; schedule'!$A$2:$A$6),'pay group &amp; schedule'!$D$2:$D$6,0))</f>
        <v>46299</v>
      </c>
      <c r="N588" s="43" t="str">
        <f aca="false" t="array" ref="N588:N588">_xlfn.LET(_xlpm.t,_xlfn.XLOOKUP($A588,TRIM(SUBSTITUTE('worker file'!$A$2:$A$406,_xlfn.UNICHAR(160)," ")),'worker file'!$N$2:$N$406,""),IF(N(_xlpm.t)=0,"",_xlpm.t))</f>
        <v/>
      </c>
    </row>
    <row r="589" customFormat="false" ht="15" hidden="false" customHeight="false" outlineLevel="0" collapsed="false">
      <c r="A589" s="39" t="s">
        <v>308</v>
      </c>
      <c r="B589" s="40" t="str">
        <f aca="false" t="array" ref="B589:B589">_xlfn.XLOOKUP($A589,TRIM(SUBSTITUTE('worker file'!$A$2:$A$406,_xlfn.UNICHAR(160)," ")),'worker file'!$L$2:$L$406,"Not found")</f>
        <v>US Semi-monthly</v>
      </c>
      <c r="C589" s="40" t="str">
        <f aca="false" t="array" ref="C589:C589">_xlfn.XLOOKUP($A589,TRIM(SUBSTITUTE('worker file'!$A$2:$A$406,_xlfn.UNICHAR(160)," ")),'worker file'!$D$2:$D$406,"Not found")</f>
        <v>CA</v>
      </c>
      <c r="D589" s="40" t="str">
        <f aca="false" t="array" ref="D589:D589">_xlfn.XLOOKUP($A589,TRIM(SUBSTITUTE('worker file'!$A$2:$A$406,_xlfn.UNICHAR(160)," ")),'worker file'!$Q$2:$Q$406,"Not found")</f>
        <v>Active</v>
      </c>
      <c r="E589" s="39" t="s">
        <v>618</v>
      </c>
      <c r="F589" s="38" t="str">
        <f aca="false">_xlfn.XLOOKUP($E589,$A$5:$A$8,$B$5:$B$8,"")</f>
        <v>401(k) Employee Deferral</v>
      </c>
      <c r="G589" s="38" t="str">
        <f aca="false">_xlfn.XLOOKUP($E589,$A$5:$A$8,$D$5:$D$8,"")</f>
        <v>Pre-tax (exempt from FIT/SIT; subject to FICA)</v>
      </c>
      <c r="H589" s="38" t="str">
        <f aca="false">_xlfn.XLOOKUP($E589,$A$5:$A$8,$E$5:$E$8,"")</f>
        <v>Percent</v>
      </c>
      <c r="I589" s="41" t="n">
        <v>0.07</v>
      </c>
      <c r="J589" s="42" t="str">
        <f aca="false">IF($H589="Flat",_xlfn.XLOOKUP($E589,$A$5:$A$8,$F$5:$F$8,""),"")</f>
        <v/>
      </c>
      <c r="K589" s="38" t="str">
        <f aca="false">_xlfn.XLOOKUP($E589,$A$5:$A$8,$G$5:$G$8,"")</f>
        <v>Gross pay</v>
      </c>
      <c r="L589" s="38" t="str">
        <f aca="false">_xlfn.XLOOKUP($E589,$A$5:$A$8,$H$5:$H$8,"")</f>
        <v>Every pay period (ongoing)</v>
      </c>
      <c r="M589" s="43" t="n">
        <f aca="false" t="array" ref="M589:M589">MAX(_xlfn.XLOOKUP($A589,TRIM(SUBSTITUTE('worker file'!$A$2:$A$406,_xlfn.UNICHAR(160)," ")),'worker file'!$M$2:$M$406,0),_xlfn.XLOOKUP($B589,TRIM('pay group &amp; schedule'!$A$2:$A$6),'pay group &amp; schedule'!$D$2:$D$6,0))</f>
        <v>46311</v>
      </c>
      <c r="N589" s="43" t="str">
        <f aca="false" t="array" ref="N589:N589">_xlfn.LET(_xlpm.t,_xlfn.XLOOKUP($A589,TRIM(SUBSTITUTE('worker file'!$A$2:$A$406,_xlfn.UNICHAR(160)," ")),'worker file'!$N$2:$N$406,""),IF(N(_xlpm.t)=0,"",_xlpm.t))</f>
        <v/>
      </c>
    </row>
    <row r="590" customFormat="false" ht="15" hidden="false" customHeight="false" outlineLevel="0" collapsed="false">
      <c r="A590" s="39" t="s">
        <v>308</v>
      </c>
      <c r="B590" s="40" t="str">
        <f aca="false" t="array" ref="B590:B590">_xlfn.XLOOKUP($A590,TRIM(SUBSTITUTE('worker file'!$A$2:$A$406,_xlfn.UNICHAR(160)," ")),'worker file'!$L$2:$L$406,"Not found")</f>
        <v>US Semi-monthly</v>
      </c>
      <c r="C590" s="40" t="str">
        <f aca="false" t="array" ref="C590:C590">_xlfn.XLOOKUP($A590,TRIM(SUBSTITUTE('worker file'!$A$2:$A$406,_xlfn.UNICHAR(160)," ")),'worker file'!$D$2:$D$406,"Not found")</f>
        <v>CA</v>
      </c>
      <c r="D590" s="40" t="str">
        <f aca="false" t="array" ref="D590:D590">_xlfn.XLOOKUP($A590,TRIM(SUBSTITUTE('worker file'!$A$2:$A$406,_xlfn.UNICHAR(160)," ")),'worker file'!$Q$2:$Q$406,"Not found")</f>
        <v>Active</v>
      </c>
      <c r="E590" s="39" t="s">
        <v>626</v>
      </c>
      <c r="F590" s="38" t="str">
        <f aca="false">_xlfn.XLOOKUP($E590,$A$5:$A$8,$B$5:$B$8,"")</f>
        <v>Medical (Health) – Employee</v>
      </c>
      <c r="G590" s="38" t="str">
        <f aca="false">_xlfn.XLOOKUP($E590,$A$5:$A$8,$D$5:$D$8,"")</f>
        <v>Pre-tax Section 125 (exempt from FIT/SIT/FICA)</v>
      </c>
      <c r="H590" s="38" t="str">
        <f aca="false">_xlfn.XLOOKUP($E590,$A$5:$A$8,$E$5:$E$8,"")</f>
        <v>Flat</v>
      </c>
      <c r="I590" s="44" t="str">
        <f aca="false">IF($H590="Percent",_xlfn.XLOOKUP($E590,$A$5:$A$8,$F$5:$F$8,""),"")</f>
        <v/>
      </c>
      <c r="J590" s="42" t="n">
        <f aca="false">IF($H590="Flat",_xlfn.XLOOKUP($E590,$A$5:$A$8,$F$5:$F$8,""),"")</f>
        <v>200</v>
      </c>
      <c r="K590" s="38" t="str">
        <f aca="false">_xlfn.XLOOKUP($E590,$A$5:$A$8,$G$5:$G$8,"")</f>
        <v>Per pay period</v>
      </c>
      <c r="L590" s="38" t="str">
        <f aca="false">_xlfn.XLOOKUP($E590,$A$5:$A$8,$H$5:$H$8,"")</f>
        <v>Every pay period (ongoing)</v>
      </c>
      <c r="M590" s="43" t="n">
        <f aca="false" t="array" ref="M590:M590">MAX(_xlfn.XLOOKUP($A590,TRIM(SUBSTITUTE('worker file'!$A$2:$A$406,_xlfn.UNICHAR(160)," ")),'worker file'!$M$2:$M$406,0),_xlfn.XLOOKUP($B590,TRIM('pay group &amp; schedule'!$A$2:$A$6),'pay group &amp; schedule'!$D$2:$D$6,0))</f>
        <v>46311</v>
      </c>
      <c r="N590" s="43" t="str">
        <f aca="false" t="array" ref="N590:N590">_xlfn.LET(_xlpm.t,_xlfn.XLOOKUP($A590,TRIM(SUBSTITUTE('worker file'!$A$2:$A$406,_xlfn.UNICHAR(160)," ")),'worker file'!$N$2:$N$406,""),IF(N(_xlpm.t)=0,"",_xlpm.t))</f>
        <v/>
      </c>
    </row>
    <row r="591" customFormat="false" ht="15" hidden="false" customHeight="false" outlineLevel="0" collapsed="false">
      <c r="A591" s="39" t="s">
        <v>308</v>
      </c>
      <c r="B591" s="40" t="str">
        <f aca="false" t="array" ref="B591:B591">_xlfn.XLOOKUP($A591,TRIM(SUBSTITUTE('worker file'!$A$2:$A$406,_xlfn.UNICHAR(160)," ")),'worker file'!$L$2:$L$406,"Not found")</f>
        <v>US Semi-monthly</v>
      </c>
      <c r="C591" s="40" t="str">
        <f aca="false" t="array" ref="C591:C591">_xlfn.XLOOKUP($A591,TRIM(SUBSTITUTE('worker file'!$A$2:$A$406,_xlfn.UNICHAR(160)," ")),'worker file'!$D$2:$D$406,"Not found")</f>
        <v>CA</v>
      </c>
      <c r="D591" s="40" t="str">
        <f aca="false" t="array" ref="D591:D591">_xlfn.XLOOKUP($A591,TRIM(SUBSTITUTE('worker file'!$A$2:$A$406,_xlfn.UNICHAR(160)," ")),'worker file'!$Q$2:$Q$406,"Not found")</f>
        <v>Active</v>
      </c>
      <c r="E591" s="39" t="s">
        <v>632</v>
      </c>
      <c r="F591" s="38" t="str">
        <f aca="false">_xlfn.XLOOKUP($E591,$A$5:$A$8,$B$5:$B$8,"")</f>
        <v>Dental – Employee</v>
      </c>
      <c r="G591" s="38" t="str">
        <f aca="false">_xlfn.XLOOKUP($E591,$A$5:$A$8,$D$5:$D$8,"")</f>
        <v>Pre-tax Section 125 (exempt from FIT/SIT/FICA)</v>
      </c>
      <c r="H591" s="38" t="str">
        <f aca="false">_xlfn.XLOOKUP($E591,$A$5:$A$8,$E$5:$E$8,"")</f>
        <v>Flat</v>
      </c>
      <c r="I591" s="44" t="str">
        <f aca="false">IF($H591="Percent",_xlfn.XLOOKUP($E591,$A$5:$A$8,$F$5:$F$8,""),"")</f>
        <v/>
      </c>
      <c r="J591" s="42" t="n">
        <f aca="false">IF($H591="Flat",_xlfn.XLOOKUP($E591,$A$5:$A$8,$F$5:$F$8,""),"")</f>
        <v>44</v>
      </c>
      <c r="K591" s="38" t="str">
        <f aca="false">_xlfn.XLOOKUP($E591,$A$5:$A$8,$G$5:$G$8,"")</f>
        <v>Per pay period</v>
      </c>
      <c r="L591" s="38" t="str">
        <f aca="false">_xlfn.XLOOKUP($E591,$A$5:$A$8,$H$5:$H$8,"")</f>
        <v>Every pay period (ongoing)</v>
      </c>
      <c r="M591" s="43" t="n">
        <f aca="false" t="array" ref="M591:M591">MAX(_xlfn.XLOOKUP($A591,TRIM(SUBSTITUTE('worker file'!$A$2:$A$406,_xlfn.UNICHAR(160)," ")),'worker file'!$M$2:$M$406,0),_xlfn.XLOOKUP($B591,TRIM('pay group &amp; schedule'!$A$2:$A$6),'pay group &amp; schedule'!$D$2:$D$6,0))</f>
        <v>46311</v>
      </c>
      <c r="N591" s="43" t="str">
        <f aca="false" t="array" ref="N591:N591">_xlfn.LET(_xlpm.t,_xlfn.XLOOKUP($A591,TRIM(SUBSTITUTE('worker file'!$A$2:$A$406,_xlfn.UNICHAR(160)," ")),'worker file'!$N$2:$N$406,""),IF(N(_xlpm.t)=0,"",_xlpm.t))</f>
        <v/>
      </c>
    </row>
    <row r="592" customFormat="false" ht="15" hidden="false" customHeight="false" outlineLevel="0" collapsed="false">
      <c r="A592" s="39" t="s">
        <v>308</v>
      </c>
      <c r="B592" s="40" t="str">
        <f aca="false" t="array" ref="B592:B592">_xlfn.XLOOKUP($A592,TRIM(SUBSTITUTE('worker file'!$A$2:$A$406,_xlfn.UNICHAR(160)," ")),'worker file'!$L$2:$L$406,"Not found")</f>
        <v>US Semi-monthly</v>
      </c>
      <c r="C592" s="40" t="str">
        <f aca="false" t="array" ref="C592:C592">_xlfn.XLOOKUP($A592,TRIM(SUBSTITUTE('worker file'!$A$2:$A$406,_xlfn.UNICHAR(160)," ")),'worker file'!$D$2:$D$406,"Not found")</f>
        <v>CA</v>
      </c>
      <c r="D592" s="40" t="str">
        <f aca="false" t="array" ref="D592:D592">_xlfn.XLOOKUP($A592,TRIM(SUBSTITUTE('worker file'!$A$2:$A$406,_xlfn.UNICHAR(160)," ")),'worker file'!$Q$2:$Q$406,"Not found")</f>
        <v>Active</v>
      </c>
      <c r="E592" s="39" t="s">
        <v>634</v>
      </c>
      <c r="F592" s="38" t="str">
        <f aca="false">_xlfn.XLOOKUP($E592,$A$5:$A$8,$B$5:$B$8,"")</f>
        <v>Vision – Employee</v>
      </c>
      <c r="G592" s="38" t="str">
        <f aca="false">_xlfn.XLOOKUP($E592,$A$5:$A$8,$D$5:$D$8,"")</f>
        <v>Pre-tax Section 125 (exempt from FIT/SIT/FICA)</v>
      </c>
      <c r="H592" s="38" t="str">
        <f aca="false">_xlfn.XLOOKUP($E592,$A$5:$A$8,$E$5:$E$8,"")</f>
        <v>Flat</v>
      </c>
      <c r="I592" s="44" t="str">
        <f aca="false">IF($H592="Percent",_xlfn.XLOOKUP($E592,$A$5:$A$8,$F$5:$F$8,""),"")</f>
        <v/>
      </c>
      <c r="J592" s="42" t="n">
        <f aca="false">IF($H592="Flat",_xlfn.XLOOKUP($E592,$A$5:$A$8,$F$5:$F$8,""),"")</f>
        <v>30</v>
      </c>
      <c r="K592" s="38" t="str">
        <f aca="false">_xlfn.XLOOKUP($E592,$A$5:$A$8,$G$5:$G$8,"")</f>
        <v>Per pay period</v>
      </c>
      <c r="L592" s="38" t="str">
        <f aca="false">_xlfn.XLOOKUP($E592,$A$5:$A$8,$H$5:$H$8,"")</f>
        <v>Every pay period (ongoing)</v>
      </c>
      <c r="M592" s="43" t="n">
        <f aca="false" t="array" ref="M592:M592">MAX(_xlfn.XLOOKUP($A592,TRIM(SUBSTITUTE('worker file'!$A$2:$A$406,_xlfn.UNICHAR(160)," ")),'worker file'!$M$2:$M$406,0),_xlfn.XLOOKUP($B592,TRIM('pay group &amp; schedule'!$A$2:$A$6),'pay group &amp; schedule'!$D$2:$D$6,0))</f>
        <v>46311</v>
      </c>
      <c r="N592" s="43" t="str">
        <f aca="false" t="array" ref="N592:N592">_xlfn.LET(_xlpm.t,_xlfn.XLOOKUP($A592,TRIM(SUBSTITUTE('worker file'!$A$2:$A$406,_xlfn.UNICHAR(160)," ")),'worker file'!$N$2:$N$406,""),IF(N(_xlpm.t)=0,"",_xlpm.t))</f>
        <v/>
      </c>
    </row>
    <row r="593" customFormat="false" ht="15" hidden="false" customHeight="false" outlineLevel="0" collapsed="false">
      <c r="A593" s="39" t="s">
        <v>309</v>
      </c>
      <c r="B593" s="40" t="str">
        <f aca="false" t="array" ref="B593:B593">_xlfn.XLOOKUP($A593,TRIM(SUBSTITUTE('worker file'!$A$2:$A$406,_xlfn.UNICHAR(160)," ")),'worker file'!$L$2:$L$406,"Not found")</f>
        <v>US Semi-monthly</v>
      </c>
      <c r="C593" s="40" t="str">
        <f aca="false" t="array" ref="C593:C593">_xlfn.XLOOKUP($A593,TRIM(SUBSTITUTE('worker file'!$A$2:$A$406,_xlfn.UNICHAR(160)," ")),'worker file'!$D$2:$D$406,"Not found")</f>
        <v>CA</v>
      </c>
      <c r="D593" s="40" t="str">
        <f aca="false" t="array" ref="D593:D593">_xlfn.XLOOKUP($A593,TRIM(SUBSTITUTE('worker file'!$A$2:$A$406,_xlfn.UNICHAR(160)," ")),'worker file'!$Q$2:$Q$406,"Not found")</f>
        <v>Active</v>
      </c>
      <c r="E593" s="39" t="s">
        <v>618</v>
      </c>
      <c r="F593" s="38" t="str">
        <f aca="false">_xlfn.XLOOKUP($E593,$A$5:$A$8,$B$5:$B$8,"")</f>
        <v>401(k) Employee Deferral</v>
      </c>
      <c r="G593" s="38" t="str">
        <f aca="false">_xlfn.XLOOKUP($E593,$A$5:$A$8,$D$5:$D$8,"")</f>
        <v>Pre-tax (exempt from FIT/SIT; subject to FICA)</v>
      </c>
      <c r="H593" s="38" t="str">
        <f aca="false">_xlfn.XLOOKUP($E593,$A$5:$A$8,$E$5:$E$8,"")</f>
        <v>Percent</v>
      </c>
      <c r="I593" s="41" t="n">
        <v>0.04</v>
      </c>
      <c r="J593" s="42" t="str">
        <f aca="false">IF($H593="Flat",_xlfn.XLOOKUP($E593,$A$5:$A$8,$F$5:$F$8,""),"")</f>
        <v/>
      </c>
      <c r="K593" s="38" t="str">
        <f aca="false">_xlfn.XLOOKUP($E593,$A$5:$A$8,$G$5:$G$8,"")</f>
        <v>Gross pay</v>
      </c>
      <c r="L593" s="38" t="str">
        <f aca="false">_xlfn.XLOOKUP($E593,$A$5:$A$8,$H$5:$H$8,"")</f>
        <v>Every pay period (ongoing)</v>
      </c>
      <c r="M593" s="43" t="n">
        <f aca="false" t="array" ref="M593:M593">MAX(_xlfn.XLOOKUP($A593,TRIM(SUBSTITUTE('worker file'!$A$2:$A$406,_xlfn.UNICHAR(160)," ")),'worker file'!$M$2:$M$406,0),_xlfn.XLOOKUP($B593,TRIM('pay group &amp; schedule'!$A$2:$A$6),'pay group &amp; schedule'!$D$2:$D$6,0))</f>
        <v>46311</v>
      </c>
      <c r="N593" s="43" t="str">
        <f aca="false" t="array" ref="N593:N593">_xlfn.LET(_xlpm.t,_xlfn.XLOOKUP($A593,TRIM(SUBSTITUTE('worker file'!$A$2:$A$406,_xlfn.UNICHAR(160)," ")),'worker file'!$N$2:$N$406,""),IF(N(_xlpm.t)=0,"",_xlpm.t))</f>
        <v/>
      </c>
    </row>
    <row r="594" customFormat="false" ht="15" hidden="false" customHeight="false" outlineLevel="0" collapsed="false">
      <c r="A594" s="39" t="s">
        <v>309</v>
      </c>
      <c r="B594" s="40" t="str">
        <f aca="false" t="array" ref="B594:B594">_xlfn.XLOOKUP($A594,TRIM(SUBSTITUTE('worker file'!$A$2:$A$406,_xlfn.UNICHAR(160)," ")),'worker file'!$L$2:$L$406,"Not found")</f>
        <v>US Semi-monthly</v>
      </c>
      <c r="C594" s="40" t="str">
        <f aca="false" t="array" ref="C594:C594">_xlfn.XLOOKUP($A594,TRIM(SUBSTITUTE('worker file'!$A$2:$A$406,_xlfn.UNICHAR(160)," ")),'worker file'!$D$2:$D$406,"Not found")</f>
        <v>CA</v>
      </c>
      <c r="D594" s="40" t="str">
        <f aca="false" t="array" ref="D594:D594">_xlfn.XLOOKUP($A594,TRIM(SUBSTITUTE('worker file'!$A$2:$A$406,_xlfn.UNICHAR(160)," ")),'worker file'!$Q$2:$Q$406,"Not found")</f>
        <v>Active</v>
      </c>
      <c r="E594" s="39" t="s">
        <v>626</v>
      </c>
      <c r="F594" s="38" t="str">
        <f aca="false">_xlfn.XLOOKUP($E594,$A$5:$A$8,$B$5:$B$8,"")</f>
        <v>Medical (Health) – Employee</v>
      </c>
      <c r="G594" s="38" t="str">
        <f aca="false">_xlfn.XLOOKUP($E594,$A$5:$A$8,$D$5:$D$8,"")</f>
        <v>Pre-tax Section 125 (exempt from FIT/SIT/FICA)</v>
      </c>
      <c r="H594" s="38" t="str">
        <f aca="false">_xlfn.XLOOKUP($E594,$A$5:$A$8,$E$5:$E$8,"")</f>
        <v>Flat</v>
      </c>
      <c r="I594" s="44" t="str">
        <f aca="false">IF($H594="Percent",_xlfn.XLOOKUP($E594,$A$5:$A$8,$F$5:$F$8,""),"")</f>
        <v/>
      </c>
      <c r="J594" s="42" t="n">
        <f aca="false">IF($H594="Flat",_xlfn.XLOOKUP($E594,$A$5:$A$8,$F$5:$F$8,""),"")</f>
        <v>200</v>
      </c>
      <c r="K594" s="38" t="str">
        <f aca="false">_xlfn.XLOOKUP($E594,$A$5:$A$8,$G$5:$G$8,"")</f>
        <v>Per pay period</v>
      </c>
      <c r="L594" s="38" t="str">
        <f aca="false">_xlfn.XLOOKUP($E594,$A$5:$A$8,$H$5:$H$8,"")</f>
        <v>Every pay period (ongoing)</v>
      </c>
      <c r="M594" s="43" t="n">
        <f aca="false" t="array" ref="M594:M594">MAX(_xlfn.XLOOKUP($A594,TRIM(SUBSTITUTE('worker file'!$A$2:$A$406,_xlfn.UNICHAR(160)," ")),'worker file'!$M$2:$M$406,0),_xlfn.XLOOKUP($B594,TRIM('pay group &amp; schedule'!$A$2:$A$6),'pay group &amp; schedule'!$D$2:$D$6,0))</f>
        <v>46311</v>
      </c>
      <c r="N594" s="43" t="str">
        <f aca="false" t="array" ref="N594:N594">_xlfn.LET(_xlpm.t,_xlfn.XLOOKUP($A594,TRIM(SUBSTITUTE('worker file'!$A$2:$A$406,_xlfn.UNICHAR(160)," ")),'worker file'!$N$2:$N$406,""),IF(N(_xlpm.t)=0,"",_xlpm.t))</f>
        <v/>
      </c>
    </row>
    <row r="595" customFormat="false" ht="15" hidden="false" customHeight="false" outlineLevel="0" collapsed="false">
      <c r="A595" s="39" t="s">
        <v>309</v>
      </c>
      <c r="B595" s="40" t="str">
        <f aca="false" t="array" ref="B595:B595">_xlfn.XLOOKUP($A595,TRIM(SUBSTITUTE('worker file'!$A$2:$A$406,_xlfn.UNICHAR(160)," ")),'worker file'!$L$2:$L$406,"Not found")</f>
        <v>US Semi-monthly</v>
      </c>
      <c r="C595" s="40" t="str">
        <f aca="false" t="array" ref="C595:C595">_xlfn.XLOOKUP($A595,TRIM(SUBSTITUTE('worker file'!$A$2:$A$406,_xlfn.UNICHAR(160)," ")),'worker file'!$D$2:$D$406,"Not found")</f>
        <v>CA</v>
      </c>
      <c r="D595" s="40" t="str">
        <f aca="false" t="array" ref="D595:D595">_xlfn.XLOOKUP($A595,TRIM(SUBSTITUTE('worker file'!$A$2:$A$406,_xlfn.UNICHAR(160)," ")),'worker file'!$Q$2:$Q$406,"Not found")</f>
        <v>Active</v>
      </c>
      <c r="E595" s="39" t="s">
        <v>632</v>
      </c>
      <c r="F595" s="38" t="str">
        <f aca="false">_xlfn.XLOOKUP($E595,$A$5:$A$8,$B$5:$B$8,"")</f>
        <v>Dental – Employee</v>
      </c>
      <c r="G595" s="38" t="str">
        <f aca="false">_xlfn.XLOOKUP($E595,$A$5:$A$8,$D$5:$D$8,"")</f>
        <v>Pre-tax Section 125 (exempt from FIT/SIT/FICA)</v>
      </c>
      <c r="H595" s="38" t="str">
        <f aca="false">_xlfn.XLOOKUP($E595,$A$5:$A$8,$E$5:$E$8,"")</f>
        <v>Flat</v>
      </c>
      <c r="I595" s="44" t="str">
        <f aca="false">IF($H595="Percent",_xlfn.XLOOKUP($E595,$A$5:$A$8,$F$5:$F$8,""),"")</f>
        <v/>
      </c>
      <c r="J595" s="42" t="n">
        <f aca="false">IF($H595="Flat",_xlfn.XLOOKUP($E595,$A$5:$A$8,$F$5:$F$8,""),"")</f>
        <v>44</v>
      </c>
      <c r="K595" s="38" t="str">
        <f aca="false">_xlfn.XLOOKUP($E595,$A$5:$A$8,$G$5:$G$8,"")</f>
        <v>Per pay period</v>
      </c>
      <c r="L595" s="38" t="str">
        <f aca="false">_xlfn.XLOOKUP($E595,$A$5:$A$8,$H$5:$H$8,"")</f>
        <v>Every pay period (ongoing)</v>
      </c>
      <c r="M595" s="43" t="n">
        <f aca="false" t="array" ref="M595:M595">MAX(_xlfn.XLOOKUP($A595,TRIM(SUBSTITUTE('worker file'!$A$2:$A$406,_xlfn.UNICHAR(160)," ")),'worker file'!$M$2:$M$406,0),_xlfn.XLOOKUP($B595,TRIM('pay group &amp; schedule'!$A$2:$A$6),'pay group &amp; schedule'!$D$2:$D$6,0))</f>
        <v>46311</v>
      </c>
      <c r="N595" s="43" t="str">
        <f aca="false" t="array" ref="N595:N595">_xlfn.LET(_xlpm.t,_xlfn.XLOOKUP($A595,TRIM(SUBSTITUTE('worker file'!$A$2:$A$406,_xlfn.UNICHAR(160)," ")),'worker file'!$N$2:$N$406,""),IF(N(_xlpm.t)=0,"",_xlpm.t))</f>
        <v/>
      </c>
    </row>
    <row r="596" customFormat="false" ht="15" hidden="false" customHeight="false" outlineLevel="0" collapsed="false">
      <c r="A596" s="39" t="s">
        <v>309</v>
      </c>
      <c r="B596" s="40" t="str">
        <f aca="false" t="array" ref="B596:B596">_xlfn.XLOOKUP($A596,TRIM(SUBSTITUTE('worker file'!$A$2:$A$406,_xlfn.UNICHAR(160)," ")),'worker file'!$L$2:$L$406,"Not found")</f>
        <v>US Semi-monthly</v>
      </c>
      <c r="C596" s="40" t="str">
        <f aca="false" t="array" ref="C596:C596">_xlfn.XLOOKUP($A596,TRIM(SUBSTITUTE('worker file'!$A$2:$A$406,_xlfn.UNICHAR(160)," ")),'worker file'!$D$2:$D$406,"Not found")</f>
        <v>CA</v>
      </c>
      <c r="D596" s="40" t="str">
        <f aca="false" t="array" ref="D596:D596">_xlfn.XLOOKUP($A596,TRIM(SUBSTITUTE('worker file'!$A$2:$A$406,_xlfn.UNICHAR(160)," ")),'worker file'!$Q$2:$Q$406,"Not found")</f>
        <v>Active</v>
      </c>
      <c r="E596" s="39" t="s">
        <v>634</v>
      </c>
      <c r="F596" s="38" t="str">
        <f aca="false">_xlfn.XLOOKUP($E596,$A$5:$A$8,$B$5:$B$8,"")</f>
        <v>Vision – Employee</v>
      </c>
      <c r="G596" s="38" t="str">
        <f aca="false">_xlfn.XLOOKUP($E596,$A$5:$A$8,$D$5:$D$8,"")</f>
        <v>Pre-tax Section 125 (exempt from FIT/SIT/FICA)</v>
      </c>
      <c r="H596" s="38" t="str">
        <f aca="false">_xlfn.XLOOKUP($E596,$A$5:$A$8,$E$5:$E$8,"")</f>
        <v>Flat</v>
      </c>
      <c r="I596" s="44" t="str">
        <f aca="false">IF($H596="Percent",_xlfn.XLOOKUP($E596,$A$5:$A$8,$F$5:$F$8,""),"")</f>
        <v/>
      </c>
      <c r="J596" s="42" t="n">
        <f aca="false">IF($H596="Flat",_xlfn.XLOOKUP($E596,$A$5:$A$8,$F$5:$F$8,""),"")</f>
        <v>30</v>
      </c>
      <c r="K596" s="38" t="str">
        <f aca="false">_xlfn.XLOOKUP($E596,$A$5:$A$8,$G$5:$G$8,"")</f>
        <v>Per pay period</v>
      </c>
      <c r="L596" s="38" t="str">
        <f aca="false">_xlfn.XLOOKUP($E596,$A$5:$A$8,$H$5:$H$8,"")</f>
        <v>Every pay period (ongoing)</v>
      </c>
      <c r="M596" s="43" t="n">
        <f aca="false" t="array" ref="M596:M596">MAX(_xlfn.XLOOKUP($A596,TRIM(SUBSTITUTE('worker file'!$A$2:$A$406,_xlfn.UNICHAR(160)," ")),'worker file'!$M$2:$M$406,0),_xlfn.XLOOKUP($B596,TRIM('pay group &amp; schedule'!$A$2:$A$6),'pay group &amp; schedule'!$D$2:$D$6,0))</f>
        <v>46311</v>
      </c>
      <c r="N596" s="43" t="str">
        <f aca="false" t="array" ref="N596:N596">_xlfn.LET(_xlpm.t,_xlfn.XLOOKUP($A596,TRIM(SUBSTITUTE('worker file'!$A$2:$A$406,_xlfn.UNICHAR(160)," ")),'worker file'!$N$2:$N$406,""),IF(N(_xlpm.t)=0,"",_xlpm.t))</f>
        <v/>
      </c>
    </row>
    <row r="597" customFormat="false" ht="15" hidden="false" customHeight="false" outlineLevel="0" collapsed="false">
      <c r="A597" s="39" t="s">
        <v>310</v>
      </c>
      <c r="B597" s="40" t="str">
        <f aca="false" t="array" ref="B597:B597">_xlfn.XLOOKUP($A597,TRIM(SUBSTITUTE('worker file'!$A$2:$A$406,_xlfn.UNICHAR(160)," ")),'worker file'!$L$2:$L$406,"Not found")</f>
        <v>US Semi-monthly</v>
      </c>
      <c r="C597" s="40" t="str">
        <f aca="false" t="array" ref="C597:C597">_xlfn.XLOOKUP($A597,TRIM(SUBSTITUTE('worker file'!$A$2:$A$406,_xlfn.UNICHAR(160)," ")),'worker file'!$D$2:$D$406,"Not found")</f>
        <v>WA</v>
      </c>
      <c r="D597" s="40" t="str">
        <f aca="false" t="array" ref="D597:D597">_xlfn.XLOOKUP($A597,TRIM(SUBSTITUTE('worker file'!$A$2:$A$406,_xlfn.UNICHAR(160)," ")),'worker file'!$Q$2:$Q$406,"Not found")</f>
        <v>Active</v>
      </c>
      <c r="E597" s="39" t="s">
        <v>618</v>
      </c>
      <c r="F597" s="38" t="str">
        <f aca="false">_xlfn.XLOOKUP($E597,$A$5:$A$8,$B$5:$B$8,"")</f>
        <v>401(k) Employee Deferral</v>
      </c>
      <c r="G597" s="38" t="str">
        <f aca="false">_xlfn.XLOOKUP($E597,$A$5:$A$8,$D$5:$D$8,"")</f>
        <v>Pre-tax (exempt from FIT/SIT; subject to FICA)</v>
      </c>
      <c r="H597" s="38" t="str">
        <f aca="false">_xlfn.XLOOKUP($E597,$A$5:$A$8,$E$5:$E$8,"")</f>
        <v>Percent</v>
      </c>
      <c r="I597" s="41" t="n">
        <v>0.01</v>
      </c>
      <c r="J597" s="42" t="str">
        <f aca="false">IF($H597="Flat",_xlfn.XLOOKUP($E597,$A$5:$A$8,$F$5:$F$8,""),"")</f>
        <v/>
      </c>
      <c r="K597" s="38" t="str">
        <f aca="false">_xlfn.XLOOKUP($E597,$A$5:$A$8,$G$5:$G$8,"")</f>
        <v>Gross pay</v>
      </c>
      <c r="L597" s="38" t="str">
        <f aca="false">_xlfn.XLOOKUP($E597,$A$5:$A$8,$H$5:$H$8,"")</f>
        <v>Every pay period (ongoing)</v>
      </c>
      <c r="M597" s="43" t="n">
        <f aca="false" t="array" ref="M597:M597">MAX(_xlfn.XLOOKUP($A597,TRIM(SUBSTITUTE('worker file'!$A$2:$A$406,_xlfn.UNICHAR(160)," ")),'worker file'!$M$2:$M$406,0),_xlfn.XLOOKUP($B597,TRIM('pay group &amp; schedule'!$A$2:$A$6),'pay group &amp; schedule'!$D$2:$D$6,0))</f>
        <v>46311</v>
      </c>
      <c r="N597" s="43" t="str">
        <f aca="false" t="array" ref="N597:N597">_xlfn.LET(_xlpm.t,_xlfn.XLOOKUP($A597,TRIM(SUBSTITUTE('worker file'!$A$2:$A$406,_xlfn.UNICHAR(160)," ")),'worker file'!$N$2:$N$406,""),IF(N(_xlpm.t)=0,"",_xlpm.t))</f>
        <v/>
      </c>
    </row>
    <row r="598" customFormat="false" ht="15" hidden="false" customHeight="false" outlineLevel="0" collapsed="false">
      <c r="A598" s="39" t="s">
        <v>310</v>
      </c>
      <c r="B598" s="40" t="str">
        <f aca="false" t="array" ref="B598:B598">_xlfn.XLOOKUP($A598,TRIM(SUBSTITUTE('worker file'!$A$2:$A$406,_xlfn.UNICHAR(160)," ")),'worker file'!$L$2:$L$406,"Not found")</f>
        <v>US Semi-monthly</v>
      </c>
      <c r="C598" s="40" t="str">
        <f aca="false" t="array" ref="C598:C598">_xlfn.XLOOKUP($A598,TRIM(SUBSTITUTE('worker file'!$A$2:$A$406,_xlfn.UNICHAR(160)," ")),'worker file'!$D$2:$D$406,"Not found")</f>
        <v>WA</v>
      </c>
      <c r="D598" s="40" t="str">
        <f aca="false" t="array" ref="D598:D598">_xlfn.XLOOKUP($A598,TRIM(SUBSTITUTE('worker file'!$A$2:$A$406,_xlfn.UNICHAR(160)," ")),'worker file'!$Q$2:$Q$406,"Not found")</f>
        <v>Active</v>
      </c>
      <c r="E598" s="39" t="s">
        <v>626</v>
      </c>
      <c r="F598" s="38" t="str">
        <f aca="false">_xlfn.XLOOKUP($E598,$A$5:$A$8,$B$5:$B$8,"")</f>
        <v>Medical (Health) – Employee</v>
      </c>
      <c r="G598" s="38" t="str">
        <f aca="false">_xlfn.XLOOKUP($E598,$A$5:$A$8,$D$5:$D$8,"")</f>
        <v>Pre-tax Section 125 (exempt from FIT/SIT/FICA)</v>
      </c>
      <c r="H598" s="38" t="str">
        <f aca="false">_xlfn.XLOOKUP($E598,$A$5:$A$8,$E$5:$E$8,"")</f>
        <v>Flat</v>
      </c>
      <c r="I598" s="44" t="str">
        <f aca="false">IF($H598="Percent",_xlfn.XLOOKUP($E598,$A$5:$A$8,$F$5:$F$8,""),"")</f>
        <v/>
      </c>
      <c r="J598" s="42" t="n">
        <f aca="false">IF($H598="Flat",_xlfn.XLOOKUP($E598,$A$5:$A$8,$F$5:$F$8,""),"")</f>
        <v>200</v>
      </c>
      <c r="K598" s="38" t="str">
        <f aca="false">_xlfn.XLOOKUP($E598,$A$5:$A$8,$G$5:$G$8,"")</f>
        <v>Per pay period</v>
      </c>
      <c r="L598" s="38" t="str">
        <f aca="false">_xlfn.XLOOKUP($E598,$A$5:$A$8,$H$5:$H$8,"")</f>
        <v>Every pay period (ongoing)</v>
      </c>
      <c r="M598" s="43" t="n">
        <f aca="false" t="array" ref="M598:M598">MAX(_xlfn.XLOOKUP($A598,TRIM(SUBSTITUTE('worker file'!$A$2:$A$406,_xlfn.UNICHAR(160)," ")),'worker file'!$M$2:$M$406,0),_xlfn.XLOOKUP($B598,TRIM('pay group &amp; schedule'!$A$2:$A$6),'pay group &amp; schedule'!$D$2:$D$6,0))</f>
        <v>46311</v>
      </c>
      <c r="N598" s="43" t="str">
        <f aca="false" t="array" ref="N598:N598">_xlfn.LET(_xlpm.t,_xlfn.XLOOKUP($A598,TRIM(SUBSTITUTE('worker file'!$A$2:$A$406,_xlfn.UNICHAR(160)," ")),'worker file'!$N$2:$N$406,""),IF(N(_xlpm.t)=0,"",_xlpm.t))</f>
        <v/>
      </c>
    </row>
    <row r="599" customFormat="false" ht="15" hidden="false" customHeight="false" outlineLevel="0" collapsed="false">
      <c r="A599" s="39" t="s">
        <v>310</v>
      </c>
      <c r="B599" s="40" t="str">
        <f aca="false" t="array" ref="B599:B599">_xlfn.XLOOKUP($A599,TRIM(SUBSTITUTE('worker file'!$A$2:$A$406,_xlfn.UNICHAR(160)," ")),'worker file'!$L$2:$L$406,"Not found")</f>
        <v>US Semi-monthly</v>
      </c>
      <c r="C599" s="40" t="str">
        <f aca="false" t="array" ref="C599:C599">_xlfn.XLOOKUP($A599,TRIM(SUBSTITUTE('worker file'!$A$2:$A$406,_xlfn.UNICHAR(160)," ")),'worker file'!$D$2:$D$406,"Not found")</f>
        <v>WA</v>
      </c>
      <c r="D599" s="40" t="str">
        <f aca="false" t="array" ref="D599:D599">_xlfn.XLOOKUP($A599,TRIM(SUBSTITUTE('worker file'!$A$2:$A$406,_xlfn.UNICHAR(160)," ")),'worker file'!$Q$2:$Q$406,"Not found")</f>
        <v>Active</v>
      </c>
      <c r="E599" s="39" t="s">
        <v>632</v>
      </c>
      <c r="F599" s="38" t="str">
        <f aca="false">_xlfn.XLOOKUP($E599,$A$5:$A$8,$B$5:$B$8,"")</f>
        <v>Dental – Employee</v>
      </c>
      <c r="G599" s="38" t="str">
        <f aca="false">_xlfn.XLOOKUP($E599,$A$5:$A$8,$D$5:$D$8,"")</f>
        <v>Pre-tax Section 125 (exempt from FIT/SIT/FICA)</v>
      </c>
      <c r="H599" s="38" t="str">
        <f aca="false">_xlfn.XLOOKUP($E599,$A$5:$A$8,$E$5:$E$8,"")</f>
        <v>Flat</v>
      </c>
      <c r="I599" s="44" t="str">
        <f aca="false">IF($H599="Percent",_xlfn.XLOOKUP($E599,$A$5:$A$8,$F$5:$F$8,""),"")</f>
        <v/>
      </c>
      <c r="J599" s="42" t="n">
        <f aca="false">IF($H599="Flat",_xlfn.XLOOKUP($E599,$A$5:$A$8,$F$5:$F$8,""),"")</f>
        <v>44</v>
      </c>
      <c r="K599" s="38" t="str">
        <f aca="false">_xlfn.XLOOKUP($E599,$A$5:$A$8,$G$5:$G$8,"")</f>
        <v>Per pay period</v>
      </c>
      <c r="L599" s="38" t="str">
        <f aca="false">_xlfn.XLOOKUP($E599,$A$5:$A$8,$H$5:$H$8,"")</f>
        <v>Every pay period (ongoing)</v>
      </c>
      <c r="M599" s="43" t="n">
        <f aca="false" t="array" ref="M599:M599">MAX(_xlfn.XLOOKUP($A599,TRIM(SUBSTITUTE('worker file'!$A$2:$A$406,_xlfn.UNICHAR(160)," ")),'worker file'!$M$2:$M$406,0),_xlfn.XLOOKUP($B599,TRIM('pay group &amp; schedule'!$A$2:$A$6),'pay group &amp; schedule'!$D$2:$D$6,0))</f>
        <v>46311</v>
      </c>
      <c r="N599" s="43" t="str">
        <f aca="false" t="array" ref="N599:N599">_xlfn.LET(_xlpm.t,_xlfn.XLOOKUP($A599,TRIM(SUBSTITUTE('worker file'!$A$2:$A$406,_xlfn.UNICHAR(160)," ")),'worker file'!$N$2:$N$406,""),IF(N(_xlpm.t)=0,"",_xlpm.t))</f>
        <v/>
      </c>
    </row>
    <row r="600" customFormat="false" ht="15" hidden="false" customHeight="false" outlineLevel="0" collapsed="false">
      <c r="A600" s="39" t="s">
        <v>310</v>
      </c>
      <c r="B600" s="40" t="str">
        <f aca="false" t="array" ref="B600:B600">_xlfn.XLOOKUP($A600,TRIM(SUBSTITUTE('worker file'!$A$2:$A$406,_xlfn.UNICHAR(160)," ")),'worker file'!$L$2:$L$406,"Not found")</f>
        <v>US Semi-monthly</v>
      </c>
      <c r="C600" s="40" t="str">
        <f aca="false" t="array" ref="C600:C600">_xlfn.XLOOKUP($A600,TRIM(SUBSTITUTE('worker file'!$A$2:$A$406,_xlfn.UNICHAR(160)," ")),'worker file'!$D$2:$D$406,"Not found")</f>
        <v>WA</v>
      </c>
      <c r="D600" s="40" t="str">
        <f aca="false" t="array" ref="D600:D600">_xlfn.XLOOKUP($A600,TRIM(SUBSTITUTE('worker file'!$A$2:$A$406,_xlfn.UNICHAR(160)," ")),'worker file'!$Q$2:$Q$406,"Not found")</f>
        <v>Active</v>
      </c>
      <c r="E600" s="39" t="s">
        <v>634</v>
      </c>
      <c r="F600" s="38" t="str">
        <f aca="false">_xlfn.XLOOKUP($E600,$A$5:$A$8,$B$5:$B$8,"")</f>
        <v>Vision – Employee</v>
      </c>
      <c r="G600" s="38" t="str">
        <f aca="false">_xlfn.XLOOKUP($E600,$A$5:$A$8,$D$5:$D$8,"")</f>
        <v>Pre-tax Section 125 (exempt from FIT/SIT/FICA)</v>
      </c>
      <c r="H600" s="38" t="str">
        <f aca="false">_xlfn.XLOOKUP($E600,$A$5:$A$8,$E$5:$E$8,"")</f>
        <v>Flat</v>
      </c>
      <c r="I600" s="44" t="str">
        <f aca="false">IF($H600="Percent",_xlfn.XLOOKUP($E600,$A$5:$A$8,$F$5:$F$8,""),"")</f>
        <v/>
      </c>
      <c r="J600" s="42" t="n">
        <f aca="false">IF($H600="Flat",_xlfn.XLOOKUP($E600,$A$5:$A$8,$F$5:$F$8,""),"")</f>
        <v>30</v>
      </c>
      <c r="K600" s="38" t="str">
        <f aca="false">_xlfn.XLOOKUP($E600,$A$5:$A$8,$G$5:$G$8,"")</f>
        <v>Per pay period</v>
      </c>
      <c r="L600" s="38" t="str">
        <f aca="false">_xlfn.XLOOKUP($E600,$A$5:$A$8,$H$5:$H$8,"")</f>
        <v>Every pay period (ongoing)</v>
      </c>
      <c r="M600" s="43" t="n">
        <f aca="false" t="array" ref="M600:M600">MAX(_xlfn.XLOOKUP($A600,TRIM(SUBSTITUTE('worker file'!$A$2:$A$406,_xlfn.UNICHAR(160)," ")),'worker file'!$M$2:$M$406,0),_xlfn.XLOOKUP($B600,TRIM('pay group &amp; schedule'!$A$2:$A$6),'pay group &amp; schedule'!$D$2:$D$6,0))</f>
        <v>46311</v>
      </c>
      <c r="N600" s="43" t="str">
        <f aca="false" t="array" ref="N600:N600">_xlfn.LET(_xlpm.t,_xlfn.XLOOKUP($A600,TRIM(SUBSTITUTE('worker file'!$A$2:$A$406,_xlfn.UNICHAR(160)," ")),'worker file'!$N$2:$N$406,""),IF(N(_xlpm.t)=0,"",_xlpm.t))</f>
        <v/>
      </c>
    </row>
    <row r="601" customFormat="false" ht="15" hidden="false" customHeight="false" outlineLevel="0" collapsed="false">
      <c r="A601" s="39" t="s">
        <v>311</v>
      </c>
      <c r="B601" s="40" t="str">
        <f aca="false" t="array" ref="B601:B601">_xlfn.XLOOKUP($A601,TRIM(SUBSTITUTE('worker file'!$A$2:$A$406,_xlfn.UNICHAR(160)," ")),'worker file'!$L$2:$L$406,"Not found")</f>
        <v>US Semi-monthly</v>
      </c>
      <c r="C601" s="40" t="str">
        <f aca="false" t="array" ref="C601:C601">_xlfn.XLOOKUP($A601,TRIM(SUBSTITUTE('worker file'!$A$2:$A$406,_xlfn.UNICHAR(160)," ")),'worker file'!$D$2:$D$406,"Not found")</f>
        <v>CA</v>
      </c>
      <c r="D601" s="40" t="str">
        <f aca="false" t="array" ref="D601:D601">_xlfn.XLOOKUP($A601,TRIM(SUBSTITUTE('worker file'!$A$2:$A$406,_xlfn.UNICHAR(160)," ")),'worker file'!$Q$2:$Q$406,"Not found")</f>
        <v>Active</v>
      </c>
      <c r="E601" s="39" t="s">
        <v>626</v>
      </c>
      <c r="F601" s="38" t="str">
        <f aca="false">_xlfn.XLOOKUP($E601,$A$5:$A$8,$B$5:$B$8,"")</f>
        <v>Medical (Health) – Employee</v>
      </c>
      <c r="G601" s="38" t="str">
        <f aca="false">_xlfn.XLOOKUP($E601,$A$5:$A$8,$D$5:$D$8,"")</f>
        <v>Pre-tax Section 125 (exempt from FIT/SIT/FICA)</v>
      </c>
      <c r="H601" s="38" t="str">
        <f aca="false">_xlfn.XLOOKUP($E601,$A$5:$A$8,$E$5:$E$8,"")</f>
        <v>Flat</v>
      </c>
      <c r="I601" s="44" t="str">
        <f aca="false">IF($H601="Percent",_xlfn.XLOOKUP($E601,$A$5:$A$8,$F$5:$F$8,""),"")</f>
        <v/>
      </c>
      <c r="J601" s="42" t="n">
        <f aca="false">IF($H601="Flat",_xlfn.XLOOKUP($E601,$A$5:$A$8,$F$5:$F$8,""),"")</f>
        <v>200</v>
      </c>
      <c r="K601" s="38" t="str">
        <f aca="false">_xlfn.XLOOKUP($E601,$A$5:$A$8,$G$5:$G$8,"")</f>
        <v>Per pay period</v>
      </c>
      <c r="L601" s="38" t="str">
        <f aca="false">_xlfn.XLOOKUP($E601,$A$5:$A$8,$H$5:$H$8,"")</f>
        <v>Every pay period (ongoing)</v>
      </c>
      <c r="M601" s="43" t="n">
        <f aca="false" t="array" ref="M601:M601">MAX(_xlfn.XLOOKUP($A601,TRIM(SUBSTITUTE('worker file'!$A$2:$A$406,_xlfn.UNICHAR(160)," ")),'worker file'!$M$2:$M$406,0),_xlfn.XLOOKUP($B601,TRIM('pay group &amp; schedule'!$A$2:$A$6),'pay group &amp; schedule'!$D$2:$D$6,0))</f>
        <v>46311</v>
      </c>
      <c r="N601" s="43" t="str">
        <f aca="false" t="array" ref="N601:N601">_xlfn.LET(_xlpm.t,_xlfn.XLOOKUP($A601,TRIM(SUBSTITUTE('worker file'!$A$2:$A$406,_xlfn.UNICHAR(160)," ")),'worker file'!$N$2:$N$406,""),IF(N(_xlpm.t)=0,"",_xlpm.t))</f>
        <v/>
      </c>
    </row>
    <row r="602" customFormat="false" ht="15" hidden="false" customHeight="false" outlineLevel="0" collapsed="false">
      <c r="A602" s="39" t="s">
        <v>311</v>
      </c>
      <c r="B602" s="40" t="str">
        <f aca="false" t="array" ref="B602:B602">_xlfn.XLOOKUP($A602,TRIM(SUBSTITUTE('worker file'!$A$2:$A$406,_xlfn.UNICHAR(160)," ")),'worker file'!$L$2:$L$406,"Not found")</f>
        <v>US Semi-monthly</v>
      </c>
      <c r="C602" s="40" t="str">
        <f aca="false" t="array" ref="C602:C602">_xlfn.XLOOKUP($A602,TRIM(SUBSTITUTE('worker file'!$A$2:$A$406,_xlfn.UNICHAR(160)," ")),'worker file'!$D$2:$D$406,"Not found")</f>
        <v>CA</v>
      </c>
      <c r="D602" s="40" t="str">
        <f aca="false" t="array" ref="D602:D602">_xlfn.XLOOKUP($A602,TRIM(SUBSTITUTE('worker file'!$A$2:$A$406,_xlfn.UNICHAR(160)," ")),'worker file'!$Q$2:$Q$406,"Not found")</f>
        <v>Active</v>
      </c>
      <c r="E602" s="39" t="s">
        <v>632</v>
      </c>
      <c r="F602" s="38" t="str">
        <f aca="false">_xlfn.XLOOKUP($E602,$A$5:$A$8,$B$5:$B$8,"")</f>
        <v>Dental – Employee</v>
      </c>
      <c r="G602" s="38" t="str">
        <f aca="false">_xlfn.XLOOKUP($E602,$A$5:$A$8,$D$5:$D$8,"")</f>
        <v>Pre-tax Section 125 (exempt from FIT/SIT/FICA)</v>
      </c>
      <c r="H602" s="38" t="str">
        <f aca="false">_xlfn.XLOOKUP($E602,$A$5:$A$8,$E$5:$E$8,"")</f>
        <v>Flat</v>
      </c>
      <c r="I602" s="44" t="str">
        <f aca="false">IF($H602="Percent",_xlfn.XLOOKUP($E602,$A$5:$A$8,$F$5:$F$8,""),"")</f>
        <v/>
      </c>
      <c r="J602" s="42" t="n">
        <f aca="false">IF($H602="Flat",_xlfn.XLOOKUP($E602,$A$5:$A$8,$F$5:$F$8,""),"")</f>
        <v>44</v>
      </c>
      <c r="K602" s="38" t="str">
        <f aca="false">_xlfn.XLOOKUP($E602,$A$5:$A$8,$G$5:$G$8,"")</f>
        <v>Per pay period</v>
      </c>
      <c r="L602" s="38" t="str">
        <f aca="false">_xlfn.XLOOKUP($E602,$A$5:$A$8,$H$5:$H$8,"")</f>
        <v>Every pay period (ongoing)</v>
      </c>
      <c r="M602" s="43" t="n">
        <f aca="false" t="array" ref="M602:M602">MAX(_xlfn.XLOOKUP($A602,TRIM(SUBSTITUTE('worker file'!$A$2:$A$406,_xlfn.UNICHAR(160)," ")),'worker file'!$M$2:$M$406,0),_xlfn.XLOOKUP($B602,TRIM('pay group &amp; schedule'!$A$2:$A$6),'pay group &amp; schedule'!$D$2:$D$6,0))</f>
        <v>46311</v>
      </c>
      <c r="N602" s="43" t="str">
        <f aca="false" t="array" ref="N602:N602">_xlfn.LET(_xlpm.t,_xlfn.XLOOKUP($A602,TRIM(SUBSTITUTE('worker file'!$A$2:$A$406,_xlfn.UNICHAR(160)," ")),'worker file'!$N$2:$N$406,""),IF(N(_xlpm.t)=0,"",_xlpm.t))</f>
        <v/>
      </c>
    </row>
    <row r="603" customFormat="false" ht="15" hidden="false" customHeight="false" outlineLevel="0" collapsed="false">
      <c r="A603" s="39" t="s">
        <v>311</v>
      </c>
      <c r="B603" s="40" t="str">
        <f aca="false" t="array" ref="B603:B603">_xlfn.XLOOKUP($A603,TRIM(SUBSTITUTE('worker file'!$A$2:$A$406,_xlfn.UNICHAR(160)," ")),'worker file'!$L$2:$L$406,"Not found")</f>
        <v>US Semi-monthly</v>
      </c>
      <c r="C603" s="40" t="str">
        <f aca="false" t="array" ref="C603:C603">_xlfn.XLOOKUP($A603,TRIM(SUBSTITUTE('worker file'!$A$2:$A$406,_xlfn.UNICHAR(160)," ")),'worker file'!$D$2:$D$406,"Not found")</f>
        <v>CA</v>
      </c>
      <c r="D603" s="40" t="str">
        <f aca="false" t="array" ref="D603:D603">_xlfn.XLOOKUP($A603,TRIM(SUBSTITUTE('worker file'!$A$2:$A$406,_xlfn.UNICHAR(160)," ")),'worker file'!$Q$2:$Q$406,"Not found")</f>
        <v>Active</v>
      </c>
      <c r="E603" s="39" t="s">
        <v>634</v>
      </c>
      <c r="F603" s="38" t="str">
        <f aca="false">_xlfn.XLOOKUP($E603,$A$5:$A$8,$B$5:$B$8,"")</f>
        <v>Vision – Employee</v>
      </c>
      <c r="G603" s="38" t="str">
        <f aca="false">_xlfn.XLOOKUP($E603,$A$5:$A$8,$D$5:$D$8,"")</f>
        <v>Pre-tax Section 125 (exempt from FIT/SIT/FICA)</v>
      </c>
      <c r="H603" s="38" t="str">
        <f aca="false">_xlfn.XLOOKUP($E603,$A$5:$A$8,$E$5:$E$8,"")</f>
        <v>Flat</v>
      </c>
      <c r="I603" s="44" t="str">
        <f aca="false">IF($H603="Percent",_xlfn.XLOOKUP($E603,$A$5:$A$8,$F$5:$F$8,""),"")</f>
        <v/>
      </c>
      <c r="J603" s="42" t="n">
        <f aca="false">IF($H603="Flat",_xlfn.XLOOKUP($E603,$A$5:$A$8,$F$5:$F$8,""),"")</f>
        <v>30</v>
      </c>
      <c r="K603" s="38" t="str">
        <f aca="false">_xlfn.XLOOKUP($E603,$A$5:$A$8,$G$5:$G$8,"")</f>
        <v>Per pay period</v>
      </c>
      <c r="L603" s="38" t="str">
        <f aca="false">_xlfn.XLOOKUP($E603,$A$5:$A$8,$H$5:$H$8,"")</f>
        <v>Every pay period (ongoing)</v>
      </c>
      <c r="M603" s="43" t="n">
        <f aca="false" t="array" ref="M603:M603">MAX(_xlfn.XLOOKUP($A603,TRIM(SUBSTITUTE('worker file'!$A$2:$A$406,_xlfn.UNICHAR(160)," ")),'worker file'!$M$2:$M$406,0),_xlfn.XLOOKUP($B603,TRIM('pay group &amp; schedule'!$A$2:$A$6),'pay group &amp; schedule'!$D$2:$D$6,0))</f>
        <v>46311</v>
      </c>
      <c r="N603" s="43" t="str">
        <f aca="false" t="array" ref="N603:N603">_xlfn.LET(_xlpm.t,_xlfn.XLOOKUP($A603,TRIM(SUBSTITUTE('worker file'!$A$2:$A$406,_xlfn.UNICHAR(160)," ")),'worker file'!$N$2:$N$406,""),IF(N(_xlpm.t)=0,"",_xlpm.t))</f>
        <v/>
      </c>
    </row>
    <row r="604" customFormat="false" ht="15" hidden="false" customHeight="false" outlineLevel="0" collapsed="false">
      <c r="A604" s="39" t="s">
        <v>312</v>
      </c>
      <c r="B604" s="40" t="str">
        <f aca="false" t="array" ref="B604:B604">_xlfn.XLOOKUP($A604,TRIM(SUBSTITUTE('worker file'!$A$2:$A$406,_xlfn.UNICHAR(160)," ")),'worker file'!$L$2:$L$406,"Not found")</f>
        <v>US Semi-monthly</v>
      </c>
      <c r="C604" s="40" t="str">
        <f aca="false" t="array" ref="C604:C604">_xlfn.XLOOKUP($A604,TRIM(SUBSTITUTE('worker file'!$A$2:$A$406,_xlfn.UNICHAR(160)," ")),'worker file'!$D$2:$D$406,"Not found")</f>
        <v>CA</v>
      </c>
      <c r="D604" s="40" t="str">
        <f aca="false" t="array" ref="D604:D604">_xlfn.XLOOKUP($A604,TRIM(SUBSTITUTE('worker file'!$A$2:$A$406,_xlfn.UNICHAR(160)," ")),'worker file'!$Q$2:$Q$406,"Not found")</f>
        <v>Active</v>
      </c>
      <c r="E604" s="39" t="s">
        <v>618</v>
      </c>
      <c r="F604" s="38" t="str">
        <f aca="false">_xlfn.XLOOKUP($E604,$A$5:$A$8,$B$5:$B$8,"")</f>
        <v>401(k) Employee Deferral</v>
      </c>
      <c r="G604" s="38" t="str">
        <f aca="false">_xlfn.XLOOKUP($E604,$A$5:$A$8,$D$5:$D$8,"")</f>
        <v>Pre-tax (exempt from FIT/SIT; subject to FICA)</v>
      </c>
      <c r="H604" s="38" t="str">
        <f aca="false">_xlfn.XLOOKUP($E604,$A$5:$A$8,$E$5:$E$8,"")</f>
        <v>Percent</v>
      </c>
      <c r="I604" s="41" t="n">
        <v>0.03</v>
      </c>
      <c r="J604" s="42" t="str">
        <f aca="false">IF($H604="Flat",_xlfn.XLOOKUP($E604,$A$5:$A$8,$F$5:$F$8,""),"")</f>
        <v/>
      </c>
      <c r="K604" s="38" t="str">
        <f aca="false">_xlfn.XLOOKUP($E604,$A$5:$A$8,$G$5:$G$8,"")</f>
        <v>Gross pay</v>
      </c>
      <c r="L604" s="38" t="str">
        <f aca="false">_xlfn.XLOOKUP($E604,$A$5:$A$8,$H$5:$H$8,"")</f>
        <v>Every pay period (ongoing)</v>
      </c>
      <c r="M604" s="43" t="n">
        <f aca="false" t="array" ref="M604:M604">MAX(_xlfn.XLOOKUP($A604,TRIM(SUBSTITUTE('worker file'!$A$2:$A$406,_xlfn.UNICHAR(160)," ")),'worker file'!$M$2:$M$406,0),_xlfn.XLOOKUP($B604,TRIM('pay group &amp; schedule'!$A$2:$A$6),'pay group &amp; schedule'!$D$2:$D$6,0))</f>
        <v>46311</v>
      </c>
      <c r="N604" s="43" t="str">
        <f aca="false" t="array" ref="N604:N604">_xlfn.LET(_xlpm.t,_xlfn.XLOOKUP($A604,TRIM(SUBSTITUTE('worker file'!$A$2:$A$406,_xlfn.UNICHAR(160)," ")),'worker file'!$N$2:$N$406,""),IF(N(_xlpm.t)=0,"",_xlpm.t))</f>
        <v/>
      </c>
    </row>
    <row r="605" customFormat="false" ht="15" hidden="false" customHeight="false" outlineLevel="0" collapsed="false">
      <c r="A605" s="39" t="s">
        <v>312</v>
      </c>
      <c r="B605" s="40" t="str">
        <f aca="false" t="array" ref="B605:B605">_xlfn.XLOOKUP($A605,TRIM(SUBSTITUTE('worker file'!$A$2:$A$406,_xlfn.UNICHAR(160)," ")),'worker file'!$L$2:$L$406,"Not found")</f>
        <v>US Semi-monthly</v>
      </c>
      <c r="C605" s="40" t="str">
        <f aca="false" t="array" ref="C605:C605">_xlfn.XLOOKUP($A605,TRIM(SUBSTITUTE('worker file'!$A$2:$A$406,_xlfn.UNICHAR(160)," ")),'worker file'!$D$2:$D$406,"Not found")</f>
        <v>CA</v>
      </c>
      <c r="D605" s="40" t="str">
        <f aca="false" t="array" ref="D605:D605">_xlfn.XLOOKUP($A605,TRIM(SUBSTITUTE('worker file'!$A$2:$A$406,_xlfn.UNICHAR(160)," ")),'worker file'!$Q$2:$Q$406,"Not found")</f>
        <v>Active</v>
      </c>
      <c r="E605" s="39" t="s">
        <v>626</v>
      </c>
      <c r="F605" s="38" t="str">
        <f aca="false">_xlfn.XLOOKUP($E605,$A$5:$A$8,$B$5:$B$8,"")</f>
        <v>Medical (Health) – Employee</v>
      </c>
      <c r="G605" s="38" t="str">
        <f aca="false">_xlfn.XLOOKUP($E605,$A$5:$A$8,$D$5:$D$8,"")</f>
        <v>Pre-tax Section 125 (exempt from FIT/SIT/FICA)</v>
      </c>
      <c r="H605" s="38" t="str">
        <f aca="false">_xlfn.XLOOKUP($E605,$A$5:$A$8,$E$5:$E$8,"")</f>
        <v>Flat</v>
      </c>
      <c r="I605" s="44" t="str">
        <f aca="false">IF($H605="Percent",_xlfn.XLOOKUP($E605,$A$5:$A$8,$F$5:$F$8,""),"")</f>
        <v/>
      </c>
      <c r="J605" s="42" t="n">
        <f aca="false">IF($H605="Flat",_xlfn.XLOOKUP($E605,$A$5:$A$8,$F$5:$F$8,""),"")</f>
        <v>200</v>
      </c>
      <c r="K605" s="38" t="str">
        <f aca="false">_xlfn.XLOOKUP($E605,$A$5:$A$8,$G$5:$G$8,"")</f>
        <v>Per pay period</v>
      </c>
      <c r="L605" s="38" t="str">
        <f aca="false">_xlfn.XLOOKUP($E605,$A$5:$A$8,$H$5:$H$8,"")</f>
        <v>Every pay period (ongoing)</v>
      </c>
      <c r="M605" s="43" t="n">
        <f aca="false" t="array" ref="M605:M605">MAX(_xlfn.XLOOKUP($A605,TRIM(SUBSTITUTE('worker file'!$A$2:$A$406,_xlfn.UNICHAR(160)," ")),'worker file'!$M$2:$M$406,0),_xlfn.XLOOKUP($B605,TRIM('pay group &amp; schedule'!$A$2:$A$6),'pay group &amp; schedule'!$D$2:$D$6,0))</f>
        <v>46311</v>
      </c>
      <c r="N605" s="43" t="str">
        <f aca="false" t="array" ref="N605:N605">_xlfn.LET(_xlpm.t,_xlfn.XLOOKUP($A605,TRIM(SUBSTITUTE('worker file'!$A$2:$A$406,_xlfn.UNICHAR(160)," ")),'worker file'!$N$2:$N$406,""),IF(N(_xlpm.t)=0,"",_xlpm.t))</f>
        <v/>
      </c>
    </row>
    <row r="606" customFormat="false" ht="15" hidden="false" customHeight="false" outlineLevel="0" collapsed="false">
      <c r="A606" s="39" t="s">
        <v>312</v>
      </c>
      <c r="B606" s="40" t="str">
        <f aca="false" t="array" ref="B606:B606">_xlfn.XLOOKUP($A606,TRIM(SUBSTITUTE('worker file'!$A$2:$A$406,_xlfn.UNICHAR(160)," ")),'worker file'!$L$2:$L$406,"Not found")</f>
        <v>US Semi-monthly</v>
      </c>
      <c r="C606" s="40" t="str">
        <f aca="false" t="array" ref="C606:C606">_xlfn.XLOOKUP($A606,TRIM(SUBSTITUTE('worker file'!$A$2:$A$406,_xlfn.UNICHAR(160)," ")),'worker file'!$D$2:$D$406,"Not found")</f>
        <v>CA</v>
      </c>
      <c r="D606" s="40" t="str">
        <f aca="false" t="array" ref="D606:D606">_xlfn.XLOOKUP($A606,TRIM(SUBSTITUTE('worker file'!$A$2:$A$406,_xlfn.UNICHAR(160)," ")),'worker file'!$Q$2:$Q$406,"Not found")</f>
        <v>Active</v>
      </c>
      <c r="E606" s="39" t="s">
        <v>632</v>
      </c>
      <c r="F606" s="38" t="str">
        <f aca="false">_xlfn.XLOOKUP($E606,$A$5:$A$8,$B$5:$B$8,"")</f>
        <v>Dental – Employee</v>
      </c>
      <c r="G606" s="38" t="str">
        <f aca="false">_xlfn.XLOOKUP($E606,$A$5:$A$8,$D$5:$D$8,"")</f>
        <v>Pre-tax Section 125 (exempt from FIT/SIT/FICA)</v>
      </c>
      <c r="H606" s="38" t="str">
        <f aca="false">_xlfn.XLOOKUP($E606,$A$5:$A$8,$E$5:$E$8,"")</f>
        <v>Flat</v>
      </c>
      <c r="I606" s="44" t="str">
        <f aca="false">IF($H606="Percent",_xlfn.XLOOKUP($E606,$A$5:$A$8,$F$5:$F$8,""),"")</f>
        <v/>
      </c>
      <c r="J606" s="42" t="n">
        <f aca="false">IF($H606="Flat",_xlfn.XLOOKUP($E606,$A$5:$A$8,$F$5:$F$8,""),"")</f>
        <v>44</v>
      </c>
      <c r="K606" s="38" t="str">
        <f aca="false">_xlfn.XLOOKUP($E606,$A$5:$A$8,$G$5:$G$8,"")</f>
        <v>Per pay period</v>
      </c>
      <c r="L606" s="38" t="str">
        <f aca="false">_xlfn.XLOOKUP($E606,$A$5:$A$8,$H$5:$H$8,"")</f>
        <v>Every pay period (ongoing)</v>
      </c>
      <c r="M606" s="43" t="n">
        <f aca="false" t="array" ref="M606:M606">MAX(_xlfn.XLOOKUP($A606,TRIM(SUBSTITUTE('worker file'!$A$2:$A$406,_xlfn.UNICHAR(160)," ")),'worker file'!$M$2:$M$406,0),_xlfn.XLOOKUP($B606,TRIM('pay group &amp; schedule'!$A$2:$A$6),'pay group &amp; schedule'!$D$2:$D$6,0))</f>
        <v>46311</v>
      </c>
      <c r="N606" s="43" t="str">
        <f aca="false" t="array" ref="N606:N606">_xlfn.LET(_xlpm.t,_xlfn.XLOOKUP($A606,TRIM(SUBSTITUTE('worker file'!$A$2:$A$406,_xlfn.UNICHAR(160)," ")),'worker file'!$N$2:$N$406,""),IF(N(_xlpm.t)=0,"",_xlpm.t))</f>
        <v/>
      </c>
    </row>
    <row r="607" customFormat="false" ht="15" hidden="false" customHeight="false" outlineLevel="0" collapsed="false">
      <c r="A607" s="39" t="s">
        <v>312</v>
      </c>
      <c r="B607" s="40" t="str">
        <f aca="false" t="array" ref="B607:B607">_xlfn.XLOOKUP($A607,TRIM(SUBSTITUTE('worker file'!$A$2:$A$406,_xlfn.UNICHAR(160)," ")),'worker file'!$L$2:$L$406,"Not found")</f>
        <v>US Semi-monthly</v>
      </c>
      <c r="C607" s="40" t="str">
        <f aca="false" t="array" ref="C607:C607">_xlfn.XLOOKUP($A607,TRIM(SUBSTITUTE('worker file'!$A$2:$A$406,_xlfn.UNICHAR(160)," ")),'worker file'!$D$2:$D$406,"Not found")</f>
        <v>CA</v>
      </c>
      <c r="D607" s="40" t="str">
        <f aca="false" t="array" ref="D607:D607">_xlfn.XLOOKUP($A607,TRIM(SUBSTITUTE('worker file'!$A$2:$A$406,_xlfn.UNICHAR(160)," ")),'worker file'!$Q$2:$Q$406,"Not found")</f>
        <v>Active</v>
      </c>
      <c r="E607" s="39" t="s">
        <v>634</v>
      </c>
      <c r="F607" s="38" t="str">
        <f aca="false">_xlfn.XLOOKUP($E607,$A$5:$A$8,$B$5:$B$8,"")</f>
        <v>Vision – Employee</v>
      </c>
      <c r="G607" s="38" t="str">
        <f aca="false">_xlfn.XLOOKUP($E607,$A$5:$A$8,$D$5:$D$8,"")</f>
        <v>Pre-tax Section 125 (exempt from FIT/SIT/FICA)</v>
      </c>
      <c r="H607" s="38" t="str">
        <f aca="false">_xlfn.XLOOKUP($E607,$A$5:$A$8,$E$5:$E$8,"")</f>
        <v>Flat</v>
      </c>
      <c r="I607" s="44" t="str">
        <f aca="false">IF($H607="Percent",_xlfn.XLOOKUP($E607,$A$5:$A$8,$F$5:$F$8,""),"")</f>
        <v/>
      </c>
      <c r="J607" s="42" t="n">
        <f aca="false">IF($H607="Flat",_xlfn.XLOOKUP($E607,$A$5:$A$8,$F$5:$F$8,""),"")</f>
        <v>30</v>
      </c>
      <c r="K607" s="38" t="str">
        <f aca="false">_xlfn.XLOOKUP($E607,$A$5:$A$8,$G$5:$G$8,"")</f>
        <v>Per pay period</v>
      </c>
      <c r="L607" s="38" t="str">
        <f aca="false">_xlfn.XLOOKUP($E607,$A$5:$A$8,$H$5:$H$8,"")</f>
        <v>Every pay period (ongoing)</v>
      </c>
      <c r="M607" s="43" t="n">
        <f aca="false" t="array" ref="M607:M607">MAX(_xlfn.XLOOKUP($A607,TRIM(SUBSTITUTE('worker file'!$A$2:$A$406,_xlfn.UNICHAR(160)," ")),'worker file'!$M$2:$M$406,0),_xlfn.XLOOKUP($B607,TRIM('pay group &amp; schedule'!$A$2:$A$6),'pay group &amp; schedule'!$D$2:$D$6,0))</f>
        <v>46311</v>
      </c>
      <c r="N607" s="43" t="str">
        <f aca="false" t="array" ref="N607:N607">_xlfn.LET(_xlpm.t,_xlfn.XLOOKUP($A607,TRIM(SUBSTITUTE('worker file'!$A$2:$A$406,_xlfn.UNICHAR(160)," ")),'worker file'!$N$2:$N$406,""),IF(N(_xlpm.t)=0,"",_xlpm.t))</f>
        <v/>
      </c>
    </row>
    <row r="608" customFormat="false" ht="15" hidden="false" customHeight="false" outlineLevel="0" collapsed="false">
      <c r="A608" s="39" t="s">
        <v>313</v>
      </c>
      <c r="B608" s="40" t="str">
        <f aca="false" t="array" ref="B608:B608">_xlfn.XLOOKUP($A608,TRIM(SUBSTITUTE('worker file'!$A$2:$A$406,_xlfn.UNICHAR(160)," ")),'worker file'!$L$2:$L$406,"Not found")</f>
        <v>US Semi-monthly</v>
      </c>
      <c r="C608" s="40" t="str">
        <f aca="false" t="array" ref="C608:C608">_xlfn.XLOOKUP($A608,TRIM(SUBSTITUTE('worker file'!$A$2:$A$406,_xlfn.UNICHAR(160)," ")),'worker file'!$D$2:$D$406,"Not found")</f>
        <v>CA</v>
      </c>
      <c r="D608" s="40" t="str">
        <f aca="false" t="array" ref="D608:D608">_xlfn.XLOOKUP($A608,TRIM(SUBSTITUTE('worker file'!$A$2:$A$406,_xlfn.UNICHAR(160)," ")),'worker file'!$Q$2:$Q$406,"Not found")</f>
        <v>Active</v>
      </c>
      <c r="E608" s="39" t="s">
        <v>618</v>
      </c>
      <c r="F608" s="38" t="str">
        <f aca="false">_xlfn.XLOOKUP($E608,$A$5:$A$8,$B$5:$B$8,"")</f>
        <v>401(k) Employee Deferral</v>
      </c>
      <c r="G608" s="38" t="str">
        <f aca="false">_xlfn.XLOOKUP($E608,$A$5:$A$8,$D$5:$D$8,"")</f>
        <v>Pre-tax (exempt from FIT/SIT; subject to FICA)</v>
      </c>
      <c r="H608" s="38" t="str">
        <f aca="false">_xlfn.XLOOKUP($E608,$A$5:$A$8,$E$5:$E$8,"")</f>
        <v>Percent</v>
      </c>
      <c r="I608" s="41" t="n">
        <v>0</v>
      </c>
      <c r="J608" s="42" t="str">
        <f aca="false">IF($H608="Flat",_xlfn.XLOOKUP($E608,$A$5:$A$8,$F$5:$F$8,""),"")</f>
        <v/>
      </c>
      <c r="K608" s="38" t="str">
        <f aca="false">_xlfn.XLOOKUP($E608,$A$5:$A$8,$G$5:$G$8,"")</f>
        <v>Gross pay</v>
      </c>
      <c r="L608" s="38" t="str">
        <f aca="false">_xlfn.XLOOKUP($E608,$A$5:$A$8,$H$5:$H$8,"")</f>
        <v>Every pay period (ongoing)</v>
      </c>
      <c r="M608" s="43" t="n">
        <f aca="false" t="array" ref="M608:M608">MAX(_xlfn.XLOOKUP($A608,TRIM(SUBSTITUTE('worker file'!$A$2:$A$406,_xlfn.UNICHAR(160)," ")),'worker file'!$M$2:$M$406,0),_xlfn.XLOOKUP($B608,TRIM('pay group &amp; schedule'!$A$2:$A$6),'pay group &amp; schedule'!$D$2:$D$6,0))</f>
        <v>46311</v>
      </c>
      <c r="N608" s="43" t="str">
        <f aca="false" t="array" ref="N608:N608">_xlfn.LET(_xlpm.t,_xlfn.XLOOKUP($A608,TRIM(SUBSTITUTE('worker file'!$A$2:$A$406,_xlfn.UNICHAR(160)," ")),'worker file'!$N$2:$N$406,""),IF(N(_xlpm.t)=0,"",_xlpm.t))</f>
        <v/>
      </c>
    </row>
    <row r="609" customFormat="false" ht="15" hidden="false" customHeight="false" outlineLevel="0" collapsed="false">
      <c r="A609" s="39" t="s">
        <v>313</v>
      </c>
      <c r="B609" s="40" t="str">
        <f aca="false" t="array" ref="B609:B609">_xlfn.XLOOKUP($A609,TRIM(SUBSTITUTE('worker file'!$A$2:$A$406,_xlfn.UNICHAR(160)," ")),'worker file'!$L$2:$L$406,"Not found")</f>
        <v>US Semi-monthly</v>
      </c>
      <c r="C609" s="40" t="str">
        <f aca="false" t="array" ref="C609:C609">_xlfn.XLOOKUP($A609,TRIM(SUBSTITUTE('worker file'!$A$2:$A$406,_xlfn.UNICHAR(160)," ")),'worker file'!$D$2:$D$406,"Not found")</f>
        <v>CA</v>
      </c>
      <c r="D609" s="40" t="str">
        <f aca="false" t="array" ref="D609:D609">_xlfn.XLOOKUP($A609,TRIM(SUBSTITUTE('worker file'!$A$2:$A$406,_xlfn.UNICHAR(160)," ")),'worker file'!$Q$2:$Q$406,"Not found")</f>
        <v>Active</v>
      </c>
      <c r="E609" s="39" t="s">
        <v>626</v>
      </c>
      <c r="F609" s="38" t="str">
        <f aca="false">_xlfn.XLOOKUP($E609,$A$5:$A$8,$B$5:$B$8,"")</f>
        <v>Medical (Health) – Employee</v>
      </c>
      <c r="G609" s="38" t="str">
        <f aca="false">_xlfn.XLOOKUP($E609,$A$5:$A$8,$D$5:$D$8,"")</f>
        <v>Pre-tax Section 125 (exempt from FIT/SIT/FICA)</v>
      </c>
      <c r="H609" s="38" t="str">
        <f aca="false">_xlfn.XLOOKUP($E609,$A$5:$A$8,$E$5:$E$8,"")</f>
        <v>Flat</v>
      </c>
      <c r="I609" s="44" t="str">
        <f aca="false">IF($H609="Percent",_xlfn.XLOOKUP($E609,$A$5:$A$8,$F$5:$F$8,""),"")</f>
        <v/>
      </c>
      <c r="J609" s="42" t="n">
        <f aca="false">IF($H609="Flat",_xlfn.XLOOKUP($E609,$A$5:$A$8,$F$5:$F$8,""),"")</f>
        <v>200</v>
      </c>
      <c r="K609" s="38" t="str">
        <f aca="false">_xlfn.XLOOKUP($E609,$A$5:$A$8,$G$5:$G$8,"")</f>
        <v>Per pay period</v>
      </c>
      <c r="L609" s="38" t="str">
        <f aca="false">_xlfn.XLOOKUP($E609,$A$5:$A$8,$H$5:$H$8,"")</f>
        <v>Every pay period (ongoing)</v>
      </c>
      <c r="M609" s="43" t="n">
        <f aca="false" t="array" ref="M609:M609">MAX(_xlfn.XLOOKUP($A609,TRIM(SUBSTITUTE('worker file'!$A$2:$A$406,_xlfn.UNICHAR(160)," ")),'worker file'!$M$2:$M$406,0),_xlfn.XLOOKUP($B609,TRIM('pay group &amp; schedule'!$A$2:$A$6),'pay group &amp; schedule'!$D$2:$D$6,0))</f>
        <v>46311</v>
      </c>
      <c r="N609" s="43" t="str">
        <f aca="false" t="array" ref="N609:N609">_xlfn.LET(_xlpm.t,_xlfn.XLOOKUP($A609,TRIM(SUBSTITUTE('worker file'!$A$2:$A$406,_xlfn.UNICHAR(160)," ")),'worker file'!$N$2:$N$406,""),IF(N(_xlpm.t)=0,"",_xlpm.t))</f>
        <v/>
      </c>
    </row>
    <row r="610" customFormat="false" ht="15" hidden="false" customHeight="false" outlineLevel="0" collapsed="false">
      <c r="A610" s="39" t="s">
        <v>313</v>
      </c>
      <c r="B610" s="40" t="str">
        <f aca="false" t="array" ref="B610:B610">_xlfn.XLOOKUP($A610,TRIM(SUBSTITUTE('worker file'!$A$2:$A$406,_xlfn.UNICHAR(160)," ")),'worker file'!$L$2:$L$406,"Not found")</f>
        <v>US Semi-monthly</v>
      </c>
      <c r="C610" s="40" t="str">
        <f aca="false" t="array" ref="C610:C610">_xlfn.XLOOKUP($A610,TRIM(SUBSTITUTE('worker file'!$A$2:$A$406,_xlfn.UNICHAR(160)," ")),'worker file'!$D$2:$D$406,"Not found")</f>
        <v>CA</v>
      </c>
      <c r="D610" s="40" t="str">
        <f aca="false" t="array" ref="D610:D610">_xlfn.XLOOKUP($A610,TRIM(SUBSTITUTE('worker file'!$A$2:$A$406,_xlfn.UNICHAR(160)," ")),'worker file'!$Q$2:$Q$406,"Not found")</f>
        <v>Active</v>
      </c>
      <c r="E610" s="39" t="s">
        <v>632</v>
      </c>
      <c r="F610" s="38" t="str">
        <f aca="false">_xlfn.XLOOKUP($E610,$A$5:$A$8,$B$5:$B$8,"")</f>
        <v>Dental – Employee</v>
      </c>
      <c r="G610" s="38" t="str">
        <f aca="false">_xlfn.XLOOKUP($E610,$A$5:$A$8,$D$5:$D$8,"")</f>
        <v>Pre-tax Section 125 (exempt from FIT/SIT/FICA)</v>
      </c>
      <c r="H610" s="38" t="str">
        <f aca="false">_xlfn.XLOOKUP($E610,$A$5:$A$8,$E$5:$E$8,"")</f>
        <v>Flat</v>
      </c>
      <c r="I610" s="44" t="str">
        <f aca="false">IF($H610="Percent",_xlfn.XLOOKUP($E610,$A$5:$A$8,$F$5:$F$8,""),"")</f>
        <v/>
      </c>
      <c r="J610" s="42" t="n">
        <f aca="false">IF($H610="Flat",_xlfn.XLOOKUP($E610,$A$5:$A$8,$F$5:$F$8,""),"")</f>
        <v>44</v>
      </c>
      <c r="K610" s="38" t="str">
        <f aca="false">_xlfn.XLOOKUP($E610,$A$5:$A$8,$G$5:$G$8,"")</f>
        <v>Per pay period</v>
      </c>
      <c r="L610" s="38" t="str">
        <f aca="false">_xlfn.XLOOKUP($E610,$A$5:$A$8,$H$5:$H$8,"")</f>
        <v>Every pay period (ongoing)</v>
      </c>
      <c r="M610" s="43" t="n">
        <f aca="false" t="array" ref="M610:M610">MAX(_xlfn.XLOOKUP($A610,TRIM(SUBSTITUTE('worker file'!$A$2:$A$406,_xlfn.UNICHAR(160)," ")),'worker file'!$M$2:$M$406,0),_xlfn.XLOOKUP($B610,TRIM('pay group &amp; schedule'!$A$2:$A$6),'pay group &amp; schedule'!$D$2:$D$6,0))</f>
        <v>46311</v>
      </c>
      <c r="N610" s="43" t="str">
        <f aca="false" t="array" ref="N610:N610">_xlfn.LET(_xlpm.t,_xlfn.XLOOKUP($A610,TRIM(SUBSTITUTE('worker file'!$A$2:$A$406,_xlfn.UNICHAR(160)," ")),'worker file'!$N$2:$N$406,""),IF(N(_xlpm.t)=0,"",_xlpm.t))</f>
        <v/>
      </c>
    </row>
    <row r="611" customFormat="false" ht="15" hidden="false" customHeight="false" outlineLevel="0" collapsed="false">
      <c r="A611" s="39" t="s">
        <v>313</v>
      </c>
      <c r="B611" s="40" t="str">
        <f aca="false" t="array" ref="B611:B611">_xlfn.XLOOKUP($A611,TRIM(SUBSTITUTE('worker file'!$A$2:$A$406,_xlfn.UNICHAR(160)," ")),'worker file'!$L$2:$L$406,"Not found")</f>
        <v>US Semi-monthly</v>
      </c>
      <c r="C611" s="40" t="str">
        <f aca="false" t="array" ref="C611:C611">_xlfn.XLOOKUP($A611,TRIM(SUBSTITUTE('worker file'!$A$2:$A$406,_xlfn.UNICHAR(160)," ")),'worker file'!$D$2:$D$406,"Not found")</f>
        <v>CA</v>
      </c>
      <c r="D611" s="40" t="str">
        <f aca="false" t="array" ref="D611:D611">_xlfn.XLOOKUP($A611,TRIM(SUBSTITUTE('worker file'!$A$2:$A$406,_xlfn.UNICHAR(160)," ")),'worker file'!$Q$2:$Q$406,"Not found")</f>
        <v>Active</v>
      </c>
      <c r="E611" s="39" t="s">
        <v>634</v>
      </c>
      <c r="F611" s="38" t="str">
        <f aca="false">_xlfn.XLOOKUP($E611,$A$5:$A$8,$B$5:$B$8,"")</f>
        <v>Vision – Employee</v>
      </c>
      <c r="G611" s="38" t="str">
        <f aca="false">_xlfn.XLOOKUP($E611,$A$5:$A$8,$D$5:$D$8,"")</f>
        <v>Pre-tax Section 125 (exempt from FIT/SIT/FICA)</v>
      </c>
      <c r="H611" s="38" t="str">
        <f aca="false">_xlfn.XLOOKUP($E611,$A$5:$A$8,$E$5:$E$8,"")</f>
        <v>Flat</v>
      </c>
      <c r="I611" s="44" t="str">
        <f aca="false">IF($H611="Percent",_xlfn.XLOOKUP($E611,$A$5:$A$8,$F$5:$F$8,""),"")</f>
        <v/>
      </c>
      <c r="J611" s="42" t="n">
        <f aca="false">IF($H611="Flat",_xlfn.XLOOKUP($E611,$A$5:$A$8,$F$5:$F$8,""),"")</f>
        <v>30</v>
      </c>
      <c r="K611" s="38" t="str">
        <f aca="false">_xlfn.XLOOKUP($E611,$A$5:$A$8,$G$5:$G$8,"")</f>
        <v>Per pay period</v>
      </c>
      <c r="L611" s="38" t="str">
        <f aca="false">_xlfn.XLOOKUP($E611,$A$5:$A$8,$H$5:$H$8,"")</f>
        <v>Every pay period (ongoing)</v>
      </c>
      <c r="M611" s="43" t="n">
        <f aca="false" t="array" ref="M611:M611">MAX(_xlfn.XLOOKUP($A611,TRIM(SUBSTITUTE('worker file'!$A$2:$A$406,_xlfn.UNICHAR(160)," ")),'worker file'!$M$2:$M$406,0),_xlfn.XLOOKUP($B611,TRIM('pay group &amp; schedule'!$A$2:$A$6),'pay group &amp; schedule'!$D$2:$D$6,0))</f>
        <v>46311</v>
      </c>
      <c r="N611" s="43" t="str">
        <f aca="false" t="array" ref="N611:N611">_xlfn.LET(_xlpm.t,_xlfn.XLOOKUP($A611,TRIM(SUBSTITUTE('worker file'!$A$2:$A$406,_xlfn.UNICHAR(160)," ")),'worker file'!$N$2:$N$406,""),IF(N(_xlpm.t)=0,"",_xlpm.t))</f>
        <v/>
      </c>
    </row>
    <row r="612" customFormat="false" ht="15" hidden="false" customHeight="false" outlineLevel="0" collapsed="false">
      <c r="A612" s="39" t="s">
        <v>314</v>
      </c>
      <c r="B612" s="40" t="str">
        <f aca="false" t="array" ref="B612:B612">_xlfn.XLOOKUP($A612,TRIM(SUBSTITUTE('worker file'!$A$2:$A$406,_xlfn.UNICHAR(160)," ")),'worker file'!$L$2:$L$406,"Not found")</f>
        <v>US Semi-monthly</v>
      </c>
      <c r="C612" s="40" t="str">
        <f aca="false" t="array" ref="C612:C612">_xlfn.XLOOKUP($A612,TRIM(SUBSTITUTE('worker file'!$A$2:$A$406,_xlfn.UNICHAR(160)," ")),'worker file'!$D$2:$D$406,"Not found")</f>
        <v>CO</v>
      </c>
      <c r="D612" s="40" t="str">
        <f aca="false" t="array" ref="D612:D612">_xlfn.XLOOKUP($A612,TRIM(SUBSTITUTE('worker file'!$A$2:$A$406,_xlfn.UNICHAR(160)," ")),'worker file'!$Q$2:$Q$406,"Not found")</f>
        <v>Active</v>
      </c>
      <c r="E612" s="39" t="s">
        <v>618</v>
      </c>
      <c r="F612" s="38" t="str">
        <f aca="false">_xlfn.XLOOKUP($E612,$A$5:$A$8,$B$5:$B$8,"")</f>
        <v>401(k) Employee Deferral</v>
      </c>
      <c r="G612" s="38" t="str">
        <f aca="false">_xlfn.XLOOKUP($E612,$A$5:$A$8,$D$5:$D$8,"")</f>
        <v>Pre-tax (exempt from FIT/SIT; subject to FICA)</v>
      </c>
      <c r="H612" s="38" t="str">
        <f aca="false">_xlfn.XLOOKUP($E612,$A$5:$A$8,$E$5:$E$8,"")</f>
        <v>Percent</v>
      </c>
      <c r="I612" s="41" t="n">
        <v>0.05</v>
      </c>
      <c r="J612" s="42" t="str">
        <f aca="false">IF($H612="Flat",_xlfn.XLOOKUP($E612,$A$5:$A$8,$F$5:$F$8,""),"")</f>
        <v/>
      </c>
      <c r="K612" s="38" t="str">
        <f aca="false">_xlfn.XLOOKUP($E612,$A$5:$A$8,$G$5:$G$8,"")</f>
        <v>Gross pay</v>
      </c>
      <c r="L612" s="38" t="str">
        <f aca="false">_xlfn.XLOOKUP($E612,$A$5:$A$8,$H$5:$H$8,"")</f>
        <v>Every pay period (ongoing)</v>
      </c>
      <c r="M612" s="43" t="n">
        <f aca="false" t="array" ref="M612:M612">MAX(_xlfn.XLOOKUP($A612,TRIM(SUBSTITUTE('worker file'!$A$2:$A$406,_xlfn.UNICHAR(160)," ")),'worker file'!$M$2:$M$406,0),_xlfn.XLOOKUP($B612,TRIM('pay group &amp; schedule'!$A$2:$A$6),'pay group &amp; schedule'!$D$2:$D$6,0))</f>
        <v>46311</v>
      </c>
      <c r="N612" s="43" t="str">
        <f aca="false" t="array" ref="N612:N612">_xlfn.LET(_xlpm.t,_xlfn.XLOOKUP($A612,TRIM(SUBSTITUTE('worker file'!$A$2:$A$406,_xlfn.UNICHAR(160)," ")),'worker file'!$N$2:$N$406,""),IF(N(_xlpm.t)=0,"",_xlpm.t))</f>
        <v/>
      </c>
    </row>
    <row r="613" customFormat="false" ht="15" hidden="false" customHeight="false" outlineLevel="0" collapsed="false">
      <c r="A613" s="39" t="s">
        <v>314</v>
      </c>
      <c r="B613" s="40" t="str">
        <f aca="false" t="array" ref="B613:B613">_xlfn.XLOOKUP($A613,TRIM(SUBSTITUTE('worker file'!$A$2:$A$406,_xlfn.UNICHAR(160)," ")),'worker file'!$L$2:$L$406,"Not found")</f>
        <v>US Semi-monthly</v>
      </c>
      <c r="C613" s="40" t="str">
        <f aca="false" t="array" ref="C613:C613">_xlfn.XLOOKUP($A613,TRIM(SUBSTITUTE('worker file'!$A$2:$A$406,_xlfn.UNICHAR(160)," ")),'worker file'!$D$2:$D$406,"Not found")</f>
        <v>CO</v>
      </c>
      <c r="D613" s="40" t="str">
        <f aca="false" t="array" ref="D613:D613">_xlfn.XLOOKUP($A613,TRIM(SUBSTITUTE('worker file'!$A$2:$A$406,_xlfn.UNICHAR(160)," ")),'worker file'!$Q$2:$Q$406,"Not found")</f>
        <v>Active</v>
      </c>
      <c r="E613" s="39" t="s">
        <v>626</v>
      </c>
      <c r="F613" s="38" t="str">
        <f aca="false">_xlfn.XLOOKUP($E613,$A$5:$A$8,$B$5:$B$8,"")</f>
        <v>Medical (Health) – Employee</v>
      </c>
      <c r="G613" s="38" t="str">
        <f aca="false">_xlfn.XLOOKUP($E613,$A$5:$A$8,$D$5:$D$8,"")</f>
        <v>Pre-tax Section 125 (exempt from FIT/SIT/FICA)</v>
      </c>
      <c r="H613" s="38" t="str">
        <f aca="false">_xlfn.XLOOKUP($E613,$A$5:$A$8,$E$5:$E$8,"")</f>
        <v>Flat</v>
      </c>
      <c r="I613" s="44" t="str">
        <f aca="false">IF($H613="Percent",_xlfn.XLOOKUP($E613,$A$5:$A$8,$F$5:$F$8,""),"")</f>
        <v/>
      </c>
      <c r="J613" s="42" t="n">
        <f aca="false">IF($H613="Flat",_xlfn.XLOOKUP($E613,$A$5:$A$8,$F$5:$F$8,""),"")</f>
        <v>200</v>
      </c>
      <c r="K613" s="38" t="str">
        <f aca="false">_xlfn.XLOOKUP($E613,$A$5:$A$8,$G$5:$G$8,"")</f>
        <v>Per pay period</v>
      </c>
      <c r="L613" s="38" t="str">
        <f aca="false">_xlfn.XLOOKUP($E613,$A$5:$A$8,$H$5:$H$8,"")</f>
        <v>Every pay period (ongoing)</v>
      </c>
      <c r="M613" s="43" t="n">
        <f aca="false" t="array" ref="M613:M613">MAX(_xlfn.XLOOKUP($A613,TRIM(SUBSTITUTE('worker file'!$A$2:$A$406,_xlfn.UNICHAR(160)," ")),'worker file'!$M$2:$M$406,0),_xlfn.XLOOKUP($B613,TRIM('pay group &amp; schedule'!$A$2:$A$6),'pay group &amp; schedule'!$D$2:$D$6,0))</f>
        <v>46311</v>
      </c>
      <c r="N613" s="43" t="str">
        <f aca="false" t="array" ref="N613:N613">_xlfn.LET(_xlpm.t,_xlfn.XLOOKUP($A613,TRIM(SUBSTITUTE('worker file'!$A$2:$A$406,_xlfn.UNICHAR(160)," ")),'worker file'!$N$2:$N$406,""),IF(N(_xlpm.t)=0,"",_xlpm.t))</f>
        <v/>
      </c>
    </row>
    <row r="614" customFormat="false" ht="15" hidden="false" customHeight="false" outlineLevel="0" collapsed="false">
      <c r="A614" s="39" t="s">
        <v>314</v>
      </c>
      <c r="B614" s="40" t="str">
        <f aca="false" t="array" ref="B614:B614">_xlfn.XLOOKUP($A614,TRIM(SUBSTITUTE('worker file'!$A$2:$A$406,_xlfn.UNICHAR(160)," ")),'worker file'!$L$2:$L$406,"Not found")</f>
        <v>US Semi-monthly</v>
      </c>
      <c r="C614" s="40" t="str">
        <f aca="false" t="array" ref="C614:C614">_xlfn.XLOOKUP($A614,TRIM(SUBSTITUTE('worker file'!$A$2:$A$406,_xlfn.UNICHAR(160)," ")),'worker file'!$D$2:$D$406,"Not found")</f>
        <v>CO</v>
      </c>
      <c r="D614" s="40" t="str">
        <f aca="false" t="array" ref="D614:D614">_xlfn.XLOOKUP($A614,TRIM(SUBSTITUTE('worker file'!$A$2:$A$406,_xlfn.UNICHAR(160)," ")),'worker file'!$Q$2:$Q$406,"Not found")</f>
        <v>Active</v>
      </c>
      <c r="E614" s="39" t="s">
        <v>632</v>
      </c>
      <c r="F614" s="38" t="str">
        <f aca="false">_xlfn.XLOOKUP($E614,$A$5:$A$8,$B$5:$B$8,"")</f>
        <v>Dental – Employee</v>
      </c>
      <c r="G614" s="38" t="str">
        <f aca="false">_xlfn.XLOOKUP($E614,$A$5:$A$8,$D$5:$D$8,"")</f>
        <v>Pre-tax Section 125 (exempt from FIT/SIT/FICA)</v>
      </c>
      <c r="H614" s="38" t="str">
        <f aca="false">_xlfn.XLOOKUP($E614,$A$5:$A$8,$E$5:$E$8,"")</f>
        <v>Flat</v>
      </c>
      <c r="I614" s="44" t="str">
        <f aca="false">IF($H614="Percent",_xlfn.XLOOKUP($E614,$A$5:$A$8,$F$5:$F$8,""),"")</f>
        <v/>
      </c>
      <c r="J614" s="42" t="n">
        <f aca="false">IF($H614="Flat",_xlfn.XLOOKUP($E614,$A$5:$A$8,$F$5:$F$8,""),"")</f>
        <v>44</v>
      </c>
      <c r="K614" s="38" t="str">
        <f aca="false">_xlfn.XLOOKUP($E614,$A$5:$A$8,$G$5:$G$8,"")</f>
        <v>Per pay period</v>
      </c>
      <c r="L614" s="38" t="str">
        <f aca="false">_xlfn.XLOOKUP($E614,$A$5:$A$8,$H$5:$H$8,"")</f>
        <v>Every pay period (ongoing)</v>
      </c>
      <c r="M614" s="43" t="n">
        <f aca="false" t="array" ref="M614:M614">MAX(_xlfn.XLOOKUP($A614,TRIM(SUBSTITUTE('worker file'!$A$2:$A$406,_xlfn.UNICHAR(160)," ")),'worker file'!$M$2:$M$406,0),_xlfn.XLOOKUP($B614,TRIM('pay group &amp; schedule'!$A$2:$A$6),'pay group &amp; schedule'!$D$2:$D$6,0))</f>
        <v>46311</v>
      </c>
      <c r="N614" s="43" t="str">
        <f aca="false" t="array" ref="N614:N614">_xlfn.LET(_xlpm.t,_xlfn.XLOOKUP($A614,TRIM(SUBSTITUTE('worker file'!$A$2:$A$406,_xlfn.UNICHAR(160)," ")),'worker file'!$N$2:$N$406,""),IF(N(_xlpm.t)=0,"",_xlpm.t))</f>
        <v/>
      </c>
    </row>
    <row r="615" customFormat="false" ht="15" hidden="false" customHeight="false" outlineLevel="0" collapsed="false">
      <c r="A615" s="39" t="s">
        <v>314</v>
      </c>
      <c r="B615" s="40" t="str">
        <f aca="false" t="array" ref="B615:B615">_xlfn.XLOOKUP($A615,TRIM(SUBSTITUTE('worker file'!$A$2:$A$406,_xlfn.UNICHAR(160)," ")),'worker file'!$L$2:$L$406,"Not found")</f>
        <v>US Semi-monthly</v>
      </c>
      <c r="C615" s="40" t="str">
        <f aca="false" t="array" ref="C615:C615">_xlfn.XLOOKUP($A615,TRIM(SUBSTITUTE('worker file'!$A$2:$A$406,_xlfn.UNICHAR(160)," ")),'worker file'!$D$2:$D$406,"Not found")</f>
        <v>CO</v>
      </c>
      <c r="D615" s="40" t="str">
        <f aca="false" t="array" ref="D615:D615">_xlfn.XLOOKUP($A615,TRIM(SUBSTITUTE('worker file'!$A$2:$A$406,_xlfn.UNICHAR(160)," ")),'worker file'!$Q$2:$Q$406,"Not found")</f>
        <v>Active</v>
      </c>
      <c r="E615" s="39" t="s">
        <v>634</v>
      </c>
      <c r="F615" s="38" t="str">
        <f aca="false">_xlfn.XLOOKUP($E615,$A$5:$A$8,$B$5:$B$8,"")</f>
        <v>Vision – Employee</v>
      </c>
      <c r="G615" s="38" t="str">
        <f aca="false">_xlfn.XLOOKUP($E615,$A$5:$A$8,$D$5:$D$8,"")</f>
        <v>Pre-tax Section 125 (exempt from FIT/SIT/FICA)</v>
      </c>
      <c r="H615" s="38" t="str">
        <f aca="false">_xlfn.XLOOKUP($E615,$A$5:$A$8,$E$5:$E$8,"")</f>
        <v>Flat</v>
      </c>
      <c r="I615" s="44" t="str">
        <f aca="false">IF($H615="Percent",_xlfn.XLOOKUP($E615,$A$5:$A$8,$F$5:$F$8,""),"")</f>
        <v/>
      </c>
      <c r="J615" s="42" t="n">
        <f aca="false">IF($H615="Flat",_xlfn.XLOOKUP($E615,$A$5:$A$8,$F$5:$F$8,""),"")</f>
        <v>30</v>
      </c>
      <c r="K615" s="38" t="str">
        <f aca="false">_xlfn.XLOOKUP($E615,$A$5:$A$8,$G$5:$G$8,"")</f>
        <v>Per pay period</v>
      </c>
      <c r="L615" s="38" t="str">
        <f aca="false">_xlfn.XLOOKUP($E615,$A$5:$A$8,$H$5:$H$8,"")</f>
        <v>Every pay period (ongoing)</v>
      </c>
      <c r="M615" s="43" t="n">
        <f aca="false" t="array" ref="M615:M615">MAX(_xlfn.XLOOKUP($A615,TRIM(SUBSTITUTE('worker file'!$A$2:$A$406,_xlfn.UNICHAR(160)," ")),'worker file'!$M$2:$M$406,0),_xlfn.XLOOKUP($B615,TRIM('pay group &amp; schedule'!$A$2:$A$6),'pay group &amp; schedule'!$D$2:$D$6,0))</f>
        <v>46311</v>
      </c>
      <c r="N615" s="43" t="str">
        <f aca="false" t="array" ref="N615:N615">_xlfn.LET(_xlpm.t,_xlfn.XLOOKUP($A615,TRIM(SUBSTITUTE('worker file'!$A$2:$A$406,_xlfn.UNICHAR(160)," ")),'worker file'!$N$2:$N$406,""),IF(N(_xlpm.t)=0,"",_xlpm.t))</f>
        <v/>
      </c>
    </row>
    <row r="616" customFormat="false" ht="15" hidden="false" customHeight="false" outlineLevel="0" collapsed="false">
      <c r="A616" s="39" t="s">
        <v>315</v>
      </c>
      <c r="B616" s="40" t="str">
        <f aca="false" t="array" ref="B616:B616">_xlfn.XLOOKUP($A616,TRIM(SUBSTITUTE('worker file'!$A$2:$A$406,_xlfn.UNICHAR(160)," ")),'worker file'!$L$2:$L$406,"Not found")</f>
        <v>US Semi-monthly</v>
      </c>
      <c r="C616" s="40" t="str">
        <f aca="false" t="array" ref="C616:C616">_xlfn.XLOOKUP($A616,TRIM(SUBSTITUTE('worker file'!$A$2:$A$406,_xlfn.UNICHAR(160)," ")),'worker file'!$D$2:$D$406,"Not found")</f>
        <v>IL</v>
      </c>
      <c r="D616" s="40" t="str">
        <f aca="false" t="array" ref="D616:D616">_xlfn.XLOOKUP($A616,TRIM(SUBSTITUTE('worker file'!$A$2:$A$406,_xlfn.UNICHAR(160)," ")),'worker file'!$Q$2:$Q$406,"Not found")</f>
        <v>Active</v>
      </c>
      <c r="E616" s="39" t="s">
        <v>618</v>
      </c>
      <c r="F616" s="38" t="str">
        <f aca="false">_xlfn.XLOOKUP($E616,$A$5:$A$8,$B$5:$B$8,"")</f>
        <v>401(k) Employee Deferral</v>
      </c>
      <c r="G616" s="38" t="str">
        <f aca="false">_xlfn.XLOOKUP($E616,$A$5:$A$8,$D$5:$D$8,"")</f>
        <v>Pre-tax (exempt from FIT/SIT; subject to FICA)</v>
      </c>
      <c r="H616" s="38" t="str">
        <f aca="false">_xlfn.XLOOKUP($E616,$A$5:$A$8,$E$5:$E$8,"")</f>
        <v>Percent</v>
      </c>
      <c r="I616" s="41" t="n">
        <v>0.02</v>
      </c>
      <c r="J616" s="42" t="str">
        <f aca="false">IF($H616="Flat",_xlfn.XLOOKUP($E616,$A$5:$A$8,$F$5:$F$8,""),"")</f>
        <v/>
      </c>
      <c r="K616" s="38" t="str">
        <f aca="false">_xlfn.XLOOKUP($E616,$A$5:$A$8,$G$5:$G$8,"")</f>
        <v>Gross pay</v>
      </c>
      <c r="L616" s="38" t="str">
        <f aca="false">_xlfn.XLOOKUP($E616,$A$5:$A$8,$H$5:$H$8,"")</f>
        <v>Every pay period (ongoing)</v>
      </c>
      <c r="M616" s="43" t="n">
        <f aca="false" t="array" ref="M616:M616">MAX(_xlfn.XLOOKUP($A616,TRIM(SUBSTITUTE('worker file'!$A$2:$A$406,_xlfn.UNICHAR(160)," ")),'worker file'!$M$2:$M$406,0),_xlfn.XLOOKUP($B616,TRIM('pay group &amp; schedule'!$A$2:$A$6),'pay group &amp; schedule'!$D$2:$D$6,0))</f>
        <v>46311</v>
      </c>
      <c r="N616" s="43" t="str">
        <f aca="false" t="array" ref="N616:N616">_xlfn.LET(_xlpm.t,_xlfn.XLOOKUP($A616,TRIM(SUBSTITUTE('worker file'!$A$2:$A$406,_xlfn.UNICHAR(160)," ")),'worker file'!$N$2:$N$406,""),IF(N(_xlpm.t)=0,"",_xlpm.t))</f>
        <v/>
      </c>
    </row>
    <row r="617" customFormat="false" ht="15" hidden="false" customHeight="false" outlineLevel="0" collapsed="false">
      <c r="A617" s="39" t="s">
        <v>315</v>
      </c>
      <c r="B617" s="40" t="str">
        <f aca="false" t="array" ref="B617:B617">_xlfn.XLOOKUP($A617,TRIM(SUBSTITUTE('worker file'!$A$2:$A$406,_xlfn.UNICHAR(160)," ")),'worker file'!$L$2:$L$406,"Not found")</f>
        <v>US Semi-monthly</v>
      </c>
      <c r="C617" s="40" t="str">
        <f aca="false" t="array" ref="C617:C617">_xlfn.XLOOKUP($A617,TRIM(SUBSTITUTE('worker file'!$A$2:$A$406,_xlfn.UNICHAR(160)," ")),'worker file'!$D$2:$D$406,"Not found")</f>
        <v>IL</v>
      </c>
      <c r="D617" s="40" t="str">
        <f aca="false" t="array" ref="D617:D617">_xlfn.XLOOKUP($A617,TRIM(SUBSTITUTE('worker file'!$A$2:$A$406,_xlfn.UNICHAR(160)," ")),'worker file'!$Q$2:$Q$406,"Not found")</f>
        <v>Active</v>
      </c>
      <c r="E617" s="39" t="s">
        <v>626</v>
      </c>
      <c r="F617" s="38" t="str">
        <f aca="false">_xlfn.XLOOKUP($E617,$A$5:$A$8,$B$5:$B$8,"")</f>
        <v>Medical (Health) – Employee</v>
      </c>
      <c r="G617" s="38" t="str">
        <f aca="false">_xlfn.XLOOKUP($E617,$A$5:$A$8,$D$5:$D$8,"")</f>
        <v>Pre-tax Section 125 (exempt from FIT/SIT/FICA)</v>
      </c>
      <c r="H617" s="38" t="str">
        <f aca="false">_xlfn.XLOOKUP($E617,$A$5:$A$8,$E$5:$E$8,"")</f>
        <v>Flat</v>
      </c>
      <c r="I617" s="44" t="str">
        <f aca="false">IF($H617="Percent",_xlfn.XLOOKUP($E617,$A$5:$A$8,$F$5:$F$8,""),"")</f>
        <v/>
      </c>
      <c r="J617" s="42" t="n">
        <f aca="false">IF($H617="Flat",_xlfn.XLOOKUP($E617,$A$5:$A$8,$F$5:$F$8,""),"")</f>
        <v>200</v>
      </c>
      <c r="K617" s="38" t="str">
        <f aca="false">_xlfn.XLOOKUP($E617,$A$5:$A$8,$G$5:$G$8,"")</f>
        <v>Per pay period</v>
      </c>
      <c r="L617" s="38" t="str">
        <f aca="false">_xlfn.XLOOKUP($E617,$A$5:$A$8,$H$5:$H$8,"")</f>
        <v>Every pay period (ongoing)</v>
      </c>
      <c r="M617" s="43" t="n">
        <f aca="false" t="array" ref="M617:M617">MAX(_xlfn.XLOOKUP($A617,TRIM(SUBSTITUTE('worker file'!$A$2:$A$406,_xlfn.UNICHAR(160)," ")),'worker file'!$M$2:$M$406,0),_xlfn.XLOOKUP($B617,TRIM('pay group &amp; schedule'!$A$2:$A$6),'pay group &amp; schedule'!$D$2:$D$6,0))</f>
        <v>46311</v>
      </c>
      <c r="N617" s="43" t="str">
        <f aca="false" t="array" ref="N617:N617">_xlfn.LET(_xlpm.t,_xlfn.XLOOKUP($A617,TRIM(SUBSTITUTE('worker file'!$A$2:$A$406,_xlfn.UNICHAR(160)," ")),'worker file'!$N$2:$N$406,""),IF(N(_xlpm.t)=0,"",_xlpm.t))</f>
        <v/>
      </c>
    </row>
    <row r="618" customFormat="false" ht="15" hidden="false" customHeight="false" outlineLevel="0" collapsed="false">
      <c r="A618" s="39" t="s">
        <v>315</v>
      </c>
      <c r="B618" s="40" t="str">
        <f aca="false" t="array" ref="B618:B618">_xlfn.XLOOKUP($A618,TRIM(SUBSTITUTE('worker file'!$A$2:$A$406,_xlfn.UNICHAR(160)," ")),'worker file'!$L$2:$L$406,"Not found")</f>
        <v>US Semi-monthly</v>
      </c>
      <c r="C618" s="40" t="str">
        <f aca="false" t="array" ref="C618:C618">_xlfn.XLOOKUP($A618,TRIM(SUBSTITUTE('worker file'!$A$2:$A$406,_xlfn.UNICHAR(160)," ")),'worker file'!$D$2:$D$406,"Not found")</f>
        <v>IL</v>
      </c>
      <c r="D618" s="40" t="str">
        <f aca="false" t="array" ref="D618:D618">_xlfn.XLOOKUP($A618,TRIM(SUBSTITUTE('worker file'!$A$2:$A$406,_xlfn.UNICHAR(160)," ")),'worker file'!$Q$2:$Q$406,"Not found")</f>
        <v>Active</v>
      </c>
      <c r="E618" s="39" t="s">
        <v>632</v>
      </c>
      <c r="F618" s="38" t="str">
        <f aca="false">_xlfn.XLOOKUP($E618,$A$5:$A$8,$B$5:$B$8,"")</f>
        <v>Dental – Employee</v>
      </c>
      <c r="G618" s="38" t="str">
        <f aca="false">_xlfn.XLOOKUP($E618,$A$5:$A$8,$D$5:$D$8,"")</f>
        <v>Pre-tax Section 125 (exempt from FIT/SIT/FICA)</v>
      </c>
      <c r="H618" s="38" t="str">
        <f aca="false">_xlfn.XLOOKUP($E618,$A$5:$A$8,$E$5:$E$8,"")</f>
        <v>Flat</v>
      </c>
      <c r="I618" s="44" t="str">
        <f aca="false">IF($H618="Percent",_xlfn.XLOOKUP($E618,$A$5:$A$8,$F$5:$F$8,""),"")</f>
        <v/>
      </c>
      <c r="J618" s="42" t="n">
        <f aca="false">IF($H618="Flat",_xlfn.XLOOKUP($E618,$A$5:$A$8,$F$5:$F$8,""),"")</f>
        <v>44</v>
      </c>
      <c r="K618" s="38" t="str">
        <f aca="false">_xlfn.XLOOKUP($E618,$A$5:$A$8,$G$5:$G$8,"")</f>
        <v>Per pay period</v>
      </c>
      <c r="L618" s="38" t="str">
        <f aca="false">_xlfn.XLOOKUP($E618,$A$5:$A$8,$H$5:$H$8,"")</f>
        <v>Every pay period (ongoing)</v>
      </c>
      <c r="M618" s="43" t="n">
        <f aca="false" t="array" ref="M618:M618">MAX(_xlfn.XLOOKUP($A618,TRIM(SUBSTITUTE('worker file'!$A$2:$A$406,_xlfn.UNICHAR(160)," ")),'worker file'!$M$2:$M$406,0),_xlfn.XLOOKUP($B618,TRIM('pay group &amp; schedule'!$A$2:$A$6),'pay group &amp; schedule'!$D$2:$D$6,0))</f>
        <v>46311</v>
      </c>
      <c r="N618" s="43" t="str">
        <f aca="false" t="array" ref="N618:N618">_xlfn.LET(_xlpm.t,_xlfn.XLOOKUP($A618,TRIM(SUBSTITUTE('worker file'!$A$2:$A$406,_xlfn.UNICHAR(160)," ")),'worker file'!$N$2:$N$406,""),IF(N(_xlpm.t)=0,"",_xlpm.t))</f>
        <v/>
      </c>
    </row>
    <row r="619" customFormat="false" ht="15" hidden="false" customHeight="false" outlineLevel="0" collapsed="false">
      <c r="A619" s="39" t="s">
        <v>315</v>
      </c>
      <c r="B619" s="40" t="str">
        <f aca="false" t="array" ref="B619:B619">_xlfn.XLOOKUP($A619,TRIM(SUBSTITUTE('worker file'!$A$2:$A$406,_xlfn.UNICHAR(160)," ")),'worker file'!$L$2:$L$406,"Not found")</f>
        <v>US Semi-monthly</v>
      </c>
      <c r="C619" s="40" t="str">
        <f aca="false" t="array" ref="C619:C619">_xlfn.XLOOKUP($A619,TRIM(SUBSTITUTE('worker file'!$A$2:$A$406,_xlfn.UNICHAR(160)," ")),'worker file'!$D$2:$D$406,"Not found")</f>
        <v>IL</v>
      </c>
      <c r="D619" s="40" t="str">
        <f aca="false" t="array" ref="D619:D619">_xlfn.XLOOKUP($A619,TRIM(SUBSTITUTE('worker file'!$A$2:$A$406,_xlfn.UNICHAR(160)," ")),'worker file'!$Q$2:$Q$406,"Not found")</f>
        <v>Active</v>
      </c>
      <c r="E619" s="39" t="s">
        <v>634</v>
      </c>
      <c r="F619" s="38" t="str">
        <f aca="false">_xlfn.XLOOKUP($E619,$A$5:$A$8,$B$5:$B$8,"")</f>
        <v>Vision – Employee</v>
      </c>
      <c r="G619" s="38" t="str">
        <f aca="false">_xlfn.XLOOKUP($E619,$A$5:$A$8,$D$5:$D$8,"")</f>
        <v>Pre-tax Section 125 (exempt from FIT/SIT/FICA)</v>
      </c>
      <c r="H619" s="38" t="str">
        <f aca="false">_xlfn.XLOOKUP($E619,$A$5:$A$8,$E$5:$E$8,"")</f>
        <v>Flat</v>
      </c>
      <c r="I619" s="44" t="str">
        <f aca="false">IF($H619="Percent",_xlfn.XLOOKUP($E619,$A$5:$A$8,$F$5:$F$8,""),"")</f>
        <v/>
      </c>
      <c r="J619" s="42" t="n">
        <f aca="false">IF($H619="Flat",_xlfn.XLOOKUP($E619,$A$5:$A$8,$F$5:$F$8,""),"")</f>
        <v>30</v>
      </c>
      <c r="K619" s="38" t="str">
        <f aca="false">_xlfn.XLOOKUP($E619,$A$5:$A$8,$G$5:$G$8,"")</f>
        <v>Per pay period</v>
      </c>
      <c r="L619" s="38" t="str">
        <f aca="false">_xlfn.XLOOKUP($E619,$A$5:$A$8,$H$5:$H$8,"")</f>
        <v>Every pay period (ongoing)</v>
      </c>
      <c r="M619" s="43" t="n">
        <f aca="false" t="array" ref="M619:M619">MAX(_xlfn.XLOOKUP($A619,TRIM(SUBSTITUTE('worker file'!$A$2:$A$406,_xlfn.UNICHAR(160)," ")),'worker file'!$M$2:$M$406,0),_xlfn.XLOOKUP($B619,TRIM('pay group &amp; schedule'!$A$2:$A$6),'pay group &amp; schedule'!$D$2:$D$6,0))</f>
        <v>46311</v>
      </c>
      <c r="N619" s="43" t="str">
        <f aca="false" t="array" ref="N619:N619">_xlfn.LET(_xlpm.t,_xlfn.XLOOKUP($A619,TRIM(SUBSTITUTE('worker file'!$A$2:$A$406,_xlfn.UNICHAR(160)," ")),'worker file'!$N$2:$N$406,""),IF(N(_xlpm.t)=0,"",_xlpm.t))</f>
        <v/>
      </c>
    </row>
    <row r="620" customFormat="false" ht="15" hidden="false" customHeight="false" outlineLevel="0" collapsed="false">
      <c r="A620" s="39" t="s">
        <v>316</v>
      </c>
      <c r="B620" s="40" t="str">
        <f aca="false" t="array" ref="B620:B620">_xlfn.XLOOKUP($A620,TRIM(SUBSTITUTE('worker file'!$A$2:$A$406,_xlfn.UNICHAR(160)," ")),'worker file'!$L$2:$L$406,"Not found")</f>
        <v>US Semi-monthly</v>
      </c>
      <c r="C620" s="40" t="str">
        <f aca="false" t="array" ref="C620:C620">_xlfn.XLOOKUP($A620,TRIM(SUBSTITUTE('worker file'!$A$2:$A$406,_xlfn.UNICHAR(160)," ")),'worker file'!$D$2:$D$406,"Not found")</f>
        <v>WA</v>
      </c>
      <c r="D620" s="40" t="str">
        <f aca="false" t="array" ref="D620:D620">_xlfn.XLOOKUP($A620,TRIM(SUBSTITUTE('worker file'!$A$2:$A$406,_xlfn.UNICHAR(160)," ")),'worker file'!$Q$2:$Q$406,"Not found")</f>
        <v>Active</v>
      </c>
      <c r="E620" s="39" t="s">
        <v>618</v>
      </c>
      <c r="F620" s="38" t="str">
        <f aca="false">_xlfn.XLOOKUP($E620,$A$5:$A$8,$B$5:$B$8,"")</f>
        <v>401(k) Employee Deferral</v>
      </c>
      <c r="G620" s="38" t="str">
        <f aca="false">_xlfn.XLOOKUP($E620,$A$5:$A$8,$D$5:$D$8,"")</f>
        <v>Pre-tax (exempt from FIT/SIT; subject to FICA)</v>
      </c>
      <c r="H620" s="38" t="str">
        <f aca="false">_xlfn.XLOOKUP($E620,$A$5:$A$8,$E$5:$E$8,"")</f>
        <v>Percent</v>
      </c>
      <c r="I620" s="41" t="n">
        <v>0.07</v>
      </c>
      <c r="J620" s="42" t="str">
        <f aca="false">IF($H620="Flat",_xlfn.XLOOKUP($E620,$A$5:$A$8,$F$5:$F$8,""),"")</f>
        <v/>
      </c>
      <c r="K620" s="38" t="str">
        <f aca="false">_xlfn.XLOOKUP($E620,$A$5:$A$8,$G$5:$G$8,"")</f>
        <v>Gross pay</v>
      </c>
      <c r="L620" s="38" t="str">
        <f aca="false">_xlfn.XLOOKUP($E620,$A$5:$A$8,$H$5:$H$8,"")</f>
        <v>Every pay period (ongoing)</v>
      </c>
      <c r="M620" s="43" t="n">
        <f aca="false" t="array" ref="M620:M620">MAX(_xlfn.XLOOKUP($A620,TRIM(SUBSTITUTE('worker file'!$A$2:$A$406,_xlfn.UNICHAR(160)," ")),'worker file'!$M$2:$M$406,0),_xlfn.XLOOKUP($B620,TRIM('pay group &amp; schedule'!$A$2:$A$6),'pay group &amp; schedule'!$D$2:$D$6,0))</f>
        <v>46311</v>
      </c>
      <c r="N620" s="43" t="str">
        <f aca="false" t="array" ref="N620:N620">_xlfn.LET(_xlpm.t,_xlfn.XLOOKUP($A620,TRIM(SUBSTITUTE('worker file'!$A$2:$A$406,_xlfn.UNICHAR(160)," ")),'worker file'!$N$2:$N$406,""),IF(N(_xlpm.t)=0,"",_xlpm.t))</f>
        <v/>
      </c>
    </row>
    <row r="621" customFormat="false" ht="15" hidden="false" customHeight="false" outlineLevel="0" collapsed="false">
      <c r="A621" s="39" t="s">
        <v>316</v>
      </c>
      <c r="B621" s="40" t="str">
        <f aca="false" t="array" ref="B621:B621">_xlfn.XLOOKUP($A621,TRIM(SUBSTITUTE('worker file'!$A$2:$A$406,_xlfn.UNICHAR(160)," ")),'worker file'!$L$2:$L$406,"Not found")</f>
        <v>US Semi-monthly</v>
      </c>
      <c r="C621" s="40" t="str">
        <f aca="false" t="array" ref="C621:C621">_xlfn.XLOOKUP($A621,TRIM(SUBSTITUTE('worker file'!$A$2:$A$406,_xlfn.UNICHAR(160)," ")),'worker file'!$D$2:$D$406,"Not found")</f>
        <v>WA</v>
      </c>
      <c r="D621" s="40" t="str">
        <f aca="false" t="array" ref="D621:D621">_xlfn.XLOOKUP($A621,TRIM(SUBSTITUTE('worker file'!$A$2:$A$406,_xlfn.UNICHAR(160)," ")),'worker file'!$Q$2:$Q$406,"Not found")</f>
        <v>Active</v>
      </c>
      <c r="E621" s="39" t="s">
        <v>626</v>
      </c>
      <c r="F621" s="38" t="str">
        <f aca="false">_xlfn.XLOOKUP($E621,$A$5:$A$8,$B$5:$B$8,"")</f>
        <v>Medical (Health) – Employee</v>
      </c>
      <c r="G621" s="38" t="str">
        <f aca="false">_xlfn.XLOOKUP($E621,$A$5:$A$8,$D$5:$D$8,"")</f>
        <v>Pre-tax Section 125 (exempt from FIT/SIT/FICA)</v>
      </c>
      <c r="H621" s="38" t="str">
        <f aca="false">_xlfn.XLOOKUP($E621,$A$5:$A$8,$E$5:$E$8,"")</f>
        <v>Flat</v>
      </c>
      <c r="I621" s="44" t="str">
        <f aca="false">IF($H621="Percent",_xlfn.XLOOKUP($E621,$A$5:$A$8,$F$5:$F$8,""),"")</f>
        <v/>
      </c>
      <c r="J621" s="42" t="n">
        <f aca="false">IF($H621="Flat",_xlfn.XLOOKUP($E621,$A$5:$A$8,$F$5:$F$8,""),"")</f>
        <v>200</v>
      </c>
      <c r="K621" s="38" t="str">
        <f aca="false">_xlfn.XLOOKUP($E621,$A$5:$A$8,$G$5:$G$8,"")</f>
        <v>Per pay period</v>
      </c>
      <c r="L621" s="38" t="str">
        <f aca="false">_xlfn.XLOOKUP($E621,$A$5:$A$8,$H$5:$H$8,"")</f>
        <v>Every pay period (ongoing)</v>
      </c>
      <c r="M621" s="43" t="n">
        <f aca="false" t="array" ref="M621:M621">MAX(_xlfn.XLOOKUP($A621,TRIM(SUBSTITUTE('worker file'!$A$2:$A$406,_xlfn.UNICHAR(160)," ")),'worker file'!$M$2:$M$406,0),_xlfn.XLOOKUP($B621,TRIM('pay group &amp; schedule'!$A$2:$A$6),'pay group &amp; schedule'!$D$2:$D$6,0))</f>
        <v>46311</v>
      </c>
      <c r="N621" s="43" t="str">
        <f aca="false" t="array" ref="N621:N621">_xlfn.LET(_xlpm.t,_xlfn.XLOOKUP($A621,TRIM(SUBSTITUTE('worker file'!$A$2:$A$406,_xlfn.UNICHAR(160)," ")),'worker file'!$N$2:$N$406,""),IF(N(_xlpm.t)=0,"",_xlpm.t))</f>
        <v/>
      </c>
    </row>
    <row r="622" customFormat="false" ht="15" hidden="false" customHeight="false" outlineLevel="0" collapsed="false">
      <c r="A622" s="39" t="s">
        <v>316</v>
      </c>
      <c r="B622" s="40" t="str">
        <f aca="false" t="array" ref="B622:B622">_xlfn.XLOOKUP($A622,TRIM(SUBSTITUTE('worker file'!$A$2:$A$406,_xlfn.UNICHAR(160)," ")),'worker file'!$L$2:$L$406,"Not found")</f>
        <v>US Semi-monthly</v>
      </c>
      <c r="C622" s="40" t="str">
        <f aca="false" t="array" ref="C622:C622">_xlfn.XLOOKUP($A622,TRIM(SUBSTITUTE('worker file'!$A$2:$A$406,_xlfn.UNICHAR(160)," ")),'worker file'!$D$2:$D$406,"Not found")</f>
        <v>WA</v>
      </c>
      <c r="D622" s="40" t="str">
        <f aca="false" t="array" ref="D622:D622">_xlfn.XLOOKUP($A622,TRIM(SUBSTITUTE('worker file'!$A$2:$A$406,_xlfn.UNICHAR(160)," ")),'worker file'!$Q$2:$Q$406,"Not found")</f>
        <v>Active</v>
      </c>
      <c r="E622" s="39" t="s">
        <v>632</v>
      </c>
      <c r="F622" s="38" t="str">
        <f aca="false">_xlfn.XLOOKUP($E622,$A$5:$A$8,$B$5:$B$8,"")</f>
        <v>Dental – Employee</v>
      </c>
      <c r="G622" s="38" t="str">
        <f aca="false">_xlfn.XLOOKUP($E622,$A$5:$A$8,$D$5:$D$8,"")</f>
        <v>Pre-tax Section 125 (exempt from FIT/SIT/FICA)</v>
      </c>
      <c r="H622" s="38" t="str">
        <f aca="false">_xlfn.XLOOKUP($E622,$A$5:$A$8,$E$5:$E$8,"")</f>
        <v>Flat</v>
      </c>
      <c r="I622" s="44" t="str">
        <f aca="false">IF($H622="Percent",_xlfn.XLOOKUP($E622,$A$5:$A$8,$F$5:$F$8,""),"")</f>
        <v/>
      </c>
      <c r="J622" s="42" t="n">
        <f aca="false">IF($H622="Flat",_xlfn.XLOOKUP($E622,$A$5:$A$8,$F$5:$F$8,""),"")</f>
        <v>44</v>
      </c>
      <c r="K622" s="38" t="str">
        <f aca="false">_xlfn.XLOOKUP($E622,$A$5:$A$8,$G$5:$G$8,"")</f>
        <v>Per pay period</v>
      </c>
      <c r="L622" s="38" t="str">
        <f aca="false">_xlfn.XLOOKUP($E622,$A$5:$A$8,$H$5:$H$8,"")</f>
        <v>Every pay period (ongoing)</v>
      </c>
      <c r="M622" s="43" t="n">
        <f aca="false" t="array" ref="M622:M622">MAX(_xlfn.XLOOKUP($A622,TRIM(SUBSTITUTE('worker file'!$A$2:$A$406,_xlfn.UNICHAR(160)," ")),'worker file'!$M$2:$M$406,0),_xlfn.XLOOKUP($B622,TRIM('pay group &amp; schedule'!$A$2:$A$6),'pay group &amp; schedule'!$D$2:$D$6,0))</f>
        <v>46311</v>
      </c>
      <c r="N622" s="43" t="str">
        <f aca="false" t="array" ref="N622:N622">_xlfn.LET(_xlpm.t,_xlfn.XLOOKUP($A622,TRIM(SUBSTITUTE('worker file'!$A$2:$A$406,_xlfn.UNICHAR(160)," ")),'worker file'!$N$2:$N$406,""),IF(N(_xlpm.t)=0,"",_xlpm.t))</f>
        <v/>
      </c>
    </row>
    <row r="623" customFormat="false" ht="15" hidden="false" customHeight="false" outlineLevel="0" collapsed="false">
      <c r="A623" s="39" t="s">
        <v>316</v>
      </c>
      <c r="B623" s="40" t="str">
        <f aca="false" t="array" ref="B623:B623">_xlfn.XLOOKUP($A623,TRIM(SUBSTITUTE('worker file'!$A$2:$A$406,_xlfn.UNICHAR(160)," ")),'worker file'!$L$2:$L$406,"Not found")</f>
        <v>US Semi-monthly</v>
      </c>
      <c r="C623" s="40" t="str">
        <f aca="false" t="array" ref="C623:C623">_xlfn.XLOOKUP($A623,TRIM(SUBSTITUTE('worker file'!$A$2:$A$406,_xlfn.UNICHAR(160)," ")),'worker file'!$D$2:$D$406,"Not found")</f>
        <v>WA</v>
      </c>
      <c r="D623" s="40" t="str">
        <f aca="false" t="array" ref="D623:D623">_xlfn.XLOOKUP($A623,TRIM(SUBSTITUTE('worker file'!$A$2:$A$406,_xlfn.UNICHAR(160)," ")),'worker file'!$Q$2:$Q$406,"Not found")</f>
        <v>Active</v>
      </c>
      <c r="E623" s="39" t="s">
        <v>634</v>
      </c>
      <c r="F623" s="38" t="str">
        <f aca="false">_xlfn.XLOOKUP($E623,$A$5:$A$8,$B$5:$B$8,"")</f>
        <v>Vision – Employee</v>
      </c>
      <c r="G623" s="38" t="str">
        <f aca="false">_xlfn.XLOOKUP($E623,$A$5:$A$8,$D$5:$D$8,"")</f>
        <v>Pre-tax Section 125 (exempt from FIT/SIT/FICA)</v>
      </c>
      <c r="H623" s="38" t="str">
        <f aca="false">_xlfn.XLOOKUP($E623,$A$5:$A$8,$E$5:$E$8,"")</f>
        <v>Flat</v>
      </c>
      <c r="I623" s="44" t="str">
        <f aca="false">IF($H623="Percent",_xlfn.XLOOKUP($E623,$A$5:$A$8,$F$5:$F$8,""),"")</f>
        <v/>
      </c>
      <c r="J623" s="42" t="n">
        <f aca="false">IF($H623="Flat",_xlfn.XLOOKUP($E623,$A$5:$A$8,$F$5:$F$8,""),"")</f>
        <v>30</v>
      </c>
      <c r="K623" s="38" t="str">
        <f aca="false">_xlfn.XLOOKUP($E623,$A$5:$A$8,$G$5:$G$8,"")</f>
        <v>Per pay period</v>
      </c>
      <c r="L623" s="38" t="str">
        <f aca="false">_xlfn.XLOOKUP($E623,$A$5:$A$8,$H$5:$H$8,"")</f>
        <v>Every pay period (ongoing)</v>
      </c>
      <c r="M623" s="43" t="n">
        <f aca="false" t="array" ref="M623:M623">MAX(_xlfn.XLOOKUP($A623,TRIM(SUBSTITUTE('worker file'!$A$2:$A$406,_xlfn.UNICHAR(160)," ")),'worker file'!$M$2:$M$406,0),_xlfn.XLOOKUP($B623,TRIM('pay group &amp; schedule'!$A$2:$A$6),'pay group &amp; schedule'!$D$2:$D$6,0))</f>
        <v>46311</v>
      </c>
      <c r="N623" s="43" t="str">
        <f aca="false" t="array" ref="N623:N623">_xlfn.LET(_xlpm.t,_xlfn.XLOOKUP($A623,TRIM(SUBSTITUTE('worker file'!$A$2:$A$406,_xlfn.UNICHAR(160)," ")),'worker file'!$N$2:$N$406,""),IF(N(_xlpm.t)=0,"",_xlpm.t))</f>
        <v/>
      </c>
    </row>
    <row r="624" customFormat="false" ht="15" hidden="false" customHeight="false" outlineLevel="0" collapsed="false">
      <c r="A624" s="39" t="s">
        <v>317</v>
      </c>
      <c r="B624" s="40" t="str">
        <f aca="false" t="array" ref="B624:B624">_xlfn.XLOOKUP($A624,TRIM(SUBSTITUTE('worker file'!$A$2:$A$406,_xlfn.UNICHAR(160)," ")),'worker file'!$L$2:$L$406,"Not found")</f>
        <v>US Semi-monthly</v>
      </c>
      <c r="C624" s="40" t="str">
        <f aca="false" t="array" ref="C624:C624">_xlfn.XLOOKUP($A624,TRIM(SUBSTITUTE('worker file'!$A$2:$A$406,_xlfn.UNICHAR(160)," ")),'worker file'!$D$2:$D$406,"Not found")</f>
        <v>CA</v>
      </c>
      <c r="D624" s="40" t="str">
        <f aca="false" t="array" ref="D624:D624">_xlfn.XLOOKUP($A624,TRIM(SUBSTITUTE('worker file'!$A$2:$A$406,_xlfn.UNICHAR(160)," ")),'worker file'!$Q$2:$Q$406,"Not found")</f>
        <v>Active</v>
      </c>
      <c r="E624" s="39" t="s">
        <v>618</v>
      </c>
      <c r="F624" s="38" t="str">
        <f aca="false">_xlfn.XLOOKUP($E624,$A$5:$A$8,$B$5:$B$8,"")</f>
        <v>401(k) Employee Deferral</v>
      </c>
      <c r="G624" s="38" t="str">
        <f aca="false">_xlfn.XLOOKUP($E624,$A$5:$A$8,$D$5:$D$8,"")</f>
        <v>Pre-tax (exempt from FIT/SIT; subject to FICA)</v>
      </c>
      <c r="H624" s="38" t="str">
        <f aca="false">_xlfn.XLOOKUP($E624,$A$5:$A$8,$E$5:$E$8,"")</f>
        <v>Percent</v>
      </c>
      <c r="I624" s="41" t="n">
        <v>0.04</v>
      </c>
      <c r="J624" s="42" t="str">
        <f aca="false">IF($H624="Flat",_xlfn.XLOOKUP($E624,$A$5:$A$8,$F$5:$F$8,""),"")</f>
        <v/>
      </c>
      <c r="K624" s="38" t="str">
        <f aca="false">_xlfn.XLOOKUP($E624,$A$5:$A$8,$G$5:$G$8,"")</f>
        <v>Gross pay</v>
      </c>
      <c r="L624" s="38" t="str">
        <f aca="false">_xlfn.XLOOKUP($E624,$A$5:$A$8,$H$5:$H$8,"")</f>
        <v>Every pay period (ongoing)</v>
      </c>
      <c r="M624" s="43" t="n">
        <f aca="false" t="array" ref="M624:M624">MAX(_xlfn.XLOOKUP($A624,TRIM(SUBSTITUTE('worker file'!$A$2:$A$406,_xlfn.UNICHAR(160)," ")),'worker file'!$M$2:$M$406,0),_xlfn.XLOOKUP($B624,TRIM('pay group &amp; schedule'!$A$2:$A$6),'pay group &amp; schedule'!$D$2:$D$6,0))</f>
        <v>46311</v>
      </c>
      <c r="N624" s="43" t="str">
        <f aca="false" t="array" ref="N624:N624">_xlfn.LET(_xlpm.t,_xlfn.XLOOKUP($A624,TRIM(SUBSTITUTE('worker file'!$A$2:$A$406,_xlfn.UNICHAR(160)," ")),'worker file'!$N$2:$N$406,""),IF(N(_xlpm.t)=0,"",_xlpm.t))</f>
        <v/>
      </c>
    </row>
    <row r="625" customFormat="false" ht="15" hidden="false" customHeight="false" outlineLevel="0" collapsed="false">
      <c r="A625" s="39" t="s">
        <v>317</v>
      </c>
      <c r="B625" s="40" t="str">
        <f aca="false" t="array" ref="B625:B625">_xlfn.XLOOKUP($A625,TRIM(SUBSTITUTE('worker file'!$A$2:$A$406,_xlfn.UNICHAR(160)," ")),'worker file'!$L$2:$L$406,"Not found")</f>
        <v>US Semi-monthly</v>
      </c>
      <c r="C625" s="40" t="str">
        <f aca="false" t="array" ref="C625:C625">_xlfn.XLOOKUP($A625,TRIM(SUBSTITUTE('worker file'!$A$2:$A$406,_xlfn.UNICHAR(160)," ")),'worker file'!$D$2:$D$406,"Not found")</f>
        <v>CA</v>
      </c>
      <c r="D625" s="40" t="str">
        <f aca="false" t="array" ref="D625:D625">_xlfn.XLOOKUP($A625,TRIM(SUBSTITUTE('worker file'!$A$2:$A$406,_xlfn.UNICHAR(160)," ")),'worker file'!$Q$2:$Q$406,"Not found")</f>
        <v>Active</v>
      </c>
      <c r="E625" s="39" t="s">
        <v>626</v>
      </c>
      <c r="F625" s="38" t="str">
        <f aca="false">_xlfn.XLOOKUP($E625,$A$5:$A$8,$B$5:$B$8,"")</f>
        <v>Medical (Health) – Employee</v>
      </c>
      <c r="G625" s="38" t="str">
        <f aca="false">_xlfn.XLOOKUP($E625,$A$5:$A$8,$D$5:$D$8,"")</f>
        <v>Pre-tax Section 125 (exempt from FIT/SIT/FICA)</v>
      </c>
      <c r="H625" s="38" t="str">
        <f aca="false">_xlfn.XLOOKUP($E625,$A$5:$A$8,$E$5:$E$8,"")</f>
        <v>Flat</v>
      </c>
      <c r="I625" s="44" t="str">
        <f aca="false">IF($H625="Percent",_xlfn.XLOOKUP($E625,$A$5:$A$8,$F$5:$F$8,""),"")</f>
        <v/>
      </c>
      <c r="J625" s="42" t="n">
        <f aca="false">IF($H625="Flat",_xlfn.XLOOKUP($E625,$A$5:$A$8,$F$5:$F$8,""),"")</f>
        <v>200</v>
      </c>
      <c r="K625" s="38" t="str">
        <f aca="false">_xlfn.XLOOKUP($E625,$A$5:$A$8,$G$5:$G$8,"")</f>
        <v>Per pay period</v>
      </c>
      <c r="L625" s="38" t="str">
        <f aca="false">_xlfn.XLOOKUP($E625,$A$5:$A$8,$H$5:$H$8,"")</f>
        <v>Every pay period (ongoing)</v>
      </c>
      <c r="M625" s="43" t="n">
        <f aca="false" t="array" ref="M625:M625">MAX(_xlfn.XLOOKUP($A625,TRIM(SUBSTITUTE('worker file'!$A$2:$A$406,_xlfn.UNICHAR(160)," ")),'worker file'!$M$2:$M$406,0),_xlfn.XLOOKUP($B625,TRIM('pay group &amp; schedule'!$A$2:$A$6),'pay group &amp; schedule'!$D$2:$D$6,0))</f>
        <v>46311</v>
      </c>
      <c r="N625" s="43" t="str">
        <f aca="false" t="array" ref="N625:N625">_xlfn.LET(_xlpm.t,_xlfn.XLOOKUP($A625,TRIM(SUBSTITUTE('worker file'!$A$2:$A$406,_xlfn.UNICHAR(160)," ")),'worker file'!$N$2:$N$406,""),IF(N(_xlpm.t)=0,"",_xlpm.t))</f>
        <v/>
      </c>
    </row>
    <row r="626" customFormat="false" ht="15" hidden="false" customHeight="false" outlineLevel="0" collapsed="false">
      <c r="A626" s="39" t="s">
        <v>317</v>
      </c>
      <c r="B626" s="40" t="str">
        <f aca="false" t="array" ref="B626:B626">_xlfn.XLOOKUP($A626,TRIM(SUBSTITUTE('worker file'!$A$2:$A$406,_xlfn.UNICHAR(160)," ")),'worker file'!$L$2:$L$406,"Not found")</f>
        <v>US Semi-monthly</v>
      </c>
      <c r="C626" s="40" t="str">
        <f aca="false" t="array" ref="C626:C626">_xlfn.XLOOKUP($A626,TRIM(SUBSTITUTE('worker file'!$A$2:$A$406,_xlfn.UNICHAR(160)," ")),'worker file'!$D$2:$D$406,"Not found")</f>
        <v>CA</v>
      </c>
      <c r="D626" s="40" t="str">
        <f aca="false" t="array" ref="D626:D626">_xlfn.XLOOKUP($A626,TRIM(SUBSTITUTE('worker file'!$A$2:$A$406,_xlfn.UNICHAR(160)," ")),'worker file'!$Q$2:$Q$406,"Not found")</f>
        <v>Active</v>
      </c>
      <c r="E626" s="39" t="s">
        <v>632</v>
      </c>
      <c r="F626" s="38" t="str">
        <f aca="false">_xlfn.XLOOKUP($E626,$A$5:$A$8,$B$5:$B$8,"")</f>
        <v>Dental – Employee</v>
      </c>
      <c r="G626" s="38" t="str">
        <f aca="false">_xlfn.XLOOKUP($E626,$A$5:$A$8,$D$5:$D$8,"")</f>
        <v>Pre-tax Section 125 (exempt from FIT/SIT/FICA)</v>
      </c>
      <c r="H626" s="38" t="str">
        <f aca="false">_xlfn.XLOOKUP($E626,$A$5:$A$8,$E$5:$E$8,"")</f>
        <v>Flat</v>
      </c>
      <c r="I626" s="44" t="str">
        <f aca="false">IF($H626="Percent",_xlfn.XLOOKUP($E626,$A$5:$A$8,$F$5:$F$8,""),"")</f>
        <v/>
      </c>
      <c r="J626" s="42" t="n">
        <f aca="false">IF($H626="Flat",_xlfn.XLOOKUP($E626,$A$5:$A$8,$F$5:$F$8,""),"")</f>
        <v>44</v>
      </c>
      <c r="K626" s="38" t="str">
        <f aca="false">_xlfn.XLOOKUP($E626,$A$5:$A$8,$G$5:$G$8,"")</f>
        <v>Per pay period</v>
      </c>
      <c r="L626" s="38" t="str">
        <f aca="false">_xlfn.XLOOKUP($E626,$A$5:$A$8,$H$5:$H$8,"")</f>
        <v>Every pay period (ongoing)</v>
      </c>
      <c r="M626" s="43" t="n">
        <f aca="false" t="array" ref="M626:M626">MAX(_xlfn.XLOOKUP($A626,TRIM(SUBSTITUTE('worker file'!$A$2:$A$406,_xlfn.UNICHAR(160)," ")),'worker file'!$M$2:$M$406,0),_xlfn.XLOOKUP($B626,TRIM('pay group &amp; schedule'!$A$2:$A$6),'pay group &amp; schedule'!$D$2:$D$6,0))</f>
        <v>46311</v>
      </c>
      <c r="N626" s="43" t="str">
        <f aca="false" t="array" ref="N626:N626">_xlfn.LET(_xlpm.t,_xlfn.XLOOKUP($A626,TRIM(SUBSTITUTE('worker file'!$A$2:$A$406,_xlfn.UNICHAR(160)," ")),'worker file'!$N$2:$N$406,""),IF(N(_xlpm.t)=0,"",_xlpm.t))</f>
        <v/>
      </c>
    </row>
    <row r="627" customFormat="false" ht="15" hidden="false" customHeight="false" outlineLevel="0" collapsed="false">
      <c r="A627" s="39" t="s">
        <v>317</v>
      </c>
      <c r="B627" s="40" t="str">
        <f aca="false" t="array" ref="B627:B627">_xlfn.XLOOKUP($A627,TRIM(SUBSTITUTE('worker file'!$A$2:$A$406,_xlfn.UNICHAR(160)," ")),'worker file'!$L$2:$L$406,"Not found")</f>
        <v>US Semi-monthly</v>
      </c>
      <c r="C627" s="40" t="str">
        <f aca="false" t="array" ref="C627:C627">_xlfn.XLOOKUP($A627,TRIM(SUBSTITUTE('worker file'!$A$2:$A$406,_xlfn.UNICHAR(160)," ")),'worker file'!$D$2:$D$406,"Not found")</f>
        <v>CA</v>
      </c>
      <c r="D627" s="40" t="str">
        <f aca="false" t="array" ref="D627:D627">_xlfn.XLOOKUP($A627,TRIM(SUBSTITUTE('worker file'!$A$2:$A$406,_xlfn.UNICHAR(160)," ")),'worker file'!$Q$2:$Q$406,"Not found")</f>
        <v>Active</v>
      </c>
      <c r="E627" s="39" t="s">
        <v>634</v>
      </c>
      <c r="F627" s="38" t="str">
        <f aca="false">_xlfn.XLOOKUP($E627,$A$5:$A$8,$B$5:$B$8,"")</f>
        <v>Vision – Employee</v>
      </c>
      <c r="G627" s="38" t="str">
        <f aca="false">_xlfn.XLOOKUP($E627,$A$5:$A$8,$D$5:$D$8,"")</f>
        <v>Pre-tax Section 125 (exempt from FIT/SIT/FICA)</v>
      </c>
      <c r="H627" s="38" t="str">
        <f aca="false">_xlfn.XLOOKUP($E627,$A$5:$A$8,$E$5:$E$8,"")</f>
        <v>Flat</v>
      </c>
      <c r="I627" s="44" t="str">
        <f aca="false">IF($H627="Percent",_xlfn.XLOOKUP($E627,$A$5:$A$8,$F$5:$F$8,""),"")</f>
        <v/>
      </c>
      <c r="J627" s="42" t="n">
        <f aca="false">IF($H627="Flat",_xlfn.XLOOKUP($E627,$A$5:$A$8,$F$5:$F$8,""),"")</f>
        <v>30</v>
      </c>
      <c r="K627" s="38" t="str">
        <f aca="false">_xlfn.XLOOKUP($E627,$A$5:$A$8,$G$5:$G$8,"")</f>
        <v>Per pay period</v>
      </c>
      <c r="L627" s="38" t="str">
        <f aca="false">_xlfn.XLOOKUP($E627,$A$5:$A$8,$H$5:$H$8,"")</f>
        <v>Every pay period (ongoing)</v>
      </c>
      <c r="M627" s="43" t="n">
        <f aca="false" t="array" ref="M627:M627">MAX(_xlfn.XLOOKUP($A627,TRIM(SUBSTITUTE('worker file'!$A$2:$A$406,_xlfn.UNICHAR(160)," ")),'worker file'!$M$2:$M$406,0),_xlfn.XLOOKUP($B627,TRIM('pay group &amp; schedule'!$A$2:$A$6),'pay group &amp; schedule'!$D$2:$D$6,0))</f>
        <v>46311</v>
      </c>
      <c r="N627" s="43" t="str">
        <f aca="false" t="array" ref="N627:N627">_xlfn.LET(_xlpm.t,_xlfn.XLOOKUP($A627,TRIM(SUBSTITUTE('worker file'!$A$2:$A$406,_xlfn.UNICHAR(160)," ")),'worker file'!$N$2:$N$406,""),IF(N(_xlpm.t)=0,"",_xlpm.t))</f>
        <v/>
      </c>
    </row>
    <row r="628" customFormat="false" ht="15" hidden="false" customHeight="false" outlineLevel="0" collapsed="false">
      <c r="A628" s="39" t="s">
        <v>318</v>
      </c>
      <c r="B628" s="40" t="str">
        <f aca="false" t="array" ref="B628:B628">_xlfn.XLOOKUP($A628,TRIM(SUBSTITUTE('worker file'!$A$2:$A$406,_xlfn.UNICHAR(160)," ")),'worker file'!$L$2:$L$406,"Not found")</f>
        <v>US Biweekly</v>
      </c>
      <c r="C628" s="40" t="str">
        <f aca="false" t="array" ref="C628:C628">_xlfn.XLOOKUP($A628,TRIM(SUBSTITUTE('worker file'!$A$2:$A$406,_xlfn.UNICHAR(160)," ")),'worker file'!$D$2:$D$406,"Not found")</f>
        <v>CA</v>
      </c>
      <c r="D628" s="40" t="str">
        <f aca="false" t="array" ref="D628:D628">_xlfn.XLOOKUP($A628,TRIM(SUBSTITUTE('worker file'!$A$2:$A$406,_xlfn.UNICHAR(160)," ")),'worker file'!$Q$2:$Q$406,"Not found")</f>
        <v>Active</v>
      </c>
      <c r="E628" s="39" t="s">
        <v>618</v>
      </c>
      <c r="F628" s="38" t="str">
        <f aca="false">_xlfn.XLOOKUP($E628,$A$5:$A$8,$B$5:$B$8,"")</f>
        <v>401(k) Employee Deferral</v>
      </c>
      <c r="G628" s="38" t="str">
        <f aca="false">_xlfn.XLOOKUP($E628,$A$5:$A$8,$D$5:$D$8,"")</f>
        <v>Pre-tax (exempt from FIT/SIT; subject to FICA)</v>
      </c>
      <c r="H628" s="38" t="str">
        <f aca="false">_xlfn.XLOOKUP($E628,$A$5:$A$8,$E$5:$E$8,"")</f>
        <v>Percent</v>
      </c>
      <c r="I628" s="41" t="n">
        <v>0.01</v>
      </c>
      <c r="J628" s="42" t="str">
        <f aca="false">IF($H628="Flat",_xlfn.XLOOKUP($E628,$A$5:$A$8,$F$5:$F$8,""),"")</f>
        <v/>
      </c>
      <c r="K628" s="38" t="str">
        <f aca="false">_xlfn.XLOOKUP($E628,$A$5:$A$8,$G$5:$G$8,"")</f>
        <v>Gross pay</v>
      </c>
      <c r="L628" s="38" t="str">
        <f aca="false">_xlfn.XLOOKUP($E628,$A$5:$A$8,$H$5:$H$8,"")</f>
        <v>Every pay period (ongoing)</v>
      </c>
      <c r="M628" s="43" t="n">
        <f aca="false" t="array" ref="M628:M628">MAX(_xlfn.XLOOKUP($A628,TRIM(SUBSTITUTE('worker file'!$A$2:$A$406,_xlfn.UNICHAR(160)," ")),'worker file'!$M$2:$M$406,0),_xlfn.XLOOKUP($B628,TRIM('pay group &amp; schedule'!$A$2:$A$6),'pay group &amp; schedule'!$D$2:$D$6,0))</f>
        <v>46299</v>
      </c>
      <c r="N628" s="43" t="str">
        <f aca="false" t="array" ref="N628:N628">_xlfn.LET(_xlpm.t,_xlfn.XLOOKUP($A628,TRIM(SUBSTITUTE('worker file'!$A$2:$A$406,_xlfn.UNICHAR(160)," ")),'worker file'!$N$2:$N$406,""),IF(N(_xlpm.t)=0,"",_xlpm.t))</f>
        <v/>
      </c>
    </row>
    <row r="629" customFormat="false" ht="15" hidden="false" customHeight="false" outlineLevel="0" collapsed="false">
      <c r="A629" s="39" t="s">
        <v>318</v>
      </c>
      <c r="B629" s="40" t="str">
        <f aca="false" t="array" ref="B629:B629">_xlfn.XLOOKUP($A629,TRIM(SUBSTITUTE('worker file'!$A$2:$A$406,_xlfn.UNICHAR(160)," ")),'worker file'!$L$2:$L$406,"Not found")</f>
        <v>US Biweekly</v>
      </c>
      <c r="C629" s="40" t="str">
        <f aca="false" t="array" ref="C629:C629">_xlfn.XLOOKUP($A629,TRIM(SUBSTITUTE('worker file'!$A$2:$A$406,_xlfn.UNICHAR(160)," ")),'worker file'!$D$2:$D$406,"Not found")</f>
        <v>CA</v>
      </c>
      <c r="D629" s="40" t="str">
        <f aca="false" t="array" ref="D629:D629">_xlfn.XLOOKUP($A629,TRIM(SUBSTITUTE('worker file'!$A$2:$A$406,_xlfn.UNICHAR(160)," ")),'worker file'!$Q$2:$Q$406,"Not found")</f>
        <v>Active</v>
      </c>
      <c r="E629" s="39" t="s">
        <v>626</v>
      </c>
      <c r="F629" s="38" t="str">
        <f aca="false">_xlfn.XLOOKUP($E629,$A$5:$A$8,$B$5:$B$8,"")</f>
        <v>Medical (Health) – Employee</v>
      </c>
      <c r="G629" s="38" t="str">
        <f aca="false">_xlfn.XLOOKUP($E629,$A$5:$A$8,$D$5:$D$8,"")</f>
        <v>Pre-tax Section 125 (exempt from FIT/SIT/FICA)</v>
      </c>
      <c r="H629" s="38" t="str">
        <f aca="false">_xlfn.XLOOKUP($E629,$A$5:$A$8,$E$5:$E$8,"")</f>
        <v>Flat</v>
      </c>
      <c r="I629" s="44" t="str">
        <f aca="false">IF($H629="Percent",_xlfn.XLOOKUP($E629,$A$5:$A$8,$F$5:$F$8,""),"")</f>
        <v/>
      </c>
      <c r="J629" s="42" t="n">
        <f aca="false">IF($H629="Flat",_xlfn.XLOOKUP($E629,$A$5:$A$8,$F$5:$F$8,""),"")</f>
        <v>200</v>
      </c>
      <c r="K629" s="38" t="str">
        <f aca="false">_xlfn.XLOOKUP($E629,$A$5:$A$8,$G$5:$G$8,"")</f>
        <v>Per pay period</v>
      </c>
      <c r="L629" s="38" t="str">
        <f aca="false">_xlfn.XLOOKUP($E629,$A$5:$A$8,$H$5:$H$8,"")</f>
        <v>Every pay period (ongoing)</v>
      </c>
      <c r="M629" s="43" t="n">
        <f aca="false" t="array" ref="M629:M629">MAX(_xlfn.XLOOKUP($A629,TRIM(SUBSTITUTE('worker file'!$A$2:$A$406,_xlfn.UNICHAR(160)," ")),'worker file'!$M$2:$M$406,0),_xlfn.XLOOKUP($B629,TRIM('pay group &amp; schedule'!$A$2:$A$6),'pay group &amp; schedule'!$D$2:$D$6,0))</f>
        <v>46299</v>
      </c>
      <c r="N629" s="43" t="str">
        <f aca="false" t="array" ref="N629:N629">_xlfn.LET(_xlpm.t,_xlfn.XLOOKUP($A629,TRIM(SUBSTITUTE('worker file'!$A$2:$A$406,_xlfn.UNICHAR(160)," ")),'worker file'!$N$2:$N$406,""),IF(N(_xlpm.t)=0,"",_xlpm.t))</f>
        <v/>
      </c>
    </row>
    <row r="630" customFormat="false" ht="15" hidden="false" customHeight="false" outlineLevel="0" collapsed="false">
      <c r="A630" s="39" t="s">
        <v>318</v>
      </c>
      <c r="B630" s="40" t="str">
        <f aca="false" t="array" ref="B630:B630">_xlfn.XLOOKUP($A630,TRIM(SUBSTITUTE('worker file'!$A$2:$A$406,_xlfn.UNICHAR(160)," ")),'worker file'!$L$2:$L$406,"Not found")</f>
        <v>US Biweekly</v>
      </c>
      <c r="C630" s="40" t="str">
        <f aca="false" t="array" ref="C630:C630">_xlfn.XLOOKUP($A630,TRIM(SUBSTITUTE('worker file'!$A$2:$A$406,_xlfn.UNICHAR(160)," ")),'worker file'!$D$2:$D$406,"Not found")</f>
        <v>CA</v>
      </c>
      <c r="D630" s="40" t="str">
        <f aca="false" t="array" ref="D630:D630">_xlfn.XLOOKUP($A630,TRIM(SUBSTITUTE('worker file'!$A$2:$A$406,_xlfn.UNICHAR(160)," ")),'worker file'!$Q$2:$Q$406,"Not found")</f>
        <v>Active</v>
      </c>
      <c r="E630" s="39" t="s">
        <v>632</v>
      </c>
      <c r="F630" s="38" t="str">
        <f aca="false">_xlfn.XLOOKUP($E630,$A$5:$A$8,$B$5:$B$8,"")</f>
        <v>Dental – Employee</v>
      </c>
      <c r="G630" s="38" t="str">
        <f aca="false">_xlfn.XLOOKUP($E630,$A$5:$A$8,$D$5:$D$8,"")</f>
        <v>Pre-tax Section 125 (exempt from FIT/SIT/FICA)</v>
      </c>
      <c r="H630" s="38" t="str">
        <f aca="false">_xlfn.XLOOKUP($E630,$A$5:$A$8,$E$5:$E$8,"")</f>
        <v>Flat</v>
      </c>
      <c r="I630" s="44" t="str">
        <f aca="false">IF($H630="Percent",_xlfn.XLOOKUP($E630,$A$5:$A$8,$F$5:$F$8,""),"")</f>
        <v/>
      </c>
      <c r="J630" s="42" t="n">
        <f aca="false">IF($H630="Flat",_xlfn.XLOOKUP($E630,$A$5:$A$8,$F$5:$F$8,""),"")</f>
        <v>44</v>
      </c>
      <c r="K630" s="38" t="str">
        <f aca="false">_xlfn.XLOOKUP($E630,$A$5:$A$8,$G$5:$G$8,"")</f>
        <v>Per pay period</v>
      </c>
      <c r="L630" s="38" t="str">
        <f aca="false">_xlfn.XLOOKUP($E630,$A$5:$A$8,$H$5:$H$8,"")</f>
        <v>Every pay period (ongoing)</v>
      </c>
      <c r="M630" s="43" t="n">
        <f aca="false" t="array" ref="M630:M630">MAX(_xlfn.XLOOKUP($A630,TRIM(SUBSTITUTE('worker file'!$A$2:$A$406,_xlfn.UNICHAR(160)," ")),'worker file'!$M$2:$M$406,0),_xlfn.XLOOKUP($B630,TRIM('pay group &amp; schedule'!$A$2:$A$6),'pay group &amp; schedule'!$D$2:$D$6,0))</f>
        <v>46299</v>
      </c>
      <c r="N630" s="43" t="str">
        <f aca="false" t="array" ref="N630:N630">_xlfn.LET(_xlpm.t,_xlfn.XLOOKUP($A630,TRIM(SUBSTITUTE('worker file'!$A$2:$A$406,_xlfn.UNICHAR(160)," ")),'worker file'!$N$2:$N$406,""),IF(N(_xlpm.t)=0,"",_xlpm.t))</f>
        <v/>
      </c>
    </row>
    <row r="631" customFormat="false" ht="15" hidden="false" customHeight="false" outlineLevel="0" collapsed="false">
      <c r="A631" s="39" t="s">
        <v>318</v>
      </c>
      <c r="B631" s="40" t="str">
        <f aca="false" t="array" ref="B631:B631">_xlfn.XLOOKUP($A631,TRIM(SUBSTITUTE('worker file'!$A$2:$A$406,_xlfn.UNICHAR(160)," ")),'worker file'!$L$2:$L$406,"Not found")</f>
        <v>US Biweekly</v>
      </c>
      <c r="C631" s="40" t="str">
        <f aca="false" t="array" ref="C631:C631">_xlfn.XLOOKUP($A631,TRIM(SUBSTITUTE('worker file'!$A$2:$A$406,_xlfn.UNICHAR(160)," ")),'worker file'!$D$2:$D$406,"Not found")</f>
        <v>CA</v>
      </c>
      <c r="D631" s="40" t="str">
        <f aca="false" t="array" ref="D631:D631">_xlfn.XLOOKUP($A631,TRIM(SUBSTITUTE('worker file'!$A$2:$A$406,_xlfn.UNICHAR(160)," ")),'worker file'!$Q$2:$Q$406,"Not found")</f>
        <v>Active</v>
      </c>
      <c r="E631" s="39" t="s">
        <v>634</v>
      </c>
      <c r="F631" s="38" t="str">
        <f aca="false">_xlfn.XLOOKUP($E631,$A$5:$A$8,$B$5:$B$8,"")</f>
        <v>Vision – Employee</v>
      </c>
      <c r="G631" s="38" t="str">
        <f aca="false">_xlfn.XLOOKUP($E631,$A$5:$A$8,$D$5:$D$8,"")</f>
        <v>Pre-tax Section 125 (exempt from FIT/SIT/FICA)</v>
      </c>
      <c r="H631" s="38" t="str">
        <f aca="false">_xlfn.XLOOKUP($E631,$A$5:$A$8,$E$5:$E$8,"")</f>
        <v>Flat</v>
      </c>
      <c r="I631" s="44" t="str">
        <f aca="false">IF($H631="Percent",_xlfn.XLOOKUP($E631,$A$5:$A$8,$F$5:$F$8,""),"")</f>
        <v/>
      </c>
      <c r="J631" s="42" t="n">
        <f aca="false">IF($H631="Flat",_xlfn.XLOOKUP($E631,$A$5:$A$8,$F$5:$F$8,""),"")</f>
        <v>30</v>
      </c>
      <c r="K631" s="38" t="str">
        <f aca="false">_xlfn.XLOOKUP($E631,$A$5:$A$8,$G$5:$G$8,"")</f>
        <v>Per pay period</v>
      </c>
      <c r="L631" s="38" t="str">
        <f aca="false">_xlfn.XLOOKUP($E631,$A$5:$A$8,$H$5:$H$8,"")</f>
        <v>Every pay period (ongoing)</v>
      </c>
      <c r="M631" s="43" t="n">
        <f aca="false" t="array" ref="M631:M631">MAX(_xlfn.XLOOKUP($A631,TRIM(SUBSTITUTE('worker file'!$A$2:$A$406,_xlfn.UNICHAR(160)," ")),'worker file'!$M$2:$M$406,0),_xlfn.XLOOKUP($B631,TRIM('pay group &amp; schedule'!$A$2:$A$6),'pay group &amp; schedule'!$D$2:$D$6,0))</f>
        <v>46299</v>
      </c>
      <c r="N631" s="43" t="str">
        <f aca="false" t="array" ref="N631:N631">_xlfn.LET(_xlpm.t,_xlfn.XLOOKUP($A631,TRIM(SUBSTITUTE('worker file'!$A$2:$A$406,_xlfn.UNICHAR(160)," ")),'worker file'!$N$2:$N$406,""),IF(N(_xlpm.t)=0,"",_xlpm.t))</f>
        <v/>
      </c>
    </row>
    <row r="632" customFormat="false" ht="15" hidden="false" customHeight="false" outlineLevel="0" collapsed="false">
      <c r="A632" s="39" t="s">
        <v>320</v>
      </c>
      <c r="B632" s="40" t="str">
        <f aca="false" t="array" ref="B632:B632">_xlfn.XLOOKUP($A632,TRIM(SUBSTITUTE('worker file'!$A$2:$A$406,_xlfn.UNICHAR(160)," ")),'worker file'!$L$2:$L$406,"Not found")</f>
        <v>US Semi-monthly</v>
      </c>
      <c r="C632" s="40" t="str">
        <f aca="false" t="array" ref="C632:C632">_xlfn.XLOOKUP($A632,TRIM(SUBSTITUTE('worker file'!$A$2:$A$406,_xlfn.UNICHAR(160)," ")),'worker file'!$D$2:$D$406,"Not found")</f>
        <v>TX</v>
      </c>
      <c r="D632" s="40" t="str">
        <f aca="false" t="array" ref="D632:D632">_xlfn.XLOOKUP($A632,TRIM(SUBSTITUTE('worker file'!$A$2:$A$406,_xlfn.UNICHAR(160)," ")),'worker file'!$Q$2:$Q$406,"Not found")</f>
        <v>Active</v>
      </c>
      <c r="E632" s="39" t="s">
        <v>618</v>
      </c>
      <c r="F632" s="38" t="str">
        <f aca="false">_xlfn.XLOOKUP($E632,$A$5:$A$8,$B$5:$B$8,"")</f>
        <v>401(k) Employee Deferral</v>
      </c>
      <c r="G632" s="38" t="str">
        <f aca="false">_xlfn.XLOOKUP($E632,$A$5:$A$8,$D$5:$D$8,"")</f>
        <v>Pre-tax (exempt from FIT/SIT; subject to FICA)</v>
      </c>
      <c r="H632" s="38" t="str">
        <f aca="false">_xlfn.XLOOKUP($E632,$A$5:$A$8,$E$5:$E$8,"")</f>
        <v>Percent</v>
      </c>
      <c r="I632" s="41" t="n">
        <v>0.06</v>
      </c>
      <c r="J632" s="42" t="str">
        <f aca="false">IF($H632="Flat",_xlfn.XLOOKUP($E632,$A$5:$A$8,$F$5:$F$8,""),"")</f>
        <v/>
      </c>
      <c r="K632" s="38" t="str">
        <f aca="false">_xlfn.XLOOKUP($E632,$A$5:$A$8,$G$5:$G$8,"")</f>
        <v>Gross pay</v>
      </c>
      <c r="L632" s="38" t="str">
        <f aca="false">_xlfn.XLOOKUP($E632,$A$5:$A$8,$H$5:$H$8,"")</f>
        <v>Every pay period (ongoing)</v>
      </c>
      <c r="M632" s="43" t="n">
        <f aca="false" t="array" ref="M632:M632">MAX(_xlfn.XLOOKUP($A632,TRIM(SUBSTITUTE('worker file'!$A$2:$A$406,_xlfn.UNICHAR(160)," ")),'worker file'!$M$2:$M$406,0),_xlfn.XLOOKUP($B632,TRIM('pay group &amp; schedule'!$A$2:$A$6),'pay group &amp; schedule'!$D$2:$D$6,0))</f>
        <v>46311</v>
      </c>
      <c r="N632" s="43" t="str">
        <f aca="false" t="array" ref="N632:N632">_xlfn.LET(_xlpm.t,_xlfn.XLOOKUP($A632,TRIM(SUBSTITUTE('worker file'!$A$2:$A$406,_xlfn.UNICHAR(160)," ")),'worker file'!$N$2:$N$406,""),IF(N(_xlpm.t)=0,"",_xlpm.t))</f>
        <v/>
      </c>
    </row>
    <row r="633" customFormat="false" ht="15" hidden="false" customHeight="false" outlineLevel="0" collapsed="false">
      <c r="A633" s="39" t="s">
        <v>320</v>
      </c>
      <c r="B633" s="40" t="str">
        <f aca="false" t="array" ref="B633:B633">_xlfn.XLOOKUP($A633,TRIM(SUBSTITUTE('worker file'!$A$2:$A$406,_xlfn.UNICHAR(160)," ")),'worker file'!$L$2:$L$406,"Not found")</f>
        <v>US Semi-monthly</v>
      </c>
      <c r="C633" s="40" t="str">
        <f aca="false" t="array" ref="C633:C633">_xlfn.XLOOKUP($A633,TRIM(SUBSTITUTE('worker file'!$A$2:$A$406,_xlfn.UNICHAR(160)," ")),'worker file'!$D$2:$D$406,"Not found")</f>
        <v>TX</v>
      </c>
      <c r="D633" s="40" t="str">
        <f aca="false" t="array" ref="D633:D633">_xlfn.XLOOKUP($A633,TRIM(SUBSTITUTE('worker file'!$A$2:$A$406,_xlfn.UNICHAR(160)," ")),'worker file'!$Q$2:$Q$406,"Not found")</f>
        <v>Active</v>
      </c>
      <c r="E633" s="39" t="s">
        <v>626</v>
      </c>
      <c r="F633" s="38" t="str">
        <f aca="false">_xlfn.XLOOKUP($E633,$A$5:$A$8,$B$5:$B$8,"")</f>
        <v>Medical (Health) – Employee</v>
      </c>
      <c r="G633" s="38" t="str">
        <f aca="false">_xlfn.XLOOKUP($E633,$A$5:$A$8,$D$5:$D$8,"")</f>
        <v>Pre-tax Section 125 (exempt from FIT/SIT/FICA)</v>
      </c>
      <c r="H633" s="38" t="str">
        <f aca="false">_xlfn.XLOOKUP($E633,$A$5:$A$8,$E$5:$E$8,"")</f>
        <v>Flat</v>
      </c>
      <c r="I633" s="44" t="str">
        <f aca="false">IF($H633="Percent",_xlfn.XLOOKUP($E633,$A$5:$A$8,$F$5:$F$8,""),"")</f>
        <v/>
      </c>
      <c r="J633" s="42" t="n">
        <f aca="false">IF($H633="Flat",_xlfn.XLOOKUP($E633,$A$5:$A$8,$F$5:$F$8,""),"")</f>
        <v>200</v>
      </c>
      <c r="K633" s="38" t="str">
        <f aca="false">_xlfn.XLOOKUP($E633,$A$5:$A$8,$G$5:$G$8,"")</f>
        <v>Per pay period</v>
      </c>
      <c r="L633" s="38" t="str">
        <f aca="false">_xlfn.XLOOKUP($E633,$A$5:$A$8,$H$5:$H$8,"")</f>
        <v>Every pay period (ongoing)</v>
      </c>
      <c r="M633" s="43" t="n">
        <f aca="false" t="array" ref="M633:M633">MAX(_xlfn.XLOOKUP($A633,TRIM(SUBSTITUTE('worker file'!$A$2:$A$406,_xlfn.UNICHAR(160)," ")),'worker file'!$M$2:$M$406,0),_xlfn.XLOOKUP($B633,TRIM('pay group &amp; schedule'!$A$2:$A$6),'pay group &amp; schedule'!$D$2:$D$6,0))</f>
        <v>46311</v>
      </c>
      <c r="N633" s="43" t="str">
        <f aca="false" t="array" ref="N633:N633">_xlfn.LET(_xlpm.t,_xlfn.XLOOKUP($A633,TRIM(SUBSTITUTE('worker file'!$A$2:$A$406,_xlfn.UNICHAR(160)," ")),'worker file'!$N$2:$N$406,""),IF(N(_xlpm.t)=0,"",_xlpm.t))</f>
        <v/>
      </c>
    </row>
    <row r="634" customFormat="false" ht="15" hidden="false" customHeight="false" outlineLevel="0" collapsed="false">
      <c r="A634" s="39" t="s">
        <v>320</v>
      </c>
      <c r="B634" s="40" t="str">
        <f aca="false" t="array" ref="B634:B634">_xlfn.XLOOKUP($A634,TRIM(SUBSTITUTE('worker file'!$A$2:$A$406,_xlfn.UNICHAR(160)," ")),'worker file'!$L$2:$L$406,"Not found")</f>
        <v>US Semi-monthly</v>
      </c>
      <c r="C634" s="40" t="str">
        <f aca="false" t="array" ref="C634:C634">_xlfn.XLOOKUP($A634,TRIM(SUBSTITUTE('worker file'!$A$2:$A$406,_xlfn.UNICHAR(160)," ")),'worker file'!$D$2:$D$406,"Not found")</f>
        <v>TX</v>
      </c>
      <c r="D634" s="40" t="str">
        <f aca="false" t="array" ref="D634:D634">_xlfn.XLOOKUP($A634,TRIM(SUBSTITUTE('worker file'!$A$2:$A$406,_xlfn.UNICHAR(160)," ")),'worker file'!$Q$2:$Q$406,"Not found")</f>
        <v>Active</v>
      </c>
      <c r="E634" s="39" t="s">
        <v>632</v>
      </c>
      <c r="F634" s="38" t="str">
        <f aca="false">_xlfn.XLOOKUP($E634,$A$5:$A$8,$B$5:$B$8,"")</f>
        <v>Dental – Employee</v>
      </c>
      <c r="G634" s="38" t="str">
        <f aca="false">_xlfn.XLOOKUP($E634,$A$5:$A$8,$D$5:$D$8,"")</f>
        <v>Pre-tax Section 125 (exempt from FIT/SIT/FICA)</v>
      </c>
      <c r="H634" s="38" t="str">
        <f aca="false">_xlfn.XLOOKUP($E634,$A$5:$A$8,$E$5:$E$8,"")</f>
        <v>Flat</v>
      </c>
      <c r="I634" s="44" t="str">
        <f aca="false">IF($H634="Percent",_xlfn.XLOOKUP($E634,$A$5:$A$8,$F$5:$F$8,""),"")</f>
        <v/>
      </c>
      <c r="J634" s="42" t="n">
        <f aca="false">IF($H634="Flat",_xlfn.XLOOKUP($E634,$A$5:$A$8,$F$5:$F$8,""),"")</f>
        <v>44</v>
      </c>
      <c r="K634" s="38" t="str">
        <f aca="false">_xlfn.XLOOKUP($E634,$A$5:$A$8,$G$5:$G$8,"")</f>
        <v>Per pay period</v>
      </c>
      <c r="L634" s="38" t="str">
        <f aca="false">_xlfn.XLOOKUP($E634,$A$5:$A$8,$H$5:$H$8,"")</f>
        <v>Every pay period (ongoing)</v>
      </c>
      <c r="M634" s="43" t="n">
        <f aca="false" t="array" ref="M634:M634">MAX(_xlfn.XLOOKUP($A634,TRIM(SUBSTITUTE('worker file'!$A$2:$A$406,_xlfn.UNICHAR(160)," ")),'worker file'!$M$2:$M$406,0),_xlfn.XLOOKUP($B634,TRIM('pay group &amp; schedule'!$A$2:$A$6),'pay group &amp; schedule'!$D$2:$D$6,0))</f>
        <v>46311</v>
      </c>
      <c r="N634" s="43" t="str">
        <f aca="false" t="array" ref="N634:N634">_xlfn.LET(_xlpm.t,_xlfn.XLOOKUP($A634,TRIM(SUBSTITUTE('worker file'!$A$2:$A$406,_xlfn.UNICHAR(160)," ")),'worker file'!$N$2:$N$406,""),IF(N(_xlpm.t)=0,"",_xlpm.t))</f>
        <v/>
      </c>
    </row>
    <row r="635" customFormat="false" ht="15" hidden="false" customHeight="false" outlineLevel="0" collapsed="false">
      <c r="A635" s="39" t="s">
        <v>320</v>
      </c>
      <c r="B635" s="40" t="str">
        <f aca="false" t="array" ref="B635:B635">_xlfn.XLOOKUP($A635,TRIM(SUBSTITUTE('worker file'!$A$2:$A$406,_xlfn.UNICHAR(160)," ")),'worker file'!$L$2:$L$406,"Not found")</f>
        <v>US Semi-monthly</v>
      </c>
      <c r="C635" s="40" t="str">
        <f aca="false" t="array" ref="C635:C635">_xlfn.XLOOKUP($A635,TRIM(SUBSTITUTE('worker file'!$A$2:$A$406,_xlfn.UNICHAR(160)," ")),'worker file'!$D$2:$D$406,"Not found")</f>
        <v>TX</v>
      </c>
      <c r="D635" s="40" t="str">
        <f aca="false" t="array" ref="D635:D635">_xlfn.XLOOKUP($A635,TRIM(SUBSTITUTE('worker file'!$A$2:$A$406,_xlfn.UNICHAR(160)," ")),'worker file'!$Q$2:$Q$406,"Not found")</f>
        <v>Active</v>
      </c>
      <c r="E635" s="39" t="s">
        <v>634</v>
      </c>
      <c r="F635" s="38" t="str">
        <f aca="false">_xlfn.XLOOKUP($E635,$A$5:$A$8,$B$5:$B$8,"")</f>
        <v>Vision – Employee</v>
      </c>
      <c r="G635" s="38" t="str">
        <f aca="false">_xlfn.XLOOKUP($E635,$A$5:$A$8,$D$5:$D$8,"")</f>
        <v>Pre-tax Section 125 (exempt from FIT/SIT/FICA)</v>
      </c>
      <c r="H635" s="38" t="str">
        <f aca="false">_xlfn.XLOOKUP($E635,$A$5:$A$8,$E$5:$E$8,"")</f>
        <v>Flat</v>
      </c>
      <c r="I635" s="44" t="str">
        <f aca="false">IF($H635="Percent",_xlfn.XLOOKUP($E635,$A$5:$A$8,$F$5:$F$8,""),"")</f>
        <v/>
      </c>
      <c r="J635" s="42" t="n">
        <f aca="false">IF($H635="Flat",_xlfn.XLOOKUP($E635,$A$5:$A$8,$F$5:$F$8,""),"")</f>
        <v>30</v>
      </c>
      <c r="K635" s="38" t="str">
        <f aca="false">_xlfn.XLOOKUP($E635,$A$5:$A$8,$G$5:$G$8,"")</f>
        <v>Per pay period</v>
      </c>
      <c r="L635" s="38" t="str">
        <f aca="false">_xlfn.XLOOKUP($E635,$A$5:$A$8,$H$5:$H$8,"")</f>
        <v>Every pay period (ongoing)</v>
      </c>
      <c r="M635" s="43" t="n">
        <f aca="false" t="array" ref="M635:M635">MAX(_xlfn.XLOOKUP($A635,TRIM(SUBSTITUTE('worker file'!$A$2:$A$406,_xlfn.UNICHAR(160)," ")),'worker file'!$M$2:$M$406,0),_xlfn.XLOOKUP($B635,TRIM('pay group &amp; schedule'!$A$2:$A$6),'pay group &amp; schedule'!$D$2:$D$6,0))</f>
        <v>46311</v>
      </c>
      <c r="N635" s="43" t="str">
        <f aca="false" t="array" ref="N635:N635">_xlfn.LET(_xlpm.t,_xlfn.XLOOKUP($A635,TRIM(SUBSTITUTE('worker file'!$A$2:$A$406,_xlfn.UNICHAR(160)," ")),'worker file'!$N$2:$N$406,""),IF(N(_xlpm.t)=0,"",_xlpm.t))</f>
        <v/>
      </c>
    </row>
    <row r="636" customFormat="false" ht="15" hidden="false" customHeight="false" outlineLevel="0" collapsed="false">
      <c r="A636" s="39" t="s">
        <v>321</v>
      </c>
      <c r="B636" s="40" t="str">
        <f aca="false" t="array" ref="B636:B636">_xlfn.XLOOKUP($A636,TRIM(SUBSTITUTE('worker file'!$A$2:$A$406,_xlfn.UNICHAR(160)," ")),'worker file'!$L$2:$L$406,"Not found")</f>
        <v>US Semi-monthly</v>
      </c>
      <c r="C636" s="40" t="str">
        <f aca="false" t="array" ref="C636:C636">_xlfn.XLOOKUP($A636,TRIM(SUBSTITUTE('worker file'!$A$2:$A$406,_xlfn.UNICHAR(160)," ")),'worker file'!$D$2:$D$406,"Not found")</f>
        <v>CA</v>
      </c>
      <c r="D636" s="40" t="str">
        <f aca="false" t="array" ref="D636:D636">_xlfn.XLOOKUP($A636,TRIM(SUBSTITUTE('worker file'!$A$2:$A$406,_xlfn.UNICHAR(160)," ")),'worker file'!$Q$2:$Q$406,"Not found")</f>
        <v>Active</v>
      </c>
      <c r="E636" s="39" t="s">
        <v>618</v>
      </c>
      <c r="F636" s="38" t="str">
        <f aca="false">_xlfn.XLOOKUP($E636,$A$5:$A$8,$B$5:$B$8,"")</f>
        <v>401(k) Employee Deferral</v>
      </c>
      <c r="G636" s="38" t="str">
        <f aca="false">_xlfn.XLOOKUP($E636,$A$5:$A$8,$D$5:$D$8,"")</f>
        <v>Pre-tax (exempt from FIT/SIT; subject to FICA)</v>
      </c>
      <c r="H636" s="38" t="str">
        <f aca="false">_xlfn.XLOOKUP($E636,$A$5:$A$8,$E$5:$E$8,"")</f>
        <v>Percent</v>
      </c>
      <c r="I636" s="41" t="n">
        <v>0.03</v>
      </c>
      <c r="J636" s="42" t="str">
        <f aca="false">IF($H636="Flat",_xlfn.XLOOKUP($E636,$A$5:$A$8,$F$5:$F$8,""),"")</f>
        <v/>
      </c>
      <c r="K636" s="38" t="str">
        <f aca="false">_xlfn.XLOOKUP($E636,$A$5:$A$8,$G$5:$G$8,"")</f>
        <v>Gross pay</v>
      </c>
      <c r="L636" s="38" t="str">
        <f aca="false">_xlfn.XLOOKUP($E636,$A$5:$A$8,$H$5:$H$8,"")</f>
        <v>Every pay period (ongoing)</v>
      </c>
      <c r="M636" s="43" t="n">
        <f aca="false" t="array" ref="M636:M636">MAX(_xlfn.XLOOKUP($A636,TRIM(SUBSTITUTE('worker file'!$A$2:$A$406,_xlfn.UNICHAR(160)," ")),'worker file'!$M$2:$M$406,0),_xlfn.XLOOKUP($B636,TRIM('pay group &amp; schedule'!$A$2:$A$6),'pay group &amp; schedule'!$D$2:$D$6,0))</f>
        <v>46311</v>
      </c>
      <c r="N636" s="43" t="str">
        <f aca="false" t="array" ref="N636:N636">_xlfn.LET(_xlpm.t,_xlfn.XLOOKUP($A636,TRIM(SUBSTITUTE('worker file'!$A$2:$A$406,_xlfn.UNICHAR(160)," ")),'worker file'!$N$2:$N$406,""),IF(N(_xlpm.t)=0,"",_xlpm.t))</f>
        <v/>
      </c>
    </row>
    <row r="637" customFormat="false" ht="15" hidden="false" customHeight="false" outlineLevel="0" collapsed="false">
      <c r="A637" s="39" t="s">
        <v>321</v>
      </c>
      <c r="B637" s="40" t="str">
        <f aca="false" t="array" ref="B637:B637">_xlfn.XLOOKUP($A637,TRIM(SUBSTITUTE('worker file'!$A$2:$A$406,_xlfn.UNICHAR(160)," ")),'worker file'!$L$2:$L$406,"Not found")</f>
        <v>US Semi-monthly</v>
      </c>
      <c r="C637" s="40" t="str">
        <f aca="false" t="array" ref="C637:C637">_xlfn.XLOOKUP($A637,TRIM(SUBSTITUTE('worker file'!$A$2:$A$406,_xlfn.UNICHAR(160)," ")),'worker file'!$D$2:$D$406,"Not found")</f>
        <v>CA</v>
      </c>
      <c r="D637" s="40" t="str">
        <f aca="false" t="array" ref="D637:D637">_xlfn.XLOOKUP($A637,TRIM(SUBSTITUTE('worker file'!$A$2:$A$406,_xlfn.UNICHAR(160)," ")),'worker file'!$Q$2:$Q$406,"Not found")</f>
        <v>Active</v>
      </c>
      <c r="E637" s="39" t="s">
        <v>626</v>
      </c>
      <c r="F637" s="38" t="str">
        <f aca="false">_xlfn.XLOOKUP($E637,$A$5:$A$8,$B$5:$B$8,"")</f>
        <v>Medical (Health) – Employee</v>
      </c>
      <c r="G637" s="38" t="str">
        <f aca="false">_xlfn.XLOOKUP($E637,$A$5:$A$8,$D$5:$D$8,"")</f>
        <v>Pre-tax Section 125 (exempt from FIT/SIT/FICA)</v>
      </c>
      <c r="H637" s="38" t="str">
        <f aca="false">_xlfn.XLOOKUP($E637,$A$5:$A$8,$E$5:$E$8,"")</f>
        <v>Flat</v>
      </c>
      <c r="I637" s="44" t="str">
        <f aca="false">IF($H637="Percent",_xlfn.XLOOKUP($E637,$A$5:$A$8,$F$5:$F$8,""),"")</f>
        <v/>
      </c>
      <c r="J637" s="42" t="n">
        <f aca="false">IF($H637="Flat",_xlfn.XLOOKUP($E637,$A$5:$A$8,$F$5:$F$8,""),"")</f>
        <v>200</v>
      </c>
      <c r="K637" s="38" t="str">
        <f aca="false">_xlfn.XLOOKUP($E637,$A$5:$A$8,$G$5:$G$8,"")</f>
        <v>Per pay period</v>
      </c>
      <c r="L637" s="38" t="str">
        <f aca="false">_xlfn.XLOOKUP($E637,$A$5:$A$8,$H$5:$H$8,"")</f>
        <v>Every pay period (ongoing)</v>
      </c>
      <c r="M637" s="43" t="n">
        <f aca="false" t="array" ref="M637:M637">MAX(_xlfn.XLOOKUP($A637,TRIM(SUBSTITUTE('worker file'!$A$2:$A$406,_xlfn.UNICHAR(160)," ")),'worker file'!$M$2:$M$406,0),_xlfn.XLOOKUP($B637,TRIM('pay group &amp; schedule'!$A$2:$A$6),'pay group &amp; schedule'!$D$2:$D$6,0))</f>
        <v>46311</v>
      </c>
      <c r="N637" s="43" t="str">
        <f aca="false" t="array" ref="N637:N637">_xlfn.LET(_xlpm.t,_xlfn.XLOOKUP($A637,TRIM(SUBSTITUTE('worker file'!$A$2:$A$406,_xlfn.UNICHAR(160)," ")),'worker file'!$N$2:$N$406,""),IF(N(_xlpm.t)=0,"",_xlpm.t))</f>
        <v/>
      </c>
    </row>
    <row r="638" customFormat="false" ht="15" hidden="false" customHeight="false" outlineLevel="0" collapsed="false">
      <c r="A638" s="39" t="s">
        <v>321</v>
      </c>
      <c r="B638" s="40" t="str">
        <f aca="false" t="array" ref="B638:B638">_xlfn.XLOOKUP($A638,TRIM(SUBSTITUTE('worker file'!$A$2:$A$406,_xlfn.UNICHAR(160)," ")),'worker file'!$L$2:$L$406,"Not found")</f>
        <v>US Semi-monthly</v>
      </c>
      <c r="C638" s="40" t="str">
        <f aca="false" t="array" ref="C638:C638">_xlfn.XLOOKUP($A638,TRIM(SUBSTITUTE('worker file'!$A$2:$A$406,_xlfn.UNICHAR(160)," ")),'worker file'!$D$2:$D$406,"Not found")</f>
        <v>CA</v>
      </c>
      <c r="D638" s="40" t="str">
        <f aca="false" t="array" ref="D638:D638">_xlfn.XLOOKUP($A638,TRIM(SUBSTITUTE('worker file'!$A$2:$A$406,_xlfn.UNICHAR(160)," ")),'worker file'!$Q$2:$Q$406,"Not found")</f>
        <v>Active</v>
      </c>
      <c r="E638" s="39" t="s">
        <v>632</v>
      </c>
      <c r="F638" s="38" t="str">
        <f aca="false">_xlfn.XLOOKUP($E638,$A$5:$A$8,$B$5:$B$8,"")</f>
        <v>Dental – Employee</v>
      </c>
      <c r="G638" s="38" t="str">
        <f aca="false">_xlfn.XLOOKUP($E638,$A$5:$A$8,$D$5:$D$8,"")</f>
        <v>Pre-tax Section 125 (exempt from FIT/SIT/FICA)</v>
      </c>
      <c r="H638" s="38" t="str">
        <f aca="false">_xlfn.XLOOKUP($E638,$A$5:$A$8,$E$5:$E$8,"")</f>
        <v>Flat</v>
      </c>
      <c r="I638" s="44" t="str">
        <f aca="false">IF($H638="Percent",_xlfn.XLOOKUP($E638,$A$5:$A$8,$F$5:$F$8,""),"")</f>
        <v/>
      </c>
      <c r="J638" s="42" t="n">
        <f aca="false">IF($H638="Flat",_xlfn.XLOOKUP($E638,$A$5:$A$8,$F$5:$F$8,""),"")</f>
        <v>44</v>
      </c>
      <c r="K638" s="38" t="str">
        <f aca="false">_xlfn.XLOOKUP($E638,$A$5:$A$8,$G$5:$G$8,"")</f>
        <v>Per pay period</v>
      </c>
      <c r="L638" s="38" t="str">
        <f aca="false">_xlfn.XLOOKUP($E638,$A$5:$A$8,$H$5:$H$8,"")</f>
        <v>Every pay period (ongoing)</v>
      </c>
      <c r="M638" s="43" t="n">
        <f aca="false" t="array" ref="M638:M638">MAX(_xlfn.XLOOKUP($A638,TRIM(SUBSTITUTE('worker file'!$A$2:$A$406,_xlfn.UNICHAR(160)," ")),'worker file'!$M$2:$M$406,0),_xlfn.XLOOKUP($B638,TRIM('pay group &amp; schedule'!$A$2:$A$6),'pay group &amp; schedule'!$D$2:$D$6,0))</f>
        <v>46311</v>
      </c>
      <c r="N638" s="43" t="str">
        <f aca="false" t="array" ref="N638:N638">_xlfn.LET(_xlpm.t,_xlfn.XLOOKUP($A638,TRIM(SUBSTITUTE('worker file'!$A$2:$A$406,_xlfn.UNICHAR(160)," ")),'worker file'!$N$2:$N$406,""),IF(N(_xlpm.t)=0,"",_xlpm.t))</f>
        <v/>
      </c>
    </row>
    <row r="639" customFormat="false" ht="15" hidden="false" customHeight="false" outlineLevel="0" collapsed="false">
      <c r="A639" s="39" t="s">
        <v>321</v>
      </c>
      <c r="B639" s="40" t="str">
        <f aca="false" t="array" ref="B639:B639">_xlfn.XLOOKUP($A639,TRIM(SUBSTITUTE('worker file'!$A$2:$A$406,_xlfn.UNICHAR(160)," ")),'worker file'!$L$2:$L$406,"Not found")</f>
        <v>US Semi-monthly</v>
      </c>
      <c r="C639" s="40" t="str">
        <f aca="false" t="array" ref="C639:C639">_xlfn.XLOOKUP($A639,TRIM(SUBSTITUTE('worker file'!$A$2:$A$406,_xlfn.UNICHAR(160)," ")),'worker file'!$D$2:$D$406,"Not found")</f>
        <v>CA</v>
      </c>
      <c r="D639" s="40" t="str">
        <f aca="false" t="array" ref="D639:D639">_xlfn.XLOOKUP($A639,TRIM(SUBSTITUTE('worker file'!$A$2:$A$406,_xlfn.UNICHAR(160)," ")),'worker file'!$Q$2:$Q$406,"Not found")</f>
        <v>Active</v>
      </c>
      <c r="E639" s="39" t="s">
        <v>634</v>
      </c>
      <c r="F639" s="38" t="str">
        <f aca="false">_xlfn.XLOOKUP($E639,$A$5:$A$8,$B$5:$B$8,"")</f>
        <v>Vision – Employee</v>
      </c>
      <c r="G639" s="38" t="str">
        <f aca="false">_xlfn.XLOOKUP($E639,$A$5:$A$8,$D$5:$D$8,"")</f>
        <v>Pre-tax Section 125 (exempt from FIT/SIT/FICA)</v>
      </c>
      <c r="H639" s="38" t="str">
        <f aca="false">_xlfn.XLOOKUP($E639,$A$5:$A$8,$E$5:$E$8,"")</f>
        <v>Flat</v>
      </c>
      <c r="I639" s="44" t="str">
        <f aca="false">IF($H639="Percent",_xlfn.XLOOKUP($E639,$A$5:$A$8,$F$5:$F$8,""),"")</f>
        <v/>
      </c>
      <c r="J639" s="42" t="n">
        <f aca="false">IF($H639="Flat",_xlfn.XLOOKUP($E639,$A$5:$A$8,$F$5:$F$8,""),"")</f>
        <v>30</v>
      </c>
      <c r="K639" s="38" t="str">
        <f aca="false">_xlfn.XLOOKUP($E639,$A$5:$A$8,$G$5:$G$8,"")</f>
        <v>Per pay period</v>
      </c>
      <c r="L639" s="38" t="str">
        <f aca="false">_xlfn.XLOOKUP($E639,$A$5:$A$8,$H$5:$H$8,"")</f>
        <v>Every pay period (ongoing)</v>
      </c>
      <c r="M639" s="43" t="n">
        <f aca="false" t="array" ref="M639:M639">MAX(_xlfn.XLOOKUP($A639,TRIM(SUBSTITUTE('worker file'!$A$2:$A$406,_xlfn.UNICHAR(160)," ")),'worker file'!$M$2:$M$406,0),_xlfn.XLOOKUP($B639,TRIM('pay group &amp; schedule'!$A$2:$A$6),'pay group &amp; schedule'!$D$2:$D$6,0))</f>
        <v>46311</v>
      </c>
      <c r="N639" s="43" t="str">
        <f aca="false" t="array" ref="N639:N639">_xlfn.LET(_xlpm.t,_xlfn.XLOOKUP($A639,TRIM(SUBSTITUTE('worker file'!$A$2:$A$406,_xlfn.UNICHAR(160)," ")),'worker file'!$N$2:$N$406,""),IF(N(_xlpm.t)=0,"",_xlpm.t))</f>
        <v/>
      </c>
    </row>
    <row r="640" customFormat="false" ht="15" hidden="false" customHeight="false" outlineLevel="0" collapsed="false">
      <c r="A640" s="39" t="s">
        <v>322</v>
      </c>
      <c r="B640" s="40" t="str">
        <f aca="false" t="array" ref="B640:B640">_xlfn.XLOOKUP($A640,TRIM(SUBSTITUTE('worker file'!$A$2:$A$406,_xlfn.UNICHAR(160)," ")),'worker file'!$L$2:$L$406,"Not found")</f>
        <v>US Semi-monthly</v>
      </c>
      <c r="C640" s="40" t="str">
        <f aca="false" t="array" ref="C640:C640">_xlfn.XLOOKUP($A640,TRIM(SUBSTITUTE('worker file'!$A$2:$A$406,_xlfn.UNICHAR(160)," ")),'worker file'!$D$2:$D$406,"Not found")</f>
        <v>CA</v>
      </c>
      <c r="D640" s="40" t="str">
        <f aca="false" t="array" ref="D640:D640">_xlfn.XLOOKUP($A640,TRIM(SUBSTITUTE('worker file'!$A$2:$A$406,_xlfn.UNICHAR(160)," ")),'worker file'!$Q$2:$Q$406,"Not found")</f>
        <v>Active</v>
      </c>
      <c r="E640" s="39" t="s">
        <v>626</v>
      </c>
      <c r="F640" s="38" t="str">
        <f aca="false">_xlfn.XLOOKUP($E640,$A$5:$A$8,$B$5:$B$8,"")</f>
        <v>Medical (Health) – Employee</v>
      </c>
      <c r="G640" s="38" t="str">
        <f aca="false">_xlfn.XLOOKUP($E640,$A$5:$A$8,$D$5:$D$8,"")</f>
        <v>Pre-tax Section 125 (exempt from FIT/SIT/FICA)</v>
      </c>
      <c r="H640" s="38" t="str">
        <f aca="false">_xlfn.XLOOKUP($E640,$A$5:$A$8,$E$5:$E$8,"")</f>
        <v>Flat</v>
      </c>
      <c r="I640" s="44" t="str">
        <f aca="false">IF($H640="Percent",_xlfn.XLOOKUP($E640,$A$5:$A$8,$F$5:$F$8,""),"")</f>
        <v/>
      </c>
      <c r="J640" s="42" t="n">
        <f aca="false">IF($H640="Flat",_xlfn.XLOOKUP($E640,$A$5:$A$8,$F$5:$F$8,""),"")</f>
        <v>200</v>
      </c>
      <c r="K640" s="38" t="str">
        <f aca="false">_xlfn.XLOOKUP($E640,$A$5:$A$8,$G$5:$G$8,"")</f>
        <v>Per pay period</v>
      </c>
      <c r="L640" s="38" t="str">
        <f aca="false">_xlfn.XLOOKUP($E640,$A$5:$A$8,$H$5:$H$8,"")</f>
        <v>Every pay period (ongoing)</v>
      </c>
      <c r="M640" s="43" t="n">
        <f aca="false" t="array" ref="M640:M640">MAX(_xlfn.XLOOKUP($A640,TRIM(SUBSTITUTE('worker file'!$A$2:$A$406,_xlfn.UNICHAR(160)," ")),'worker file'!$M$2:$M$406,0),_xlfn.XLOOKUP($B640,TRIM('pay group &amp; schedule'!$A$2:$A$6),'pay group &amp; schedule'!$D$2:$D$6,0))</f>
        <v>46311</v>
      </c>
      <c r="N640" s="43" t="str">
        <f aca="false" t="array" ref="N640:N640">_xlfn.LET(_xlpm.t,_xlfn.XLOOKUP($A640,TRIM(SUBSTITUTE('worker file'!$A$2:$A$406,_xlfn.UNICHAR(160)," ")),'worker file'!$N$2:$N$406,""),IF(N(_xlpm.t)=0,"",_xlpm.t))</f>
        <v/>
      </c>
    </row>
    <row r="641" customFormat="false" ht="15" hidden="false" customHeight="false" outlineLevel="0" collapsed="false">
      <c r="A641" s="39" t="s">
        <v>322</v>
      </c>
      <c r="B641" s="40" t="str">
        <f aca="false" t="array" ref="B641:B641">_xlfn.XLOOKUP($A641,TRIM(SUBSTITUTE('worker file'!$A$2:$A$406,_xlfn.UNICHAR(160)," ")),'worker file'!$L$2:$L$406,"Not found")</f>
        <v>US Semi-monthly</v>
      </c>
      <c r="C641" s="40" t="str">
        <f aca="false" t="array" ref="C641:C641">_xlfn.XLOOKUP($A641,TRIM(SUBSTITUTE('worker file'!$A$2:$A$406,_xlfn.UNICHAR(160)," ")),'worker file'!$D$2:$D$406,"Not found")</f>
        <v>CA</v>
      </c>
      <c r="D641" s="40" t="str">
        <f aca="false" t="array" ref="D641:D641">_xlfn.XLOOKUP($A641,TRIM(SUBSTITUTE('worker file'!$A$2:$A$406,_xlfn.UNICHAR(160)," ")),'worker file'!$Q$2:$Q$406,"Not found")</f>
        <v>Active</v>
      </c>
      <c r="E641" s="39" t="s">
        <v>632</v>
      </c>
      <c r="F641" s="38" t="str">
        <f aca="false">_xlfn.XLOOKUP($E641,$A$5:$A$8,$B$5:$B$8,"")</f>
        <v>Dental – Employee</v>
      </c>
      <c r="G641" s="38" t="str">
        <f aca="false">_xlfn.XLOOKUP($E641,$A$5:$A$8,$D$5:$D$8,"")</f>
        <v>Pre-tax Section 125 (exempt from FIT/SIT/FICA)</v>
      </c>
      <c r="H641" s="38" t="str">
        <f aca="false">_xlfn.XLOOKUP($E641,$A$5:$A$8,$E$5:$E$8,"")</f>
        <v>Flat</v>
      </c>
      <c r="I641" s="44" t="str">
        <f aca="false">IF($H641="Percent",_xlfn.XLOOKUP($E641,$A$5:$A$8,$F$5:$F$8,""),"")</f>
        <v/>
      </c>
      <c r="J641" s="42" t="n">
        <f aca="false">IF($H641="Flat",_xlfn.XLOOKUP($E641,$A$5:$A$8,$F$5:$F$8,""),"")</f>
        <v>44</v>
      </c>
      <c r="K641" s="38" t="str">
        <f aca="false">_xlfn.XLOOKUP($E641,$A$5:$A$8,$G$5:$G$8,"")</f>
        <v>Per pay period</v>
      </c>
      <c r="L641" s="38" t="str">
        <f aca="false">_xlfn.XLOOKUP($E641,$A$5:$A$8,$H$5:$H$8,"")</f>
        <v>Every pay period (ongoing)</v>
      </c>
      <c r="M641" s="43" t="n">
        <f aca="false" t="array" ref="M641:M641">MAX(_xlfn.XLOOKUP($A641,TRIM(SUBSTITUTE('worker file'!$A$2:$A$406,_xlfn.UNICHAR(160)," ")),'worker file'!$M$2:$M$406,0),_xlfn.XLOOKUP($B641,TRIM('pay group &amp; schedule'!$A$2:$A$6),'pay group &amp; schedule'!$D$2:$D$6,0))</f>
        <v>46311</v>
      </c>
      <c r="N641" s="43" t="str">
        <f aca="false" t="array" ref="N641:N641">_xlfn.LET(_xlpm.t,_xlfn.XLOOKUP($A641,TRIM(SUBSTITUTE('worker file'!$A$2:$A$406,_xlfn.UNICHAR(160)," ")),'worker file'!$N$2:$N$406,""),IF(N(_xlpm.t)=0,"",_xlpm.t))</f>
        <v/>
      </c>
    </row>
    <row r="642" customFormat="false" ht="15" hidden="false" customHeight="false" outlineLevel="0" collapsed="false">
      <c r="A642" s="39" t="s">
        <v>322</v>
      </c>
      <c r="B642" s="40" t="str">
        <f aca="false" t="array" ref="B642:B642">_xlfn.XLOOKUP($A642,TRIM(SUBSTITUTE('worker file'!$A$2:$A$406,_xlfn.UNICHAR(160)," ")),'worker file'!$L$2:$L$406,"Not found")</f>
        <v>US Semi-monthly</v>
      </c>
      <c r="C642" s="40" t="str">
        <f aca="false" t="array" ref="C642:C642">_xlfn.XLOOKUP($A642,TRIM(SUBSTITUTE('worker file'!$A$2:$A$406,_xlfn.UNICHAR(160)," ")),'worker file'!$D$2:$D$406,"Not found")</f>
        <v>CA</v>
      </c>
      <c r="D642" s="40" t="str">
        <f aca="false" t="array" ref="D642:D642">_xlfn.XLOOKUP($A642,TRIM(SUBSTITUTE('worker file'!$A$2:$A$406,_xlfn.UNICHAR(160)," ")),'worker file'!$Q$2:$Q$406,"Not found")</f>
        <v>Active</v>
      </c>
      <c r="E642" s="39" t="s">
        <v>634</v>
      </c>
      <c r="F642" s="38" t="str">
        <f aca="false">_xlfn.XLOOKUP($E642,$A$5:$A$8,$B$5:$B$8,"")</f>
        <v>Vision – Employee</v>
      </c>
      <c r="G642" s="38" t="str">
        <f aca="false">_xlfn.XLOOKUP($E642,$A$5:$A$8,$D$5:$D$8,"")</f>
        <v>Pre-tax Section 125 (exempt from FIT/SIT/FICA)</v>
      </c>
      <c r="H642" s="38" t="str">
        <f aca="false">_xlfn.XLOOKUP($E642,$A$5:$A$8,$E$5:$E$8,"")</f>
        <v>Flat</v>
      </c>
      <c r="I642" s="44" t="str">
        <f aca="false">IF($H642="Percent",_xlfn.XLOOKUP($E642,$A$5:$A$8,$F$5:$F$8,""),"")</f>
        <v/>
      </c>
      <c r="J642" s="42" t="n">
        <f aca="false">IF($H642="Flat",_xlfn.XLOOKUP($E642,$A$5:$A$8,$F$5:$F$8,""),"")</f>
        <v>30</v>
      </c>
      <c r="K642" s="38" t="str">
        <f aca="false">_xlfn.XLOOKUP($E642,$A$5:$A$8,$G$5:$G$8,"")</f>
        <v>Per pay period</v>
      </c>
      <c r="L642" s="38" t="str">
        <f aca="false">_xlfn.XLOOKUP($E642,$A$5:$A$8,$H$5:$H$8,"")</f>
        <v>Every pay period (ongoing)</v>
      </c>
      <c r="M642" s="43" t="n">
        <f aca="false" t="array" ref="M642:M642">MAX(_xlfn.XLOOKUP($A642,TRIM(SUBSTITUTE('worker file'!$A$2:$A$406,_xlfn.UNICHAR(160)," ")),'worker file'!$M$2:$M$406,0),_xlfn.XLOOKUP($B642,TRIM('pay group &amp; schedule'!$A$2:$A$6),'pay group &amp; schedule'!$D$2:$D$6,0))</f>
        <v>46311</v>
      </c>
      <c r="N642" s="43" t="str">
        <f aca="false" t="array" ref="N642:N642">_xlfn.LET(_xlpm.t,_xlfn.XLOOKUP($A642,TRIM(SUBSTITUTE('worker file'!$A$2:$A$406,_xlfn.UNICHAR(160)," ")),'worker file'!$N$2:$N$406,""),IF(N(_xlpm.t)=0,"",_xlpm.t))</f>
        <v/>
      </c>
    </row>
    <row r="643" customFormat="false" ht="15" hidden="false" customHeight="false" outlineLevel="0" collapsed="false">
      <c r="A643" s="39" t="s">
        <v>323</v>
      </c>
      <c r="B643" s="40" t="str">
        <f aca="false" t="array" ref="B643:B643">_xlfn.XLOOKUP($A643,TRIM(SUBSTITUTE('worker file'!$A$2:$A$406,_xlfn.UNICHAR(160)," ")),'worker file'!$L$2:$L$406,"Not found")</f>
        <v>US Semi-monthly</v>
      </c>
      <c r="C643" s="40" t="str">
        <f aca="false" t="array" ref="C643:C643">_xlfn.XLOOKUP($A643,TRIM(SUBSTITUTE('worker file'!$A$2:$A$406,_xlfn.UNICHAR(160)," ")),'worker file'!$D$2:$D$406,"Not found")</f>
        <v>CA</v>
      </c>
      <c r="D643" s="40" t="str">
        <f aca="false" t="array" ref="D643:D643">_xlfn.XLOOKUP($A643,TRIM(SUBSTITUTE('worker file'!$A$2:$A$406,_xlfn.UNICHAR(160)," ")),'worker file'!$Q$2:$Q$406,"Not found")</f>
        <v>Active</v>
      </c>
      <c r="E643" s="39" t="s">
        <v>618</v>
      </c>
      <c r="F643" s="38" t="str">
        <f aca="false">_xlfn.XLOOKUP($E643,$A$5:$A$8,$B$5:$B$8,"")</f>
        <v>401(k) Employee Deferral</v>
      </c>
      <c r="G643" s="38" t="str">
        <f aca="false">_xlfn.XLOOKUP($E643,$A$5:$A$8,$D$5:$D$8,"")</f>
        <v>Pre-tax (exempt from FIT/SIT; subject to FICA)</v>
      </c>
      <c r="H643" s="38" t="str">
        <f aca="false">_xlfn.XLOOKUP($E643,$A$5:$A$8,$E$5:$E$8,"")</f>
        <v>Percent</v>
      </c>
      <c r="I643" s="41" t="n">
        <v>0.05</v>
      </c>
      <c r="J643" s="42" t="str">
        <f aca="false">IF($H643="Flat",_xlfn.XLOOKUP($E643,$A$5:$A$8,$F$5:$F$8,""),"")</f>
        <v/>
      </c>
      <c r="K643" s="38" t="str">
        <f aca="false">_xlfn.XLOOKUP($E643,$A$5:$A$8,$G$5:$G$8,"")</f>
        <v>Gross pay</v>
      </c>
      <c r="L643" s="38" t="str">
        <f aca="false">_xlfn.XLOOKUP($E643,$A$5:$A$8,$H$5:$H$8,"")</f>
        <v>Every pay period (ongoing)</v>
      </c>
      <c r="M643" s="43" t="n">
        <f aca="false" t="array" ref="M643:M643">MAX(_xlfn.XLOOKUP($A643,TRIM(SUBSTITUTE('worker file'!$A$2:$A$406,_xlfn.UNICHAR(160)," ")),'worker file'!$M$2:$M$406,0),_xlfn.XLOOKUP($B643,TRIM('pay group &amp; schedule'!$A$2:$A$6),'pay group &amp; schedule'!$D$2:$D$6,0))</f>
        <v>46311</v>
      </c>
      <c r="N643" s="43" t="str">
        <f aca="false" t="array" ref="N643:N643">_xlfn.LET(_xlpm.t,_xlfn.XLOOKUP($A643,TRIM(SUBSTITUTE('worker file'!$A$2:$A$406,_xlfn.UNICHAR(160)," ")),'worker file'!$N$2:$N$406,""),IF(N(_xlpm.t)=0,"",_xlpm.t))</f>
        <v/>
      </c>
    </row>
    <row r="644" customFormat="false" ht="15" hidden="false" customHeight="false" outlineLevel="0" collapsed="false">
      <c r="A644" s="39" t="s">
        <v>323</v>
      </c>
      <c r="B644" s="40" t="str">
        <f aca="false" t="array" ref="B644:B644">_xlfn.XLOOKUP($A644,TRIM(SUBSTITUTE('worker file'!$A$2:$A$406,_xlfn.UNICHAR(160)," ")),'worker file'!$L$2:$L$406,"Not found")</f>
        <v>US Semi-monthly</v>
      </c>
      <c r="C644" s="40" t="str">
        <f aca="false" t="array" ref="C644:C644">_xlfn.XLOOKUP($A644,TRIM(SUBSTITUTE('worker file'!$A$2:$A$406,_xlfn.UNICHAR(160)," ")),'worker file'!$D$2:$D$406,"Not found")</f>
        <v>CA</v>
      </c>
      <c r="D644" s="40" t="str">
        <f aca="false" t="array" ref="D644:D644">_xlfn.XLOOKUP($A644,TRIM(SUBSTITUTE('worker file'!$A$2:$A$406,_xlfn.UNICHAR(160)," ")),'worker file'!$Q$2:$Q$406,"Not found")</f>
        <v>Active</v>
      </c>
      <c r="E644" s="39" t="s">
        <v>626</v>
      </c>
      <c r="F644" s="38" t="str">
        <f aca="false">_xlfn.XLOOKUP($E644,$A$5:$A$8,$B$5:$B$8,"")</f>
        <v>Medical (Health) – Employee</v>
      </c>
      <c r="G644" s="38" t="str">
        <f aca="false">_xlfn.XLOOKUP($E644,$A$5:$A$8,$D$5:$D$8,"")</f>
        <v>Pre-tax Section 125 (exempt from FIT/SIT/FICA)</v>
      </c>
      <c r="H644" s="38" t="str">
        <f aca="false">_xlfn.XLOOKUP($E644,$A$5:$A$8,$E$5:$E$8,"")</f>
        <v>Flat</v>
      </c>
      <c r="I644" s="44" t="str">
        <f aca="false">IF($H644="Percent",_xlfn.XLOOKUP($E644,$A$5:$A$8,$F$5:$F$8,""),"")</f>
        <v/>
      </c>
      <c r="J644" s="42" t="n">
        <f aca="false">IF($H644="Flat",_xlfn.XLOOKUP($E644,$A$5:$A$8,$F$5:$F$8,""),"")</f>
        <v>200</v>
      </c>
      <c r="K644" s="38" t="str">
        <f aca="false">_xlfn.XLOOKUP($E644,$A$5:$A$8,$G$5:$G$8,"")</f>
        <v>Per pay period</v>
      </c>
      <c r="L644" s="38" t="str">
        <f aca="false">_xlfn.XLOOKUP($E644,$A$5:$A$8,$H$5:$H$8,"")</f>
        <v>Every pay period (ongoing)</v>
      </c>
      <c r="M644" s="43" t="n">
        <f aca="false" t="array" ref="M644:M644">MAX(_xlfn.XLOOKUP($A644,TRIM(SUBSTITUTE('worker file'!$A$2:$A$406,_xlfn.UNICHAR(160)," ")),'worker file'!$M$2:$M$406,0),_xlfn.XLOOKUP($B644,TRIM('pay group &amp; schedule'!$A$2:$A$6),'pay group &amp; schedule'!$D$2:$D$6,0))</f>
        <v>46311</v>
      </c>
      <c r="N644" s="43" t="str">
        <f aca="false" t="array" ref="N644:N644">_xlfn.LET(_xlpm.t,_xlfn.XLOOKUP($A644,TRIM(SUBSTITUTE('worker file'!$A$2:$A$406,_xlfn.UNICHAR(160)," ")),'worker file'!$N$2:$N$406,""),IF(N(_xlpm.t)=0,"",_xlpm.t))</f>
        <v/>
      </c>
    </row>
    <row r="645" customFormat="false" ht="15" hidden="false" customHeight="false" outlineLevel="0" collapsed="false">
      <c r="A645" s="39" t="s">
        <v>323</v>
      </c>
      <c r="B645" s="40" t="str">
        <f aca="false" t="array" ref="B645:B645">_xlfn.XLOOKUP($A645,TRIM(SUBSTITUTE('worker file'!$A$2:$A$406,_xlfn.UNICHAR(160)," ")),'worker file'!$L$2:$L$406,"Not found")</f>
        <v>US Semi-monthly</v>
      </c>
      <c r="C645" s="40" t="str">
        <f aca="false" t="array" ref="C645:C645">_xlfn.XLOOKUP($A645,TRIM(SUBSTITUTE('worker file'!$A$2:$A$406,_xlfn.UNICHAR(160)," ")),'worker file'!$D$2:$D$406,"Not found")</f>
        <v>CA</v>
      </c>
      <c r="D645" s="40" t="str">
        <f aca="false" t="array" ref="D645:D645">_xlfn.XLOOKUP($A645,TRIM(SUBSTITUTE('worker file'!$A$2:$A$406,_xlfn.UNICHAR(160)," ")),'worker file'!$Q$2:$Q$406,"Not found")</f>
        <v>Active</v>
      </c>
      <c r="E645" s="39" t="s">
        <v>632</v>
      </c>
      <c r="F645" s="38" t="str">
        <f aca="false">_xlfn.XLOOKUP($E645,$A$5:$A$8,$B$5:$B$8,"")</f>
        <v>Dental – Employee</v>
      </c>
      <c r="G645" s="38" t="str">
        <f aca="false">_xlfn.XLOOKUP($E645,$A$5:$A$8,$D$5:$D$8,"")</f>
        <v>Pre-tax Section 125 (exempt from FIT/SIT/FICA)</v>
      </c>
      <c r="H645" s="38" t="str">
        <f aca="false">_xlfn.XLOOKUP($E645,$A$5:$A$8,$E$5:$E$8,"")</f>
        <v>Flat</v>
      </c>
      <c r="I645" s="44" t="str">
        <f aca="false">IF($H645="Percent",_xlfn.XLOOKUP($E645,$A$5:$A$8,$F$5:$F$8,""),"")</f>
        <v/>
      </c>
      <c r="J645" s="42" t="n">
        <f aca="false">IF($H645="Flat",_xlfn.XLOOKUP($E645,$A$5:$A$8,$F$5:$F$8,""),"")</f>
        <v>44</v>
      </c>
      <c r="K645" s="38" t="str">
        <f aca="false">_xlfn.XLOOKUP($E645,$A$5:$A$8,$G$5:$G$8,"")</f>
        <v>Per pay period</v>
      </c>
      <c r="L645" s="38" t="str">
        <f aca="false">_xlfn.XLOOKUP($E645,$A$5:$A$8,$H$5:$H$8,"")</f>
        <v>Every pay period (ongoing)</v>
      </c>
      <c r="M645" s="43" t="n">
        <f aca="false" t="array" ref="M645:M645">MAX(_xlfn.XLOOKUP($A645,TRIM(SUBSTITUTE('worker file'!$A$2:$A$406,_xlfn.UNICHAR(160)," ")),'worker file'!$M$2:$M$406,0),_xlfn.XLOOKUP($B645,TRIM('pay group &amp; schedule'!$A$2:$A$6),'pay group &amp; schedule'!$D$2:$D$6,0))</f>
        <v>46311</v>
      </c>
      <c r="N645" s="43" t="str">
        <f aca="false" t="array" ref="N645:N645">_xlfn.LET(_xlpm.t,_xlfn.XLOOKUP($A645,TRIM(SUBSTITUTE('worker file'!$A$2:$A$406,_xlfn.UNICHAR(160)," ")),'worker file'!$N$2:$N$406,""),IF(N(_xlpm.t)=0,"",_xlpm.t))</f>
        <v/>
      </c>
    </row>
    <row r="646" customFormat="false" ht="15" hidden="false" customHeight="false" outlineLevel="0" collapsed="false">
      <c r="A646" s="39" t="s">
        <v>323</v>
      </c>
      <c r="B646" s="40" t="str">
        <f aca="false" t="array" ref="B646:B646">_xlfn.XLOOKUP($A646,TRIM(SUBSTITUTE('worker file'!$A$2:$A$406,_xlfn.UNICHAR(160)," ")),'worker file'!$L$2:$L$406,"Not found")</f>
        <v>US Semi-monthly</v>
      </c>
      <c r="C646" s="40" t="str">
        <f aca="false" t="array" ref="C646:C646">_xlfn.XLOOKUP($A646,TRIM(SUBSTITUTE('worker file'!$A$2:$A$406,_xlfn.UNICHAR(160)," ")),'worker file'!$D$2:$D$406,"Not found")</f>
        <v>CA</v>
      </c>
      <c r="D646" s="40" t="str">
        <f aca="false" t="array" ref="D646:D646">_xlfn.XLOOKUP($A646,TRIM(SUBSTITUTE('worker file'!$A$2:$A$406,_xlfn.UNICHAR(160)," ")),'worker file'!$Q$2:$Q$406,"Not found")</f>
        <v>Active</v>
      </c>
      <c r="E646" s="39" t="s">
        <v>634</v>
      </c>
      <c r="F646" s="38" t="str">
        <f aca="false">_xlfn.XLOOKUP($E646,$A$5:$A$8,$B$5:$B$8,"")</f>
        <v>Vision – Employee</v>
      </c>
      <c r="G646" s="38" t="str">
        <f aca="false">_xlfn.XLOOKUP($E646,$A$5:$A$8,$D$5:$D$8,"")</f>
        <v>Pre-tax Section 125 (exempt from FIT/SIT/FICA)</v>
      </c>
      <c r="H646" s="38" t="str">
        <f aca="false">_xlfn.XLOOKUP($E646,$A$5:$A$8,$E$5:$E$8,"")</f>
        <v>Flat</v>
      </c>
      <c r="I646" s="44" t="str">
        <f aca="false">IF($H646="Percent",_xlfn.XLOOKUP($E646,$A$5:$A$8,$F$5:$F$8,""),"")</f>
        <v/>
      </c>
      <c r="J646" s="42" t="n">
        <f aca="false">IF($H646="Flat",_xlfn.XLOOKUP($E646,$A$5:$A$8,$F$5:$F$8,""),"")</f>
        <v>30</v>
      </c>
      <c r="K646" s="38" t="str">
        <f aca="false">_xlfn.XLOOKUP($E646,$A$5:$A$8,$G$5:$G$8,"")</f>
        <v>Per pay period</v>
      </c>
      <c r="L646" s="38" t="str">
        <f aca="false">_xlfn.XLOOKUP($E646,$A$5:$A$8,$H$5:$H$8,"")</f>
        <v>Every pay period (ongoing)</v>
      </c>
      <c r="M646" s="43" t="n">
        <f aca="false" t="array" ref="M646:M646">MAX(_xlfn.XLOOKUP($A646,TRIM(SUBSTITUTE('worker file'!$A$2:$A$406,_xlfn.UNICHAR(160)," ")),'worker file'!$M$2:$M$406,0),_xlfn.XLOOKUP($B646,TRIM('pay group &amp; schedule'!$A$2:$A$6),'pay group &amp; schedule'!$D$2:$D$6,0))</f>
        <v>46311</v>
      </c>
      <c r="N646" s="43" t="str">
        <f aca="false" t="array" ref="N646:N646">_xlfn.LET(_xlpm.t,_xlfn.XLOOKUP($A646,TRIM(SUBSTITUTE('worker file'!$A$2:$A$406,_xlfn.UNICHAR(160)," ")),'worker file'!$N$2:$N$406,""),IF(N(_xlpm.t)=0,"",_xlpm.t))</f>
        <v/>
      </c>
    </row>
    <row r="647" customFormat="false" ht="15" hidden="false" customHeight="false" outlineLevel="0" collapsed="false">
      <c r="A647" s="39" t="s">
        <v>324</v>
      </c>
      <c r="B647" s="40" t="str">
        <f aca="false" t="array" ref="B647:B647">_xlfn.XLOOKUP($A647,TRIM(SUBSTITUTE('worker file'!$A$2:$A$406,_xlfn.UNICHAR(160)," ")),'worker file'!$L$2:$L$406,"Not found")</f>
        <v>US Biweekly</v>
      </c>
      <c r="C647" s="40" t="str">
        <f aca="false" t="array" ref="C647:C647">_xlfn.XLOOKUP($A647,TRIM(SUBSTITUTE('worker file'!$A$2:$A$406,_xlfn.UNICHAR(160)," ")),'worker file'!$D$2:$D$406,"Not found")</f>
        <v>CA</v>
      </c>
      <c r="D647" s="40" t="str">
        <f aca="false" t="array" ref="D647:D647">_xlfn.XLOOKUP($A647,TRIM(SUBSTITUTE('worker file'!$A$2:$A$406,_xlfn.UNICHAR(160)," ")),'worker file'!$Q$2:$Q$406,"Not found")</f>
        <v>Active</v>
      </c>
      <c r="E647" s="39" t="s">
        <v>618</v>
      </c>
      <c r="F647" s="38" t="str">
        <f aca="false">_xlfn.XLOOKUP($E647,$A$5:$A$8,$B$5:$B$8,"")</f>
        <v>401(k) Employee Deferral</v>
      </c>
      <c r="G647" s="38" t="str">
        <f aca="false">_xlfn.XLOOKUP($E647,$A$5:$A$8,$D$5:$D$8,"")</f>
        <v>Pre-tax (exempt from FIT/SIT; subject to FICA)</v>
      </c>
      <c r="H647" s="38" t="str">
        <f aca="false">_xlfn.XLOOKUP($E647,$A$5:$A$8,$E$5:$E$8,"")</f>
        <v>Percent</v>
      </c>
      <c r="I647" s="41" t="n">
        <v>0.02</v>
      </c>
      <c r="J647" s="42" t="str">
        <f aca="false">IF($H647="Flat",_xlfn.XLOOKUP($E647,$A$5:$A$8,$F$5:$F$8,""),"")</f>
        <v/>
      </c>
      <c r="K647" s="38" t="str">
        <f aca="false">_xlfn.XLOOKUP($E647,$A$5:$A$8,$G$5:$G$8,"")</f>
        <v>Gross pay</v>
      </c>
      <c r="L647" s="38" t="str">
        <f aca="false">_xlfn.XLOOKUP($E647,$A$5:$A$8,$H$5:$H$8,"")</f>
        <v>Every pay period (ongoing)</v>
      </c>
      <c r="M647" s="43" t="n">
        <f aca="false" t="array" ref="M647:M647">MAX(_xlfn.XLOOKUP($A647,TRIM(SUBSTITUTE('worker file'!$A$2:$A$406,_xlfn.UNICHAR(160)," ")),'worker file'!$M$2:$M$406,0),_xlfn.XLOOKUP($B647,TRIM('pay group &amp; schedule'!$A$2:$A$6),'pay group &amp; schedule'!$D$2:$D$6,0))</f>
        <v>46299</v>
      </c>
      <c r="N647" s="43" t="str">
        <f aca="false" t="array" ref="N647:N647">_xlfn.LET(_xlpm.t,_xlfn.XLOOKUP($A647,TRIM(SUBSTITUTE('worker file'!$A$2:$A$406,_xlfn.UNICHAR(160)," ")),'worker file'!$N$2:$N$406,""),IF(N(_xlpm.t)=0,"",_xlpm.t))</f>
        <v/>
      </c>
    </row>
    <row r="648" customFormat="false" ht="15" hidden="false" customHeight="false" outlineLevel="0" collapsed="false">
      <c r="A648" s="39" t="s">
        <v>324</v>
      </c>
      <c r="B648" s="40" t="str">
        <f aca="false" t="array" ref="B648:B648">_xlfn.XLOOKUP($A648,TRIM(SUBSTITUTE('worker file'!$A$2:$A$406,_xlfn.UNICHAR(160)," ")),'worker file'!$L$2:$L$406,"Not found")</f>
        <v>US Biweekly</v>
      </c>
      <c r="C648" s="40" t="str">
        <f aca="false" t="array" ref="C648:C648">_xlfn.XLOOKUP($A648,TRIM(SUBSTITUTE('worker file'!$A$2:$A$406,_xlfn.UNICHAR(160)," ")),'worker file'!$D$2:$D$406,"Not found")</f>
        <v>CA</v>
      </c>
      <c r="D648" s="40" t="str">
        <f aca="false" t="array" ref="D648:D648">_xlfn.XLOOKUP($A648,TRIM(SUBSTITUTE('worker file'!$A$2:$A$406,_xlfn.UNICHAR(160)," ")),'worker file'!$Q$2:$Q$406,"Not found")</f>
        <v>Active</v>
      </c>
      <c r="E648" s="39" t="s">
        <v>626</v>
      </c>
      <c r="F648" s="38" t="str">
        <f aca="false">_xlfn.XLOOKUP($E648,$A$5:$A$8,$B$5:$B$8,"")</f>
        <v>Medical (Health) – Employee</v>
      </c>
      <c r="G648" s="38" t="str">
        <f aca="false">_xlfn.XLOOKUP($E648,$A$5:$A$8,$D$5:$D$8,"")</f>
        <v>Pre-tax Section 125 (exempt from FIT/SIT/FICA)</v>
      </c>
      <c r="H648" s="38" t="str">
        <f aca="false">_xlfn.XLOOKUP($E648,$A$5:$A$8,$E$5:$E$8,"")</f>
        <v>Flat</v>
      </c>
      <c r="I648" s="44" t="str">
        <f aca="false">IF($H648="Percent",_xlfn.XLOOKUP($E648,$A$5:$A$8,$F$5:$F$8,""),"")</f>
        <v/>
      </c>
      <c r="J648" s="42" t="n">
        <f aca="false">IF($H648="Flat",_xlfn.XLOOKUP($E648,$A$5:$A$8,$F$5:$F$8,""),"")</f>
        <v>200</v>
      </c>
      <c r="K648" s="38" t="str">
        <f aca="false">_xlfn.XLOOKUP($E648,$A$5:$A$8,$G$5:$G$8,"")</f>
        <v>Per pay period</v>
      </c>
      <c r="L648" s="38" t="str">
        <f aca="false">_xlfn.XLOOKUP($E648,$A$5:$A$8,$H$5:$H$8,"")</f>
        <v>Every pay period (ongoing)</v>
      </c>
      <c r="M648" s="43" t="n">
        <f aca="false" t="array" ref="M648:M648">MAX(_xlfn.XLOOKUP($A648,TRIM(SUBSTITUTE('worker file'!$A$2:$A$406,_xlfn.UNICHAR(160)," ")),'worker file'!$M$2:$M$406,0),_xlfn.XLOOKUP($B648,TRIM('pay group &amp; schedule'!$A$2:$A$6),'pay group &amp; schedule'!$D$2:$D$6,0))</f>
        <v>46299</v>
      </c>
      <c r="N648" s="43" t="str">
        <f aca="false" t="array" ref="N648:N648">_xlfn.LET(_xlpm.t,_xlfn.XLOOKUP($A648,TRIM(SUBSTITUTE('worker file'!$A$2:$A$406,_xlfn.UNICHAR(160)," ")),'worker file'!$N$2:$N$406,""),IF(N(_xlpm.t)=0,"",_xlpm.t))</f>
        <v/>
      </c>
    </row>
    <row r="649" customFormat="false" ht="15" hidden="false" customHeight="false" outlineLevel="0" collapsed="false">
      <c r="A649" s="39" t="s">
        <v>324</v>
      </c>
      <c r="B649" s="40" t="str">
        <f aca="false" t="array" ref="B649:B649">_xlfn.XLOOKUP($A649,TRIM(SUBSTITUTE('worker file'!$A$2:$A$406,_xlfn.UNICHAR(160)," ")),'worker file'!$L$2:$L$406,"Not found")</f>
        <v>US Biweekly</v>
      </c>
      <c r="C649" s="40" t="str">
        <f aca="false" t="array" ref="C649:C649">_xlfn.XLOOKUP($A649,TRIM(SUBSTITUTE('worker file'!$A$2:$A$406,_xlfn.UNICHAR(160)," ")),'worker file'!$D$2:$D$406,"Not found")</f>
        <v>CA</v>
      </c>
      <c r="D649" s="40" t="str">
        <f aca="false" t="array" ref="D649:D649">_xlfn.XLOOKUP($A649,TRIM(SUBSTITUTE('worker file'!$A$2:$A$406,_xlfn.UNICHAR(160)," ")),'worker file'!$Q$2:$Q$406,"Not found")</f>
        <v>Active</v>
      </c>
      <c r="E649" s="39" t="s">
        <v>632</v>
      </c>
      <c r="F649" s="38" t="str">
        <f aca="false">_xlfn.XLOOKUP($E649,$A$5:$A$8,$B$5:$B$8,"")</f>
        <v>Dental – Employee</v>
      </c>
      <c r="G649" s="38" t="str">
        <f aca="false">_xlfn.XLOOKUP($E649,$A$5:$A$8,$D$5:$D$8,"")</f>
        <v>Pre-tax Section 125 (exempt from FIT/SIT/FICA)</v>
      </c>
      <c r="H649" s="38" t="str">
        <f aca="false">_xlfn.XLOOKUP($E649,$A$5:$A$8,$E$5:$E$8,"")</f>
        <v>Flat</v>
      </c>
      <c r="I649" s="44" t="str">
        <f aca="false">IF($H649="Percent",_xlfn.XLOOKUP($E649,$A$5:$A$8,$F$5:$F$8,""),"")</f>
        <v/>
      </c>
      <c r="J649" s="42" t="n">
        <f aca="false">IF($H649="Flat",_xlfn.XLOOKUP($E649,$A$5:$A$8,$F$5:$F$8,""),"")</f>
        <v>44</v>
      </c>
      <c r="K649" s="38" t="str">
        <f aca="false">_xlfn.XLOOKUP($E649,$A$5:$A$8,$G$5:$G$8,"")</f>
        <v>Per pay period</v>
      </c>
      <c r="L649" s="38" t="str">
        <f aca="false">_xlfn.XLOOKUP($E649,$A$5:$A$8,$H$5:$H$8,"")</f>
        <v>Every pay period (ongoing)</v>
      </c>
      <c r="M649" s="43" t="n">
        <f aca="false" t="array" ref="M649:M649">MAX(_xlfn.XLOOKUP($A649,TRIM(SUBSTITUTE('worker file'!$A$2:$A$406,_xlfn.UNICHAR(160)," ")),'worker file'!$M$2:$M$406,0),_xlfn.XLOOKUP($B649,TRIM('pay group &amp; schedule'!$A$2:$A$6),'pay group &amp; schedule'!$D$2:$D$6,0))</f>
        <v>46299</v>
      </c>
      <c r="N649" s="43" t="str">
        <f aca="false" t="array" ref="N649:N649">_xlfn.LET(_xlpm.t,_xlfn.XLOOKUP($A649,TRIM(SUBSTITUTE('worker file'!$A$2:$A$406,_xlfn.UNICHAR(160)," ")),'worker file'!$N$2:$N$406,""),IF(N(_xlpm.t)=0,"",_xlpm.t))</f>
        <v/>
      </c>
    </row>
    <row r="650" customFormat="false" ht="15" hidden="false" customHeight="false" outlineLevel="0" collapsed="false">
      <c r="A650" s="39" t="s">
        <v>324</v>
      </c>
      <c r="B650" s="40" t="str">
        <f aca="false" t="array" ref="B650:B650">_xlfn.XLOOKUP($A650,TRIM(SUBSTITUTE('worker file'!$A$2:$A$406,_xlfn.UNICHAR(160)," ")),'worker file'!$L$2:$L$406,"Not found")</f>
        <v>US Biweekly</v>
      </c>
      <c r="C650" s="40" t="str">
        <f aca="false" t="array" ref="C650:C650">_xlfn.XLOOKUP($A650,TRIM(SUBSTITUTE('worker file'!$A$2:$A$406,_xlfn.UNICHAR(160)," ")),'worker file'!$D$2:$D$406,"Not found")</f>
        <v>CA</v>
      </c>
      <c r="D650" s="40" t="str">
        <f aca="false" t="array" ref="D650:D650">_xlfn.XLOOKUP($A650,TRIM(SUBSTITUTE('worker file'!$A$2:$A$406,_xlfn.UNICHAR(160)," ")),'worker file'!$Q$2:$Q$406,"Not found")</f>
        <v>Active</v>
      </c>
      <c r="E650" s="39" t="s">
        <v>634</v>
      </c>
      <c r="F650" s="38" t="str">
        <f aca="false">_xlfn.XLOOKUP($E650,$A$5:$A$8,$B$5:$B$8,"")</f>
        <v>Vision – Employee</v>
      </c>
      <c r="G650" s="38" t="str">
        <f aca="false">_xlfn.XLOOKUP($E650,$A$5:$A$8,$D$5:$D$8,"")</f>
        <v>Pre-tax Section 125 (exempt from FIT/SIT/FICA)</v>
      </c>
      <c r="H650" s="38" t="str">
        <f aca="false">_xlfn.XLOOKUP($E650,$A$5:$A$8,$E$5:$E$8,"")</f>
        <v>Flat</v>
      </c>
      <c r="I650" s="44" t="str">
        <f aca="false">IF($H650="Percent",_xlfn.XLOOKUP($E650,$A$5:$A$8,$F$5:$F$8,""),"")</f>
        <v/>
      </c>
      <c r="J650" s="42" t="n">
        <f aca="false">IF($H650="Flat",_xlfn.XLOOKUP($E650,$A$5:$A$8,$F$5:$F$8,""),"")</f>
        <v>30</v>
      </c>
      <c r="K650" s="38" t="str">
        <f aca="false">_xlfn.XLOOKUP($E650,$A$5:$A$8,$G$5:$G$8,"")</f>
        <v>Per pay period</v>
      </c>
      <c r="L650" s="38" t="str">
        <f aca="false">_xlfn.XLOOKUP($E650,$A$5:$A$8,$H$5:$H$8,"")</f>
        <v>Every pay period (ongoing)</v>
      </c>
      <c r="M650" s="43" t="n">
        <f aca="false" t="array" ref="M650:M650">MAX(_xlfn.XLOOKUP($A650,TRIM(SUBSTITUTE('worker file'!$A$2:$A$406,_xlfn.UNICHAR(160)," ")),'worker file'!$M$2:$M$406,0),_xlfn.XLOOKUP($B650,TRIM('pay group &amp; schedule'!$A$2:$A$6),'pay group &amp; schedule'!$D$2:$D$6,0))</f>
        <v>46299</v>
      </c>
      <c r="N650" s="43" t="str">
        <f aca="false" t="array" ref="N650:N650">_xlfn.LET(_xlpm.t,_xlfn.XLOOKUP($A650,TRIM(SUBSTITUTE('worker file'!$A$2:$A$406,_xlfn.UNICHAR(160)," ")),'worker file'!$N$2:$N$406,""),IF(N(_xlpm.t)=0,"",_xlpm.t))</f>
        <v/>
      </c>
    </row>
    <row r="651" customFormat="false" ht="15" hidden="false" customHeight="false" outlineLevel="0" collapsed="false">
      <c r="A651" s="39" t="s">
        <v>326</v>
      </c>
      <c r="B651" s="40" t="str">
        <f aca="false" t="array" ref="B651:B651">_xlfn.XLOOKUP($A651,TRIM(SUBSTITUTE('worker file'!$A$2:$A$406,_xlfn.UNICHAR(160)," ")),'worker file'!$L$2:$L$406,"Not found")</f>
        <v>US Semi-monthly</v>
      </c>
      <c r="C651" s="40" t="str">
        <f aca="false" t="array" ref="C651:C651">_xlfn.XLOOKUP($A651,TRIM(SUBSTITUTE('worker file'!$A$2:$A$406,_xlfn.UNICHAR(160)," ")),'worker file'!$D$2:$D$406,"Not found")</f>
        <v>CA</v>
      </c>
      <c r="D651" s="40" t="str">
        <f aca="false" t="array" ref="D651:D651">_xlfn.XLOOKUP($A651,TRIM(SUBSTITUTE('worker file'!$A$2:$A$406,_xlfn.UNICHAR(160)," ")),'worker file'!$Q$2:$Q$406,"Not found")</f>
        <v>Active</v>
      </c>
      <c r="E651" s="39" t="s">
        <v>618</v>
      </c>
      <c r="F651" s="38" t="str">
        <f aca="false">_xlfn.XLOOKUP($E651,$A$5:$A$8,$B$5:$B$8,"")</f>
        <v>401(k) Employee Deferral</v>
      </c>
      <c r="G651" s="38" t="str">
        <f aca="false">_xlfn.XLOOKUP($E651,$A$5:$A$8,$D$5:$D$8,"")</f>
        <v>Pre-tax (exempt from FIT/SIT; subject to FICA)</v>
      </c>
      <c r="H651" s="38" t="str">
        <f aca="false">_xlfn.XLOOKUP($E651,$A$5:$A$8,$E$5:$E$8,"")</f>
        <v>Percent</v>
      </c>
      <c r="I651" s="41" t="n">
        <v>0.07</v>
      </c>
      <c r="J651" s="42" t="str">
        <f aca="false">IF($H651="Flat",_xlfn.XLOOKUP($E651,$A$5:$A$8,$F$5:$F$8,""),"")</f>
        <v/>
      </c>
      <c r="K651" s="38" t="str">
        <f aca="false">_xlfn.XLOOKUP($E651,$A$5:$A$8,$G$5:$G$8,"")</f>
        <v>Gross pay</v>
      </c>
      <c r="L651" s="38" t="str">
        <f aca="false">_xlfn.XLOOKUP($E651,$A$5:$A$8,$H$5:$H$8,"")</f>
        <v>Every pay period (ongoing)</v>
      </c>
      <c r="M651" s="43" t="n">
        <f aca="false" t="array" ref="M651:M651">MAX(_xlfn.XLOOKUP($A651,TRIM(SUBSTITUTE('worker file'!$A$2:$A$406,_xlfn.UNICHAR(160)," ")),'worker file'!$M$2:$M$406,0),_xlfn.XLOOKUP($B651,TRIM('pay group &amp; schedule'!$A$2:$A$6),'pay group &amp; schedule'!$D$2:$D$6,0))</f>
        <v>46311</v>
      </c>
      <c r="N651" s="43" t="str">
        <f aca="false" t="array" ref="N651:N651">_xlfn.LET(_xlpm.t,_xlfn.XLOOKUP($A651,TRIM(SUBSTITUTE('worker file'!$A$2:$A$406,_xlfn.UNICHAR(160)," ")),'worker file'!$N$2:$N$406,""),IF(N(_xlpm.t)=0,"",_xlpm.t))</f>
        <v/>
      </c>
    </row>
    <row r="652" customFormat="false" ht="15" hidden="false" customHeight="false" outlineLevel="0" collapsed="false">
      <c r="A652" s="39" t="s">
        <v>326</v>
      </c>
      <c r="B652" s="40" t="str">
        <f aca="false" t="array" ref="B652:B652">_xlfn.XLOOKUP($A652,TRIM(SUBSTITUTE('worker file'!$A$2:$A$406,_xlfn.UNICHAR(160)," ")),'worker file'!$L$2:$L$406,"Not found")</f>
        <v>US Semi-monthly</v>
      </c>
      <c r="C652" s="40" t="str">
        <f aca="false" t="array" ref="C652:C652">_xlfn.XLOOKUP($A652,TRIM(SUBSTITUTE('worker file'!$A$2:$A$406,_xlfn.UNICHAR(160)," ")),'worker file'!$D$2:$D$406,"Not found")</f>
        <v>CA</v>
      </c>
      <c r="D652" s="40" t="str">
        <f aca="false" t="array" ref="D652:D652">_xlfn.XLOOKUP($A652,TRIM(SUBSTITUTE('worker file'!$A$2:$A$406,_xlfn.UNICHAR(160)," ")),'worker file'!$Q$2:$Q$406,"Not found")</f>
        <v>Active</v>
      </c>
      <c r="E652" s="39" t="s">
        <v>626</v>
      </c>
      <c r="F652" s="38" t="str">
        <f aca="false">_xlfn.XLOOKUP($E652,$A$5:$A$8,$B$5:$B$8,"")</f>
        <v>Medical (Health) – Employee</v>
      </c>
      <c r="G652" s="38" t="str">
        <f aca="false">_xlfn.XLOOKUP($E652,$A$5:$A$8,$D$5:$D$8,"")</f>
        <v>Pre-tax Section 125 (exempt from FIT/SIT/FICA)</v>
      </c>
      <c r="H652" s="38" t="str">
        <f aca="false">_xlfn.XLOOKUP($E652,$A$5:$A$8,$E$5:$E$8,"")</f>
        <v>Flat</v>
      </c>
      <c r="I652" s="44" t="str">
        <f aca="false">IF($H652="Percent",_xlfn.XLOOKUP($E652,$A$5:$A$8,$F$5:$F$8,""),"")</f>
        <v/>
      </c>
      <c r="J652" s="42" t="n">
        <f aca="false">IF($H652="Flat",_xlfn.XLOOKUP($E652,$A$5:$A$8,$F$5:$F$8,""),"")</f>
        <v>200</v>
      </c>
      <c r="K652" s="38" t="str">
        <f aca="false">_xlfn.XLOOKUP($E652,$A$5:$A$8,$G$5:$G$8,"")</f>
        <v>Per pay period</v>
      </c>
      <c r="L652" s="38" t="str">
        <f aca="false">_xlfn.XLOOKUP($E652,$A$5:$A$8,$H$5:$H$8,"")</f>
        <v>Every pay period (ongoing)</v>
      </c>
      <c r="M652" s="43" t="n">
        <f aca="false" t="array" ref="M652:M652">MAX(_xlfn.XLOOKUP($A652,TRIM(SUBSTITUTE('worker file'!$A$2:$A$406,_xlfn.UNICHAR(160)," ")),'worker file'!$M$2:$M$406,0),_xlfn.XLOOKUP($B652,TRIM('pay group &amp; schedule'!$A$2:$A$6),'pay group &amp; schedule'!$D$2:$D$6,0))</f>
        <v>46311</v>
      </c>
      <c r="N652" s="43" t="str">
        <f aca="false" t="array" ref="N652:N652">_xlfn.LET(_xlpm.t,_xlfn.XLOOKUP($A652,TRIM(SUBSTITUTE('worker file'!$A$2:$A$406,_xlfn.UNICHAR(160)," ")),'worker file'!$N$2:$N$406,""),IF(N(_xlpm.t)=0,"",_xlpm.t))</f>
        <v/>
      </c>
    </row>
    <row r="653" customFormat="false" ht="15" hidden="false" customHeight="false" outlineLevel="0" collapsed="false">
      <c r="A653" s="39" t="s">
        <v>326</v>
      </c>
      <c r="B653" s="40" t="str">
        <f aca="false" t="array" ref="B653:B653">_xlfn.XLOOKUP($A653,TRIM(SUBSTITUTE('worker file'!$A$2:$A$406,_xlfn.UNICHAR(160)," ")),'worker file'!$L$2:$L$406,"Not found")</f>
        <v>US Semi-monthly</v>
      </c>
      <c r="C653" s="40" t="str">
        <f aca="false" t="array" ref="C653:C653">_xlfn.XLOOKUP($A653,TRIM(SUBSTITUTE('worker file'!$A$2:$A$406,_xlfn.UNICHAR(160)," ")),'worker file'!$D$2:$D$406,"Not found")</f>
        <v>CA</v>
      </c>
      <c r="D653" s="40" t="str">
        <f aca="false" t="array" ref="D653:D653">_xlfn.XLOOKUP($A653,TRIM(SUBSTITUTE('worker file'!$A$2:$A$406,_xlfn.UNICHAR(160)," ")),'worker file'!$Q$2:$Q$406,"Not found")</f>
        <v>Active</v>
      </c>
      <c r="E653" s="39" t="s">
        <v>632</v>
      </c>
      <c r="F653" s="38" t="str">
        <f aca="false">_xlfn.XLOOKUP($E653,$A$5:$A$8,$B$5:$B$8,"")</f>
        <v>Dental – Employee</v>
      </c>
      <c r="G653" s="38" t="str">
        <f aca="false">_xlfn.XLOOKUP($E653,$A$5:$A$8,$D$5:$D$8,"")</f>
        <v>Pre-tax Section 125 (exempt from FIT/SIT/FICA)</v>
      </c>
      <c r="H653" s="38" t="str">
        <f aca="false">_xlfn.XLOOKUP($E653,$A$5:$A$8,$E$5:$E$8,"")</f>
        <v>Flat</v>
      </c>
      <c r="I653" s="44" t="str">
        <f aca="false">IF($H653="Percent",_xlfn.XLOOKUP($E653,$A$5:$A$8,$F$5:$F$8,""),"")</f>
        <v/>
      </c>
      <c r="J653" s="42" t="n">
        <f aca="false">IF($H653="Flat",_xlfn.XLOOKUP($E653,$A$5:$A$8,$F$5:$F$8,""),"")</f>
        <v>44</v>
      </c>
      <c r="K653" s="38" t="str">
        <f aca="false">_xlfn.XLOOKUP($E653,$A$5:$A$8,$G$5:$G$8,"")</f>
        <v>Per pay period</v>
      </c>
      <c r="L653" s="38" t="str">
        <f aca="false">_xlfn.XLOOKUP($E653,$A$5:$A$8,$H$5:$H$8,"")</f>
        <v>Every pay period (ongoing)</v>
      </c>
      <c r="M653" s="43" t="n">
        <f aca="false" t="array" ref="M653:M653">MAX(_xlfn.XLOOKUP($A653,TRIM(SUBSTITUTE('worker file'!$A$2:$A$406,_xlfn.UNICHAR(160)," ")),'worker file'!$M$2:$M$406,0),_xlfn.XLOOKUP($B653,TRIM('pay group &amp; schedule'!$A$2:$A$6),'pay group &amp; schedule'!$D$2:$D$6,0))</f>
        <v>46311</v>
      </c>
      <c r="N653" s="43" t="str">
        <f aca="false" t="array" ref="N653:N653">_xlfn.LET(_xlpm.t,_xlfn.XLOOKUP($A653,TRIM(SUBSTITUTE('worker file'!$A$2:$A$406,_xlfn.UNICHAR(160)," ")),'worker file'!$N$2:$N$406,""),IF(N(_xlpm.t)=0,"",_xlpm.t))</f>
        <v/>
      </c>
    </row>
    <row r="654" customFormat="false" ht="15" hidden="false" customHeight="false" outlineLevel="0" collapsed="false">
      <c r="A654" s="39" t="s">
        <v>326</v>
      </c>
      <c r="B654" s="40" t="str">
        <f aca="false" t="array" ref="B654:B654">_xlfn.XLOOKUP($A654,TRIM(SUBSTITUTE('worker file'!$A$2:$A$406,_xlfn.UNICHAR(160)," ")),'worker file'!$L$2:$L$406,"Not found")</f>
        <v>US Semi-monthly</v>
      </c>
      <c r="C654" s="40" t="str">
        <f aca="false" t="array" ref="C654:C654">_xlfn.XLOOKUP($A654,TRIM(SUBSTITUTE('worker file'!$A$2:$A$406,_xlfn.UNICHAR(160)," ")),'worker file'!$D$2:$D$406,"Not found")</f>
        <v>CA</v>
      </c>
      <c r="D654" s="40" t="str">
        <f aca="false" t="array" ref="D654:D654">_xlfn.XLOOKUP($A654,TRIM(SUBSTITUTE('worker file'!$A$2:$A$406,_xlfn.UNICHAR(160)," ")),'worker file'!$Q$2:$Q$406,"Not found")</f>
        <v>Active</v>
      </c>
      <c r="E654" s="39" t="s">
        <v>634</v>
      </c>
      <c r="F654" s="38" t="str">
        <f aca="false">_xlfn.XLOOKUP($E654,$A$5:$A$8,$B$5:$B$8,"")</f>
        <v>Vision – Employee</v>
      </c>
      <c r="G654" s="38" t="str">
        <f aca="false">_xlfn.XLOOKUP($E654,$A$5:$A$8,$D$5:$D$8,"")</f>
        <v>Pre-tax Section 125 (exempt from FIT/SIT/FICA)</v>
      </c>
      <c r="H654" s="38" t="str">
        <f aca="false">_xlfn.XLOOKUP($E654,$A$5:$A$8,$E$5:$E$8,"")</f>
        <v>Flat</v>
      </c>
      <c r="I654" s="44" t="str">
        <f aca="false">IF($H654="Percent",_xlfn.XLOOKUP($E654,$A$5:$A$8,$F$5:$F$8,""),"")</f>
        <v/>
      </c>
      <c r="J654" s="42" t="n">
        <f aca="false">IF($H654="Flat",_xlfn.XLOOKUP($E654,$A$5:$A$8,$F$5:$F$8,""),"")</f>
        <v>30</v>
      </c>
      <c r="K654" s="38" t="str">
        <f aca="false">_xlfn.XLOOKUP($E654,$A$5:$A$8,$G$5:$G$8,"")</f>
        <v>Per pay period</v>
      </c>
      <c r="L654" s="38" t="str">
        <f aca="false">_xlfn.XLOOKUP($E654,$A$5:$A$8,$H$5:$H$8,"")</f>
        <v>Every pay period (ongoing)</v>
      </c>
      <c r="M654" s="43" t="n">
        <f aca="false" t="array" ref="M654:M654">MAX(_xlfn.XLOOKUP($A654,TRIM(SUBSTITUTE('worker file'!$A$2:$A$406,_xlfn.UNICHAR(160)," ")),'worker file'!$M$2:$M$406,0),_xlfn.XLOOKUP($B654,TRIM('pay group &amp; schedule'!$A$2:$A$6),'pay group &amp; schedule'!$D$2:$D$6,0))</f>
        <v>46311</v>
      </c>
      <c r="N654" s="43" t="str">
        <f aca="false" t="array" ref="N654:N654">_xlfn.LET(_xlpm.t,_xlfn.XLOOKUP($A654,TRIM(SUBSTITUTE('worker file'!$A$2:$A$406,_xlfn.UNICHAR(160)," ")),'worker file'!$N$2:$N$406,""),IF(N(_xlpm.t)=0,"",_xlpm.t))</f>
        <v/>
      </c>
    </row>
    <row r="655" customFormat="false" ht="15" hidden="false" customHeight="false" outlineLevel="0" collapsed="false">
      <c r="A655" s="39" t="s">
        <v>327</v>
      </c>
      <c r="B655" s="40" t="str">
        <f aca="false" t="array" ref="B655:B655">_xlfn.XLOOKUP($A655,TRIM(SUBSTITUTE('worker file'!$A$2:$A$406,_xlfn.UNICHAR(160)," ")),'worker file'!$L$2:$L$406,"Not found")</f>
        <v>US Semi-monthly</v>
      </c>
      <c r="C655" s="40" t="str">
        <f aca="false" t="array" ref="C655:C655">_xlfn.XLOOKUP($A655,TRIM(SUBSTITUTE('worker file'!$A$2:$A$406,_xlfn.UNICHAR(160)," ")),'worker file'!$D$2:$D$406,"Not found")</f>
        <v>TX</v>
      </c>
      <c r="D655" s="40" t="str">
        <f aca="false" t="array" ref="D655:D655">_xlfn.XLOOKUP($A655,TRIM(SUBSTITUTE('worker file'!$A$2:$A$406,_xlfn.UNICHAR(160)," ")),'worker file'!$Q$2:$Q$406,"Not found")</f>
        <v>Active</v>
      </c>
      <c r="E655" s="39" t="s">
        <v>618</v>
      </c>
      <c r="F655" s="38" t="str">
        <f aca="false">_xlfn.XLOOKUP($E655,$A$5:$A$8,$B$5:$B$8,"")</f>
        <v>401(k) Employee Deferral</v>
      </c>
      <c r="G655" s="38" t="str">
        <f aca="false">_xlfn.XLOOKUP($E655,$A$5:$A$8,$D$5:$D$8,"")</f>
        <v>Pre-tax (exempt from FIT/SIT; subject to FICA)</v>
      </c>
      <c r="H655" s="38" t="str">
        <f aca="false">_xlfn.XLOOKUP($E655,$A$5:$A$8,$E$5:$E$8,"")</f>
        <v>Percent</v>
      </c>
      <c r="I655" s="41" t="n">
        <v>0.04</v>
      </c>
      <c r="J655" s="42" t="str">
        <f aca="false">IF($H655="Flat",_xlfn.XLOOKUP($E655,$A$5:$A$8,$F$5:$F$8,""),"")</f>
        <v/>
      </c>
      <c r="K655" s="38" t="str">
        <f aca="false">_xlfn.XLOOKUP($E655,$A$5:$A$8,$G$5:$G$8,"")</f>
        <v>Gross pay</v>
      </c>
      <c r="L655" s="38" t="str">
        <f aca="false">_xlfn.XLOOKUP($E655,$A$5:$A$8,$H$5:$H$8,"")</f>
        <v>Every pay period (ongoing)</v>
      </c>
      <c r="M655" s="43" t="n">
        <f aca="false" t="array" ref="M655:M655">MAX(_xlfn.XLOOKUP($A655,TRIM(SUBSTITUTE('worker file'!$A$2:$A$406,_xlfn.UNICHAR(160)," ")),'worker file'!$M$2:$M$406,0),_xlfn.XLOOKUP($B655,TRIM('pay group &amp; schedule'!$A$2:$A$6),'pay group &amp; schedule'!$D$2:$D$6,0))</f>
        <v>46311</v>
      </c>
      <c r="N655" s="43" t="str">
        <f aca="false" t="array" ref="N655:N655">_xlfn.LET(_xlpm.t,_xlfn.XLOOKUP($A655,TRIM(SUBSTITUTE('worker file'!$A$2:$A$406,_xlfn.UNICHAR(160)," ")),'worker file'!$N$2:$N$406,""),IF(N(_xlpm.t)=0,"",_xlpm.t))</f>
        <v/>
      </c>
    </row>
    <row r="656" customFormat="false" ht="15" hidden="false" customHeight="false" outlineLevel="0" collapsed="false">
      <c r="A656" s="39" t="s">
        <v>327</v>
      </c>
      <c r="B656" s="40" t="str">
        <f aca="false" t="array" ref="B656:B656">_xlfn.XLOOKUP($A656,TRIM(SUBSTITUTE('worker file'!$A$2:$A$406,_xlfn.UNICHAR(160)," ")),'worker file'!$L$2:$L$406,"Not found")</f>
        <v>US Semi-monthly</v>
      </c>
      <c r="C656" s="40" t="str">
        <f aca="false" t="array" ref="C656:C656">_xlfn.XLOOKUP($A656,TRIM(SUBSTITUTE('worker file'!$A$2:$A$406,_xlfn.UNICHAR(160)," ")),'worker file'!$D$2:$D$406,"Not found")</f>
        <v>TX</v>
      </c>
      <c r="D656" s="40" t="str">
        <f aca="false" t="array" ref="D656:D656">_xlfn.XLOOKUP($A656,TRIM(SUBSTITUTE('worker file'!$A$2:$A$406,_xlfn.UNICHAR(160)," ")),'worker file'!$Q$2:$Q$406,"Not found")</f>
        <v>Active</v>
      </c>
      <c r="E656" s="39" t="s">
        <v>626</v>
      </c>
      <c r="F656" s="38" t="str">
        <f aca="false">_xlfn.XLOOKUP($E656,$A$5:$A$8,$B$5:$B$8,"")</f>
        <v>Medical (Health) – Employee</v>
      </c>
      <c r="G656" s="38" t="str">
        <f aca="false">_xlfn.XLOOKUP($E656,$A$5:$A$8,$D$5:$D$8,"")</f>
        <v>Pre-tax Section 125 (exempt from FIT/SIT/FICA)</v>
      </c>
      <c r="H656" s="38" t="str">
        <f aca="false">_xlfn.XLOOKUP($E656,$A$5:$A$8,$E$5:$E$8,"")</f>
        <v>Flat</v>
      </c>
      <c r="I656" s="44" t="str">
        <f aca="false">IF($H656="Percent",_xlfn.XLOOKUP($E656,$A$5:$A$8,$F$5:$F$8,""),"")</f>
        <v/>
      </c>
      <c r="J656" s="42" t="n">
        <f aca="false">IF($H656="Flat",_xlfn.XLOOKUP($E656,$A$5:$A$8,$F$5:$F$8,""),"")</f>
        <v>200</v>
      </c>
      <c r="K656" s="38" t="str">
        <f aca="false">_xlfn.XLOOKUP($E656,$A$5:$A$8,$G$5:$G$8,"")</f>
        <v>Per pay period</v>
      </c>
      <c r="L656" s="38" t="str">
        <f aca="false">_xlfn.XLOOKUP($E656,$A$5:$A$8,$H$5:$H$8,"")</f>
        <v>Every pay period (ongoing)</v>
      </c>
      <c r="M656" s="43" t="n">
        <f aca="false" t="array" ref="M656:M656">MAX(_xlfn.XLOOKUP($A656,TRIM(SUBSTITUTE('worker file'!$A$2:$A$406,_xlfn.UNICHAR(160)," ")),'worker file'!$M$2:$M$406,0),_xlfn.XLOOKUP($B656,TRIM('pay group &amp; schedule'!$A$2:$A$6),'pay group &amp; schedule'!$D$2:$D$6,0))</f>
        <v>46311</v>
      </c>
      <c r="N656" s="43" t="str">
        <f aca="false" t="array" ref="N656:N656">_xlfn.LET(_xlpm.t,_xlfn.XLOOKUP($A656,TRIM(SUBSTITUTE('worker file'!$A$2:$A$406,_xlfn.UNICHAR(160)," ")),'worker file'!$N$2:$N$406,""),IF(N(_xlpm.t)=0,"",_xlpm.t))</f>
        <v/>
      </c>
    </row>
    <row r="657" customFormat="false" ht="15" hidden="false" customHeight="false" outlineLevel="0" collapsed="false">
      <c r="A657" s="39" t="s">
        <v>327</v>
      </c>
      <c r="B657" s="40" t="str">
        <f aca="false" t="array" ref="B657:B657">_xlfn.XLOOKUP($A657,TRIM(SUBSTITUTE('worker file'!$A$2:$A$406,_xlfn.UNICHAR(160)," ")),'worker file'!$L$2:$L$406,"Not found")</f>
        <v>US Semi-monthly</v>
      </c>
      <c r="C657" s="40" t="str">
        <f aca="false" t="array" ref="C657:C657">_xlfn.XLOOKUP($A657,TRIM(SUBSTITUTE('worker file'!$A$2:$A$406,_xlfn.UNICHAR(160)," ")),'worker file'!$D$2:$D$406,"Not found")</f>
        <v>TX</v>
      </c>
      <c r="D657" s="40" t="str">
        <f aca="false" t="array" ref="D657:D657">_xlfn.XLOOKUP($A657,TRIM(SUBSTITUTE('worker file'!$A$2:$A$406,_xlfn.UNICHAR(160)," ")),'worker file'!$Q$2:$Q$406,"Not found")</f>
        <v>Active</v>
      </c>
      <c r="E657" s="39" t="s">
        <v>632</v>
      </c>
      <c r="F657" s="38" t="str">
        <f aca="false">_xlfn.XLOOKUP($E657,$A$5:$A$8,$B$5:$B$8,"")</f>
        <v>Dental – Employee</v>
      </c>
      <c r="G657" s="38" t="str">
        <f aca="false">_xlfn.XLOOKUP($E657,$A$5:$A$8,$D$5:$D$8,"")</f>
        <v>Pre-tax Section 125 (exempt from FIT/SIT/FICA)</v>
      </c>
      <c r="H657" s="38" t="str">
        <f aca="false">_xlfn.XLOOKUP($E657,$A$5:$A$8,$E$5:$E$8,"")</f>
        <v>Flat</v>
      </c>
      <c r="I657" s="44" t="str">
        <f aca="false">IF($H657="Percent",_xlfn.XLOOKUP($E657,$A$5:$A$8,$F$5:$F$8,""),"")</f>
        <v/>
      </c>
      <c r="J657" s="42" t="n">
        <f aca="false">IF($H657="Flat",_xlfn.XLOOKUP($E657,$A$5:$A$8,$F$5:$F$8,""),"")</f>
        <v>44</v>
      </c>
      <c r="K657" s="38" t="str">
        <f aca="false">_xlfn.XLOOKUP($E657,$A$5:$A$8,$G$5:$G$8,"")</f>
        <v>Per pay period</v>
      </c>
      <c r="L657" s="38" t="str">
        <f aca="false">_xlfn.XLOOKUP($E657,$A$5:$A$8,$H$5:$H$8,"")</f>
        <v>Every pay period (ongoing)</v>
      </c>
      <c r="M657" s="43" t="n">
        <f aca="false" t="array" ref="M657:M657">MAX(_xlfn.XLOOKUP($A657,TRIM(SUBSTITUTE('worker file'!$A$2:$A$406,_xlfn.UNICHAR(160)," ")),'worker file'!$M$2:$M$406,0),_xlfn.XLOOKUP($B657,TRIM('pay group &amp; schedule'!$A$2:$A$6),'pay group &amp; schedule'!$D$2:$D$6,0))</f>
        <v>46311</v>
      </c>
      <c r="N657" s="43" t="str">
        <f aca="false" t="array" ref="N657:N657">_xlfn.LET(_xlpm.t,_xlfn.XLOOKUP($A657,TRIM(SUBSTITUTE('worker file'!$A$2:$A$406,_xlfn.UNICHAR(160)," ")),'worker file'!$N$2:$N$406,""),IF(N(_xlpm.t)=0,"",_xlpm.t))</f>
        <v/>
      </c>
    </row>
    <row r="658" customFormat="false" ht="15" hidden="false" customHeight="false" outlineLevel="0" collapsed="false">
      <c r="A658" s="39" t="s">
        <v>327</v>
      </c>
      <c r="B658" s="40" t="str">
        <f aca="false" t="array" ref="B658:B658">_xlfn.XLOOKUP($A658,TRIM(SUBSTITUTE('worker file'!$A$2:$A$406,_xlfn.UNICHAR(160)," ")),'worker file'!$L$2:$L$406,"Not found")</f>
        <v>US Semi-monthly</v>
      </c>
      <c r="C658" s="40" t="str">
        <f aca="false" t="array" ref="C658:C658">_xlfn.XLOOKUP($A658,TRIM(SUBSTITUTE('worker file'!$A$2:$A$406,_xlfn.UNICHAR(160)," ")),'worker file'!$D$2:$D$406,"Not found")</f>
        <v>TX</v>
      </c>
      <c r="D658" s="40" t="str">
        <f aca="false" t="array" ref="D658:D658">_xlfn.XLOOKUP($A658,TRIM(SUBSTITUTE('worker file'!$A$2:$A$406,_xlfn.UNICHAR(160)," ")),'worker file'!$Q$2:$Q$406,"Not found")</f>
        <v>Active</v>
      </c>
      <c r="E658" s="39" t="s">
        <v>634</v>
      </c>
      <c r="F658" s="38" t="str">
        <f aca="false">_xlfn.XLOOKUP($E658,$A$5:$A$8,$B$5:$B$8,"")</f>
        <v>Vision – Employee</v>
      </c>
      <c r="G658" s="38" t="str">
        <f aca="false">_xlfn.XLOOKUP($E658,$A$5:$A$8,$D$5:$D$8,"")</f>
        <v>Pre-tax Section 125 (exempt from FIT/SIT/FICA)</v>
      </c>
      <c r="H658" s="38" t="str">
        <f aca="false">_xlfn.XLOOKUP($E658,$A$5:$A$8,$E$5:$E$8,"")</f>
        <v>Flat</v>
      </c>
      <c r="I658" s="44" t="str">
        <f aca="false">IF($H658="Percent",_xlfn.XLOOKUP($E658,$A$5:$A$8,$F$5:$F$8,""),"")</f>
        <v/>
      </c>
      <c r="J658" s="42" t="n">
        <f aca="false">IF($H658="Flat",_xlfn.XLOOKUP($E658,$A$5:$A$8,$F$5:$F$8,""),"")</f>
        <v>30</v>
      </c>
      <c r="K658" s="38" t="str">
        <f aca="false">_xlfn.XLOOKUP($E658,$A$5:$A$8,$G$5:$G$8,"")</f>
        <v>Per pay period</v>
      </c>
      <c r="L658" s="38" t="str">
        <f aca="false">_xlfn.XLOOKUP($E658,$A$5:$A$8,$H$5:$H$8,"")</f>
        <v>Every pay period (ongoing)</v>
      </c>
      <c r="M658" s="43" t="n">
        <f aca="false" t="array" ref="M658:M658">MAX(_xlfn.XLOOKUP($A658,TRIM(SUBSTITUTE('worker file'!$A$2:$A$406,_xlfn.UNICHAR(160)," ")),'worker file'!$M$2:$M$406,0),_xlfn.XLOOKUP($B658,TRIM('pay group &amp; schedule'!$A$2:$A$6),'pay group &amp; schedule'!$D$2:$D$6,0))</f>
        <v>46311</v>
      </c>
      <c r="N658" s="43" t="str">
        <f aca="false" t="array" ref="N658:N658">_xlfn.LET(_xlpm.t,_xlfn.XLOOKUP($A658,TRIM(SUBSTITUTE('worker file'!$A$2:$A$406,_xlfn.UNICHAR(160)," ")),'worker file'!$N$2:$N$406,""),IF(N(_xlpm.t)=0,"",_xlpm.t))</f>
        <v/>
      </c>
    </row>
    <row r="659" customFormat="false" ht="15" hidden="false" customHeight="false" outlineLevel="0" collapsed="false">
      <c r="A659" s="39" t="s">
        <v>329</v>
      </c>
      <c r="B659" s="40" t="str">
        <f aca="false" t="array" ref="B659:B659">_xlfn.XLOOKUP($A659,TRIM(SUBSTITUTE('worker file'!$A$2:$A$406,_xlfn.UNICHAR(160)," ")),'worker file'!$L$2:$L$406,"Not found")</f>
        <v>US Semi-monthly</v>
      </c>
      <c r="C659" s="40" t="str">
        <f aca="false" t="array" ref="C659:C659">_xlfn.XLOOKUP($A659,TRIM(SUBSTITUTE('worker file'!$A$2:$A$406,_xlfn.UNICHAR(160)," ")),'worker file'!$D$2:$D$406,"Not found")</f>
        <v>CA</v>
      </c>
      <c r="D659" s="40" t="str">
        <f aca="false" t="array" ref="D659:D659">_xlfn.XLOOKUP($A659,TRIM(SUBSTITUTE('worker file'!$A$2:$A$406,_xlfn.UNICHAR(160)," ")),'worker file'!$Q$2:$Q$406,"Not found")</f>
        <v>Active</v>
      </c>
      <c r="E659" s="39" t="s">
        <v>618</v>
      </c>
      <c r="F659" s="38" t="str">
        <f aca="false">_xlfn.XLOOKUP($E659,$A$5:$A$8,$B$5:$B$8,"")</f>
        <v>401(k) Employee Deferral</v>
      </c>
      <c r="G659" s="38" t="str">
        <f aca="false">_xlfn.XLOOKUP($E659,$A$5:$A$8,$D$5:$D$8,"")</f>
        <v>Pre-tax (exempt from FIT/SIT; subject to FICA)</v>
      </c>
      <c r="H659" s="38" t="str">
        <f aca="false">_xlfn.XLOOKUP($E659,$A$5:$A$8,$E$5:$E$8,"")</f>
        <v>Percent</v>
      </c>
      <c r="I659" s="41" t="n">
        <v>0.01</v>
      </c>
      <c r="J659" s="42" t="str">
        <f aca="false">IF($H659="Flat",_xlfn.XLOOKUP($E659,$A$5:$A$8,$F$5:$F$8,""),"")</f>
        <v/>
      </c>
      <c r="K659" s="38" t="str">
        <f aca="false">_xlfn.XLOOKUP($E659,$A$5:$A$8,$G$5:$G$8,"")</f>
        <v>Gross pay</v>
      </c>
      <c r="L659" s="38" t="str">
        <f aca="false">_xlfn.XLOOKUP($E659,$A$5:$A$8,$H$5:$H$8,"")</f>
        <v>Every pay period (ongoing)</v>
      </c>
      <c r="M659" s="43" t="n">
        <f aca="false" t="array" ref="M659:M659">MAX(_xlfn.XLOOKUP($A659,TRIM(SUBSTITUTE('worker file'!$A$2:$A$406,_xlfn.UNICHAR(160)," ")),'worker file'!$M$2:$M$406,0),_xlfn.XLOOKUP($B659,TRIM('pay group &amp; schedule'!$A$2:$A$6),'pay group &amp; schedule'!$D$2:$D$6,0))</f>
        <v>46311</v>
      </c>
      <c r="N659" s="43" t="str">
        <f aca="false" t="array" ref="N659:N659">_xlfn.LET(_xlpm.t,_xlfn.XLOOKUP($A659,TRIM(SUBSTITUTE('worker file'!$A$2:$A$406,_xlfn.UNICHAR(160)," ")),'worker file'!$N$2:$N$406,""),IF(N(_xlpm.t)=0,"",_xlpm.t))</f>
        <v/>
      </c>
    </row>
    <row r="660" customFormat="false" ht="15" hidden="false" customHeight="false" outlineLevel="0" collapsed="false">
      <c r="A660" s="39" t="s">
        <v>329</v>
      </c>
      <c r="B660" s="40" t="str">
        <f aca="false" t="array" ref="B660:B660">_xlfn.XLOOKUP($A660,TRIM(SUBSTITUTE('worker file'!$A$2:$A$406,_xlfn.UNICHAR(160)," ")),'worker file'!$L$2:$L$406,"Not found")</f>
        <v>US Semi-monthly</v>
      </c>
      <c r="C660" s="40" t="str">
        <f aca="false" t="array" ref="C660:C660">_xlfn.XLOOKUP($A660,TRIM(SUBSTITUTE('worker file'!$A$2:$A$406,_xlfn.UNICHAR(160)," ")),'worker file'!$D$2:$D$406,"Not found")</f>
        <v>CA</v>
      </c>
      <c r="D660" s="40" t="str">
        <f aca="false" t="array" ref="D660:D660">_xlfn.XLOOKUP($A660,TRIM(SUBSTITUTE('worker file'!$A$2:$A$406,_xlfn.UNICHAR(160)," ")),'worker file'!$Q$2:$Q$406,"Not found")</f>
        <v>Active</v>
      </c>
      <c r="E660" s="39" t="s">
        <v>626</v>
      </c>
      <c r="F660" s="38" t="str">
        <f aca="false">_xlfn.XLOOKUP($E660,$A$5:$A$8,$B$5:$B$8,"")</f>
        <v>Medical (Health) – Employee</v>
      </c>
      <c r="G660" s="38" t="str">
        <f aca="false">_xlfn.XLOOKUP($E660,$A$5:$A$8,$D$5:$D$8,"")</f>
        <v>Pre-tax Section 125 (exempt from FIT/SIT/FICA)</v>
      </c>
      <c r="H660" s="38" t="str">
        <f aca="false">_xlfn.XLOOKUP($E660,$A$5:$A$8,$E$5:$E$8,"")</f>
        <v>Flat</v>
      </c>
      <c r="I660" s="44" t="str">
        <f aca="false">IF($H660="Percent",_xlfn.XLOOKUP($E660,$A$5:$A$8,$F$5:$F$8,""),"")</f>
        <v/>
      </c>
      <c r="J660" s="42" t="n">
        <f aca="false">IF($H660="Flat",_xlfn.XLOOKUP($E660,$A$5:$A$8,$F$5:$F$8,""),"")</f>
        <v>200</v>
      </c>
      <c r="K660" s="38" t="str">
        <f aca="false">_xlfn.XLOOKUP($E660,$A$5:$A$8,$G$5:$G$8,"")</f>
        <v>Per pay period</v>
      </c>
      <c r="L660" s="38" t="str">
        <f aca="false">_xlfn.XLOOKUP($E660,$A$5:$A$8,$H$5:$H$8,"")</f>
        <v>Every pay period (ongoing)</v>
      </c>
      <c r="M660" s="43" t="n">
        <f aca="false" t="array" ref="M660:M660">MAX(_xlfn.XLOOKUP($A660,TRIM(SUBSTITUTE('worker file'!$A$2:$A$406,_xlfn.UNICHAR(160)," ")),'worker file'!$M$2:$M$406,0),_xlfn.XLOOKUP($B660,TRIM('pay group &amp; schedule'!$A$2:$A$6),'pay group &amp; schedule'!$D$2:$D$6,0))</f>
        <v>46311</v>
      </c>
      <c r="N660" s="43" t="str">
        <f aca="false" t="array" ref="N660:N660">_xlfn.LET(_xlpm.t,_xlfn.XLOOKUP($A660,TRIM(SUBSTITUTE('worker file'!$A$2:$A$406,_xlfn.UNICHAR(160)," ")),'worker file'!$N$2:$N$406,""),IF(N(_xlpm.t)=0,"",_xlpm.t))</f>
        <v/>
      </c>
    </row>
    <row r="661" customFormat="false" ht="15" hidden="false" customHeight="false" outlineLevel="0" collapsed="false">
      <c r="A661" s="39" t="s">
        <v>329</v>
      </c>
      <c r="B661" s="40" t="str">
        <f aca="false" t="array" ref="B661:B661">_xlfn.XLOOKUP($A661,TRIM(SUBSTITUTE('worker file'!$A$2:$A$406,_xlfn.UNICHAR(160)," ")),'worker file'!$L$2:$L$406,"Not found")</f>
        <v>US Semi-monthly</v>
      </c>
      <c r="C661" s="40" t="str">
        <f aca="false" t="array" ref="C661:C661">_xlfn.XLOOKUP($A661,TRIM(SUBSTITUTE('worker file'!$A$2:$A$406,_xlfn.UNICHAR(160)," ")),'worker file'!$D$2:$D$406,"Not found")</f>
        <v>CA</v>
      </c>
      <c r="D661" s="40" t="str">
        <f aca="false" t="array" ref="D661:D661">_xlfn.XLOOKUP($A661,TRIM(SUBSTITUTE('worker file'!$A$2:$A$406,_xlfn.UNICHAR(160)," ")),'worker file'!$Q$2:$Q$406,"Not found")</f>
        <v>Active</v>
      </c>
      <c r="E661" s="39" t="s">
        <v>632</v>
      </c>
      <c r="F661" s="38" t="str">
        <f aca="false">_xlfn.XLOOKUP($E661,$A$5:$A$8,$B$5:$B$8,"")</f>
        <v>Dental – Employee</v>
      </c>
      <c r="G661" s="38" t="str">
        <f aca="false">_xlfn.XLOOKUP($E661,$A$5:$A$8,$D$5:$D$8,"")</f>
        <v>Pre-tax Section 125 (exempt from FIT/SIT/FICA)</v>
      </c>
      <c r="H661" s="38" t="str">
        <f aca="false">_xlfn.XLOOKUP($E661,$A$5:$A$8,$E$5:$E$8,"")</f>
        <v>Flat</v>
      </c>
      <c r="I661" s="44" t="str">
        <f aca="false">IF($H661="Percent",_xlfn.XLOOKUP($E661,$A$5:$A$8,$F$5:$F$8,""),"")</f>
        <v/>
      </c>
      <c r="J661" s="42" t="n">
        <f aca="false">IF($H661="Flat",_xlfn.XLOOKUP($E661,$A$5:$A$8,$F$5:$F$8,""),"")</f>
        <v>44</v>
      </c>
      <c r="K661" s="38" t="str">
        <f aca="false">_xlfn.XLOOKUP($E661,$A$5:$A$8,$G$5:$G$8,"")</f>
        <v>Per pay period</v>
      </c>
      <c r="L661" s="38" t="str">
        <f aca="false">_xlfn.XLOOKUP($E661,$A$5:$A$8,$H$5:$H$8,"")</f>
        <v>Every pay period (ongoing)</v>
      </c>
      <c r="M661" s="43" t="n">
        <f aca="false" t="array" ref="M661:M661">MAX(_xlfn.XLOOKUP($A661,TRIM(SUBSTITUTE('worker file'!$A$2:$A$406,_xlfn.UNICHAR(160)," ")),'worker file'!$M$2:$M$406,0),_xlfn.XLOOKUP($B661,TRIM('pay group &amp; schedule'!$A$2:$A$6),'pay group &amp; schedule'!$D$2:$D$6,0))</f>
        <v>46311</v>
      </c>
      <c r="N661" s="43" t="str">
        <f aca="false" t="array" ref="N661:N661">_xlfn.LET(_xlpm.t,_xlfn.XLOOKUP($A661,TRIM(SUBSTITUTE('worker file'!$A$2:$A$406,_xlfn.UNICHAR(160)," ")),'worker file'!$N$2:$N$406,""),IF(N(_xlpm.t)=0,"",_xlpm.t))</f>
        <v/>
      </c>
    </row>
    <row r="662" customFormat="false" ht="15" hidden="false" customHeight="false" outlineLevel="0" collapsed="false">
      <c r="A662" s="39" t="s">
        <v>329</v>
      </c>
      <c r="B662" s="40" t="str">
        <f aca="false" t="array" ref="B662:B662">_xlfn.XLOOKUP($A662,TRIM(SUBSTITUTE('worker file'!$A$2:$A$406,_xlfn.UNICHAR(160)," ")),'worker file'!$L$2:$L$406,"Not found")</f>
        <v>US Semi-monthly</v>
      </c>
      <c r="C662" s="40" t="str">
        <f aca="false" t="array" ref="C662:C662">_xlfn.XLOOKUP($A662,TRIM(SUBSTITUTE('worker file'!$A$2:$A$406,_xlfn.UNICHAR(160)," ")),'worker file'!$D$2:$D$406,"Not found")</f>
        <v>CA</v>
      </c>
      <c r="D662" s="40" t="str">
        <f aca="false" t="array" ref="D662:D662">_xlfn.XLOOKUP($A662,TRIM(SUBSTITUTE('worker file'!$A$2:$A$406,_xlfn.UNICHAR(160)," ")),'worker file'!$Q$2:$Q$406,"Not found")</f>
        <v>Active</v>
      </c>
      <c r="E662" s="39" t="s">
        <v>634</v>
      </c>
      <c r="F662" s="38" t="str">
        <f aca="false">_xlfn.XLOOKUP($E662,$A$5:$A$8,$B$5:$B$8,"")</f>
        <v>Vision – Employee</v>
      </c>
      <c r="G662" s="38" t="str">
        <f aca="false">_xlfn.XLOOKUP($E662,$A$5:$A$8,$D$5:$D$8,"")</f>
        <v>Pre-tax Section 125 (exempt from FIT/SIT/FICA)</v>
      </c>
      <c r="H662" s="38" t="str">
        <f aca="false">_xlfn.XLOOKUP($E662,$A$5:$A$8,$E$5:$E$8,"")</f>
        <v>Flat</v>
      </c>
      <c r="I662" s="44" t="str">
        <f aca="false">IF($H662="Percent",_xlfn.XLOOKUP($E662,$A$5:$A$8,$F$5:$F$8,""),"")</f>
        <v/>
      </c>
      <c r="J662" s="42" t="n">
        <f aca="false">IF($H662="Flat",_xlfn.XLOOKUP($E662,$A$5:$A$8,$F$5:$F$8,""),"")</f>
        <v>30</v>
      </c>
      <c r="K662" s="38" t="str">
        <f aca="false">_xlfn.XLOOKUP($E662,$A$5:$A$8,$G$5:$G$8,"")</f>
        <v>Per pay period</v>
      </c>
      <c r="L662" s="38" t="str">
        <f aca="false">_xlfn.XLOOKUP($E662,$A$5:$A$8,$H$5:$H$8,"")</f>
        <v>Every pay period (ongoing)</v>
      </c>
      <c r="M662" s="43" t="n">
        <f aca="false" t="array" ref="M662:M662">MAX(_xlfn.XLOOKUP($A662,TRIM(SUBSTITUTE('worker file'!$A$2:$A$406,_xlfn.UNICHAR(160)," ")),'worker file'!$M$2:$M$406,0),_xlfn.XLOOKUP($B662,TRIM('pay group &amp; schedule'!$A$2:$A$6),'pay group &amp; schedule'!$D$2:$D$6,0))</f>
        <v>46311</v>
      </c>
      <c r="N662" s="43" t="str">
        <f aca="false" t="array" ref="N662:N662">_xlfn.LET(_xlpm.t,_xlfn.XLOOKUP($A662,TRIM(SUBSTITUTE('worker file'!$A$2:$A$406,_xlfn.UNICHAR(160)," ")),'worker file'!$N$2:$N$406,""),IF(N(_xlpm.t)=0,"",_xlpm.t))</f>
        <v/>
      </c>
    </row>
    <row r="663" customFormat="false" ht="15" hidden="false" customHeight="false" outlineLevel="0" collapsed="false">
      <c r="A663" s="39" t="s">
        <v>331</v>
      </c>
      <c r="B663" s="40" t="str">
        <f aca="false" t="array" ref="B663:B663">_xlfn.XLOOKUP($A663,TRIM(SUBSTITUTE('worker file'!$A$2:$A$406,_xlfn.UNICHAR(160)," ")),'worker file'!$L$2:$L$406,"Not found")</f>
        <v>US Semi-monthly</v>
      </c>
      <c r="C663" s="40" t="str">
        <f aca="false" t="array" ref="C663:C663">_xlfn.XLOOKUP($A663,TRIM(SUBSTITUTE('worker file'!$A$2:$A$406,_xlfn.UNICHAR(160)," ")),'worker file'!$D$2:$D$406,"Not found")</f>
        <v>WA</v>
      </c>
      <c r="D663" s="40" t="str">
        <f aca="false" t="array" ref="D663:D663">_xlfn.XLOOKUP($A663,TRIM(SUBSTITUTE('worker file'!$A$2:$A$406,_xlfn.UNICHAR(160)," ")),'worker file'!$Q$2:$Q$406,"Not found")</f>
        <v>Active</v>
      </c>
      <c r="E663" s="39" t="s">
        <v>618</v>
      </c>
      <c r="F663" s="38" t="str">
        <f aca="false">_xlfn.XLOOKUP($E663,$A$5:$A$8,$B$5:$B$8,"")</f>
        <v>401(k) Employee Deferral</v>
      </c>
      <c r="G663" s="38" t="str">
        <f aca="false">_xlfn.XLOOKUP($E663,$A$5:$A$8,$D$5:$D$8,"")</f>
        <v>Pre-tax (exempt from FIT/SIT; subject to FICA)</v>
      </c>
      <c r="H663" s="38" t="str">
        <f aca="false">_xlfn.XLOOKUP($E663,$A$5:$A$8,$E$5:$E$8,"")</f>
        <v>Percent</v>
      </c>
      <c r="I663" s="41" t="n">
        <v>0.06</v>
      </c>
      <c r="J663" s="42" t="str">
        <f aca="false">IF($H663="Flat",_xlfn.XLOOKUP($E663,$A$5:$A$8,$F$5:$F$8,""),"")</f>
        <v/>
      </c>
      <c r="K663" s="38" t="str">
        <f aca="false">_xlfn.XLOOKUP($E663,$A$5:$A$8,$G$5:$G$8,"")</f>
        <v>Gross pay</v>
      </c>
      <c r="L663" s="38" t="str">
        <f aca="false">_xlfn.XLOOKUP($E663,$A$5:$A$8,$H$5:$H$8,"")</f>
        <v>Every pay period (ongoing)</v>
      </c>
      <c r="M663" s="43" t="n">
        <f aca="false" t="array" ref="M663:M663">MAX(_xlfn.XLOOKUP($A663,TRIM(SUBSTITUTE('worker file'!$A$2:$A$406,_xlfn.UNICHAR(160)," ")),'worker file'!$M$2:$M$406,0),_xlfn.XLOOKUP($B663,TRIM('pay group &amp; schedule'!$A$2:$A$6),'pay group &amp; schedule'!$D$2:$D$6,0))</f>
        <v>46311</v>
      </c>
      <c r="N663" s="43" t="str">
        <f aca="false" t="array" ref="N663:N663">_xlfn.LET(_xlpm.t,_xlfn.XLOOKUP($A663,TRIM(SUBSTITUTE('worker file'!$A$2:$A$406,_xlfn.UNICHAR(160)," ")),'worker file'!$N$2:$N$406,""),IF(N(_xlpm.t)=0,"",_xlpm.t))</f>
        <v/>
      </c>
    </row>
    <row r="664" customFormat="false" ht="15" hidden="false" customHeight="false" outlineLevel="0" collapsed="false">
      <c r="A664" s="39" t="s">
        <v>331</v>
      </c>
      <c r="B664" s="40" t="str">
        <f aca="false" t="array" ref="B664:B664">_xlfn.XLOOKUP($A664,TRIM(SUBSTITUTE('worker file'!$A$2:$A$406,_xlfn.UNICHAR(160)," ")),'worker file'!$L$2:$L$406,"Not found")</f>
        <v>US Semi-monthly</v>
      </c>
      <c r="C664" s="40" t="str">
        <f aca="false" t="array" ref="C664:C664">_xlfn.XLOOKUP($A664,TRIM(SUBSTITUTE('worker file'!$A$2:$A$406,_xlfn.UNICHAR(160)," ")),'worker file'!$D$2:$D$406,"Not found")</f>
        <v>WA</v>
      </c>
      <c r="D664" s="40" t="str">
        <f aca="false" t="array" ref="D664:D664">_xlfn.XLOOKUP($A664,TRIM(SUBSTITUTE('worker file'!$A$2:$A$406,_xlfn.UNICHAR(160)," ")),'worker file'!$Q$2:$Q$406,"Not found")</f>
        <v>Active</v>
      </c>
      <c r="E664" s="39" t="s">
        <v>626</v>
      </c>
      <c r="F664" s="38" t="str">
        <f aca="false">_xlfn.XLOOKUP($E664,$A$5:$A$8,$B$5:$B$8,"")</f>
        <v>Medical (Health) – Employee</v>
      </c>
      <c r="G664" s="38" t="str">
        <f aca="false">_xlfn.XLOOKUP($E664,$A$5:$A$8,$D$5:$D$8,"")</f>
        <v>Pre-tax Section 125 (exempt from FIT/SIT/FICA)</v>
      </c>
      <c r="H664" s="38" t="str">
        <f aca="false">_xlfn.XLOOKUP($E664,$A$5:$A$8,$E$5:$E$8,"")</f>
        <v>Flat</v>
      </c>
      <c r="I664" s="44" t="str">
        <f aca="false">IF($H664="Percent",_xlfn.XLOOKUP($E664,$A$5:$A$8,$F$5:$F$8,""),"")</f>
        <v/>
      </c>
      <c r="J664" s="42" t="n">
        <f aca="false">IF($H664="Flat",_xlfn.XLOOKUP($E664,$A$5:$A$8,$F$5:$F$8,""),"")</f>
        <v>200</v>
      </c>
      <c r="K664" s="38" t="str">
        <f aca="false">_xlfn.XLOOKUP($E664,$A$5:$A$8,$G$5:$G$8,"")</f>
        <v>Per pay period</v>
      </c>
      <c r="L664" s="38" t="str">
        <f aca="false">_xlfn.XLOOKUP($E664,$A$5:$A$8,$H$5:$H$8,"")</f>
        <v>Every pay period (ongoing)</v>
      </c>
      <c r="M664" s="43" t="n">
        <f aca="false" t="array" ref="M664:M664">MAX(_xlfn.XLOOKUP($A664,TRIM(SUBSTITUTE('worker file'!$A$2:$A$406,_xlfn.UNICHAR(160)," ")),'worker file'!$M$2:$M$406,0),_xlfn.XLOOKUP($B664,TRIM('pay group &amp; schedule'!$A$2:$A$6),'pay group &amp; schedule'!$D$2:$D$6,0))</f>
        <v>46311</v>
      </c>
      <c r="N664" s="43" t="str">
        <f aca="false" t="array" ref="N664:N664">_xlfn.LET(_xlpm.t,_xlfn.XLOOKUP($A664,TRIM(SUBSTITUTE('worker file'!$A$2:$A$406,_xlfn.UNICHAR(160)," ")),'worker file'!$N$2:$N$406,""),IF(N(_xlpm.t)=0,"",_xlpm.t))</f>
        <v/>
      </c>
    </row>
    <row r="665" customFormat="false" ht="15" hidden="false" customHeight="false" outlineLevel="0" collapsed="false">
      <c r="A665" s="39" t="s">
        <v>331</v>
      </c>
      <c r="B665" s="40" t="str">
        <f aca="false" t="array" ref="B665:B665">_xlfn.XLOOKUP($A665,TRIM(SUBSTITUTE('worker file'!$A$2:$A$406,_xlfn.UNICHAR(160)," ")),'worker file'!$L$2:$L$406,"Not found")</f>
        <v>US Semi-monthly</v>
      </c>
      <c r="C665" s="40" t="str">
        <f aca="false" t="array" ref="C665:C665">_xlfn.XLOOKUP($A665,TRIM(SUBSTITUTE('worker file'!$A$2:$A$406,_xlfn.UNICHAR(160)," ")),'worker file'!$D$2:$D$406,"Not found")</f>
        <v>WA</v>
      </c>
      <c r="D665" s="40" t="str">
        <f aca="false" t="array" ref="D665:D665">_xlfn.XLOOKUP($A665,TRIM(SUBSTITUTE('worker file'!$A$2:$A$406,_xlfn.UNICHAR(160)," ")),'worker file'!$Q$2:$Q$406,"Not found")</f>
        <v>Active</v>
      </c>
      <c r="E665" s="39" t="s">
        <v>632</v>
      </c>
      <c r="F665" s="38" t="str">
        <f aca="false">_xlfn.XLOOKUP($E665,$A$5:$A$8,$B$5:$B$8,"")</f>
        <v>Dental – Employee</v>
      </c>
      <c r="G665" s="38" t="str">
        <f aca="false">_xlfn.XLOOKUP($E665,$A$5:$A$8,$D$5:$D$8,"")</f>
        <v>Pre-tax Section 125 (exempt from FIT/SIT/FICA)</v>
      </c>
      <c r="H665" s="38" t="str">
        <f aca="false">_xlfn.XLOOKUP($E665,$A$5:$A$8,$E$5:$E$8,"")</f>
        <v>Flat</v>
      </c>
      <c r="I665" s="44" t="str">
        <f aca="false">IF($H665="Percent",_xlfn.XLOOKUP($E665,$A$5:$A$8,$F$5:$F$8,""),"")</f>
        <v/>
      </c>
      <c r="J665" s="42" t="n">
        <f aca="false">IF($H665="Flat",_xlfn.XLOOKUP($E665,$A$5:$A$8,$F$5:$F$8,""),"")</f>
        <v>44</v>
      </c>
      <c r="K665" s="38" t="str">
        <f aca="false">_xlfn.XLOOKUP($E665,$A$5:$A$8,$G$5:$G$8,"")</f>
        <v>Per pay period</v>
      </c>
      <c r="L665" s="38" t="str">
        <f aca="false">_xlfn.XLOOKUP($E665,$A$5:$A$8,$H$5:$H$8,"")</f>
        <v>Every pay period (ongoing)</v>
      </c>
      <c r="M665" s="43" t="n">
        <f aca="false" t="array" ref="M665:M665">MAX(_xlfn.XLOOKUP($A665,TRIM(SUBSTITUTE('worker file'!$A$2:$A$406,_xlfn.UNICHAR(160)," ")),'worker file'!$M$2:$M$406,0),_xlfn.XLOOKUP($B665,TRIM('pay group &amp; schedule'!$A$2:$A$6),'pay group &amp; schedule'!$D$2:$D$6,0))</f>
        <v>46311</v>
      </c>
      <c r="N665" s="43" t="str">
        <f aca="false" t="array" ref="N665:N665">_xlfn.LET(_xlpm.t,_xlfn.XLOOKUP($A665,TRIM(SUBSTITUTE('worker file'!$A$2:$A$406,_xlfn.UNICHAR(160)," ")),'worker file'!$N$2:$N$406,""),IF(N(_xlpm.t)=0,"",_xlpm.t))</f>
        <v/>
      </c>
    </row>
    <row r="666" customFormat="false" ht="15" hidden="false" customHeight="false" outlineLevel="0" collapsed="false">
      <c r="A666" s="39" t="s">
        <v>331</v>
      </c>
      <c r="B666" s="40" t="str">
        <f aca="false" t="array" ref="B666:B666">_xlfn.XLOOKUP($A666,TRIM(SUBSTITUTE('worker file'!$A$2:$A$406,_xlfn.UNICHAR(160)," ")),'worker file'!$L$2:$L$406,"Not found")</f>
        <v>US Semi-monthly</v>
      </c>
      <c r="C666" s="40" t="str">
        <f aca="false" t="array" ref="C666:C666">_xlfn.XLOOKUP($A666,TRIM(SUBSTITUTE('worker file'!$A$2:$A$406,_xlfn.UNICHAR(160)," ")),'worker file'!$D$2:$D$406,"Not found")</f>
        <v>WA</v>
      </c>
      <c r="D666" s="40" t="str">
        <f aca="false" t="array" ref="D666:D666">_xlfn.XLOOKUP($A666,TRIM(SUBSTITUTE('worker file'!$A$2:$A$406,_xlfn.UNICHAR(160)," ")),'worker file'!$Q$2:$Q$406,"Not found")</f>
        <v>Active</v>
      </c>
      <c r="E666" s="39" t="s">
        <v>634</v>
      </c>
      <c r="F666" s="38" t="str">
        <f aca="false">_xlfn.XLOOKUP($E666,$A$5:$A$8,$B$5:$B$8,"")</f>
        <v>Vision – Employee</v>
      </c>
      <c r="G666" s="38" t="str">
        <f aca="false">_xlfn.XLOOKUP($E666,$A$5:$A$8,$D$5:$D$8,"")</f>
        <v>Pre-tax Section 125 (exempt from FIT/SIT/FICA)</v>
      </c>
      <c r="H666" s="38" t="str">
        <f aca="false">_xlfn.XLOOKUP($E666,$A$5:$A$8,$E$5:$E$8,"")</f>
        <v>Flat</v>
      </c>
      <c r="I666" s="44" t="str">
        <f aca="false">IF($H666="Percent",_xlfn.XLOOKUP($E666,$A$5:$A$8,$F$5:$F$8,""),"")</f>
        <v/>
      </c>
      <c r="J666" s="42" t="n">
        <f aca="false">IF($H666="Flat",_xlfn.XLOOKUP($E666,$A$5:$A$8,$F$5:$F$8,""),"")</f>
        <v>30</v>
      </c>
      <c r="K666" s="38" t="str">
        <f aca="false">_xlfn.XLOOKUP($E666,$A$5:$A$8,$G$5:$G$8,"")</f>
        <v>Per pay period</v>
      </c>
      <c r="L666" s="38" t="str">
        <f aca="false">_xlfn.XLOOKUP($E666,$A$5:$A$8,$H$5:$H$8,"")</f>
        <v>Every pay period (ongoing)</v>
      </c>
      <c r="M666" s="43" t="n">
        <f aca="false" t="array" ref="M666:M666">MAX(_xlfn.XLOOKUP($A666,TRIM(SUBSTITUTE('worker file'!$A$2:$A$406,_xlfn.UNICHAR(160)," ")),'worker file'!$M$2:$M$406,0),_xlfn.XLOOKUP($B666,TRIM('pay group &amp; schedule'!$A$2:$A$6),'pay group &amp; schedule'!$D$2:$D$6,0))</f>
        <v>46311</v>
      </c>
      <c r="N666" s="43" t="str">
        <f aca="false" t="array" ref="N666:N666">_xlfn.LET(_xlpm.t,_xlfn.XLOOKUP($A666,TRIM(SUBSTITUTE('worker file'!$A$2:$A$406,_xlfn.UNICHAR(160)," ")),'worker file'!$N$2:$N$406,""),IF(N(_xlpm.t)=0,"",_xlpm.t))</f>
        <v/>
      </c>
    </row>
    <row r="667" customFormat="false" ht="15" hidden="false" customHeight="false" outlineLevel="0" collapsed="false">
      <c r="A667" s="39" t="s">
        <v>332</v>
      </c>
      <c r="B667" s="40" t="str">
        <f aca="false" t="array" ref="B667:B667">_xlfn.XLOOKUP($A667,TRIM(SUBSTITUTE('worker file'!$A$2:$A$406,_xlfn.UNICHAR(160)," ")),'worker file'!$L$2:$L$406,"Not found")</f>
        <v>US Semi-monthly</v>
      </c>
      <c r="C667" s="40" t="str">
        <f aca="false" t="array" ref="C667:C667">_xlfn.XLOOKUP($A667,TRIM(SUBSTITUTE('worker file'!$A$2:$A$406,_xlfn.UNICHAR(160)," ")),'worker file'!$D$2:$D$406,"Not found")</f>
        <v>CA</v>
      </c>
      <c r="D667" s="40" t="str">
        <f aca="false" t="array" ref="D667:D667">_xlfn.XLOOKUP($A667,TRIM(SUBSTITUTE('worker file'!$A$2:$A$406,_xlfn.UNICHAR(160)," ")),'worker file'!$Q$2:$Q$406,"Not found")</f>
        <v>Active</v>
      </c>
      <c r="E667" s="39" t="s">
        <v>618</v>
      </c>
      <c r="F667" s="38" t="str">
        <f aca="false">_xlfn.XLOOKUP($E667,$A$5:$A$8,$B$5:$B$8,"")</f>
        <v>401(k) Employee Deferral</v>
      </c>
      <c r="G667" s="38" t="str">
        <f aca="false">_xlfn.XLOOKUP($E667,$A$5:$A$8,$D$5:$D$8,"")</f>
        <v>Pre-tax (exempt from FIT/SIT; subject to FICA)</v>
      </c>
      <c r="H667" s="38" t="str">
        <f aca="false">_xlfn.XLOOKUP($E667,$A$5:$A$8,$E$5:$E$8,"")</f>
        <v>Percent</v>
      </c>
      <c r="I667" s="41" t="n">
        <v>0.03</v>
      </c>
      <c r="J667" s="42" t="str">
        <f aca="false">IF($H667="Flat",_xlfn.XLOOKUP($E667,$A$5:$A$8,$F$5:$F$8,""),"")</f>
        <v/>
      </c>
      <c r="K667" s="38" t="str">
        <f aca="false">_xlfn.XLOOKUP($E667,$A$5:$A$8,$G$5:$G$8,"")</f>
        <v>Gross pay</v>
      </c>
      <c r="L667" s="38" t="str">
        <f aca="false">_xlfn.XLOOKUP($E667,$A$5:$A$8,$H$5:$H$8,"")</f>
        <v>Every pay period (ongoing)</v>
      </c>
      <c r="M667" s="43" t="n">
        <f aca="false" t="array" ref="M667:M667">MAX(_xlfn.XLOOKUP($A667,TRIM(SUBSTITUTE('worker file'!$A$2:$A$406,_xlfn.UNICHAR(160)," ")),'worker file'!$M$2:$M$406,0),_xlfn.XLOOKUP($B667,TRIM('pay group &amp; schedule'!$A$2:$A$6),'pay group &amp; schedule'!$D$2:$D$6,0))</f>
        <v>46311</v>
      </c>
      <c r="N667" s="43" t="str">
        <f aca="false" t="array" ref="N667:N667">_xlfn.LET(_xlpm.t,_xlfn.XLOOKUP($A667,TRIM(SUBSTITUTE('worker file'!$A$2:$A$406,_xlfn.UNICHAR(160)," ")),'worker file'!$N$2:$N$406,""),IF(N(_xlpm.t)=0,"",_xlpm.t))</f>
        <v/>
      </c>
    </row>
    <row r="668" customFormat="false" ht="15" hidden="false" customHeight="false" outlineLevel="0" collapsed="false">
      <c r="A668" s="39" t="s">
        <v>332</v>
      </c>
      <c r="B668" s="40" t="str">
        <f aca="false" t="array" ref="B668:B668">_xlfn.XLOOKUP($A668,TRIM(SUBSTITUTE('worker file'!$A$2:$A$406,_xlfn.UNICHAR(160)," ")),'worker file'!$L$2:$L$406,"Not found")</f>
        <v>US Semi-monthly</v>
      </c>
      <c r="C668" s="40" t="str">
        <f aca="false" t="array" ref="C668:C668">_xlfn.XLOOKUP($A668,TRIM(SUBSTITUTE('worker file'!$A$2:$A$406,_xlfn.UNICHAR(160)," ")),'worker file'!$D$2:$D$406,"Not found")</f>
        <v>CA</v>
      </c>
      <c r="D668" s="40" t="str">
        <f aca="false" t="array" ref="D668:D668">_xlfn.XLOOKUP($A668,TRIM(SUBSTITUTE('worker file'!$A$2:$A$406,_xlfn.UNICHAR(160)," ")),'worker file'!$Q$2:$Q$406,"Not found")</f>
        <v>Active</v>
      </c>
      <c r="E668" s="39" t="s">
        <v>626</v>
      </c>
      <c r="F668" s="38" t="str">
        <f aca="false">_xlfn.XLOOKUP($E668,$A$5:$A$8,$B$5:$B$8,"")</f>
        <v>Medical (Health) – Employee</v>
      </c>
      <c r="G668" s="38" t="str">
        <f aca="false">_xlfn.XLOOKUP($E668,$A$5:$A$8,$D$5:$D$8,"")</f>
        <v>Pre-tax Section 125 (exempt from FIT/SIT/FICA)</v>
      </c>
      <c r="H668" s="38" t="str">
        <f aca="false">_xlfn.XLOOKUP($E668,$A$5:$A$8,$E$5:$E$8,"")</f>
        <v>Flat</v>
      </c>
      <c r="I668" s="44" t="str">
        <f aca="false">IF($H668="Percent",_xlfn.XLOOKUP($E668,$A$5:$A$8,$F$5:$F$8,""),"")</f>
        <v/>
      </c>
      <c r="J668" s="42" t="n">
        <f aca="false">IF($H668="Flat",_xlfn.XLOOKUP($E668,$A$5:$A$8,$F$5:$F$8,""),"")</f>
        <v>200</v>
      </c>
      <c r="K668" s="38" t="str">
        <f aca="false">_xlfn.XLOOKUP($E668,$A$5:$A$8,$G$5:$G$8,"")</f>
        <v>Per pay period</v>
      </c>
      <c r="L668" s="38" t="str">
        <f aca="false">_xlfn.XLOOKUP($E668,$A$5:$A$8,$H$5:$H$8,"")</f>
        <v>Every pay period (ongoing)</v>
      </c>
      <c r="M668" s="43" t="n">
        <f aca="false" t="array" ref="M668:M668">MAX(_xlfn.XLOOKUP($A668,TRIM(SUBSTITUTE('worker file'!$A$2:$A$406,_xlfn.UNICHAR(160)," ")),'worker file'!$M$2:$M$406,0),_xlfn.XLOOKUP($B668,TRIM('pay group &amp; schedule'!$A$2:$A$6),'pay group &amp; schedule'!$D$2:$D$6,0))</f>
        <v>46311</v>
      </c>
      <c r="N668" s="43" t="str">
        <f aca="false" t="array" ref="N668:N668">_xlfn.LET(_xlpm.t,_xlfn.XLOOKUP($A668,TRIM(SUBSTITUTE('worker file'!$A$2:$A$406,_xlfn.UNICHAR(160)," ")),'worker file'!$N$2:$N$406,""),IF(N(_xlpm.t)=0,"",_xlpm.t))</f>
        <v/>
      </c>
    </row>
    <row r="669" customFormat="false" ht="15" hidden="false" customHeight="false" outlineLevel="0" collapsed="false">
      <c r="A669" s="39" t="s">
        <v>332</v>
      </c>
      <c r="B669" s="40" t="str">
        <f aca="false" t="array" ref="B669:B669">_xlfn.XLOOKUP($A669,TRIM(SUBSTITUTE('worker file'!$A$2:$A$406,_xlfn.UNICHAR(160)," ")),'worker file'!$L$2:$L$406,"Not found")</f>
        <v>US Semi-monthly</v>
      </c>
      <c r="C669" s="40" t="str">
        <f aca="false" t="array" ref="C669:C669">_xlfn.XLOOKUP($A669,TRIM(SUBSTITUTE('worker file'!$A$2:$A$406,_xlfn.UNICHAR(160)," ")),'worker file'!$D$2:$D$406,"Not found")</f>
        <v>CA</v>
      </c>
      <c r="D669" s="40" t="str">
        <f aca="false" t="array" ref="D669:D669">_xlfn.XLOOKUP($A669,TRIM(SUBSTITUTE('worker file'!$A$2:$A$406,_xlfn.UNICHAR(160)," ")),'worker file'!$Q$2:$Q$406,"Not found")</f>
        <v>Active</v>
      </c>
      <c r="E669" s="39" t="s">
        <v>632</v>
      </c>
      <c r="F669" s="38" t="str">
        <f aca="false">_xlfn.XLOOKUP($E669,$A$5:$A$8,$B$5:$B$8,"")</f>
        <v>Dental – Employee</v>
      </c>
      <c r="G669" s="38" t="str">
        <f aca="false">_xlfn.XLOOKUP($E669,$A$5:$A$8,$D$5:$D$8,"")</f>
        <v>Pre-tax Section 125 (exempt from FIT/SIT/FICA)</v>
      </c>
      <c r="H669" s="38" t="str">
        <f aca="false">_xlfn.XLOOKUP($E669,$A$5:$A$8,$E$5:$E$8,"")</f>
        <v>Flat</v>
      </c>
      <c r="I669" s="44" t="str">
        <f aca="false">IF($H669="Percent",_xlfn.XLOOKUP($E669,$A$5:$A$8,$F$5:$F$8,""),"")</f>
        <v/>
      </c>
      <c r="J669" s="42" t="n">
        <f aca="false">IF($H669="Flat",_xlfn.XLOOKUP($E669,$A$5:$A$8,$F$5:$F$8,""),"")</f>
        <v>44</v>
      </c>
      <c r="K669" s="38" t="str">
        <f aca="false">_xlfn.XLOOKUP($E669,$A$5:$A$8,$G$5:$G$8,"")</f>
        <v>Per pay period</v>
      </c>
      <c r="L669" s="38" t="str">
        <f aca="false">_xlfn.XLOOKUP($E669,$A$5:$A$8,$H$5:$H$8,"")</f>
        <v>Every pay period (ongoing)</v>
      </c>
      <c r="M669" s="43" t="n">
        <f aca="false" t="array" ref="M669:M669">MAX(_xlfn.XLOOKUP($A669,TRIM(SUBSTITUTE('worker file'!$A$2:$A$406,_xlfn.UNICHAR(160)," ")),'worker file'!$M$2:$M$406,0),_xlfn.XLOOKUP($B669,TRIM('pay group &amp; schedule'!$A$2:$A$6),'pay group &amp; schedule'!$D$2:$D$6,0))</f>
        <v>46311</v>
      </c>
      <c r="N669" s="43" t="str">
        <f aca="false" t="array" ref="N669:N669">_xlfn.LET(_xlpm.t,_xlfn.XLOOKUP($A669,TRIM(SUBSTITUTE('worker file'!$A$2:$A$406,_xlfn.UNICHAR(160)," ")),'worker file'!$N$2:$N$406,""),IF(N(_xlpm.t)=0,"",_xlpm.t))</f>
        <v/>
      </c>
    </row>
    <row r="670" customFormat="false" ht="15" hidden="false" customHeight="false" outlineLevel="0" collapsed="false">
      <c r="A670" s="39" t="s">
        <v>332</v>
      </c>
      <c r="B670" s="40" t="str">
        <f aca="false" t="array" ref="B670:B670">_xlfn.XLOOKUP($A670,TRIM(SUBSTITUTE('worker file'!$A$2:$A$406,_xlfn.UNICHAR(160)," ")),'worker file'!$L$2:$L$406,"Not found")</f>
        <v>US Semi-monthly</v>
      </c>
      <c r="C670" s="40" t="str">
        <f aca="false" t="array" ref="C670:C670">_xlfn.XLOOKUP($A670,TRIM(SUBSTITUTE('worker file'!$A$2:$A$406,_xlfn.UNICHAR(160)," ")),'worker file'!$D$2:$D$406,"Not found")</f>
        <v>CA</v>
      </c>
      <c r="D670" s="40" t="str">
        <f aca="false" t="array" ref="D670:D670">_xlfn.XLOOKUP($A670,TRIM(SUBSTITUTE('worker file'!$A$2:$A$406,_xlfn.UNICHAR(160)," ")),'worker file'!$Q$2:$Q$406,"Not found")</f>
        <v>Active</v>
      </c>
      <c r="E670" s="39" t="s">
        <v>634</v>
      </c>
      <c r="F670" s="38" t="str">
        <f aca="false">_xlfn.XLOOKUP($E670,$A$5:$A$8,$B$5:$B$8,"")</f>
        <v>Vision – Employee</v>
      </c>
      <c r="G670" s="38" t="str">
        <f aca="false">_xlfn.XLOOKUP($E670,$A$5:$A$8,$D$5:$D$8,"")</f>
        <v>Pre-tax Section 125 (exempt from FIT/SIT/FICA)</v>
      </c>
      <c r="H670" s="38" t="str">
        <f aca="false">_xlfn.XLOOKUP($E670,$A$5:$A$8,$E$5:$E$8,"")</f>
        <v>Flat</v>
      </c>
      <c r="I670" s="44" t="str">
        <f aca="false">IF($H670="Percent",_xlfn.XLOOKUP($E670,$A$5:$A$8,$F$5:$F$8,""),"")</f>
        <v/>
      </c>
      <c r="J670" s="42" t="n">
        <f aca="false">IF($H670="Flat",_xlfn.XLOOKUP($E670,$A$5:$A$8,$F$5:$F$8,""),"")</f>
        <v>30</v>
      </c>
      <c r="K670" s="38" t="str">
        <f aca="false">_xlfn.XLOOKUP($E670,$A$5:$A$8,$G$5:$G$8,"")</f>
        <v>Per pay period</v>
      </c>
      <c r="L670" s="38" t="str">
        <f aca="false">_xlfn.XLOOKUP($E670,$A$5:$A$8,$H$5:$H$8,"")</f>
        <v>Every pay period (ongoing)</v>
      </c>
      <c r="M670" s="43" t="n">
        <f aca="false" t="array" ref="M670:M670">MAX(_xlfn.XLOOKUP($A670,TRIM(SUBSTITUTE('worker file'!$A$2:$A$406,_xlfn.UNICHAR(160)," ")),'worker file'!$M$2:$M$406,0),_xlfn.XLOOKUP($B670,TRIM('pay group &amp; schedule'!$A$2:$A$6),'pay group &amp; schedule'!$D$2:$D$6,0))</f>
        <v>46311</v>
      </c>
      <c r="N670" s="43" t="str">
        <f aca="false" t="array" ref="N670:N670">_xlfn.LET(_xlpm.t,_xlfn.XLOOKUP($A670,TRIM(SUBSTITUTE('worker file'!$A$2:$A$406,_xlfn.UNICHAR(160)," ")),'worker file'!$N$2:$N$406,""),IF(N(_xlpm.t)=0,"",_xlpm.t))</f>
        <v/>
      </c>
    </row>
    <row r="671" customFormat="false" ht="15" hidden="false" customHeight="false" outlineLevel="0" collapsed="false">
      <c r="A671" s="39" t="s">
        <v>333</v>
      </c>
      <c r="B671" s="40" t="str">
        <f aca="false" t="array" ref="B671:B671">_xlfn.XLOOKUP($A671,TRIM(SUBSTITUTE('worker file'!$A$2:$A$406,_xlfn.UNICHAR(160)," ")),'worker file'!$L$2:$L$406,"Not found")</f>
        <v>US Semi-monthly</v>
      </c>
      <c r="C671" s="40" t="str">
        <f aca="false" t="array" ref="C671:C671">_xlfn.XLOOKUP($A671,TRIM(SUBSTITUTE('worker file'!$A$2:$A$406,_xlfn.UNICHAR(160)," ")),'worker file'!$D$2:$D$406,"Not found")</f>
        <v>WA</v>
      </c>
      <c r="D671" s="40" t="str">
        <f aca="false" t="array" ref="D671:D671">_xlfn.XLOOKUP($A671,TRIM(SUBSTITUTE('worker file'!$A$2:$A$406,_xlfn.UNICHAR(160)," ")),'worker file'!$Q$2:$Q$406,"Not found")</f>
        <v>Active</v>
      </c>
      <c r="E671" s="39" t="s">
        <v>618</v>
      </c>
      <c r="F671" s="38" t="str">
        <f aca="false">_xlfn.XLOOKUP($E671,$A$5:$A$8,$B$5:$B$8,"")</f>
        <v>401(k) Employee Deferral</v>
      </c>
      <c r="G671" s="38" t="str">
        <f aca="false">_xlfn.XLOOKUP($E671,$A$5:$A$8,$D$5:$D$8,"")</f>
        <v>Pre-tax (exempt from FIT/SIT; subject to FICA)</v>
      </c>
      <c r="H671" s="38" t="str">
        <f aca="false">_xlfn.XLOOKUP($E671,$A$5:$A$8,$E$5:$E$8,"")</f>
        <v>Percent</v>
      </c>
      <c r="I671" s="41" t="n">
        <v>0</v>
      </c>
      <c r="J671" s="42" t="str">
        <f aca="false">IF($H671="Flat",_xlfn.XLOOKUP($E671,$A$5:$A$8,$F$5:$F$8,""),"")</f>
        <v/>
      </c>
      <c r="K671" s="38" t="str">
        <f aca="false">_xlfn.XLOOKUP($E671,$A$5:$A$8,$G$5:$G$8,"")</f>
        <v>Gross pay</v>
      </c>
      <c r="L671" s="38" t="str">
        <f aca="false">_xlfn.XLOOKUP($E671,$A$5:$A$8,$H$5:$H$8,"")</f>
        <v>Every pay period (ongoing)</v>
      </c>
      <c r="M671" s="43" t="n">
        <f aca="false" t="array" ref="M671:M671">MAX(_xlfn.XLOOKUP($A671,TRIM(SUBSTITUTE('worker file'!$A$2:$A$406,_xlfn.UNICHAR(160)," ")),'worker file'!$M$2:$M$406,0),_xlfn.XLOOKUP($B671,TRIM('pay group &amp; schedule'!$A$2:$A$6),'pay group &amp; schedule'!$D$2:$D$6,0))</f>
        <v>46311</v>
      </c>
      <c r="N671" s="43" t="str">
        <f aca="false" t="array" ref="N671:N671">_xlfn.LET(_xlpm.t,_xlfn.XLOOKUP($A671,TRIM(SUBSTITUTE('worker file'!$A$2:$A$406,_xlfn.UNICHAR(160)," ")),'worker file'!$N$2:$N$406,""),IF(N(_xlpm.t)=0,"",_xlpm.t))</f>
        <v/>
      </c>
    </row>
    <row r="672" customFormat="false" ht="15" hidden="false" customHeight="false" outlineLevel="0" collapsed="false">
      <c r="A672" s="39" t="s">
        <v>333</v>
      </c>
      <c r="B672" s="40" t="str">
        <f aca="false" t="array" ref="B672:B672">_xlfn.XLOOKUP($A672,TRIM(SUBSTITUTE('worker file'!$A$2:$A$406,_xlfn.UNICHAR(160)," ")),'worker file'!$L$2:$L$406,"Not found")</f>
        <v>US Semi-monthly</v>
      </c>
      <c r="C672" s="40" t="str">
        <f aca="false" t="array" ref="C672:C672">_xlfn.XLOOKUP($A672,TRIM(SUBSTITUTE('worker file'!$A$2:$A$406,_xlfn.UNICHAR(160)," ")),'worker file'!$D$2:$D$406,"Not found")</f>
        <v>WA</v>
      </c>
      <c r="D672" s="40" t="str">
        <f aca="false" t="array" ref="D672:D672">_xlfn.XLOOKUP($A672,TRIM(SUBSTITUTE('worker file'!$A$2:$A$406,_xlfn.UNICHAR(160)," ")),'worker file'!$Q$2:$Q$406,"Not found")</f>
        <v>Active</v>
      </c>
      <c r="E672" s="39" t="s">
        <v>626</v>
      </c>
      <c r="F672" s="38" t="str">
        <f aca="false">_xlfn.XLOOKUP($E672,$A$5:$A$8,$B$5:$B$8,"")</f>
        <v>Medical (Health) – Employee</v>
      </c>
      <c r="G672" s="38" t="str">
        <f aca="false">_xlfn.XLOOKUP($E672,$A$5:$A$8,$D$5:$D$8,"")</f>
        <v>Pre-tax Section 125 (exempt from FIT/SIT/FICA)</v>
      </c>
      <c r="H672" s="38" t="str">
        <f aca="false">_xlfn.XLOOKUP($E672,$A$5:$A$8,$E$5:$E$8,"")</f>
        <v>Flat</v>
      </c>
      <c r="I672" s="44" t="str">
        <f aca="false">IF($H672="Percent",_xlfn.XLOOKUP($E672,$A$5:$A$8,$F$5:$F$8,""),"")</f>
        <v/>
      </c>
      <c r="J672" s="42" t="n">
        <f aca="false">IF($H672="Flat",_xlfn.XLOOKUP($E672,$A$5:$A$8,$F$5:$F$8,""),"")</f>
        <v>200</v>
      </c>
      <c r="K672" s="38" t="str">
        <f aca="false">_xlfn.XLOOKUP($E672,$A$5:$A$8,$G$5:$G$8,"")</f>
        <v>Per pay period</v>
      </c>
      <c r="L672" s="38" t="str">
        <f aca="false">_xlfn.XLOOKUP($E672,$A$5:$A$8,$H$5:$H$8,"")</f>
        <v>Every pay period (ongoing)</v>
      </c>
      <c r="M672" s="43" t="n">
        <f aca="false" t="array" ref="M672:M672">MAX(_xlfn.XLOOKUP($A672,TRIM(SUBSTITUTE('worker file'!$A$2:$A$406,_xlfn.UNICHAR(160)," ")),'worker file'!$M$2:$M$406,0),_xlfn.XLOOKUP($B672,TRIM('pay group &amp; schedule'!$A$2:$A$6),'pay group &amp; schedule'!$D$2:$D$6,0))</f>
        <v>46311</v>
      </c>
      <c r="N672" s="43" t="str">
        <f aca="false" t="array" ref="N672:N672">_xlfn.LET(_xlpm.t,_xlfn.XLOOKUP($A672,TRIM(SUBSTITUTE('worker file'!$A$2:$A$406,_xlfn.UNICHAR(160)," ")),'worker file'!$N$2:$N$406,""),IF(N(_xlpm.t)=0,"",_xlpm.t))</f>
        <v/>
      </c>
    </row>
    <row r="673" customFormat="false" ht="15" hidden="false" customHeight="false" outlineLevel="0" collapsed="false">
      <c r="A673" s="39" t="s">
        <v>333</v>
      </c>
      <c r="B673" s="40" t="str">
        <f aca="false" t="array" ref="B673:B673">_xlfn.XLOOKUP($A673,TRIM(SUBSTITUTE('worker file'!$A$2:$A$406,_xlfn.UNICHAR(160)," ")),'worker file'!$L$2:$L$406,"Not found")</f>
        <v>US Semi-monthly</v>
      </c>
      <c r="C673" s="40" t="str">
        <f aca="false" t="array" ref="C673:C673">_xlfn.XLOOKUP($A673,TRIM(SUBSTITUTE('worker file'!$A$2:$A$406,_xlfn.UNICHAR(160)," ")),'worker file'!$D$2:$D$406,"Not found")</f>
        <v>WA</v>
      </c>
      <c r="D673" s="40" t="str">
        <f aca="false" t="array" ref="D673:D673">_xlfn.XLOOKUP($A673,TRIM(SUBSTITUTE('worker file'!$A$2:$A$406,_xlfn.UNICHAR(160)," ")),'worker file'!$Q$2:$Q$406,"Not found")</f>
        <v>Active</v>
      </c>
      <c r="E673" s="39" t="s">
        <v>632</v>
      </c>
      <c r="F673" s="38" t="str">
        <f aca="false">_xlfn.XLOOKUP($E673,$A$5:$A$8,$B$5:$B$8,"")</f>
        <v>Dental – Employee</v>
      </c>
      <c r="G673" s="38" t="str">
        <f aca="false">_xlfn.XLOOKUP($E673,$A$5:$A$8,$D$5:$D$8,"")</f>
        <v>Pre-tax Section 125 (exempt from FIT/SIT/FICA)</v>
      </c>
      <c r="H673" s="38" t="str">
        <f aca="false">_xlfn.XLOOKUP($E673,$A$5:$A$8,$E$5:$E$8,"")</f>
        <v>Flat</v>
      </c>
      <c r="I673" s="44" t="str">
        <f aca="false">IF($H673="Percent",_xlfn.XLOOKUP($E673,$A$5:$A$8,$F$5:$F$8,""),"")</f>
        <v/>
      </c>
      <c r="J673" s="42" t="n">
        <f aca="false">IF($H673="Flat",_xlfn.XLOOKUP($E673,$A$5:$A$8,$F$5:$F$8,""),"")</f>
        <v>44</v>
      </c>
      <c r="K673" s="38" t="str">
        <f aca="false">_xlfn.XLOOKUP($E673,$A$5:$A$8,$G$5:$G$8,"")</f>
        <v>Per pay period</v>
      </c>
      <c r="L673" s="38" t="str">
        <f aca="false">_xlfn.XLOOKUP($E673,$A$5:$A$8,$H$5:$H$8,"")</f>
        <v>Every pay period (ongoing)</v>
      </c>
      <c r="M673" s="43" t="n">
        <f aca="false" t="array" ref="M673:M673">MAX(_xlfn.XLOOKUP($A673,TRIM(SUBSTITUTE('worker file'!$A$2:$A$406,_xlfn.UNICHAR(160)," ")),'worker file'!$M$2:$M$406,0),_xlfn.XLOOKUP($B673,TRIM('pay group &amp; schedule'!$A$2:$A$6),'pay group &amp; schedule'!$D$2:$D$6,0))</f>
        <v>46311</v>
      </c>
      <c r="N673" s="43" t="str">
        <f aca="false" t="array" ref="N673:N673">_xlfn.LET(_xlpm.t,_xlfn.XLOOKUP($A673,TRIM(SUBSTITUTE('worker file'!$A$2:$A$406,_xlfn.UNICHAR(160)," ")),'worker file'!$N$2:$N$406,""),IF(N(_xlpm.t)=0,"",_xlpm.t))</f>
        <v/>
      </c>
    </row>
    <row r="674" customFormat="false" ht="15" hidden="false" customHeight="false" outlineLevel="0" collapsed="false">
      <c r="A674" s="39" t="s">
        <v>333</v>
      </c>
      <c r="B674" s="40" t="str">
        <f aca="false" t="array" ref="B674:B674">_xlfn.XLOOKUP($A674,TRIM(SUBSTITUTE('worker file'!$A$2:$A$406,_xlfn.UNICHAR(160)," ")),'worker file'!$L$2:$L$406,"Not found")</f>
        <v>US Semi-monthly</v>
      </c>
      <c r="C674" s="40" t="str">
        <f aca="false" t="array" ref="C674:C674">_xlfn.XLOOKUP($A674,TRIM(SUBSTITUTE('worker file'!$A$2:$A$406,_xlfn.UNICHAR(160)," ")),'worker file'!$D$2:$D$406,"Not found")</f>
        <v>WA</v>
      </c>
      <c r="D674" s="40" t="str">
        <f aca="false" t="array" ref="D674:D674">_xlfn.XLOOKUP($A674,TRIM(SUBSTITUTE('worker file'!$A$2:$A$406,_xlfn.UNICHAR(160)," ")),'worker file'!$Q$2:$Q$406,"Not found")</f>
        <v>Active</v>
      </c>
      <c r="E674" s="39" t="s">
        <v>634</v>
      </c>
      <c r="F674" s="38" t="str">
        <f aca="false">_xlfn.XLOOKUP($E674,$A$5:$A$8,$B$5:$B$8,"")</f>
        <v>Vision – Employee</v>
      </c>
      <c r="G674" s="38" t="str">
        <f aca="false">_xlfn.XLOOKUP($E674,$A$5:$A$8,$D$5:$D$8,"")</f>
        <v>Pre-tax Section 125 (exempt from FIT/SIT/FICA)</v>
      </c>
      <c r="H674" s="38" t="str">
        <f aca="false">_xlfn.XLOOKUP($E674,$A$5:$A$8,$E$5:$E$8,"")</f>
        <v>Flat</v>
      </c>
      <c r="I674" s="44" t="str">
        <f aca="false">IF($H674="Percent",_xlfn.XLOOKUP($E674,$A$5:$A$8,$F$5:$F$8,""),"")</f>
        <v/>
      </c>
      <c r="J674" s="42" t="n">
        <f aca="false">IF($H674="Flat",_xlfn.XLOOKUP($E674,$A$5:$A$8,$F$5:$F$8,""),"")</f>
        <v>30</v>
      </c>
      <c r="K674" s="38" t="str">
        <f aca="false">_xlfn.XLOOKUP($E674,$A$5:$A$8,$G$5:$G$8,"")</f>
        <v>Per pay period</v>
      </c>
      <c r="L674" s="38" t="str">
        <f aca="false">_xlfn.XLOOKUP($E674,$A$5:$A$8,$H$5:$H$8,"")</f>
        <v>Every pay period (ongoing)</v>
      </c>
      <c r="M674" s="43" t="n">
        <f aca="false" t="array" ref="M674:M674">MAX(_xlfn.XLOOKUP($A674,TRIM(SUBSTITUTE('worker file'!$A$2:$A$406,_xlfn.UNICHAR(160)," ")),'worker file'!$M$2:$M$406,0),_xlfn.XLOOKUP($B674,TRIM('pay group &amp; schedule'!$A$2:$A$6),'pay group &amp; schedule'!$D$2:$D$6,0))</f>
        <v>46311</v>
      </c>
      <c r="N674" s="43" t="str">
        <f aca="false" t="array" ref="N674:N674">_xlfn.LET(_xlpm.t,_xlfn.XLOOKUP($A674,TRIM(SUBSTITUTE('worker file'!$A$2:$A$406,_xlfn.UNICHAR(160)," ")),'worker file'!$N$2:$N$406,""),IF(N(_xlpm.t)=0,"",_xlpm.t))</f>
        <v/>
      </c>
    </row>
    <row r="675" customFormat="false" ht="15" hidden="false" customHeight="false" outlineLevel="0" collapsed="false">
      <c r="A675" s="39" t="s">
        <v>335</v>
      </c>
      <c r="B675" s="40" t="str">
        <f aca="false" t="array" ref="B675:B675">_xlfn.XLOOKUP($A675,TRIM(SUBSTITUTE('worker file'!$A$2:$A$406,_xlfn.UNICHAR(160)," ")),'worker file'!$L$2:$L$406,"Not found")</f>
        <v>US Semi-monthly</v>
      </c>
      <c r="C675" s="40" t="str">
        <f aca="false" t="array" ref="C675:C675">_xlfn.XLOOKUP($A675,TRIM(SUBSTITUTE('worker file'!$A$2:$A$406,_xlfn.UNICHAR(160)," ")),'worker file'!$D$2:$D$406,"Not found")</f>
        <v>CA</v>
      </c>
      <c r="D675" s="40" t="str">
        <f aca="false" t="array" ref="D675:D675">_xlfn.XLOOKUP($A675,TRIM(SUBSTITUTE('worker file'!$A$2:$A$406,_xlfn.UNICHAR(160)," ")),'worker file'!$Q$2:$Q$406,"Not found")</f>
        <v>Active</v>
      </c>
      <c r="E675" s="39" t="s">
        <v>618</v>
      </c>
      <c r="F675" s="38" t="str">
        <f aca="false">_xlfn.XLOOKUP($E675,$A$5:$A$8,$B$5:$B$8,"")</f>
        <v>401(k) Employee Deferral</v>
      </c>
      <c r="G675" s="38" t="str">
        <f aca="false">_xlfn.XLOOKUP($E675,$A$5:$A$8,$D$5:$D$8,"")</f>
        <v>Pre-tax (exempt from FIT/SIT; subject to FICA)</v>
      </c>
      <c r="H675" s="38" t="str">
        <f aca="false">_xlfn.XLOOKUP($E675,$A$5:$A$8,$E$5:$E$8,"")</f>
        <v>Percent</v>
      </c>
      <c r="I675" s="41" t="n">
        <v>0.05</v>
      </c>
      <c r="J675" s="42" t="str">
        <f aca="false">IF($H675="Flat",_xlfn.XLOOKUP($E675,$A$5:$A$8,$F$5:$F$8,""),"")</f>
        <v/>
      </c>
      <c r="K675" s="38" t="str">
        <f aca="false">_xlfn.XLOOKUP($E675,$A$5:$A$8,$G$5:$G$8,"")</f>
        <v>Gross pay</v>
      </c>
      <c r="L675" s="38" t="str">
        <f aca="false">_xlfn.XLOOKUP($E675,$A$5:$A$8,$H$5:$H$8,"")</f>
        <v>Every pay period (ongoing)</v>
      </c>
      <c r="M675" s="43" t="n">
        <f aca="false" t="array" ref="M675:M675">MAX(_xlfn.XLOOKUP($A675,TRIM(SUBSTITUTE('worker file'!$A$2:$A$406,_xlfn.UNICHAR(160)," ")),'worker file'!$M$2:$M$406,0),_xlfn.XLOOKUP($B675,TRIM('pay group &amp; schedule'!$A$2:$A$6),'pay group &amp; schedule'!$D$2:$D$6,0))</f>
        <v>46311</v>
      </c>
      <c r="N675" s="43" t="str">
        <f aca="false" t="array" ref="N675:N675">_xlfn.LET(_xlpm.t,_xlfn.XLOOKUP($A675,TRIM(SUBSTITUTE('worker file'!$A$2:$A$406,_xlfn.UNICHAR(160)," ")),'worker file'!$N$2:$N$406,""),IF(N(_xlpm.t)=0,"",_xlpm.t))</f>
        <v/>
      </c>
    </row>
    <row r="676" customFormat="false" ht="15" hidden="false" customHeight="false" outlineLevel="0" collapsed="false">
      <c r="A676" s="39" t="s">
        <v>335</v>
      </c>
      <c r="B676" s="40" t="str">
        <f aca="false" t="array" ref="B676:B676">_xlfn.XLOOKUP($A676,TRIM(SUBSTITUTE('worker file'!$A$2:$A$406,_xlfn.UNICHAR(160)," ")),'worker file'!$L$2:$L$406,"Not found")</f>
        <v>US Semi-monthly</v>
      </c>
      <c r="C676" s="40" t="str">
        <f aca="false" t="array" ref="C676:C676">_xlfn.XLOOKUP($A676,TRIM(SUBSTITUTE('worker file'!$A$2:$A$406,_xlfn.UNICHAR(160)," ")),'worker file'!$D$2:$D$406,"Not found")</f>
        <v>CA</v>
      </c>
      <c r="D676" s="40" t="str">
        <f aca="false" t="array" ref="D676:D676">_xlfn.XLOOKUP($A676,TRIM(SUBSTITUTE('worker file'!$A$2:$A$406,_xlfn.UNICHAR(160)," ")),'worker file'!$Q$2:$Q$406,"Not found")</f>
        <v>Active</v>
      </c>
      <c r="E676" s="39" t="s">
        <v>626</v>
      </c>
      <c r="F676" s="38" t="str">
        <f aca="false">_xlfn.XLOOKUP($E676,$A$5:$A$8,$B$5:$B$8,"")</f>
        <v>Medical (Health) – Employee</v>
      </c>
      <c r="G676" s="38" t="str">
        <f aca="false">_xlfn.XLOOKUP($E676,$A$5:$A$8,$D$5:$D$8,"")</f>
        <v>Pre-tax Section 125 (exempt from FIT/SIT/FICA)</v>
      </c>
      <c r="H676" s="38" t="str">
        <f aca="false">_xlfn.XLOOKUP($E676,$A$5:$A$8,$E$5:$E$8,"")</f>
        <v>Flat</v>
      </c>
      <c r="I676" s="44" t="str">
        <f aca="false">IF($H676="Percent",_xlfn.XLOOKUP($E676,$A$5:$A$8,$F$5:$F$8,""),"")</f>
        <v/>
      </c>
      <c r="J676" s="42" t="n">
        <f aca="false">IF($H676="Flat",_xlfn.XLOOKUP($E676,$A$5:$A$8,$F$5:$F$8,""),"")</f>
        <v>200</v>
      </c>
      <c r="K676" s="38" t="str">
        <f aca="false">_xlfn.XLOOKUP($E676,$A$5:$A$8,$G$5:$G$8,"")</f>
        <v>Per pay period</v>
      </c>
      <c r="L676" s="38" t="str">
        <f aca="false">_xlfn.XLOOKUP($E676,$A$5:$A$8,$H$5:$H$8,"")</f>
        <v>Every pay period (ongoing)</v>
      </c>
      <c r="M676" s="43" t="n">
        <f aca="false" t="array" ref="M676:M676">MAX(_xlfn.XLOOKUP($A676,TRIM(SUBSTITUTE('worker file'!$A$2:$A$406,_xlfn.UNICHAR(160)," ")),'worker file'!$M$2:$M$406,0),_xlfn.XLOOKUP($B676,TRIM('pay group &amp; schedule'!$A$2:$A$6),'pay group &amp; schedule'!$D$2:$D$6,0))</f>
        <v>46311</v>
      </c>
      <c r="N676" s="43" t="str">
        <f aca="false" t="array" ref="N676:N676">_xlfn.LET(_xlpm.t,_xlfn.XLOOKUP($A676,TRIM(SUBSTITUTE('worker file'!$A$2:$A$406,_xlfn.UNICHAR(160)," ")),'worker file'!$N$2:$N$406,""),IF(N(_xlpm.t)=0,"",_xlpm.t))</f>
        <v/>
      </c>
    </row>
    <row r="677" customFormat="false" ht="15" hidden="false" customHeight="false" outlineLevel="0" collapsed="false">
      <c r="A677" s="39" t="s">
        <v>335</v>
      </c>
      <c r="B677" s="40" t="str">
        <f aca="false" t="array" ref="B677:B677">_xlfn.XLOOKUP($A677,TRIM(SUBSTITUTE('worker file'!$A$2:$A$406,_xlfn.UNICHAR(160)," ")),'worker file'!$L$2:$L$406,"Not found")</f>
        <v>US Semi-monthly</v>
      </c>
      <c r="C677" s="40" t="str">
        <f aca="false" t="array" ref="C677:C677">_xlfn.XLOOKUP($A677,TRIM(SUBSTITUTE('worker file'!$A$2:$A$406,_xlfn.UNICHAR(160)," ")),'worker file'!$D$2:$D$406,"Not found")</f>
        <v>CA</v>
      </c>
      <c r="D677" s="40" t="str">
        <f aca="false" t="array" ref="D677:D677">_xlfn.XLOOKUP($A677,TRIM(SUBSTITUTE('worker file'!$A$2:$A$406,_xlfn.UNICHAR(160)," ")),'worker file'!$Q$2:$Q$406,"Not found")</f>
        <v>Active</v>
      </c>
      <c r="E677" s="39" t="s">
        <v>632</v>
      </c>
      <c r="F677" s="38" t="str">
        <f aca="false">_xlfn.XLOOKUP($E677,$A$5:$A$8,$B$5:$B$8,"")</f>
        <v>Dental – Employee</v>
      </c>
      <c r="G677" s="38" t="str">
        <f aca="false">_xlfn.XLOOKUP($E677,$A$5:$A$8,$D$5:$D$8,"")</f>
        <v>Pre-tax Section 125 (exempt from FIT/SIT/FICA)</v>
      </c>
      <c r="H677" s="38" t="str">
        <f aca="false">_xlfn.XLOOKUP($E677,$A$5:$A$8,$E$5:$E$8,"")</f>
        <v>Flat</v>
      </c>
      <c r="I677" s="44" t="str">
        <f aca="false">IF($H677="Percent",_xlfn.XLOOKUP($E677,$A$5:$A$8,$F$5:$F$8,""),"")</f>
        <v/>
      </c>
      <c r="J677" s="42" t="n">
        <f aca="false">IF($H677="Flat",_xlfn.XLOOKUP($E677,$A$5:$A$8,$F$5:$F$8,""),"")</f>
        <v>44</v>
      </c>
      <c r="K677" s="38" t="str">
        <f aca="false">_xlfn.XLOOKUP($E677,$A$5:$A$8,$G$5:$G$8,"")</f>
        <v>Per pay period</v>
      </c>
      <c r="L677" s="38" t="str">
        <f aca="false">_xlfn.XLOOKUP($E677,$A$5:$A$8,$H$5:$H$8,"")</f>
        <v>Every pay period (ongoing)</v>
      </c>
      <c r="M677" s="43" t="n">
        <f aca="false" t="array" ref="M677:M677">MAX(_xlfn.XLOOKUP($A677,TRIM(SUBSTITUTE('worker file'!$A$2:$A$406,_xlfn.UNICHAR(160)," ")),'worker file'!$M$2:$M$406,0),_xlfn.XLOOKUP($B677,TRIM('pay group &amp; schedule'!$A$2:$A$6),'pay group &amp; schedule'!$D$2:$D$6,0))</f>
        <v>46311</v>
      </c>
      <c r="N677" s="43" t="str">
        <f aca="false" t="array" ref="N677:N677">_xlfn.LET(_xlpm.t,_xlfn.XLOOKUP($A677,TRIM(SUBSTITUTE('worker file'!$A$2:$A$406,_xlfn.UNICHAR(160)," ")),'worker file'!$N$2:$N$406,""),IF(N(_xlpm.t)=0,"",_xlpm.t))</f>
        <v/>
      </c>
    </row>
    <row r="678" customFormat="false" ht="15" hidden="false" customHeight="false" outlineLevel="0" collapsed="false">
      <c r="A678" s="39" t="s">
        <v>335</v>
      </c>
      <c r="B678" s="40" t="str">
        <f aca="false" t="array" ref="B678:B678">_xlfn.XLOOKUP($A678,TRIM(SUBSTITUTE('worker file'!$A$2:$A$406,_xlfn.UNICHAR(160)," ")),'worker file'!$L$2:$L$406,"Not found")</f>
        <v>US Semi-monthly</v>
      </c>
      <c r="C678" s="40" t="str">
        <f aca="false" t="array" ref="C678:C678">_xlfn.XLOOKUP($A678,TRIM(SUBSTITUTE('worker file'!$A$2:$A$406,_xlfn.UNICHAR(160)," ")),'worker file'!$D$2:$D$406,"Not found")</f>
        <v>CA</v>
      </c>
      <c r="D678" s="40" t="str">
        <f aca="false" t="array" ref="D678:D678">_xlfn.XLOOKUP($A678,TRIM(SUBSTITUTE('worker file'!$A$2:$A$406,_xlfn.UNICHAR(160)," ")),'worker file'!$Q$2:$Q$406,"Not found")</f>
        <v>Active</v>
      </c>
      <c r="E678" s="39" t="s">
        <v>634</v>
      </c>
      <c r="F678" s="38" t="str">
        <f aca="false">_xlfn.XLOOKUP($E678,$A$5:$A$8,$B$5:$B$8,"")</f>
        <v>Vision – Employee</v>
      </c>
      <c r="G678" s="38" t="str">
        <f aca="false">_xlfn.XLOOKUP($E678,$A$5:$A$8,$D$5:$D$8,"")</f>
        <v>Pre-tax Section 125 (exempt from FIT/SIT/FICA)</v>
      </c>
      <c r="H678" s="38" t="str">
        <f aca="false">_xlfn.XLOOKUP($E678,$A$5:$A$8,$E$5:$E$8,"")</f>
        <v>Flat</v>
      </c>
      <c r="I678" s="44" t="str">
        <f aca="false">IF($H678="Percent",_xlfn.XLOOKUP($E678,$A$5:$A$8,$F$5:$F$8,""),"")</f>
        <v/>
      </c>
      <c r="J678" s="42" t="n">
        <f aca="false">IF($H678="Flat",_xlfn.XLOOKUP($E678,$A$5:$A$8,$F$5:$F$8,""),"")</f>
        <v>30</v>
      </c>
      <c r="K678" s="38" t="str">
        <f aca="false">_xlfn.XLOOKUP($E678,$A$5:$A$8,$G$5:$G$8,"")</f>
        <v>Per pay period</v>
      </c>
      <c r="L678" s="38" t="str">
        <f aca="false">_xlfn.XLOOKUP($E678,$A$5:$A$8,$H$5:$H$8,"")</f>
        <v>Every pay period (ongoing)</v>
      </c>
      <c r="M678" s="43" t="n">
        <f aca="false" t="array" ref="M678:M678">MAX(_xlfn.XLOOKUP($A678,TRIM(SUBSTITUTE('worker file'!$A$2:$A$406,_xlfn.UNICHAR(160)," ")),'worker file'!$M$2:$M$406,0),_xlfn.XLOOKUP($B678,TRIM('pay group &amp; schedule'!$A$2:$A$6),'pay group &amp; schedule'!$D$2:$D$6,0))</f>
        <v>46311</v>
      </c>
      <c r="N678" s="43" t="str">
        <f aca="false" t="array" ref="N678:N678">_xlfn.LET(_xlpm.t,_xlfn.XLOOKUP($A678,TRIM(SUBSTITUTE('worker file'!$A$2:$A$406,_xlfn.UNICHAR(160)," ")),'worker file'!$N$2:$N$406,""),IF(N(_xlpm.t)=0,"",_xlpm.t))</f>
        <v/>
      </c>
    </row>
    <row r="679" customFormat="false" ht="15" hidden="false" customHeight="false" outlineLevel="0" collapsed="false">
      <c r="A679" s="39" t="s">
        <v>337</v>
      </c>
      <c r="B679" s="40" t="str">
        <f aca="false" t="array" ref="B679:B679">_xlfn.XLOOKUP($A679,TRIM(SUBSTITUTE('worker file'!$A$2:$A$406,_xlfn.UNICHAR(160)," ")),'worker file'!$L$2:$L$406,"Not found")</f>
        <v>US Biweekly</v>
      </c>
      <c r="C679" s="40" t="str">
        <f aca="false" t="array" ref="C679:C679">_xlfn.XLOOKUP($A679,TRIM(SUBSTITUTE('worker file'!$A$2:$A$406,_xlfn.UNICHAR(160)," ")),'worker file'!$D$2:$D$406,"Not found")</f>
        <v>CA</v>
      </c>
      <c r="D679" s="40" t="str">
        <f aca="false" t="array" ref="D679:D679">_xlfn.XLOOKUP($A679,TRIM(SUBSTITUTE('worker file'!$A$2:$A$406,_xlfn.UNICHAR(160)," ")),'worker file'!$Q$2:$Q$406,"Not found")</f>
        <v>On Leave(paid)</v>
      </c>
      <c r="E679" s="39" t="s">
        <v>626</v>
      </c>
      <c r="F679" s="38" t="str">
        <f aca="false">_xlfn.XLOOKUP($E679,$A$5:$A$8,$B$5:$B$8,"")</f>
        <v>Medical (Health) – Employee</v>
      </c>
      <c r="G679" s="38" t="str">
        <f aca="false">_xlfn.XLOOKUP($E679,$A$5:$A$8,$D$5:$D$8,"")</f>
        <v>Pre-tax Section 125 (exempt from FIT/SIT/FICA)</v>
      </c>
      <c r="H679" s="38" t="str">
        <f aca="false">_xlfn.XLOOKUP($E679,$A$5:$A$8,$E$5:$E$8,"")</f>
        <v>Flat</v>
      </c>
      <c r="I679" s="44" t="str">
        <f aca="false">IF($H679="Percent",_xlfn.XLOOKUP($E679,$A$5:$A$8,$F$5:$F$8,""),"")</f>
        <v/>
      </c>
      <c r="J679" s="42" t="n">
        <f aca="false">IF($H679="Flat",_xlfn.XLOOKUP($E679,$A$5:$A$8,$F$5:$F$8,""),"")</f>
        <v>200</v>
      </c>
      <c r="K679" s="38" t="str">
        <f aca="false">_xlfn.XLOOKUP($E679,$A$5:$A$8,$G$5:$G$8,"")</f>
        <v>Per pay period</v>
      </c>
      <c r="L679" s="38" t="str">
        <f aca="false">_xlfn.XLOOKUP($E679,$A$5:$A$8,$H$5:$H$8,"")</f>
        <v>Every pay period (ongoing)</v>
      </c>
      <c r="M679" s="43" t="n">
        <f aca="false" t="array" ref="M679:M679">MAX(_xlfn.XLOOKUP($A679,TRIM(SUBSTITUTE('worker file'!$A$2:$A$406,_xlfn.UNICHAR(160)," ")),'worker file'!$M$2:$M$406,0),_xlfn.XLOOKUP($B679,TRIM('pay group &amp; schedule'!$A$2:$A$6),'pay group &amp; schedule'!$D$2:$D$6,0))</f>
        <v>46299</v>
      </c>
      <c r="N679" s="43" t="str">
        <f aca="false" t="array" ref="N679:N679">_xlfn.LET(_xlpm.t,_xlfn.XLOOKUP($A679,TRIM(SUBSTITUTE('worker file'!$A$2:$A$406,_xlfn.UNICHAR(160)," ")),'worker file'!$N$2:$N$406,""),IF(N(_xlpm.t)=0,"",_xlpm.t))</f>
        <v/>
      </c>
      <c r="O679" s="0" t="s">
        <v>648</v>
      </c>
    </row>
    <row r="680" customFormat="false" ht="15" hidden="false" customHeight="false" outlineLevel="0" collapsed="false">
      <c r="A680" s="39" t="s">
        <v>337</v>
      </c>
      <c r="B680" s="40" t="str">
        <f aca="false" t="array" ref="B680:B680">_xlfn.XLOOKUP($A680,TRIM(SUBSTITUTE('worker file'!$A$2:$A$406,_xlfn.UNICHAR(160)," ")),'worker file'!$L$2:$L$406,"Not found")</f>
        <v>US Biweekly</v>
      </c>
      <c r="C680" s="40" t="str">
        <f aca="false" t="array" ref="C680:C680">_xlfn.XLOOKUP($A680,TRIM(SUBSTITUTE('worker file'!$A$2:$A$406,_xlfn.UNICHAR(160)," ")),'worker file'!$D$2:$D$406,"Not found")</f>
        <v>CA</v>
      </c>
      <c r="D680" s="40" t="str">
        <f aca="false" t="array" ref="D680:D680">_xlfn.XLOOKUP($A680,TRIM(SUBSTITUTE('worker file'!$A$2:$A$406,_xlfn.UNICHAR(160)," ")),'worker file'!$Q$2:$Q$406,"Not found")</f>
        <v>On Leave(paid)</v>
      </c>
      <c r="E680" s="39" t="s">
        <v>632</v>
      </c>
      <c r="F680" s="38" t="str">
        <f aca="false">_xlfn.XLOOKUP($E680,$A$5:$A$8,$B$5:$B$8,"")</f>
        <v>Dental – Employee</v>
      </c>
      <c r="G680" s="38" t="str">
        <f aca="false">_xlfn.XLOOKUP($E680,$A$5:$A$8,$D$5:$D$8,"")</f>
        <v>Pre-tax Section 125 (exempt from FIT/SIT/FICA)</v>
      </c>
      <c r="H680" s="38" t="str">
        <f aca="false">_xlfn.XLOOKUP($E680,$A$5:$A$8,$E$5:$E$8,"")</f>
        <v>Flat</v>
      </c>
      <c r="I680" s="44" t="str">
        <f aca="false">IF($H680="Percent",_xlfn.XLOOKUP($E680,$A$5:$A$8,$F$5:$F$8,""),"")</f>
        <v/>
      </c>
      <c r="J680" s="42" t="n">
        <f aca="false">IF($H680="Flat",_xlfn.XLOOKUP($E680,$A$5:$A$8,$F$5:$F$8,""),"")</f>
        <v>44</v>
      </c>
      <c r="K680" s="38" t="str">
        <f aca="false">_xlfn.XLOOKUP($E680,$A$5:$A$8,$G$5:$G$8,"")</f>
        <v>Per pay period</v>
      </c>
      <c r="L680" s="38" t="str">
        <f aca="false">_xlfn.XLOOKUP($E680,$A$5:$A$8,$H$5:$H$8,"")</f>
        <v>Every pay period (ongoing)</v>
      </c>
      <c r="M680" s="43" t="n">
        <f aca="false" t="array" ref="M680:M680">MAX(_xlfn.XLOOKUP($A680,TRIM(SUBSTITUTE('worker file'!$A$2:$A$406,_xlfn.UNICHAR(160)," ")),'worker file'!$M$2:$M$406,0),_xlfn.XLOOKUP($B680,TRIM('pay group &amp; schedule'!$A$2:$A$6),'pay group &amp; schedule'!$D$2:$D$6,0))</f>
        <v>46299</v>
      </c>
      <c r="N680" s="43" t="str">
        <f aca="false" t="array" ref="N680:N680">_xlfn.LET(_xlpm.t,_xlfn.XLOOKUP($A680,TRIM(SUBSTITUTE('worker file'!$A$2:$A$406,_xlfn.UNICHAR(160)," ")),'worker file'!$N$2:$N$406,""),IF(N(_xlpm.t)=0,"",_xlpm.t))</f>
        <v/>
      </c>
      <c r="O680" s="0" t="s">
        <v>648</v>
      </c>
    </row>
    <row r="681" customFormat="false" ht="15" hidden="false" customHeight="false" outlineLevel="0" collapsed="false">
      <c r="A681" s="39" t="s">
        <v>337</v>
      </c>
      <c r="B681" s="40" t="str">
        <f aca="false" t="array" ref="B681:B681">_xlfn.XLOOKUP($A681,TRIM(SUBSTITUTE('worker file'!$A$2:$A$406,_xlfn.UNICHAR(160)," ")),'worker file'!$L$2:$L$406,"Not found")</f>
        <v>US Biweekly</v>
      </c>
      <c r="C681" s="40" t="str">
        <f aca="false" t="array" ref="C681:C681">_xlfn.XLOOKUP($A681,TRIM(SUBSTITUTE('worker file'!$A$2:$A$406,_xlfn.UNICHAR(160)," ")),'worker file'!$D$2:$D$406,"Not found")</f>
        <v>CA</v>
      </c>
      <c r="D681" s="40" t="str">
        <f aca="false" t="array" ref="D681:D681">_xlfn.XLOOKUP($A681,TRIM(SUBSTITUTE('worker file'!$A$2:$A$406,_xlfn.UNICHAR(160)," ")),'worker file'!$Q$2:$Q$406,"Not found")</f>
        <v>On Leave(paid)</v>
      </c>
      <c r="E681" s="39" t="s">
        <v>634</v>
      </c>
      <c r="F681" s="38" t="str">
        <f aca="false">_xlfn.XLOOKUP($E681,$A$5:$A$8,$B$5:$B$8,"")</f>
        <v>Vision – Employee</v>
      </c>
      <c r="G681" s="38" t="str">
        <f aca="false">_xlfn.XLOOKUP($E681,$A$5:$A$8,$D$5:$D$8,"")</f>
        <v>Pre-tax Section 125 (exempt from FIT/SIT/FICA)</v>
      </c>
      <c r="H681" s="38" t="str">
        <f aca="false">_xlfn.XLOOKUP($E681,$A$5:$A$8,$E$5:$E$8,"")</f>
        <v>Flat</v>
      </c>
      <c r="I681" s="44" t="str">
        <f aca="false">IF($H681="Percent",_xlfn.XLOOKUP($E681,$A$5:$A$8,$F$5:$F$8,""),"")</f>
        <v/>
      </c>
      <c r="J681" s="42" t="n">
        <f aca="false">IF($H681="Flat",_xlfn.XLOOKUP($E681,$A$5:$A$8,$F$5:$F$8,""),"")</f>
        <v>30</v>
      </c>
      <c r="K681" s="38" t="str">
        <f aca="false">_xlfn.XLOOKUP($E681,$A$5:$A$8,$G$5:$G$8,"")</f>
        <v>Per pay period</v>
      </c>
      <c r="L681" s="38" t="str">
        <f aca="false">_xlfn.XLOOKUP($E681,$A$5:$A$8,$H$5:$H$8,"")</f>
        <v>Every pay period (ongoing)</v>
      </c>
      <c r="M681" s="43" t="n">
        <f aca="false" t="array" ref="M681:M681">MAX(_xlfn.XLOOKUP($A681,TRIM(SUBSTITUTE('worker file'!$A$2:$A$406,_xlfn.UNICHAR(160)," ")),'worker file'!$M$2:$M$406,0),_xlfn.XLOOKUP($B681,TRIM('pay group &amp; schedule'!$A$2:$A$6),'pay group &amp; schedule'!$D$2:$D$6,0))</f>
        <v>46299</v>
      </c>
      <c r="N681" s="43" t="str">
        <f aca="false" t="array" ref="N681:N681">_xlfn.LET(_xlpm.t,_xlfn.XLOOKUP($A681,TRIM(SUBSTITUTE('worker file'!$A$2:$A$406,_xlfn.UNICHAR(160)," ")),'worker file'!$N$2:$N$406,""),IF(N(_xlpm.t)=0,"",_xlpm.t))</f>
        <v/>
      </c>
      <c r="O681" s="0" t="s">
        <v>648</v>
      </c>
    </row>
    <row r="682" customFormat="false" ht="15" hidden="false" customHeight="false" outlineLevel="0" collapsed="false">
      <c r="A682" s="39" t="s">
        <v>338</v>
      </c>
      <c r="B682" s="40" t="str">
        <f aca="false" t="array" ref="B682:B682">_xlfn.XLOOKUP($A682,TRIM(SUBSTITUTE('worker file'!$A$2:$A$406,_xlfn.UNICHAR(160)," ")),'worker file'!$L$2:$L$406,"Not found")</f>
        <v>US Biweekly</v>
      </c>
      <c r="C682" s="40" t="str">
        <f aca="false" t="array" ref="C682:C682">_xlfn.XLOOKUP($A682,TRIM(SUBSTITUTE('worker file'!$A$2:$A$406,_xlfn.UNICHAR(160)," ")),'worker file'!$D$2:$D$406,"Not found")</f>
        <v>TX</v>
      </c>
      <c r="D682" s="40" t="str">
        <f aca="false" t="array" ref="D682:D682">_xlfn.XLOOKUP($A682,TRIM(SUBSTITUTE('worker file'!$A$2:$A$406,_xlfn.UNICHAR(160)," ")),'worker file'!$Q$2:$Q$406,"Not found")</f>
        <v>Active</v>
      </c>
      <c r="E682" s="39" t="s">
        <v>618</v>
      </c>
      <c r="F682" s="38" t="str">
        <f aca="false">_xlfn.XLOOKUP($E682,$A$5:$A$8,$B$5:$B$8,"")</f>
        <v>401(k) Employee Deferral</v>
      </c>
      <c r="G682" s="38" t="str">
        <f aca="false">_xlfn.XLOOKUP($E682,$A$5:$A$8,$D$5:$D$8,"")</f>
        <v>Pre-tax (exempt from FIT/SIT; subject to FICA)</v>
      </c>
      <c r="H682" s="38" t="str">
        <f aca="false">_xlfn.XLOOKUP($E682,$A$5:$A$8,$E$5:$E$8,"")</f>
        <v>Percent</v>
      </c>
      <c r="I682" s="41" t="n">
        <v>0.07</v>
      </c>
      <c r="J682" s="42" t="str">
        <f aca="false">IF($H682="Flat",_xlfn.XLOOKUP($E682,$A$5:$A$8,$F$5:$F$8,""),"")</f>
        <v/>
      </c>
      <c r="K682" s="38" t="str">
        <f aca="false">_xlfn.XLOOKUP($E682,$A$5:$A$8,$G$5:$G$8,"")</f>
        <v>Gross pay</v>
      </c>
      <c r="L682" s="38" t="str">
        <f aca="false">_xlfn.XLOOKUP($E682,$A$5:$A$8,$H$5:$H$8,"")</f>
        <v>Every pay period (ongoing)</v>
      </c>
      <c r="M682" s="43" t="n">
        <f aca="false" t="array" ref="M682:M682">MAX(_xlfn.XLOOKUP($A682,TRIM(SUBSTITUTE('worker file'!$A$2:$A$406,_xlfn.UNICHAR(160)," ")),'worker file'!$M$2:$M$406,0),_xlfn.XLOOKUP($B682,TRIM('pay group &amp; schedule'!$A$2:$A$6),'pay group &amp; schedule'!$D$2:$D$6,0))</f>
        <v>46299</v>
      </c>
      <c r="N682" s="43" t="str">
        <f aca="false" t="array" ref="N682:N682">_xlfn.LET(_xlpm.t,_xlfn.XLOOKUP($A682,TRIM(SUBSTITUTE('worker file'!$A$2:$A$406,_xlfn.UNICHAR(160)," ")),'worker file'!$N$2:$N$406,""),IF(N(_xlpm.t)=0,"",_xlpm.t))</f>
        <v/>
      </c>
    </row>
    <row r="683" customFormat="false" ht="15" hidden="false" customHeight="false" outlineLevel="0" collapsed="false">
      <c r="A683" s="39" t="s">
        <v>338</v>
      </c>
      <c r="B683" s="40" t="str">
        <f aca="false" t="array" ref="B683:B683">_xlfn.XLOOKUP($A683,TRIM(SUBSTITUTE('worker file'!$A$2:$A$406,_xlfn.UNICHAR(160)," ")),'worker file'!$L$2:$L$406,"Not found")</f>
        <v>US Biweekly</v>
      </c>
      <c r="C683" s="40" t="str">
        <f aca="false" t="array" ref="C683:C683">_xlfn.XLOOKUP($A683,TRIM(SUBSTITUTE('worker file'!$A$2:$A$406,_xlfn.UNICHAR(160)," ")),'worker file'!$D$2:$D$406,"Not found")</f>
        <v>TX</v>
      </c>
      <c r="D683" s="40" t="str">
        <f aca="false" t="array" ref="D683:D683">_xlfn.XLOOKUP($A683,TRIM(SUBSTITUTE('worker file'!$A$2:$A$406,_xlfn.UNICHAR(160)," ")),'worker file'!$Q$2:$Q$406,"Not found")</f>
        <v>Active</v>
      </c>
      <c r="E683" s="39" t="s">
        <v>626</v>
      </c>
      <c r="F683" s="38" t="str">
        <f aca="false">_xlfn.XLOOKUP($E683,$A$5:$A$8,$B$5:$B$8,"")</f>
        <v>Medical (Health) – Employee</v>
      </c>
      <c r="G683" s="38" t="str">
        <f aca="false">_xlfn.XLOOKUP($E683,$A$5:$A$8,$D$5:$D$8,"")</f>
        <v>Pre-tax Section 125 (exempt from FIT/SIT/FICA)</v>
      </c>
      <c r="H683" s="38" t="str">
        <f aca="false">_xlfn.XLOOKUP($E683,$A$5:$A$8,$E$5:$E$8,"")</f>
        <v>Flat</v>
      </c>
      <c r="I683" s="44" t="str">
        <f aca="false">IF($H683="Percent",_xlfn.XLOOKUP($E683,$A$5:$A$8,$F$5:$F$8,""),"")</f>
        <v/>
      </c>
      <c r="J683" s="42" t="n">
        <f aca="false">IF($H683="Flat",_xlfn.XLOOKUP($E683,$A$5:$A$8,$F$5:$F$8,""),"")</f>
        <v>200</v>
      </c>
      <c r="K683" s="38" t="str">
        <f aca="false">_xlfn.XLOOKUP($E683,$A$5:$A$8,$G$5:$G$8,"")</f>
        <v>Per pay period</v>
      </c>
      <c r="L683" s="38" t="str">
        <f aca="false">_xlfn.XLOOKUP($E683,$A$5:$A$8,$H$5:$H$8,"")</f>
        <v>Every pay period (ongoing)</v>
      </c>
      <c r="M683" s="43" t="n">
        <f aca="false" t="array" ref="M683:M683">MAX(_xlfn.XLOOKUP($A683,TRIM(SUBSTITUTE('worker file'!$A$2:$A$406,_xlfn.UNICHAR(160)," ")),'worker file'!$M$2:$M$406,0),_xlfn.XLOOKUP($B683,TRIM('pay group &amp; schedule'!$A$2:$A$6),'pay group &amp; schedule'!$D$2:$D$6,0))</f>
        <v>46299</v>
      </c>
      <c r="N683" s="43" t="str">
        <f aca="false" t="array" ref="N683:N683">_xlfn.LET(_xlpm.t,_xlfn.XLOOKUP($A683,TRIM(SUBSTITUTE('worker file'!$A$2:$A$406,_xlfn.UNICHAR(160)," ")),'worker file'!$N$2:$N$406,""),IF(N(_xlpm.t)=0,"",_xlpm.t))</f>
        <v/>
      </c>
    </row>
    <row r="684" customFormat="false" ht="15" hidden="false" customHeight="false" outlineLevel="0" collapsed="false">
      <c r="A684" s="39" t="s">
        <v>338</v>
      </c>
      <c r="B684" s="40" t="str">
        <f aca="false" t="array" ref="B684:B684">_xlfn.XLOOKUP($A684,TRIM(SUBSTITUTE('worker file'!$A$2:$A$406,_xlfn.UNICHAR(160)," ")),'worker file'!$L$2:$L$406,"Not found")</f>
        <v>US Biweekly</v>
      </c>
      <c r="C684" s="40" t="str">
        <f aca="false" t="array" ref="C684:C684">_xlfn.XLOOKUP($A684,TRIM(SUBSTITUTE('worker file'!$A$2:$A$406,_xlfn.UNICHAR(160)," ")),'worker file'!$D$2:$D$406,"Not found")</f>
        <v>TX</v>
      </c>
      <c r="D684" s="40" t="str">
        <f aca="false" t="array" ref="D684:D684">_xlfn.XLOOKUP($A684,TRIM(SUBSTITUTE('worker file'!$A$2:$A$406,_xlfn.UNICHAR(160)," ")),'worker file'!$Q$2:$Q$406,"Not found")</f>
        <v>Active</v>
      </c>
      <c r="E684" s="39" t="s">
        <v>632</v>
      </c>
      <c r="F684" s="38" t="str">
        <f aca="false">_xlfn.XLOOKUP($E684,$A$5:$A$8,$B$5:$B$8,"")</f>
        <v>Dental – Employee</v>
      </c>
      <c r="G684" s="38" t="str">
        <f aca="false">_xlfn.XLOOKUP($E684,$A$5:$A$8,$D$5:$D$8,"")</f>
        <v>Pre-tax Section 125 (exempt from FIT/SIT/FICA)</v>
      </c>
      <c r="H684" s="38" t="str">
        <f aca="false">_xlfn.XLOOKUP($E684,$A$5:$A$8,$E$5:$E$8,"")</f>
        <v>Flat</v>
      </c>
      <c r="I684" s="44" t="str">
        <f aca="false">IF($H684="Percent",_xlfn.XLOOKUP($E684,$A$5:$A$8,$F$5:$F$8,""),"")</f>
        <v/>
      </c>
      <c r="J684" s="42" t="n">
        <f aca="false">IF($H684="Flat",_xlfn.XLOOKUP($E684,$A$5:$A$8,$F$5:$F$8,""),"")</f>
        <v>44</v>
      </c>
      <c r="K684" s="38" t="str">
        <f aca="false">_xlfn.XLOOKUP($E684,$A$5:$A$8,$G$5:$G$8,"")</f>
        <v>Per pay period</v>
      </c>
      <c r="L684" s="38" t="str">
        <f aca="false">_xlfn.XLOOKUP($E684,$A$5:$A$8,$H$5:$H$8,"")</f>
        <v>Every pay period (ongoing)</v>
      </c>
      <c r="M684" s="43" t="n">
        <f aca="false" t="array" ref="M684:M684">MAX(_xlfn.XLOOKUP($A684,TRIM(SUBSTITUTE('worker file'!$A$2:$A$406,_xlfn.UNICHAR(160)," ")),'worker file'!$M$2:$M$406,0),_xlfn.XLOOKUP($B684,TRIM('pay group &amp; schedule'!$A$2:$A$6),'pay group &amp; schedule'!$D$2:$D$6,0))</f>
        <v>46299</v>
      </c>
      <c r="N684" s="43" t="str">
        <f aca="false" t="array" ref="N684:N684">_xlfn.LET(_xlpm.t,_xlfn.XLOOKUP($A684,TRIM(SUBSTITUTE('worker file'!$A$2:$A$406,_xlfn.UNICHAR(160)," ")),'worker file'!$N$2:$N$406,""),IF(N(_xlpm.t)=0,"",_xlpm.t))</f>
        <v/>
      </c>
    </row>
    <row r="685" customFormat="false" ht="15" hidden="false" customHeight="false" outlineLevel="0" collapsed="false">
      <c r="A685" s="39" t="s">
        <v>338</v>
      </c>
      <c r="B685" s="40" t="str">
        <f aca="false" t="array" ref="B685:B685">_xlfn.XLOOKUP($A685,TRIM(SUBSTITUTE('worker file'!$A$2:$A$406,_xlfn.UNICHAR(160)," ")),'worker file'!$L$2:$L$406,"Not found")</f>
        <v>US Biweekly</v>
      </c>
      <c r="C685" s="40" t="str">
        <f aca="false" t="array" ref="C685:C685">_xlfn.XLOOKUP($A685,TRIM(SUBSTITUTE('worker file'!$A$2:$A$406,_xlfn.UNICHAR(160)," ")),'worker file'!$D$2:$D$406,"Not found")</f>
        <v>TX</v>
      </c>
      <c r="D685" s="40" t="str">
        <f aca="false" t="array" ref="D685:D685">_xlfn.XLOOKUP($A685,TRIM(SUBSTITUTE('worker file'!$A$2:$A$406,_xlfn.UNICHAR(160)," ")),'worker file'!$Q$2:$Q$406,"Not found")</f>
        <v>Active</v>
      </c>
      <c r="E685" s="39" t="s">
        <v>634</v>
      </c>
      <c r="F685" s="38" t="str">
        <f aca="false">_xlfn.XLOOKUP($E685,$A$5:$A$8,$B$5:$B$8,"")</f>
        <v>Vision – Employee</v>
      </c>
      <c r="G685" s="38" t="str">
        <f aca="false">_xlfn.XLOOKUP($E685,$A$5:$A$8,$D$5:$D$8,"")</f>
        <v>Pre-tax Section 125 (exempt from FIT/SIT/FICA)</v>
      </c>
      <c r="H685" s="38" t="str">
        <f aca="false">_xlfn.XLOOKUP($E685,$A$5:$A$8,$E$5:$E$8,"")</f>
        <v>Flat</v>
      </c>
      <c r="I685" s="44" t="str">
        <f aca="false">IF($H685="Percent",_xlfn.XLOOKUP($E685,$A$5:$A$8,$F$5:$F$8,""),"")</f>
        <v/>
      </c>
      <c r="J685" s="42" t="n">
        <f aca="false">IF($H685="Flat",_xlfn.XLOOKUP($E685,$A$5:$A$8,$F$5:$F$8,""),"")</f>
        <v>30</v>
      </c>
      <c r="K685" s="38" t="str">
        <f aca="false">_xlfn.XLOOKUP($E685,$A$5:$A$8,$G$5:$G$8,"")</f>
        <v>Per pay period</v>
      </c>
      <c r="L685" s="38" t="str">
        <f aca="false">_xlfn.XLOOKUP($E685,$A$5:$A$8,$H$5:$H$8,"")</f>
        <v>Every pay period (ongoing)</v>
      </c>
      <c r="M685" s="43" t="n">
        <f aca="false" t="array" ref="M685:M685">MAX(_xlfn.XLOOKUP($A685,TRIM(SUBSTITUTE('worker file'!$A$2:$A$406,_xlfn.UNICHAR(160)," ")),'worker file'!$M$2:$M$406,0),_xlfn.XLOOKUP($B685,TRIM('pay group &amp; schedule'!$A$2:$A$6),'pay group &amp; schedule'!$D$2:$D$6,0))</f>
        <v>46299</v>
      </c>
      <c r="N685" s="43" t="str">
        <f aca="false" t="array" ref="N685:N685">_xlfn.LET(_xlpm.t,_xlfn.XLOOKUP($A685,TRIM(SUBSTITUTE('worker file'!$A$2:$A$406,_xlfn.UNICHAR(160)," ")),'worker file'!$N$2:$N$406,""),IF(N(_xlpm.t)=0,"",_xlpm.t))</f>
        <v/>
      </c>
    </row>
    <row r="686" customFormat="false" ht="15" hidden="false" customHeight="false" outlineLevel="0" collapsed="false">
      <c r="A686" s="39" t="s">
        <v>339</v>
      </c>
      <c r="B686" s="40" t="str">
        <f aca="false" t="array" ref="B686:B686">_xlfn.XLOOKUP($A686,TRIM(SUBSTITUTE('worker file'!$A$2:$A$406,_xlfn.UNICHAR(160)," ")),'worker file'!$L$2:$L$406,"Not found")</f>
        <v>US Semi-monthly</v>
      </c>
      <c r="C686" s="40" t="str">
        <f aca="false" t="array" ref="C686:C686">_xlfn.XLOOKUP($A686,TRIM(SUBSTITUTE('worker file'!$A$2:$A$406,_xlfn.UNICHAR(160)," ")),'worker file'!$D$2:$D$406,"Not found")</f>
        <v>GA</v>
      </c>
      <c r="D686" s="40" t="str">
        <f aca="false" t="array" ref="D686:D686">_xlfn.XLOOKUP($A686,TRIM(SUBSTITUTE('worker file'!$A$2:$A$406,_xlfn.UNICHAR(160)," ")),'worker file'!$Q$2:$Q$406,"Not found")</f>
        <v>Active</v>
      </c>
      <c r="E686" s="39" t="s">
        <v>618</v>
      </c>
      <c r="F686" s="38" t="str">
        <f aca="false">_xlfn.XLOOKUP($E686,$A$5:$A$8,$B$5:$B$8,"")</f>
        <v>401(k) Employee Deferral</v>
      </c>
      <c r="G686" s="38" t="str">
        <f aca="false">_xlfn.XLOOKUP($E686,$A$5:$A$8,$D$5:$D$8,"")</f>
        <v>Pre-tax (exempt from FIT/SIT; subject to FICA)</v>
      </c>
      <c r="H686" s="38" t="str">
        <f aca="false">_xlfn.XLOOKUP($E686,$A$5:$A$8,$E$5:$E$8,"")</f>
        <v>Percent</v>
      </c>
      <c r="I686" s="41" t="n">
        <v>0.04</v>
      </c>
      <c r="J686" s="42" t="str">
        <f aca="false">IF($H686="Flat",_xlfn.XLOOKUP($E686,$A$5:$A$8,$F$5:$F$8,""),"")</f>
        <v/>
      </c>
      <c r="K686" s="38" t="str">
        <f aca="false">_xlfn.XLOOKUP($E686,$A$5:$A$8,$G$5:$G$8,"")</f>
        <v>Gross pay</v>
      </c>
      <c r="L686" s="38" t="str">
        <f aca="false">_xlfn.XLOOKUP($E686,$A$5:$A$8,$H$5:$H$8,"")</f>
        <v>Every pay period (ongoing)</v>
      </c>
      <c r="M686" s="43" t="n">
        <f aca="false" t="array" ref="M686:M686">MAX(_xlfn.XLOOKUP($A686,TRIM(SUBSTITUTE('worker file'!$A$2:$A$406,_xlfn.UNICHAR(160)," ")),'worker file'!$M$2:$M$406,0),_xlfn.XLOOKUP($B686,TRIM('pay group &amp; schedule'!$A$2:$A$6),'pay group &amp; schedule'!$D$2:$D$6,0))</f>
        <v>46311</v>
      </c>
      <c r="N686" s="43" t="str">
        <f aca="false" t="array" ref="N686:N686">_xlfn.LET(_xlpm.t,_xlfn.XLOOKUP($A686,TRIM(SUBSTITUTE('worker file'!$A$2:$A$406,_xlfn.UNICHAR(160)," ")),'worker file'!$N$2:$N$406,""),IF(N(_xlpm.t)=0,"",_xlpm.t))</f>
        <v/>
      </c>
    </row>
    <row r="687" customFormat="false" ht="15" hidden="false" customHeight="false" outlineLevel="0" collapsed="false">
      <c r="A687" s="39" t="s">
        <v>339</v>
      </c>
      <c r="B687" s="40" t="str">
        <f aca="false" t="array" ref="B687:B687">_xlfn.XLOOKUP($A687,TRIM(SUBSTITUTE('worker file'!$A$2:$A$406,_xlfn.UNICHAR(160)," ")),'worker file'!$L$2:$L$406,"Not found")</f>
        <v>US Semi-monthly</v>
      </c>
      <c r="C687" s="40" t="str">
        <f aca="false" t="array" ref="C687:C687">_xlfn.XLOOKUP($A687,TRIM(SUBSTITUTE('worker file'!$A$2:$A$406,_xlfn.UNICHAR(160)," ")),'worker file'!$D$2:$D$406,"Not found")</f>
        <v>GA</v>
      </c>
      <c r="D687" s="40" t="str">
        <f aca="false" t="array" ref="D687:D687">_xlfn.XLOOKUP($A687,TRIM(SUBSTITUTE('worker file'!$A$2:$A$406,_xlfn.UNICHAR(160)," ")),'worker file'!$Q$2:$Q$406,"Not found")</f>
        <v>Active</v>
      </c>
      <c r="E687" s="39" t="s">
        <v>626</v>
      </c>
      <c r="F687" s="38" t="str">
        <f aca="false">_xlfn.XLOOKUP($E687,$A$5:$A$8,$B$5:$B$8,"")</f>
        <v>Medical (Health) – Employee</v>
      </c>
      <c r="G687" s="38" t="str">
        <f aca="false">_xlfn.XLOOKUP($E687,$A$5:$A$8,$D$5:$D$8,"")</f>
        <v>Pre-tax Section 125 (exempt from FIT/SIT/FICA)</v>
      </c>
      <c r="H687" s="38" t="str">
        <f aca="false">_xlfn.XLOOKUP($E687,$A$5:$A$8,$E$5:$E$8,"")</f>
        <v>Flat</v>
      </c>
      <c r="I687" s="44" t="str">
        <f aca="false">IF($H687="Percent",_xlfn.XLOOKUP($E687,$A$5:$A$8,$F$5:$F$8,""),"")</f>
        <v/>
      </c>
      <c r="J687" s="42" t="n">
        <f aca="false">IF($H687="Flat",_xlfn.XLOOKUP($E687,$A$5:$A$8,$F$5:$F$8,""),"")</f>
        <v>200</v>
      </c>
      <c r="K687" s="38" t="str">
        <f aca="false">_xlfn.XLOOKUP($E687,$A$5:$A$8,$G$5:$G$8,"")</f>
        <v>Per pay period</v>
      </c>
      <c r="L687" s="38" t="str">
        <f aca="false">_xlfn.XLOOKUP($E687,$A$5:$A$8,$H$5:$H$8,"")</f>
        <v>Every pay period (ongoing)</v>
      </c>
      <c r="M687" s="43" t="n">
        <f aca="false" t="array" ref="M687:M687">MAX(_xlfn.XLOOKUP($A687,TRIM(SUBSTITUTE('worker file'!$A$2:$A$406,_xlfn.UNICHAR(160)," ")),'worker file'!$M$2:$M$406,0),_xlfn.XLOOKUP($B687,TRIM('pay group &amp; schedule'!$A$2:$A$6),'pay group &amp; schedule'!$D$2:$D$6,0))</f>
        <v>46311</v>
      </c>
      <c r="N687" s="43" t="str">
        <f aca="false" t="array" ref="N687:N687">_xlfn.LET(_xlpm.t,_xlfn.XLOOKUP($A687,TRIM(SUBSTITUTE('worker file'!$A$2:$A$406,_xlfn.UNICHAR(160)," ")),'worker file'!$N$2:$N$406,""),IF(N(_xlpm.t)=0,"",_xlpm.t))</f>
        <v/>
      </c>
    </row>
    <row r="688" customFormat="false" ht="15" hidden="false" customHeight="false" outlineLevel="0" collapsed="false">
      <c r="A688" s="39" t="s">
        <v>339</v>
      </c>
      <c r="B688" s="40" t="str">
        <f aca="false" t="array" ref="B688:B688">_xlfn.XLOOKUP($A688,TRIM(SUBSTITUTE('worker file'!$A$2:$A$406,_xlfn.UNICHAR(160)," ")),'worker file'!$L$2:$L$406,"Not found")</f>
        <v>US Semi-monthly</v>
      </c>
      <c r="C688" s="40" t="str">
        <f aca="false" t="array" ref="C688:C688">_xlfn.XLOOKUP($A688,TRIM(SUBSTITUTE('worker file'!$A$2:$A$406,_xlfn.UNICHAR(160)," ")),'worker file'!$D$2:$D$406,"Not found")</f>
        <v>GA</v>
      </c>
      <c r="D688" s="40" t="str">
        <f aca="false" t="array" ref="D688:D688">_xlfn.XLOOKUP($A688,TRIM(SUBSTITUTE('worker file'!$A$2:$A$406,_xlfn.UNICHAR(160)," ")),'worker file'!$Q$2:$Q$406,"Not found")</f>
        <v>Active</v>
      </c>
      <c r="E688" s="39" t="s">
        <v>632</v>
      </c>
      <c r="F688" s="38" t="str">
        <f aca="false">_xlfn.XLOOKUP($E688,$A$5:$A$8,$B$5:$B$8,"")</f>
        <v>Dental – Employee</v>
      </c>
      <c r="G688" s="38" t="str">
        <f aca="false">_xlfn.XLOOKUP($E688,$A$5:$A$8,$D$5:$D$8,"")</f>
        <v>Pre-tax Section 125 (exempt from FIT/SIT/FICA)</v>
      </c>
      <c r="H688" s="38" t="str">
        <f aca="false">_xlfn.XLOOKUP($E688,$A$5:$A$8,$E$5:$E$8,"")</f>
        <v>Flat</v>
      </c>
      <c r="I688" s="44" t="str">
        <f aca="false">IF($H688="Percent",_xlfn.XLOOKUP($E688,$A$5:$A$8,$F$5:$F$8,""),"")</f>
        <v/>
      </c>
      <c r="J688" s="42" t="n">
        <f aca="false">IF($H688="Flat",_xlfn.XLOOKUP($E688,$A$5:$A$8,$F$5:$F$8,""),"")</f>
        <v>44</v>
      </c>
      <c r="K688" s="38" t="str">
        <f aca="false">_xlfn.XLOOKUP($E688,$A$5:$A$8,$G$5:$G$8,"")</f>
        <v>Per pay period</v>
      </c>
      <c r="L688" s="38" t="str">
        <f aca="false">_xlfn.XLOOKUP($E688,$A$5:$A$8,$H$5:$H$8,"")</f>
        <v>Every pay period (ongoing)</v>
      </c>
      <c r="M688" s="43" t="n">
        <f aca="false" t="array" ref="M688:M688">MAX(_xlfn.XLOOKUP($A688,TRIM(SUBSTITUTE('worker file'!$A$2:$A$406,_xlfn.UNICHAR(160)," ")),'worker file'!$M$2:$M$406,0),_xlfn.XLOOKUP($B688,TRIM('pay group &amp; schedule'!$A$2:$A$6),'pay group &amp; schedule'!$D$2:$D$6,0))</f>
        <v>46311</v>
      </c>
      <c r="N688" s="43" t="str">
        <f aca="false" t="array" ref="N688:N688">_xlfn.LET(_xlpm.t,_xlfn.XLOOKUP($A688,TRIM(SUBSTITUTE('worker file'!$A$2:$A$406,_xlfn.UNICHAR(160)," ")),'worker file'!$N$2:$N$406,""),IF(N(_xlpm.t)=0,"",_xlpm.t))</f>
        <v/>
      </c>
    </row>
    <row r="689" customFormat="false" ht="15" hidden="false" customHeight="false" outlineLevel="0" collapsed="false">
      <c r="A689" s="39" t="s">
        <v>339</v>
      </c>
      <c r="B689" s="40" t="str">
        <f aca="false" t="array" ref="B689:B689">_xlfn.XLOOKUP($A689,TRIM(SUBSTITUTE('worker file'!$A$2:$A$406,_xlfn.UNICHAR(160)," ")),'worker file'!$L$2:$L$406,"Not found")</f>
        <v>US Semi-monthly</v>
      </c>
      <c r="C689" s="40" t="str">
        <f aca="false" t="array" ref="C689:C689">_xlfn.XLOOKUP($A689,TRIM(SUBSTITUTE('worker file'!$A$2:$A$406,_xlfn.UNICHAR(160)," ")),'worker file'!$D$2:$D$406,"Not found")</f>
        <v>GA</v>
      </c>
      <c r="D689" s="40" t="str">
        <f aca="false" t="array" ref="D689:D689">_xlfn.XLOOKUP($A689,TRIM(SUBSTITUTE('worker file'!$A$2:$A$406,_xlfn.UNICHAR(160)," ")),'worker file'!$Q$2:$Q$406,"Not found")</f>
        <v>Active</v>
      </c>
      <c r="E689" s="39" t="s">
        <v>634</v>
      </c>
      <c r="F689" s="38" t="str">
        <f aca="false">_xlfn.XLOOKUP($E689,$A$5:$A$8,$B$5:$B$8,"")</f>
        <v>Vision – Employee</v>
      </c>
      <c r="G689" s="38" t="str">
        <f aca="false">_xlfn.XLOOKUP($E689,$A$5:$A$8,$D$5:$D$8,"")</f>
        <v>Pre-tax Section 125 (exempt from FIT/SIT/FICA)</v>
      </c>
      <c r="H689" s="38" t="str">
        <f aca="false">_xlfn.XLOOKUP($E689,$A$5:$A$8,$E$5:$E$8,"")</f>
        <v>Flat</v>
      </c>
      <c r="I689" s="44" t="str">
        <f aca="false">IF($H689="Percent",_xlfn.XLOOKUP($E689,$A$5:$A$8,$F$5:$F$8,""),"")</f>
        <v/>
      </c>
      <c r="J689" s="42" t="n">
        <f aca="false">IF($H689="Flat",_xlfn.XLOOKUP($E689,$A$5:$A$8,$F$5:$F$8,""),"")</f>
        <v>30</v>
      </c>
      <c r="K689" s="38" t="str">
        <f aca="false">_xlfn.XLOOKUP($E689,$A$5:$A$8,$G$5:$G$8,"")</f>
        <v>Per pay period</v>
      </c>
      <c r="L689" s="38" t="str">
        <f aca="false">_xlfn.XLOOKUP($E689,$A$5:$A$8,$H$5:$H$8,"")</f>
        <v>Every pay period (ongoing)</v>
      </c>
      <c r="M689" s="43" t="n">
        <f aca="false" t="array" ref="M689:M689">MAX(_xlfn.XLOOKUP($A689,TRIM(SUBSTITUTE('worker file'!$A$2:$A$406,_xlfn.UNICHAR(160)," ")),'worker file'!$M$2:$M$406,0),_xlfn.XLOOKUP($B689,TRIM('pay group &amp; schedule'!$A$2:$A$6),'pay group &amp; schedule'!$D$2:$D$6,0))</f>
        <v>46311</v>
      </c>
      <c r="N689" s="43" t="str">
        <f aca="false" t="array" ref="N689:N689">_xlfn.LET(_xlpm.t,_xlfn.XLOOKUP($A689,TRIM(SUBSTITUTE('worker file'!$A$2:$A$406,_xlfn.UNICHAR(160)," ")),'worker file'!$N$2:$N$406,""),IF(N(_xlpm.t)=0,"",_xlpm.t))</f>
        <v/>
      </c>
    </row>
    <row r="690" customFormat="false" ht="15" hidden="false" customHeight="false" outlineLevel="0" collapsed="false">
      <c r="A690" s="39" t="s">
        <v>340</v>
      </c>
      <c r="B690" s="40" t="str">
        <f aca="false" t="array" ref="B690:B690">_xlfn.XLOOKUP($A690,TRIM(SUBSTITUTE('worker file'!$A$2:$A$406,_xlfn.UNICHAR(160)," ")),'worker file'!$L$2:$L$406,"Not found")</f>
        <v>US Semi-monthly</v>
      </c>
      <c r="C690" s="40" t="str">
        <f aca="false" t="array" ref="C690:C690">_xlfn.XLOOKUP($A690,TRIM(SUBSTITUTE('worker file'!$A$2:$A$406,_xlfn.UNICHAR(160)," ")),'worker file'!$D$2:$D$406,"Not found")</f>
        <v>CA</v>
      </c>
      <c r="D690" s="40" t="str">
        <f aca="false" t="array" ref="D690:D690">_xlfn.XLOOKUP($A690,TRIM(SUBSTITUTE('worker file'!$A$2:$A$406,_xlfn.UNICHAR(160)," ")),'worker file'!$Q$2:$Q$406,"Not found")</f>
        <v>Active</v>
      </c>
      <c r="E690" s="39" t="s">
        <v>618</v>
      </c>
      <c r="F690" s="38" t="str">
        <f aca="false">_xlfn.XLOOKUP($E690,$A$5:$A$8,$B$5:$B$8,"")</f>
        <v>401(k) Employee Deferral</v>
      </c>
      <c r="G690" s="38" t="str">
        <f aca="false">_xlfn.XLOOKUP($E690,$A$5:$A$8,$D$5:$D$8,"")</f>
        <v>Pre-tax (exempt from FIT/SIT; subject to FICA)</v>
      </c>
      <c r="H690" s="38" t="str">
        <f aca="false">_xlfn.XLOOKUP($E690,$A$5:$A$8,$E$5:$E$8,"")</f>
        <v>Percent</v>
      </c>
      <c r="I690" s="41" t="n">
        <v>0.01</v>
      </c>
      <c r="J690" s="42" t="str">
        <f aca="false">IF($H690="Flat",_xlfn.XLOOKUP($E690,$A$5:$A$8,$F$5:$F$8,""),"")</f>
        <v/>
      </c>
      <c r="K690" s="38" t="str">
        <f aca="false">_xlfn.XLOOKUP($E690,$A$5:$A$8,$G$5:$G$8,"")</f>
        <v>Gross pay</v>
      </c>
      <c r="L690" s="38" t="str">
        <f aca="false">_xlfn.XLOOKUP($E690,$A$5:$A$8,$H$5:$H$8,"")</f>
        <v>Every pay period (ongoing)</v>
      </c>
      <c r="M690" s="43" t="n">
        <f aca="false" t="array" ref="M690:M690">MAX(_xlfn.XLOOKUP($A690,TRIM(SUBSTITUTE('worker file'!$A$2:$A$406,_xlfn.UNICHAR(160)," ")),'worker file'!$M$2:$M$406,0),_xlfn.XLOOKUP($B690,TRIM('pay group &amp; schedule'!$A$2:$A$6),'pay group &amp; schedule'!$D$2:$D$6,0))</f>
        <v>46311</v>
      </c>
      <c r="N690" s="43" t="str">
        <f aca="false" t="array" ref="N690:N690">_xlfn.LET(_xlpm.t,_xlfn.XLOOKUP($A690,TRIM(SUBSTITUTE('worker file'!$A$2:$A$406,_xlfn.UNICHAR(160)," ")),'worker file'!$N$2:$N$406,""),IF(N(_xlpm.t)=0,"",_xlpm.t))</f>
        <v/>
      </c>
    </row>
    <row r="691" customFormat="false" ht="15" hidden="false" customHeight="false" outlineLevel="0" collapsed="false">
      <c r="A691" s="39" t="s">
        <v>340</v>
      </c>
      <c r="B691" s="40" t="str">
        <f aca="false" t="array" ref="B691:B691">_xlfn.XLOOKUP($A691,TRIM(SUBSTITUTE('worker file'!$A$2:$A$406,_xlfn.UNICHAR(160)," ")),'worker file'!$L$2:$L$406,"Not found")</f>
        <v>US Semi-monthly</v>
      </c>
      <c r="C691" s="40" t="str">
        <f aca="false" t="array" ref="C691:C691">_xlfn.XLOOKUP($A691,TRIM(SUBSTITUTE('worker file'!$A$2:$A$406,_xlfn.UNICHAR(160)," ")),'worker file'!$D$2:$D$406,"Not found")</f>
        <v>CA</v>
      </c>
      <c r="D691" s="40" t="str">
        <f aca="false" t="array" ref="D691:D691">_xlfn.XLOOKUP($A691,TRIM(SUBSTITUTE('worker file'!$A$2:$A$406,_xlfn.UNICHAR(160)," ")),'worker file'!$Q$2:$Q$406,"Not found")</f>
        <v>Active</v>
      </c>
      <c r="E691" s="39" t="s">
        <v>626</v>
      </c>
      <c r="F691" s="38" t="str">
        <f aca="false">_xlfn.XLOOKUP($E691,$A$5:$A$8,$B$5:$B$8,"")</f>
        <v>Medical (Health) – Employee</v>
      </c>
      <c r="G691" s="38" t="str">
        <f aca="false">_xlfn.XLOOKUP($E691,$A$5:$A$8,$D$5:$D$8,"")</f>
        <v>Pre-tax Section 125 (exempt from FIT/SIT/FICA)</v>
      </c>
      <c r="H691" s="38" t="str">
        <f aca="false">_xlfn.XLOOKUP($E691,$A$5:$A$8,$E$5:$E$8,"")</f>
        <v>Flat</v>
      </c>
      <c r="I691" s="44" t="str">
        <f aca="false">IF($H691="Percent",_xlfn.XLOOKUP($E691,$A$5:$A$8,$F$5:$F$8,""),"")</f>
        <v/>
      </c>
      <c r="J691" s="42" t="n">
        <f aca="false">IF($H691="Flat",_xlfn.XLOOKUP($E691,$A$5:$A$8,$F$5:$F$8,""),"")</f>
        <v>200</v>
      </c>
      <c r="K691" s="38" t="str">
        <f aca="false">_xlfn.XLOOKUP($E691,$A$5:$A$8,$G$5:$G$8,"")</f>
        <v>Per pay period</v>
      </c>
      <c r="L691" s="38" t="str">
        <f aca="false">_xlfn.XLOOKUP($E691,$A$5:$A$8,$H$5:$H$8,"")</f>
        <v>Every pay period (ongoing)</v>
      </c>
      <c r="M691" s="43" t="n">
        <f aca="false" t="array" ref="M691:M691">MAX(_xlfn.XLOOKUP($A691,TRIM(SUBSTITUTE('worker file'!$A$2:$A$406,_xlfn.UNICHAR(160)," ")),'worker file'!$M$2:$M$406,0),_xlfn.XLOOKUP($B691,TRIM('pay group &amp; schedule'!$A$2:$A$6),'pay group &amp; schedule'!$D$2:$D$6,0))</f>
        <v>46311</v>
      </c>
      <c r="N691" s="43" t="str">
        <f aca="false" t="array" ref="N691:N691">_xlfn.LET(_xlpm.t,_xlfn.XLOOKUP($A691,TRIM(SUBSTITUTE('worker file'!$A$2:$A$406,_xlfn.UNICHAR(160)," ")),'worker file'!$N$2:$N$406,""),IF(N(_xlpm.t)=0,"",_xlpm.t))</f>
        <v/>
      </c>
    </row>
    <row r="692" customFormat="false" ht="15" hidden="false" customHeight="false" outlineLevel="0" collapsed="false">
      <c r="A692" s="39" t="s">
        <v>340</v>
      </c>
      <c r="B692" s="40" t="str">
        <f aca="false" t="array" ref="B692:B692">_xlfn.XLOOKUP($A692,TRIM(SUBSTITUTE('worker file'!$A$2:$A$406,_xlfn.UNICHAR(160)," ")),'worker file'!$L$2:$L$406,"Not found")</f>
        <v>US Semi-monthly</v>
      </c>
      <c r="C692" s="40" t="str">
        <f aca="false" t="array" ref="C692:C692">_xlfn.XLOOKUP($A692,TRIM(SUBSTITUTE('worker file'!$A$2:$A$406,_xlfn.UNICHAR(160)," ")),'worker file'!$D$2:$D$406,"Not found")</f>
        <v>CA</v>
      </c>
      <c r="D692" s="40" t="str">
        <f aca="false" t="array" ref="D692:D692">_xlfn.XLOOKUP($A692,TRIM(SUBSTITUTE('worker file'!$A$2:$A$406,_xlfn.UNICHAR(160)," ")),'worker file'!$Q$2:$Q$406,"Not found")</f>
        <v>Active</v>
      </c>
      <c r="E692" s="39" t="s">
        <v>632</v>
      </c>
      <c r="F692" s="38" t="str">
        <f aca="false">_xlfn.XLOOKUP($E692,$A$5:$A$8,$B$5:$B$8,"")</f>
        <v>Dental – Employee</v>
      </c>
      <c r="G692" s="38" t="str">
        <f aca="false">_xlfn.XLOOKUP($E692,$A$5:$A$8,$D$5:$D$8,"")</f>
        <v>Pre-tax Section 125 (exempt from FIT/SIT/FICA)</v>
      </c>
      <c r="H692" s="38" t="str">
        <f aca="false">_xlfn.XLOOKUP($E692,$A$5:$A$8,$E$5:$E$8,"")</f>
        <v>Flat</v>
      </c>
      <c r="I692" s="44" t="str">
        <f aca="false">IF($H692="Percent",_xlfn.XLOOKUP($E692,$A$5:$A$8,$F$5:$F$8,""),"")</f>
        <v/>
      </c>
      <c r="J692" s="42" t="n">
        <f aca="false">IF($H692="Flat",_xlfn.XLOOKUP($E692,$A$5:$A$8,$F$5:$F$8,""),"")</f>
        <v>44</v>
      </c>
      <c r="K692" s="38" t="str">
        <f aca="false">_xlfn.XLOOKUP($E692,$A$5:$A$8,$G$5:$G$8,"")</f>
        <v>Per pay period</v>
      </c>
      <c r="L692" s="38" t="str">
        <f aca="false">_xlfn.XLOOKUP($E692,$A$5:$A$8,$H$5:$H$8,"")</f>
        <v>Every pay period (ongoing)</v>
      </c>
      <c r="M692" s="43" t="n">
        <f aca="false" t="array" ref="M692:M692">MAX(_xlfn.XLOOKUP($A692,TRIM(SUBSTITUTE('worker file'!$A$2:$A$406,_xlfn.UNICHAR(160)," ")),'worker file'!$M$2:$M$406,0),_xlfn.XLOOKUP($B692,TRIM('pay group &amp; schedule'!$A$2:$A$6),'pay group &amp; schedule'!$D$2:$D$6,0))</f>
        <v>46311</v>
      </c>
      <c r="N692" s="43" t="str">
        <f aca="false" t="array" ref="N692:N692">_xlfn.LET(_xlpm.t,_xlfn.XLOOKUP($A692,TRIM(SUBSTITUTE('worker file'!$A$2:$A$406,_xlfn.UNICHAR(160)," ")),'worker file'!$N$2:$N$406,""),IF(N(_xlpm.t)=0,"",_xlpm.t))</f>
        <v/>
      </c>
    </row>
    <row r="693" customFormat="false" ht="15" hidden="false" customHeight="false" outlineLevel="0" collapsed="false">
      <c r="A693" s="39" t="s">
        <v>340</v>
      </c>
      <c r="B693" s="40" t="str">
        <f aca="false" t="array" ref="B693:B693">_xlfn.XLOOKUP($A693,TRIM(SUBSTITUTE('worker file'!$A$2:$A$406,_xlfn.UNICHAR(160)," ")),'worker file'!$L$2:$L$406,"Not found")</f>
        <v>US Semi-monthly</v>
      </c>
      <c r="C693" s="40" t="str">
        <f aca="false" t="array" ref="C693:C693">_xlfn.XLOOKUP($A693,TRIM(SUBSTITUTE('worker file'!$A$2:$A$406,_xlfn.UNICHAR(160)," ")),'worker file'!$D$2:$D$406,"Not found")</f>
        <v>CA</v>
      </c>
      <c r="D693" s="40" t="str">
        <f aca="false" t="array" ref="D693:D693">_xlfn.XLOOKUP($A693,TRIM(SUBSTITUTE('worker file'!$A$2:$A$406,_xlfn.UNICHAR(160)," ")),'worker file'!$Q$2:$Q$406,"Not found")</f>
        <v>Active</v>
      </c>
      <c r="E693" s="39" t="s">
        <v>634</v>
      </c>
      <c r="F693" s="38" t="str">
        <f aca="false">_xlfn.XLOOKUP($E693,$A$5:$A$8,$B$5:$B$8,"")</f>
        <v>Vision – Employee</v>
      </c>
      <c r="G693" s="38" t="str">
        <f aca="false">_xlfn.XLOOKUP($E693,$A$5:$A$8,$D$5:$D$8,"")</f>
        <v>Pre-tax Section 125 (exempt from FIT/SIT/FICA)</v>
      </c>
      <c r="H693" s="38" t="str">
        <f aca="false">_xlfn.XLOOKUP($E693,$A$5:$A$8,$E$5:$E$8,"")</f>
        <v>Flat</v>
      </c>
      <c r="I693" s="44" t="str">
        <f aca="false">IF($H693="Percent",_xlfn.XLOOKUP($E693,$A$5:$A$8,$F$5:$F$8,""),"")</f>
        <v/>
      </c>
      <c r="J693" s="42" t="n">
        <f aca="false">IF($H693="Flat",_xlfn.XLOOKUP($E693,$A$5:$A$8,$F$5:$F$8,""),"")</f>
        <v>30</v>
      </c>
      <c r="K693" s="38" t="str">
        <f aca="false">_xlfn.XLOOKUP($E693,$A$5:$A$8,$G$5:$G$8,"")</f>
        <v>Per pay period</v>
      </c>
      <c r="L693" s="38" t="str">
        <f aca="false">_xlfn.XLOOKUP($E693,$A$5:$A$8,$H$5:$H$8,"")</f>
        <v>Every pay period (ongoing)</v>
      </c>
      <c r="M693" s="43" t="n">
        <f aca="false" t="array" ref="M693:M693">MAX(_xlfn.XLOOKUP($A693,TRIM(SUBSTITUTE('worker file'!$A$2:$A$406,_xlfn.UNICHAR(160)," ")),'worker file'!$M$2:$M$406,0),_xlfn.XLOOKUP($B693,TRIM('pay group &amp; schedule'!$A$2:$A$6),'pay group &amp; schedule'!$D$2:$D$6,0))</f>
        <v>46311</v>
      </c>
      <c r="N693" s="43" t="str">
        <f aca="false" t="array" ref="N693:N693">_xlfn.LET(_xlpm.t,_xlfn.XLOOKUP($A693,TRIM(SUBSTITUTE('worker file'!$A$2:$A$406,_xlfn.UNICHAR(160)," ")),'worker file'!$N$2:$N$406,""),IF(N(_xlpm.t)=0,"",_xlpm.t))</f>
        <v/>
      </c>
    </row>
    <row r="694" customFormat="false" ht="15" hidden="false" customHeight="false" outlineLevel="0" collapsed="false">
      <c r="A694" s="39" t="s">
        <v>341</v>
      </c>
      <c r="B694" s="40" t="str">
        <f aca="false" t="array" ref="B694:B694">_xlfn.XLOOKUP($A694,TRIM(SUBSTITUTE('worker file'!$A$2:$A$406,_xlfn.UNICHAR(160)," ")),'worker file'!$L$2:$L$406,"Not found")</f>
        <v>US Semi-monthly</v>
      </c>
      <c r="C694" s="40" t="str">
        <f aca="false" t="array" ref="C694:C694">_xlfn.XLOOKUP($A694,TRIM(SUBSTITUTE('worker file'!$A$2:$A$406,_xlfn.UNICHAR(160)," ")),'worker file'!$D$2:$D$406,"Not found")</f>
        <v>IL</v>
      </c>
      <c r="D694" s="40" t="str">
        <f aca="false" t="array" ref="D694:D694">_xlfn.XLOOKUP($A694,TRIM(SUBSTITUTE('worker file'!$A$2:$A$406,_xlfn.UNICHAR(160)," ")),'worker file'!$Q$2:$Q$406,"Not found")</f>
        <v>Active</v>
      </c>
      <c r="E694" s="39" t="s">
        <v>618</v>
      </c>
      <c r="F694" s="38" t="str">
        <f aca="false">_xlfn.XLOOKUP($E694,$A$5:$A$8,$B$5:$B$8,"")</f>
        <v>401(k) Employee Deferral</v>
      </c>
      <c r="G694" s="38" t="str">
        <f aca="false">_xlfn.XLOOKUP($E694,$A$5:$A$8,$D$5:$D$8,"")</f>
        <v>Pre-tax (exempt from FIT/SIT; subject to FICA)</v>
      </c>
      <c r="H694" s="38" t="str">
        <f aca="false">_xlfn.XLOOKUP($E694,$A$5:$A$8,$E$5:$E$8,"")</f>
        <v>Percent</v>
      </c>
      <c r="I694" s="41" t="n">
        <v>0.06</v>
      </c>
      <c r="J694" s="42" t="str">
        <f aca="false">IF($H694="Flat",_xlfn.XLOOKUP($E694,$A$5:$A$8,$F$5:$F$8,""),"")</f>
        <v/>
      </c>
      <c r="K694" s="38" t="str">
        <f aca="false">_xlfn.XLOOKUP($E694,$A$5:$A$8,$G$5:$G$8,"")</f>
        <v>Gross pay</v>
      </c>
      <c r="L694" s="38" t="str">
        <f aca="false">_xlfn.XLOOKUP($E694,$A$5:$A$8,$H$5:$H$8,"")</f>
        <v>Every pay period (ongoing)</v>
      </c>
      <c r="M694" s="43" t="n">
        <f aca="false" t="array" ref="M694:M694">MAX(_xlfn.XLOOKUP($A694,TRIM(SUBSTITUTE('worker file'!$A$2:$A$406,_xlfn.UNICHAR(160)," ")),'worker file'!$M$2:$M$406,0),_xlfn.XLOOKUP($B694,TRIM('pay group &amp; schedule'!$A$2:$A$6),'pay group &amp; schedule'!$D$2:$D$6,0))</f>
        <v>46311</v>
      </c>
      <c r="N694" s="43" t="str">
        <f aca="false" t="array" ref="N694:N694">_xlfn.LET(_xlpm.t,_xlfn.XLOOKUP($A694,TRIM(SUBSTITUTE('worker file'!$A$2:$A$406,_xlfn.UNICHAR(160)," ")),'worker file'!$N$2:$N$406,""),IF(N(_xlpm.t)=0,"",_xlpm.t))</f>
        <v/>
      </c>
    </row>
    <row r="695" customFormat="false" ht="15" hidden="false" customHeight="false" outlineLevel="0" collapsed="false">
      <c r="A695" s="39" t="s">
        <v>341</v>
      </c>
      <c r="B695" s="40" t="str">
        <f aca="false" t="array" ref="B695:B695">_xlfn.XLOOKUP($A695,TRIM(SUBSTITUTE('worker file'!$A$2:$A$406,_xlfn.UNICHAR(160)," ")),'worker file'!$L$2:$L$406,"Not found")</f>
        <v>US Semi-monthly</v>
      </c>
      <c r="C695" s="40" t="str">
        <f aca="false" t="array" ref="C695:C695">_xlfn.XLOOKUP($A695,TRIM(SUBSTITUTE('worker file'!$A$2:$A$406,_xlfn.UNICHAR(160)," ")),'worker file'!$D$2:$D$406,"Not found")</f>
        <v>IL</v>
      </c>
      <c r="D695" s="40" t="str">
        <f aca="false" t="array" ref="D695:D695">_xlfn.XLOOKUP($A695,TRIM(SUBSTITUTE('worker file'!$A$2:$A$406,_xlfn.UNICHAR(160)," ")),'worker file'!$Q$2:$Q$406,"Not found")</f>
        <v>Active</v>
      </c>
      <c r="E695" s="39" t="s">
        <v>626</v>
      </c>
      <c r="F695" s="38" t="str">
        <f aca="false">_xlfn.XLOOKUP($E695,$A$5:$A$8,$B$5:$B$8,"")</f>
        <v>Medical (Health) – Employee</v>
      </c>
      <c r="G695" s="38" t="str">
        <f aca="false">_xlfn.XLOOKUP($E695,$A$5:$A$8,$D$5:$D$8,"")</f>
        <v>Pre-tax Section 125 (exempt from FIT/SIT/FICA)</v>
      </c>
      <c r="H695" s="38" t="str">
        <f aca="false">_xlfn.XLOOKUP($E695,$A$5:$A$8,$E$5:$E$8,"")</f>
        <v>Flat</v>
      </c>
      <c r="I695" s="44" t="str">
        <f aca="false">IF($H695="Percent",_xlfn.XLOOKUP($E695,$A$5:$A$8,$F$5:$F$8,""),"")</f>
        <v/>
      </c>
      <c r="J695" s="42" t="n">
        <f aca="false">IF($H695="Flat",_xlfn.XLOOKUP($E695,$A$5:$A$8,$F$5:$F$8,""),"")</f>
        <v>200</v>
      </c>
      <c r="K695" s="38" t="str">
        <f aca="false">_xlfn.XLOOKUP($E695,$A$5:$A$8,$G$5:$G$8,"")</f>
        <v>Per pay period</v>
      </c>
      <c r="L695" s="38" t="str">
        <f aca="false">_xlfn.XLOOKUP($E695,$A$5:$A$8,$H$5:$H$8,"")</f>
        <v>Every pay period (ongoing)</v>
      </c>
      <c r="M695" s="43" t="n">
        <f aca="false" t="array" ref="M695:M695">MAX(_xlfn.XLOOKUP($A695,TRIM(SUBSTITUTE('worker file'!$A$2:$A$406,_xlfn.UNICHAR(160)," ")),'worker file'!$M$2:$M$406,0),_xlfn.XLOOKUP($B695,TRIM('pay group &amp; schedule'!$A$2:$A$6),'pay group &amp; schedule'!$D$2:$D$6,0))</f>
        <v>46311</v>
      </c>
      <c r="N695" s="43" t="str">
        <f aca="false" t="array" ref="N695:N695">_xlfn.LET(_xlpm.t,_xlfn.XLOOKUP($A695,TRIM(SUBSTITUTE('worker file'!$A$2:$A$406,_xlfn.UNICHAR(160)," ")),'worker file'!$N$2:$N$406,""),IF(N(_xlpm.t)=0,"",_xlpm.t))</f>
        <v/>
      </c>
    </row>
    <row r="696" customFormat="false" ht="15" hidden="false" customHeight="false" outlineLevel="0" collapsed="false">
      <c r="A696" s="39" t="s">
        <v>341</v>
      </c>
      <c r="B696" s="40" t="str">
        <f aca="false" t="array" ref="B696:B696">_xlfn.XLOOKUP($A696,TRIM(SUBSTITUTE('worker file'!$A$2:$A$406,_xlfn.UNICHAR(160)," ")),'worker file'!$L$2:$L$406,"Not found")</f>
        <v>US Semi-monthly</v>
      </c>
      <c r="C696" s="40" t="str">
        <f aca="false" t="array" ref="C696:C696">_xlfn.XLOOKUP($A696,TRIM(SUBSTITUTE('worker file'!$A$2:$A$406,_xlfn.UNICHAR(160)," ")),'worker file'!$D$2:$D$406,"Not found")</f>
        <v>IL</v>
      </c>
      <c r="D696" s="40" t="str">
        <f aca="false" t="array" ref="D696:D696">_xlfn.XLOOKUP($A696,TRIM(SUBSTITUTE('worker file'!$A$2:$A$406,_xlfn.UNICHAR(160)," ")),'worker file'!$Q$2:$Q$406,"Not found")</f>
        <v>Active</v>
      </c>
      <c r="E696" s="39" t="s">
        <v>632</v>
      </c>
      <c r="F696" s="38" t="str">
        <f aca="false">_xlfn.XLOOKUP($E696,$A$5:$A$8,$B$5:$B$8,"")</f>
        <v>Dental – Employee</v>
      </c>
      <c r="G696" s="38" t="str">
        <f aca="false">_xlfn.XLOOKUP($E696,$A$5:$A$8,$D$5:$D$8,"")</f>
        <v>Pre-tax Section 125 (exempt from FIT/SIT/FICA)</v>
      </c>
      <c r="H696" s="38" t="str">
        <f aca="false">_xlfn.XLOOKUP($E696,$A$5:$A$8,$E$5:$E$8,"")</f>
        <v>Flat</v>
      </c>
      <c r="I696" s="44" t="str">
        <f aca="false">IF($H696="Percent",_xlfn.XLOOKUP($E696,$A$5:$A$8,$F$5:$F$8,""),"")</f>
        <v/>
      </c>
      <c r="J696" s="42" t="n">
        <f aca="false">IF($H696="Flat",_xlfn.XLOOKUP($E696,$A$5:$A$8,$F$5:$F$8,""),"")</f>
        <v>44</v>
      </c>
      <c r="K696" s="38" t="str">
        <f aca="false">_xlfn.XLOOKUP($E696,$A$5:$A$8,$G$5:$G$8,"")</f>
        <v>Per pay period</v>
      </c>
      <c r="L696" s="38" t="str">
        <f aca="false">_xlfn.XLOOKUP($E696,$A$5:$A$8,$H$5:$H$8,"")</f>
        <v>Every pay period (ongoing)</v>
      </c>
      <c r="M696" s="43" t="n">
        <f aca="false" t="array" ref="M696:M696">MAX(_xlfn.XLOOKUP($A696,TRIM(SUBSTITUTE('worker file'!$A$2:$A$406,_xlfn.UNICHAR(160)," ")),'worker file'!$M$2:$M$406,0),_xlfn.XLOOKUP($B696,TRIM('pay group &amp; schedule'!$A$2:$A$6),'pay group &amp; schedule'!$D$2:$D$6,0))</f>
        <v>46311</v>
      </c>
      <c r="N696" s="43" t="str">
        <f aca="false" t="array" ref="N696:N696">_xlfn.LET(_xlpm.t,_xlfn.XLOOKUP($A696,TRIM(SUBSTITUTE('worker file'!$A$2:$A$406,_xlfn.UNICHAR(160)," ")),'worker file'!$N$2:$N$406,""),IF(N(_xlpm.t)=0,"",_xlpm.t))</f>
        <v/>
      </c>
    </row>
    <row r="697" customFormat="false" ht="15" hidden="false" customHeight="false" outlineLevel="0" collapsed="false">
      <c r="A697" s="39" t="s">
        <v>341</v>
      </c>
      <c r="B697" s="40" t="str">
        <f aca="false" t="array" ref="B697:B697">_xlfn.XLOOKUP($A697,TRIM(SUBSTITUTE('worker file'!$A$2:$A$406,_xlfn.UNICHAR(160)," ")),'worker file'!$L$2:$L$406,"Not found")</f>
        <v>US Semi-monthly</v>
      </c>
      <c r="C697" s="40" t="str">
        <f aca="false" t="array" ref="C697:C697">_xlfn.XLOOKUP($A697,TRIM(SUBSTITUTE('worker file'!$A$2:$A$406,_xlfn.UNICHAR(160)," ")),'worker file'!$D$2:$D$406,"Not found")</f>
        <v>IL</v>
      </c>
      <c r="D697" s="40" t="str">
        <f aca="false" t="array" ref="D697:D697">_xlfn.XLOOKUP($A697,TRIM(SUBSTITUTE('worker file'!$A$2:$A$406,_xlfn.UNICHAR(160)," ")),'worker file'!$Q$2:$Q$406,"Not found")</f>
        <v>Active</v>
      </c>
      <c r="E697" s="39" t="s">
        <v>634</v>
      </c>
      <c r="F697" s="38" t="str">
        <f aca="false">_xlfn.XLOOKUP($E697,$A$5:$A$8,$B$5:$B$8,"")</f>
        <v>Vision – Employee</v>
      </c>
      <c r="G697" s="38" t="str">
        <f aca="false">_xlfn.XLOOKUP($E697,$A$5:$A$8,$D$5:$D$8,"")</f>
        <v>Pre-tax Section 125 (exempt from FIT/SIT/FICA)</v>
      </c>
      <c r="H697" s="38" t="str">
        <f aca="false">_xlfn.XLOOKUP($E697,$A$5:$A$8,$E$5:$E$8,"")</f>
        <v>Flat</v>
      </c>
      <c r="I697" s="44" t="str">
        <f aca="false">IF($H697="Percent",_xlfn.XLOOKUP($E697,$A$5:$A$8,$F$5:$F$8,""),"")</f>
        <v/>
      </c>
      <c r="J697" s="42" t="n">
        <f aca="false">IF($H697="Flat",_xlfn.XLOOKUP($E697,$A$5:$A$8,$F$5:$F$8,""),"")</f>
        <v>30</v>
      </c>
      <c r="K697" s="38" t="str">
        <f aca="false">_xlfn.XLOOKUP($E697,$A$5:$A$8,$G$5:$G$8,"")</f>
        <v>Per pay period</v>
      </c>
      <c r="L697" s="38" t="str">
        <f aca="false">_xlfn.XLOOKUP($E697,$A$5:$A$8,$H$5:$H$8,"")</f>
        <v>Every pay period (ongoing)</v>
      </c>
      <c r="M697" s="43" t="n">
        <f aca="false" t="array" ref="M697:M697">MAX(_xlfn.XLOOKUP($A697,TRIM(SUBSTITUTE('worker file'!$A$2:$A$406,_xlfn.UNICHAR(160)," ")),'worker file'!$M$2:$M$406,0),_xlfn.XLOOKUP($B697,TRIM('pay group &amp; schedule'!$A$2:$A$6),'pay group &amp; schedule'!$D$2:$D$6,0))</f>
        <v>46311</v>
      </c>
      <c r="N697" s="43" t="str">
        <f aca="false" t="array" ref="N697:N697">_xlfn.LET(_xlpm.t,_xlfn.XLOOKUP($A697,TRIM(SUBSTITUTE('worker file'!$A$2:$A$406,_xlfn.UNICHAR(160)," ")),'worker file'!$N$2:$N$406,""),IF(N(_xlpm.t)=0,"",_xlpm.t))</f>
        <v/>
      </c>
    </row>
    <row r="698" customFormat="false" ht="15" hidden="false" customHeight="false" outlineLevel="0" collapsed="false">
      <c r="A698" s="39" t="s">
        <v>343</v>
      </c>
      <c r="B698" s="40" t="str">
        <f aca="false" t="array" ref="B698:B698">_xlfn.XLOOKUP($A698,TRIM(SUBSTITUTE('worker file'!$A$2:$A$406,_xlfn.UNICHAR(160)," ")),'worker file'!$L$2:$L$406,"Not found")</f>
        <v>US Semi-monthly</v>
      </c>
      <c r="C698" s="40" t="str">
        <f aca="false" t="array" ref="C698:C698">_xlfn.XLOOKUP($A698,TRIM(SUBSTITUTE('worker file'!$A$2:$A$406,_xlfn.UNICHAR(160)," ")),'worker file'!$D$2:$D$406,"Not found")</f>
        <v>CA</v>
      </c>
      <c r="D698" s="40" t="str">
        <f aca="false" t="array" ref="D698:D698">_xlfn.XLOOKUP($A698,TRIM(SUBSTITUTE('worker file'!$A$2:$A$406,_xlfn.UNICHAR(160)," ")),'worker file'!$Q$2:$Q$406,"Not found")</f>
        <v>Active</v>
      </c>
      <c r="E698" s="39" t="s">
        <v>618</v>
      </c>
      <c r="F698" s="38" t="str">
        <f aca="false">_xlfn.XLOOKUP($E698,$A$5:$A$8,$B$5:$B$8,"")</f>
        <v>401(k) Employee Deferral</v>
      </c>
      <c r="G698" s="38" t="str">
        <f aca="false">_xlfn.XLOOKUP($E698,$A$5:$A$8,$D$5:$D$8,"")</f>
        <v>Pre-tax (exempt from FIT/SIT; subject to FICA)</v>
      </c>
      <c r="H698" s="38" t="str">
        <f aca="false">_xlfn.XLOOKUP($E698,$A$5:$A$8,$E$5:$E$8,"")</f>
        <v>Percent</v>
      </c>
      <c r="I698" s="41" t="n">
        <v>0.03</v>
      </c>
      <c r="J698" s="42" t="str">
        <f aca="false">IF($H698="Flat",_xlfn.XLOOKUP($E698,$A$5:$A$8,$F$5:$F$8,""),"")</f>
        <v/>
      </c>
      <c r="K698" s="38" t="str">
        <f aca="false">_xlfn.XLOOKUP($E698,$A$5:$A$8,$G$5:$G$8,"")</f>
        <v>Gross pay</v>
      </c>
      <c r="L698" s="38" t="str">
        <f aca="false">_xlfn.XLOOKUP($E698,$A$5:$A$8,$H$5:$H$8,"")</f>
        <v>Every pay period (ongoing)</v>
      </c>
      <c r="M698" s="43" t="n">
        <f aca="false" t="array" ref="M698:M698">MAX(_xlfn.XLOOKUP($A698,TRIM(SUBSTITUTE('worker file'!$A$2:$A$406,_xlfn.UNICHAR(160)," ")),'worker file'!$M$2:$M$406,0),_xlfn.XLOOKUP($B698,TRIM('pay group &amp; schedule'!$A$2:$A$6),'pay group &amp; schedule'!$D$2:$D$6,0))</f>
        <v>46311</v>
      </c>
      <c r="N698" s="43" t="str">
        <f aca="false" t="array" ref="N698:N698">_xlfn.LET(_xlpm.t,_xlfn.XLOOKUP($A698,TRIM(SUBSTITUTE('worker file'!$A$2:$A$406,_xlfn.UNICHAR(160)," ")),'worker file'!$N$2:$N$406,""),IF(N(_xlpm.t)=0,"",_xlpm.t))</f>
        <v/>
      </c>
    </row>
    <row r="699" customFormat="false" ht="15" hidden="false" customHeight="false" outlineLevel="0" collapsed="false">
      <c r="A699" s="39" t="s">
        <v>343</v>
      </c>
      <c r="B699" s="40" t="str">
        <f aca="false" t="array" ref="B699:B699">_xlfn.XLOOKUP($A699,TRIM(SUBSTITUTE('worker file'!$A$2:$A$406,_xlfn.UNICHAR(160)," ")),'worker file'!$L$2:$L$406,"Not found")</f>
        <v>US Semi-monthly</v>
      </c>
      <c r="C699" s="40" t="str">
        <f aca="false" t="array" ref="C699:C699">_xlfn.XLOOKUP($A699,TRIM(SUBSTITUTE('worker file'!$A$2:$A$406,_xlfn.UNICHAR(160)," ")),'worker file'!$D$2:$D$406,"Not found")</f>
        <v>CA</v>
      </c>
      <c r="D699" s="40" t="str">
        <f aca="false" t="array" ref="D699:D699">_xlfn.XLOOKUP($A699,TRIM(SUBSTITUTE('worker file'!$A$2:$A$406,_xlfn.UNICHAR(160)," ")),'worker file'!$Q$2:$Q$406,"Not found")</f>
        <v>Active</v>
      </c>
      <c r="E699" s="39" t="s">
        <v>626</v>
      </c>
      <c r="F699" s="38" t="str">
        <f aca="false">_xlfn.XLOOKUP($E699,$A$5:$A$8,$B$5:$B$8,"")</f>
        <v>Medical (Health) – Employee</v>
      </c>
      <c r="G699" s="38" t="str">
        <f aca="false">_xlfn.XLOOKUP($E699,$A$5:$A$8,$D$5:$D$8,"")</f>
        <v>Pre-tax Section 125 (exempt from FIT/SIT/FICA)</v>
      </c>
      <c r="H699" s="38" t="str">
        <f aca="false">_xlfn.XLOOKUP($E699,$A$5:$A$8,$E$5:$E$8,"")</f>
        <v>Flat</v>
      </c>
      <c r="I699" s="44" t="str">
        <f aca="false">IF($H699="Percent",_xlfn.XLOOKUP($E699,$A$5:$A$8,$F$5:$F$8,""),"")</f>
        <v/>
      </c>
      <c r="J699" s="42" t="n">
        <f aca="false">IF($H699="Flat",_xlfn.XLOOKUP($E699,$A$5:$A$8,$F$5:$F$8,""),"")</f>
        <v>200</v>
      </c>
      <c r="K699" s="38" t="str">
        <f aca="false">_xlfn.XLOOKUP($E699,$A$5:$A$8,$G$5:$G$8,"")</f>
        <v>Per pay period</v>
      </c>
      <c r="L699" s="38" t="str">
        <f aca="false">_xlfn.XLOOKUP($E699,$A$5:$A$8,$H$5:$H$8,"")</f>
        <v>Every pay period (ongoing)</v>
      </c>
      <c r="M699" s="43" t="n">
        <f aca="false" t="array" ref="M699:M699">MAX(_xlfn.XLOOKUP($A699,TRIM(SUBSTITUTE('worker file'!$A$2:$A$406,_xlfn.UNICHAR(160)," ")),'worker file'!$M$2:$M$406,0),_xlfn.XLOOKUP($B699,TRIM('pay group &amp; schedule'!$A$2:$A$6),'pay group &amp; schedule'!$D$2:$D$6,0))</f>
        <v>46311</v>
      </c>
      <c r="N699" s="43" t="str">
        <f aca="false" t="array" ref="N699:N699">_xlfn.LET(_xlpm.t,_xlfn.XLOOKUP($A699,TRIM(SUBSTITUTE('worker file'!$A$2:$A$406,_xlfn.UNICHAR(160)," ")),'worker file'!$N$2:$N$406,""),IF(N(_xlpm.t)=0,"",_xlpm.t))</f>
        <v/>
      </c>
    </row>
    <row r="700" customFormat="false" ht="15" hidden="false" customHeight="false" outlineLevel="0" collapsed="false">
      <c r="A700" s="39" t="s">
        <v>343</v>
      </c>
      <c r="B700" s="40" t="str">
        <f aca="false" t="array" ref="B700:B700">_xlfn.XLOOKUP($A700,TRIM(SUBSTITUTE('worker file'!$A$2:$A$406,_xlfn.UNICHAR(160)," ")),'worker file'!$L$2:$L$406,"Not found")</f>
        <v>US Semi-monthly</v>
      </c>
      <c r="C700" s="40" t="str">
        <f aca="false" t="array" ref="C700:C700">_xlfn.XLOOKUP($A700,TRIM(SUBSTITUTE('worker file'!$A$2:$A$406,_xlfn.UNICHAR(160)," ")),'worker file'!$D$2:$D$406,"Not found")</f>
        <v>CA</v>
      </c>
      <c r="D700" s="40" t="str">
        <f aca="false" t="array" ref="D700:D700">_xlfn.XLOOKUP($A700,TRIM(SUBSTITUTE('worker file'!$A$2:$A$406,_xlfn.UNICHAR(160)," ")),'worker file'!$Q$2:$Q$406,"Not found")</f>
        <v>Active</v>
      </c>
      <c r="E700" s="39" t="s">
        <v>632</v>
      </c>
      <c r="F700" s="38" t="str">
        <f aca="false">_xlfn.XLOOKUP($E700,$A$5:$A$8,$B$5:$B$8,"")</f>
        <v>Dental – Employee</v>
      </c>
      <c r="G700" s="38" t="str">
        <f aca="false">_xlfn.XLOOKUP($E700,$A$5:$A$8,$D$5:$D$8,"")</f>
        <v>Pre-tax Section 125 (exempt from FIT/SIT/FICA)</v>
      </c>
      <c r="H700" s="38" t="str">
        <f aca="false">_xlfn.XLOOKUP($E700,$A$5:$A$8,$E$5:$E$8,"")</f>
        <v>Flat</v>
      </c>
      <c r="I700" s="44" t="str">
        <f aca="false">IF($H700="Percent",_xlfn.XLOOKUP($E700,$A$5:$A$8,$F$5:$F$8,""),"")</f>
        <v/>
      </c>
      <c r="J700" s="42" t="n">
        <f aca="false">IF($H700="Flat",_xlfn.XLOOKUP($E700,$A$5:$A$8,$F$5:$F$8,""),"")</f>
        <v>44</v>
      </c>
      <c r="K700" s="38" t="str">
        <f aca="false">_xlfn.XLOOKUP($E700,$A$5:$A$8,$G$5:$G$8,"")</f>
        <v>Per pay period</v>
      </c>
      <c r="L700" s="38" t="str">
        <f aca="false">_xlfn.XLOOKUP($E700,$A$5:$A$8,$H$5:$H$8,"")</f>
        <v>Every pay period (ongoing)</v>
      </c>
      <c r="M700" s="43" t="n">
        <f aca="false" t="array" ref="M700:M700">MAX(_xlfn.XLOOKUP($A700,TRIM(SUBSTITUTE('worker file'!$A$2:$A$406,_xlfn.UNICHAR(160)," ")),'worker file'!$M$2:$M$406,0),_xlfn.XLOOKUP($B700,TRIM('pay group &amp; schedule'!$A$2:$A$6),'pay group &amp; schedule'!$D$2:$D$6,0))</f>
        <v>46311</v>
      </c>
      <c r="N700" s="43" t="str">
        <f aca="false" t="array" ref="N700:N700">_xlfn.LET(_xlpm.t,_xlfn.XLOOKUP($A700,TRIM(SUBSTITUTE('worker file'!$A$2:$A$406,_xlfn.UNICHAR(160)," ")),'worker file'!$N$2:$N$406,""),IF(N(_xlpm.t)=0,"",_xlpm.t))</f>
        <v/>
      </c>
    </row>
    <row r="701" customFormat="false" ht="15" hidden="false" customHeight="false" outlineLevel="0" collapsed="false">
      <c r="A701" s="39" t="s">
        <v>343</v>
      </c>
      <c r="B701" s="40" t="str">
        <f aca="false" t="array" ref="B701:B701">_xlfn.XLOOKUP($A701,TRIM(SUBSTITUTE('worker file'!$A$2:$A$406,_xlfn.UNICHAR(160)," ")),'worker file'!$L$2:$L$406,"Not found")</f>
        <v>US Semi-monthly</v>
      </c>
      <c r="C701" s="40" t="str">
        <f aca="false" t="array" ref="C701:C701">_xlfn.XLOOKUP($A701,TRIM(SUBSTITUTE('worker file'!$A$2:$A$406,_xlfn.UNICHAR(160)," ")),'worker file'!$D$2:$D$406,"Not found")</f>
        <v>CA</v>
      </c>
      <c r="D701" s="40" t="str">
        <f aca="false" t="array" ref="D701:D701">_xlfn.XLOOKUP($A701,TRIM(SUBSTITUTE('worker file'!$A$2:$A$406,_xlfn.UNICHAR(160)," ")),'worker file'!$Q$2:$Q$406,"Not found")</f>
        <v>Active</v>
      </c>
      <c r="E701" s="39" t="s">
        <v>634</v>
      </c>
      <c r="F701" s="38" t="str">
        <f aca="false">_xlfn.XLOOKUP($E701,$A$5:$A$8,$B$5:$B$8,"")</f>
        <v>Vision – Employee</v>
      </c>
      <c r="G701" s="38" t="str">
        <f aca="false">_xlfn.XLOOKUP($E701,$A$5:$A$8,$D$5:$D$8,"")</f>
        <v>Pre-tax Section 125 (exempt from FIT/SIT/FICA)</v>
      </c>
      <c r="H701" s="38" t="str">
        <f aca="false">_xlfn.XLOOKUP($E701,$A$5:$A$8,$E$5:$E$8,"")</f>
        <v>Flat</v>
      </c>
      <c r="I701" s="44" t="str">
        <f aca="false">IF($H701="Percent",_xlfn.XLOOKUP($E701,$A$5:$A$8,$F$5:$F$8,""),"")</f>
        <v/>
      </c>
      <c r="J701" s="42" t="n">
        <f aca="false">IF($H701="Flat",_xlfn.XLOOKUP($E701,$A$5:$A$8,$F$5:$F$8,""),"")</f>
        <v>30</v>
      </c>
      <c r="K701" s="38" t="str">
        <f aca="false">_xlfn.XLOOKUP($E701,$A$5:$A$8,$G$5:$G$8,"")</f>
        <v>Per pay period</v>
      </c>
      <c r="L701" s="38" t="str">
        <f aca="false">_xlfn.XLOOKUP($E701,$A$5:$A$8,$H$5:$H$8,"")</f>
        <v>Every pay period (ongoing)</v>
      </c>
      <c r="M701" s="43" t="n">
        <f aca="false" t="array" ref="M701:M701">MAX(_xlfn.XLOOKUP($A701,TRIM(SUBSTITUTE('worker file'!$A$2:$A$406,_xlfn.UNICHAR(160)," ")),'worker file'!$M$2:$M$406,0),_xlfn.XLOOKUP($B701,TRIM('pay group &amp; schedule'!$A$2:$A$6),'pay group &amp; schedule'!$D$2:$D$6,0))</f>
        <v>46311</v>
      </c>
      <c r="N701" s="43" t="str">
        <f aca="false" t="array" ref="N701:N701">_xlfn.LET(_xlpm.t,_xlfn.XLOOKUP($A701,TRIM(SUBSTITUTE('worker file'!$A$2:$A$406,_xlfn.UNICHAR(160)," ")),'worker file'!$N$2:$N$406,""),IF(N(_xlpm.t)=0,"",_xlpm.t))</f>
        <v/>
      </c>
    </row>
    <row r="702" customFormat="false" ht="15" hidden="false" customHeight="false" outlineLevel="0" collapsed="false">
      <c r="A702" s="39" t="s">
        <v>344</v>
      </c>
      <c r="B702" s="40" t="str">
        <f aca="false" t="array" ref="B702:B702">_xlfn.XLOOKUP($A702,TRIM(SUBSTITUTE('worker file'!$A$2:$A$406,_xlfn.UNICHAR(160)," ")),'worker file'!$L$2:$L$406,"Not found")</f>
        <v>US Semi-monthly</v>
      </c>
      <c r="C702" s="40" t="str">
        <f aca="false" t="array" ref="C702:C702">_xlfn.XLOOKUP($A702,TRIM(SUBSTITUTE('worker file'!$A$2:$A$406,_xlfn.UNICHAR(160)," ")),'worker file'!$D$2:$D$406,"Not found")</f>
        <v>NY</v>
      </c>
      <c r="D702" s="40" t="str">
        <f aca="false" t="array" ref="D702:D702">_xlfn.XLOOKUP($A702,TRIM(SUBSTITUTE('worker file'!$A$2:$A$406,_xlfn.UNICHAR(160)," ")),'worker file'!$Q$2:$Q$406,"Not found")</f>
        <v>Active</v>
      </c>
      <c r="E702" s="39" t="s">
        <v>618</v>
      </c>
      <c r="F702" s="38" t="str">
        <f aca="false">_xlfn.XLOOKUP($E702,$A$5:$A$8,$B$5:$B$8,"")</f>
        <v>401(k) Employee Deferral</v>
      </c>
      <c r="G702" s="38" t="str">
        <f aca="false">_xlfn.XLOOKUP($E702,$A$5:$A$8,$D$5:$D$8,"")</f>
        <v>Pre-tax (exempt from FIT/SIT; subject to FICA)</v>
      </c>
      <c r="H702" s="38" t="str">
        <f aca="false">_xlfn.XLOOKUP($E702,$A$5:$A$8,$E$5:$E$8,"")</f>
        <v>Percent</v>
      </c>
      <c r="I702" s="41" t="n">
        <v>0</v>
      </c>
      <c r="J702" s="42" t="str">
        <f aca="false">IF($H702="Flat",_xlfn.XLOOKUP($E702,$A$5:$A$8,$F$5:$F$8,""),"")</f>
        <v/>
      </c>
      <c r="K702" s="38" t="str">
        <f aca="false">_xlfn.XLOOKUP($E702,$A$5:$A$8,$G$5:$G$8,"")</f>
        <v>Gross pay</v>
      </c>
      <c r="L702" s="38" t="str">
        <f aca="false">_xlfn.XLOOKUP($E702,$A$5:$A$8,$H$5:$H$8,"")</f>
        <v>Every pay period (ongoing)</v>
      </c>
      <c r="M702" s="43" t="n">
        <f aca="false" t="array" ref="M702:M702">MAX(_xlfn.XLOOKUP($A702,TRIM(SUBSTITUTE('worker file'!$A$2:$A$406,_xlfn.UNICHAR(160)," ")),'worker file'!$M$2:$M$406,0),_xlfn.XLOOKUP($B702,TRIM('pay group &amp; schedule'!$A$2:$A$6),'pay group &amp; schedule'!$D$2:$D$6,0))</f>
        <v>46311</v>
      </c>
      <c r="N702" s="43" t="str">
        <f aca="false" t="array" ref="N702:N702">_xlfn.LET(_xlpm.t,_xlfn.XLOOKUP($A702,TRIM(SUBSTITUTE('worker file'!$A$2:$A$406,_xlfn.UNICHAR(160)," ")),'worker file'!$N$2:$N$406,""),IF(N(_xlpm.t)=0,"",_xlpm.t))</f>
        <v/>
      </c>
    </row>
    <row r="703" customFormat="false" ht="15" hidden="false" customHeight="false" outlineLevel="0" collapsed="false">
      <c r="A703" s="39" t="s">
        <v>344</v>
      </c>
      <c r="B703" s="40" t="str">
        <f aca="false" t="array" ref="B703:B703">_xlfn.XLOOKUP($A703,TRIM(SUBSTITUTE('worker file'!$A$2:$A$406,_xlfn.UNICHAR(160)," ")),'worker file'!$L$2:$L$406,"Not found")</f>
        <v>US Semi-monthly</v>
      </c>
      <c r="C703" s="40" t="str">
        <f aca="false" t="array" ref="C703:C703">_xlfn.XLOOKUP($A703,TRIM(SUBSTITUTE('worker file'!$A$2:$A$406,_xlfn.UNICHAR(160)," ")),'worker file'!$D$2:$D$406,"Not found")</f>
        <v>NY</v>
      </c>
      <c r="D703" s="40" t="str">
        <f aca="false" t="array" ref="D703:D703">_xlfn.XLOOKUP($A703,TRIM(SUBSTITUTE('worker file'!$A$2:$A$406,_xlfn.UNICHAR(160)," ")),'worker file'!$Q$2:$Q$406,"Not found")</f>
        <v>Active</v>
      </c>
      <c r="E703" s="39" t="s">
        <v>626</v>
      </c>
      <c r="F703" s="38" t="str">
        <f aca="false">_xlfn.XLOOKUP($E703,$A$5:$A$8,$B$5:$B$8,"")</f>
        <v>Medical (Health) – Employee</v>
      </c>
      <c r="G703" s="38" t="str">
        <f aca="false">_xlfn.XLOOKUP($E703,$A$5:$A$8,$D$5:$D$8,"")</f>
        <v>Pre-tax Section 125 (exempt from FIT/SIT/FICA)</v>
      </c>
      <c r="H703" s="38" t="str">
        <f aca="false">_xlfn.XLOOKUP($E703,$A$5:$A$8,$E$5:$E$8,"")</f>
        <v>Flat</v>
      </c>
      <c r="I703" s="44" t="str">
        <f aca="false">IF($H703="Percent",_xlfn.XLOOKUP($E703,$A$5:$A$8,$F$5:$F$8,""),"")</f>
        <v/>
      </c>
      <c r="J703" s="42" t="n">
        <f aca="false">IF($H703="Flat",_xlfn.XLOOKUP($E703,$A$5:$A$8,$F$5:$F$8,""),"")</f>
        <v>200</v>
      </c>
      <c r="K703" s="38" t="str">
        <f aca="false">_xlfn.XLOOKUP($E703,$A$5:$A$8,$G$5:$G$8,"")</f>
        <v>Per pay period</v>
      </c>
      <c r="L703" s="38" t="str">
        <f aca="false">_xlfn.XLOOKUP($E703,$A$5:$A$8,$H$5:$H$8,"")</f>
        <v>Every pay period (ongoing)</v>
      </c>
      <c r="M703" s="43" t="n">
        <f aca="false" t="array" ref="M703:M703">MAX(_xlfn.XLOOKUP($A703,TRIM(SUBSTITUTE('worker file'!$A$2:$A$406,_xlfn.UNICHAR(160)," ")),'worker file'!$M$2:$M$406,0),_xlfn.XLOOKUP($B703,TRIM('pay group &amp; schedule'!$A$2:$A$6),'pay group &amp; schedule'!$D$2:$D$6,0))</f>
        <v>46311</v>
      </c>
      <c r="N703" s="43" t="str">
        <f aca="false" t="array" ref="N703:N703">_xlfn.LET(_xlpm.t,_xlfn.XLOOKUP($A703,TRIM(SUBSTITUTE('worker file'!$A$2:$A$406,_xlfn.UNICHAR(160)," ")),'worker file'!$N$2:$N$406,""),IF(N(_xlpm.t)=0,"",_xlpm.t))</f>
        <v/>
      </c>
    </row>
    <row r="704" customFormat="false" ht="15" hidden="false" customHeight="false" outlineLevel="0" collapsed="false">
      <c r="A704" s="39" t="s">
        <v>344</v>
      </c>
      <c r="B704" s="40" t="str">
        <f aca="false" t="array" ref="B704:B704">_xlfn.XLOOKUP($A704,TRIM(SUBSTITUTE('worker file'!$A$2:$A$406,_xlfn.UNICHAR(160)," ")),'worker file'!$L$2:$L$406,"Not found")</f>
        <v>US Semi-monthly</v>
      </c>
      <c r="C704" s="40" t="str">
        <f aca="false" t="array" ref="C704:C704">_xlfn.XLOOKUP($A704,TRIM(SUBSTITUTE('worker file'!$A$2:$A$406,_xlfn.UNICHAR(160)," ")),'worker file'!$D$2:$D$406,"Not found")</f>
        <v>NY</v>
      </c>
      <c r="D704" s="40" t="str">
        <f aca="false" t="array" ref="D704:D704">_xlfn.XLOOKUP($A704,TRIM(SUBSTITUTE('worker file'!$A$2:$A$406,_xlfn.UNICHAR(160)," ")),'worker file'!$Q$2:$Q$406,"Not found")</f>
        <v>Active</v>
      </c>
      <c r="E704" s="39" t="s">
        <v>632</v>
      </c>
      <c r="F704" s="38" t="str">
        <f aca="false">_xlfn.XLOOKUP($E704,$A$5:$A$8,$B$5:$B$8,"")</f>
        <v>Dental – Employee</v>
      </c>
      <c r="G704" s="38" t="str">
        <f aca="false">_xlfn.XLOOKUP($E704,$A$5:$A$8,$D$5:$D$8,"")</f>
        <v>Pre-tax Section 125 (exempt from FIT/SIT/FICA)</v>
      </c>
      <c r="H704" s="38" t="str">
        <f aca="false">_xlfn.XLOOKUP($E704,$A$5:$A$8,$E$5:$E$8,"")</f>
        <v>Flat</v>
      </c>
      <c r="I704" s="44" t="str">
        <f aca="false">IF($H704="Percent",_xlfn.XLOOKUP($E704,$A$5:$A$8,$F$5:$F$8,""),"")</f>
        <v/>
      </c>
      <c r="J704" s="42" t="n">
        <f aca="false">IF($H704="Flat",_xlfn.XLOOKUP($E704,$A$5:$A$8,$F$5:$F$8,""),"")</f>
        <v>44</v>
      </c>
      <c r="K704" s="38" t="str">
        <f aca="false">_xlfn.XLOOKUP($E704,$A$5:$A$8,$G$5:$G$8,"")</f>
        <v>Per pay period</v>
      </c>
      <c r="L704" s="38" t="str">
        <f aca="false">_xlfn.XLOOKUP($E704,$A$5:$A$8,$H$5:$H$8,"")</f>
        <v>Every pay period (ongoing)</v>
      </c>
      <c r="M704" s="43" t="n">
        <f aca="false" t="array" ref="M704:M704">MAX(_xlfn.XLOOKUP($A704,TRIM(SUBSTITUTE('worker file'!$A$2:$A$406,_xlfn.UNICHAR(160)," ")),'worker file'!$M$2:$M$406,0),_xlfn.XLOOKUP($B704,TRIM('pay group &amp; schedule'!$A$2:$A$6),'pay group &amp; schedule'!$D$2:$D$6,0))</f>
        <v>46311</v>
      </c>
      <c r="N704" s="43" t="str">
        <f aca="false" t="array" ref="N704:N704">_xlfn.LET(_xlpm.t,_xlfn.XLOOKUP($A704,TRIM(SUBSTITUTE('worker file'!$A$2:$A$406,_xlfn.UNICHAR(160)," ")),'worker file'!$N$2:$N$406,""),IF(N(_xlpm.t)=0,"",_xlpm.t))</f>
        <v/>
      </c>
    </row>
    <row r="705" customFormat="false" ht="15" hidden="false" customHeight="false" outlineLevel="0" collapsed="false">
      <c r="A705" s="39" t="s">
        <v>344</v>
      </c>
      <c r="B705" s="40" t="str">
        <f aca="false" t="array" ref="B705:B705">_xlfn.XLOOKUP($A705,TRIM(SUBSTITUTE('worker file'!$A$2:$A$406,_xlfn.UNICHAR(160)," ")),'worker file'!$L$2:$L$406,"Not found")</f>
        <v>US Semi-monthly</v>
      </c>
      <c r="C705" s="40" t="str">
        <f aca="false" t="array" ref="C705:C705">_xlfn.XLOOKUP($A705,TRIM(SUBSTITUTE('worker file'!$A$2:$A$406,_xlfn.UNICHAR(160)," ")),'worker file'!$D$2:$D$406,"Not found")</f>
        <v>NY</v>
      </c>
      <c r="D705" s="40" t="str">
        <f aca="false" t="array" ref="D705:D705">_xlfn.XLOOKUP($A705,TRIM(SUBSTITUTE('worker file'!$A$2:$A$406,_xlfn.UNICHAR(160)," ")),'worker file'!$Q$2:$Q$406,"Not found")</f>
        <v>Active</v>
      </c>
      <c r="E705" s="39" t="s">
        <v>634</v>
      </c>
      <c r="F705" s="38" t="str">
        <f aca="false">_xlfn.XLOOKUP($E705,$A$5:$A$8,$B$5:$B$8,"")</f>
        <v>Vision – Employee</v>
      </c>
      <c r="G705" s="38" t="str">
        <f aca="false">_xlfn.XLOOKUP($E705,$A$5:$A$8,$D$5:$D$8,"")</f>
        <v>Pre-tax Section 125 (exempt from FIT/SIT/FICA)</v>
      </c>
      <c r="H705" s="38" t="str">
        <f aca="false">_xlfn.XLOOKUP($E705,$A$5:$A$8,$E$5:$E$8,"")</f>
        <v>Flat</v>
      </c>
      <c r="I705" s="44" t="str">
        <f aca="false">IF($H705="Percent",_xlfn.XLOOKUP($E705,$A$5:$A$8,$F$5:$F$8,""),"")</f>
        <v/>
      </c>
      <c r="J705" s="42" t="n">
        <f aca="false">IF($H705="Flat",_xlfn.XLOOKUP($E705,$A$5:$A$8,$F$5:$F$8,""),"")</f>
        <v>30</v>
      </c>
      <c r="K705" s="38" t="str">
        <f aca="false">_xlfn.XLOOKUP($E705,$A$5:$A$8,$G$5:$G$8,"")</f>
        <v>Per pay period</v>
      </c>
      <c r="L705" s="38" t="str">
        <f aca="false">_xlfn.XLOOKUP($E705,$A$5:$A$8,$H$5:$H$8,"")</f>
        <v>Every pay period (ongoing)</v>
      </c>
      <c r="M705" s="43" t="n">
        <f aca="false" t="array" ref="M705:M705">MAX(_xlfn.XLOOKUP($A705,TRIM(SUBSTITUTE('worker file'!$A$2:$A$406,_xlfn.UNICHAR(160)," ")),'worker file'!$M$2:$M$406,0),_xlfn.XLOOKUP($B705,TRIM('pay group &amp; schedule'!$A$2:$A$6),'pay group &amp; schedule'!$D$2:$D$6,0))</f>
        <v>46311</v>
      </c>
      <c r="N705" s="43" t="str">
        <f aca="false" t="array" ref="N705:N705">_xlfn.LET(_xlpm.t,_xlfn.XLOOKUP($A705,TRIM(SUBSTITUTE('worker file'!$A$2:$A$406,_xlfn.UNICHAR(160)," ")),'worker file'!$N$2:$N$406,""),IF(N(_xlpm.t)=0,"",_xlpm.t))</f>
        <v/>
      </c>
    </row>
    <row r="706" customFormat="false" ht="15" hidden="false" customHeight="false" outlineLevel="0" collapsed="false">
      <c r="A706" s="39" t="s">
        <v>345</v>
      </c>
      <c r="B706" s="40" t="str">
        <f aca="false" t="array" ref="B706:B706">_xlfn.XLOOKUP($A706,TRIM(SUBSTITUTE('worker file'!$A$2:$A$406,_xlfn.UNICHAR(160)," ")),'worker file'!$L$2:$L$406,"Not found")</f>
        <v>US Semi-monthly</v>
      </c>
      <c r="C706" s="40" t="str">
        <f aca="false" t="array" ref="C706:C706">_xlfn.XLOOKUP($A706,TRIM(SUBSTITUTE('worker file'!$A$2:$A$406,_xlfn.UNICHAR(160)," ")),'worker file'!$D$2:$D$406,"Not found")</f>
        <v>WA</v>
      </c>
      <c r="D706" s="40" t="str">
        <f aca="false" t="array" ref="D706:D706">_xlfn.XLOOKUP($A706,TRIM(SUBSTITUTE('worker file'!$A$2:$A$406,_xlfn.UNICHAR(160)," ")),'worker file'!$Q$2:$Q$406,"Not found")</f>
        <v>Active</v>
      </c>
      <c r="E706" s="39" t="s">
        <v>618</v>
      </c>
      <c r="F706" s="38" t="str">
        <f aca="false">_xlfn.XLOOKUP($E706,$A$5:$A$8,$B$5:$B$8,"")</f>
        <v>401(k) Employee Deferral</v>
      </c>
      <c r="G706" s="38" t="str">
        <f aca="false">_xlfn.XLOOKUP($E706,$A$5:$A$8,$D$5:$D$8,"")</f>
        <v>Pre-tax (exempt from FIT/SIT; subject to FICA)</v>
      </c>
      <c r="H706" s="38" t="str">
        <f aca="false">_xlfn.XLOOKUP($E706,$A$5:$A$8,$E$5:$E$8,"")</f>
        <v>Percent</v>
      </c>
      <c r="I706" s="41" t="n">
        <v>0.05</v>
      </c>
      <c r="J706" s="42" t="str">
        <f aca="false">IF($H706="Flat",_xlfn.XLOOKUP($E706,$A$5:$A$8,$F$5:$F$8,""),"")</f>
        <v/>
      </c>
      <c r="K706" s="38" t="str">
        <f aca="false">_xlfn.XLOOKUP($E706,$A$5:$A$8,$G$5:$G$8,"")</f>
        <v>Gross pay</v>
      </c>
      <c r="L706" s="38" t="str">
        <f aca="false">_xlfn.XLOOKUP($E706,$A$5:$A$8,$H$5:$H$8,"")</f>
        <v>Every pay period (ongoing)</v>
      </c>
      <c r="M706" s="43" t="n">
        <f aca="false" t="array" ref="M706:M706">MAX(_xlfn.XLOOKUP($A706,TRIM(SUBSTITUTE('worker file'!$A$2:$A$406,_xlfn.UNICHAR(160)," ")),'worker file'!$M$2:$M$406,0),_xlfn.XLOOKUP($B706,TRIM('pay group &amp; schedule'!$A$2:$A$6),'pay group &amp; schedule'!$D$2:$D$6,0))</f>
        <v>46311</v>
      </c>
      <c r="N706" s="43" t="str">
        <f aca="false" t="array" ref="N706:N706">_xlfn.LET(_xlpm.t,_xlfn.XLOOKUP($A706,TRIM(SUBSTITUTE('worker file'!$A$2:$A$406,_xlfn.UNICHAR(160)," ")),'worker file'!$N$2:$N$406,""),IF(N(_xlpm.t)=0,"",_xlpm.t))</f>
        <v/>
      </c>
    </row>
    <row r="707" customFormat="false" ht="15" hidden="false" customHeight="false" outlineLevel="0" collapsed="false">
      <c r="A707" s="39" t="s">
        <v>345</v>
      </c>
      <c r="B707" s="40" t="str">
        <f aca="false" t="array" ref="B707:B707">_xlfn.XLOOKUP($A707,TRIM(SUBSTITUTE('worker file'!$A$2:$A$406,_xlfn.UNICHAR(160)," ")),'worker file'!$L$2:$L$406,"Not found")</f>
        <v>US Semi-monthly</v>
      </c>
      <c r="C707" s="40" t="str">
        <f aca="false" t="array" ref="C707:C707">_xlfn.XLOOKUP($A707,TRIM(SUBSTITUTE('worker file'!$A$2:$A$406,_xlfn.UNICHAR(160)," ")),'worker file'!$D$2:$D$406,"Not found")</f>
        <v>WA</v>
      </c>
      <c r="D707" s="40" t="str">
        <f aca="false" t="array" ref="D707:D707">_xlfn.XLOOKUP($A707,TRIM(SUBSTITUTE('worker file'!$A$2:$A$406,_xlfn.UNICHAR(160)," ")),'worker file'!$Q$2:$Q$406,"Not found")</f>
        <v>Active</v>
      </c>
      <c r="E707" s="39" t="s">
        <v>626</v>
      </c>
      <c r="F707" s="38" t="str">
        <f aca="false">_xlfn.XLOOKUP($E707,$A$5:$A$8,$B$5:$B$8,"")</f>
        <v>Medical (Health) – Employee</v>
      </c>
      <c r="G707" s="38" t="str">
        <f aca="false">_xlfn.XLOOKUP($E707,$A$5:$A$8,$D$5:$D$8,"")</f>
        <v>Pre-tax Section 125 (exempt from FIT/SIT/FICA)</v>
      </c>
      <c r="H707" s="38" t="str">
        <f aca="false">_xlfn.XLOOKUP($E707,$A$5:$A$8,$E$5:$E$8,"")</f>
        <v>Flat</v>
      </c>
      <c r="I707" s="44" t="str">
        <f aca="false">IF($H707="Percent",_xlfn.XLOOKUP($E707,$A$5:$A$8,$F$5:$F$8,""),"")</f>
        <v/>
      </c>
      <c r="J707" s="42" t="n">
        <f aca="false">IF($H707="Flat",_xlfn.XLOOKUP($E707,$A$5:$A$8,$F$5:$F$8,""),"")</f>
        <v>200</v>
      </c>
      <c r="K707" s="38" t="str">
        <f aca="false">_xlfn.XLOOKUP($E707,$A$5:$A$8,$G$5:$G$8,"")</f>
        <v>Per pay period</v>
      </c>
      <c r="L707" s="38" t="str">
        <f aca="false">_xlfn.XLOOKUP($E707,$A$5:$A$8,$H$5:$H$8,"")</f>
        <v>Every pay period (ongoing)</v>
      </c>
      <c r="M707" s="43" t="n">
        <f aca="false" t="array" ref="M707:M707">MAX(_xlfn.XLOOKUP($A707,TRIM(SUBSTITUTE('worker file'!$A$2:$A$406,_xlfn.UNICHAR(160)," ")),'worker file'!$M$2:$M$406,0),_xlfn.XLOOKUP($B707,TRIM('pay group &amp; schedule'!$A$2:$A$6),'pay group &amp; schedule'!$D$2:$D$6,0))</f>
        <v>46311</v>
      </c>
      <c r="N707" s="43" t="str">
        <f aca="false" t="array" ref="N707:N707">_xlfn.LET(_xlpm.t,_xlfn.XLOOKUP($A707,TRIM(SUBSTITUTE('worker file'!$A$2:$A$406,_xlfn.UNICHAR(160)," ")),'worker file'!$N$2:$N$406,""),IF(N(_xlpm.t)=0,"",_xlpm.t))</f>
        <v/>
      </c>
    </row>
    <row r="708" customFormat="false" ht="15" hidden="false" customHeight="false" outlineLevel="0" collapsed="false">
      <c r="A708" s="39" t="s">
        <v>345</v>
      </c>
      <c r="B708" s="40" t="str">
        <f aca="false" t="array" ref="B708:B708">_xlfn.XLOOKUP($A708,TRIM(SUBSTITUTE('worker file'!$A$2:$A$406,_xlfn.UNICHAR(160)," ")),'worker file'!$L$2:$L$406,"Not found")</f>
        <v>US Semi-monthly</v>
      </c>
      <c r="C708" s="40" t="str">
        <f aca="false" t="array" ref="C708:C708">_xlfn.XLOOKUP($A708,TRIM(SUBSTITUTE('worker file'!$A$2:$A$406,_xlfn.UNICHAR(160)," ")),'worker file'!$D$2:$D$406,"Not found")</f>
        <v>WA</v>
      </c>
      <c r="D708" s="40" t="str">
        <f aca="false" t="array" ref="D708:D708">_xlfn.XLOOKUP($A708,TRIM(SUBSTITUTE('worker file'!$A$2:$A$406,_xlfn.UNICHAR(160)," ")),'worker file'!$Q$2:$Q$406,"Not found")</f>
        <v>Active</v>
      </c>
      <c r="E708" s="39" t="s">
        <v>632</v>
      </c>
      <c r="F708" s="38" t="str">
        <f aca="false">_xlfn.XLOOKUP($E708,$A$5:$A$8,$B$5:$B$8,"")</f>
        <v>Dental – Employee</v>
      </c>
      <c r="G708" s="38" t="str">
        <f aca="false">_xlfn.XLOOKUP($E708,$A$5:$A$8,$D$5:$D$8,"")</f>
        <v>Pre-tax Section 125 (exempt from FIT/SIT/FICA)</v>
      </c>
      <c r="H708" s="38" t="str">
        <f aca="false">_xlfn.XLOOKUP($E708,$A$5:$A$8,$E$5:$E$8,"")</f>
        <v>Flat</v>
      </c>
      <c r="I708" s="44" t="str">
        <f aca="false">IF($H708="Percent",_xlfn.XLOOKUP($E708,$A$5:$A$8,$F$5:$F$8,""),"")</f>
        <v/>
      </c>
      <c r="J708" s="42" t="n">
        <f aca="false">IF($H708="Flat",_xlfn.XLOOKUP($E708,$A$5:$A$8,$F$5:$F$8,""),"")</f>
        <v>44</v>
      </c>
      <c r="K708" s="38" t="str">
        <f aca="false">_xlfn.XLOOKUP($E708,$A$5:$A$8,$G$5:$G$8,"")</f>
        <v>Per pay period</v>
      </c>
      <c r="L708" s="38" t="str">
        <f aca="false">_xlfn.XLOOKUP($E708,$A$5:$A$8,$H$5:$H$8,"")</f>
        <v>Every pay period (ongoing)</v>
      </c>
      <c r="M708" s="43" t="n">
        <f aca="false" t="array" ref="M708:M708">MAX(_xlfn.XLOOKUP($A708,TRIM(SUBSTITUTE('worker file'!$A$2:$A$406,_xlfn.UNICHAR(160)," ")),'worker file'!$M$2:$M$406,0),_xlfn.XLOOKUP($B708,TRIM('pay group &amp; schedule'!$A$2:$A$6),'pay group &amp; schedule'!$D$2:$D$6,0))</f>
        <v>46311</v>
      </c>
      <c r="N708" s="43" t="str">
        <f aca="false" t="array" ref="N708:N708">_xlfn.LET(_xlpm.t,_xlfn.XLOOKUP($A708,TRIM(SUBSTITUTE('worker file'!$A$2:$A$406,_xlfn.UNICHAR(160)," ")),'worker file'!$N$2:$N$406,""),IF(N(_xlpm.t)=0,"",_xlpm.t))</f>
        <v/>
      </c>
    </row>
    <row r="709" customFormat="false" ht="15" hidden="false" customHeight="false" outlineLevel="0" collapsed="false">
      <c r="A709" s="39" t="s">
        <v>345</v>
      </c>
      <c r="B709" s="40" t="str">
        <f aca="false" t="array" ref="B709:B709">_xlfn.XLOOKUP($A709,TRIM(SUBSTITUTE('worker file'!$A$2:$A$406,_xlfn.UNICHAR(160)," ")),'worker file'!$L$2:$L$406,"Not found")</f>
        <v>US Semi-monthly</v>
      </c>
      <c r="C709" s="40" t="str">
        <f aca="false" t="array" ref="C709:C709">_xlfn.XLOOKUP($A709,TRIM(SUBSTITUTE('worker file'!$A$2:$A$406,_xlfn.UNICHAR(160)," ")),'worker file'!$D$2:$D$406,"Not found")</f>
        <v>WA</v>
      </c>
      <c r="D709" s="40" t="str">
        <f aca="false" t="array" ref="D709:D709">_xlfn.XLOOKUP($A709,TRIM(SUBSTITUTE('worker file'!$A$2:$A$406,_xlfn.UNICHAR(160)," ")),'worker file'!$Q$2:$Q$406,"Not found")</f>
        <v>Active</v>
      </c>
      <c r="E709" s="39" t="s">
        <v>634</v>
      </c>
      <c r="F709" s="38" t="str">
        <f aca="false">_xlfn.XLOOKUP($E709,$A$5:$A$8,$B$5:$B$8,"")</f>
        <v>Vision – Employee</v>
      </c>
      <c r="G709" s="38" t="str">
        <f aca="false">_xlfn.XLOOKUP($E709,$A$5:$A$8,$D$5:$D$8,"")</f>
        <v>Pre-tax Section 125 (exempt from FIT/SIT/FICA)</v>
      </c>
      <c r="H709" s="38" t="str">
        <f aca="false">_xlfn.XLOOKUP($E709,$A$5:$A$8,$E$5:$E$8,"")</f>
        <v>Flat</v>
      </c>
      <c r="I709" s="44" t="str">
        <f aca="false">IF($H709="Percent",_xlfn.XLOOKUP($E709,$A$5:$A$8,$F$5:$F$8,""),"")</f>
        <v/>
      </c>
      <c r="J709" s="42" t="n">
        <f aca="false">IF($H709="Flat",_xlfn.XLOOKUP($E709,$A$5:$A$8,$F$5:$F$8,""),"")</f>
        <v>30</v>
      </c>
      <c r="K709" s="38" t="str">
        <f aca="false">_xlfn.XLOOKUP($E709,$A$5:$A$8,$G$5:$G$8,"")</f>
        <v>Per pay period</v>
      </c>
      <c r="L709" s="38" t="str">
        <f aca="false">_xlfn.XLOOKUP($E709,$A$5:$A$8,$H$5:$H$8,"")</f>
        <v>Every pay period (ongoing)</v>
      </c>
      <c r="M709" s="43" t="n">
        <f aca="false" t="array" ref="M709:M709">MAX(_xlfn.XLOOKUP($A709,TRIM(SUBSTITUTE('worker file'!$A$2:$A$406,_xlfn.UNICHAR(160)," ")),'worker file'!$M$2:$M$406,0),_xlfn.XLOOKUP($B709,TRIM('pay group &amp; schedule'!$A$2:$A$6),'pay group &amp; schedule'!$D$2:$D$6,0))</f>
        <v>46311</v>
      </c>
      <c r="N709" s="43" t="str">
        <f aca="false" t="array" ref="N709:N709">_xlfn.LET(_xlpm.t,_xlfn.XLOOKUP($A709,TRIM(SUBSTITUTE('worker file'!$A$2:$A$406,_xlfn.UNICHAR(160)," ")),'worker file'!$N$2:$N$406,""),IF(N(_xlpm.t)=0,"",_xlpm.t))</f>
        <v/>
      </c>
    </row>
    <row r="710" customFormat="false" ht="15" hidden="false" customHeight="false" outlineLevel="0" collapsed="false">
      <c r="A710" s="39" t="s">
        <v>346</v>
      </c>
      <c r="B710" s="40" t="str">
        <f aca="false" t="array" ref="B710:B710">_xlfn.XLOOKUP($A710,TRIM(SUBSTITUTE('worker file'!$A$2:$A$406,_xlfn.UNICHAR(160)," ")),'worker file'!$L$2:$L$406,"Not found")</f>
        <v>US Semi-monthly</v>
      </c>
      <c r="C710" s="40" t="str">
        <f aca="false" t="array" ref="C710:C710">_xlfn.XLOOKUP($A710,TRIM(SUBSTITUTE('worker file'!$A$2:$A$406,_xlfn.UNICHAR(160)," ")),'worker file'!$D$2:$D$406,"Not found")</f>
        <v>WA</v>
      </c>
      <c r="D710" s="40" t="str">
        <f aca="false" t="array" ref="D710:D710">_xlfn.XLOOKUP($A710,TRIM(SUBSTITUTE('worker file'!$A$2:$A$406,_xlfn.UNICHAR(160)," ")),'worker file'!$Q$2:$Q$406,"Not found")</f>
        <v>Active</v>
      </c>
      <c r="E710" s="39" t="s">
        <v>618</v>
      </c>
      <c r="F710" s="38" t="str">
        <f aca="false">_xlfn.XLOOKUP($E710,$A$5:$A$8,$B$5:$B$8,"")</f>
        <v>401(k) Employee Deferral</v>
      </c>
      <c r="G710" s="38" t="str">
        <f aca="false">_xlfn.XLOOKUP($E710,$A$5:$A$8,$D$5:$D$8,"")</f>
        <v>Pre-tax (exempt from FIT/SIT; subject to FICA)</v>
      </c>
      <c r="H710" s="38" t="str">
        <f aca="false">_xlfn.XLOOKUP($E710,$A$5:$A$8,$E$5:$E$8,"")</f>
        <v>Percent</v>
      </c>
      <c r="I710" s="41" t="n">
        <v>0.02</v>
      </c>
      <c r="J710" s="42" t="str">
        <f aca="false">IF($H710="Flat",_xlfn.XLOOKUP($E710,$A$5:$A$8,$F$5:$F$8,""),"")</f>
        <v/>
      </c>
      <c r="K710" s="38" t="str">
        <f aca="false">_xlfn.XLOOKUP($E710,$A$5:$A$8,$G$5:$G$8,"")</f>
        <v>Gross pay</v>
      </c>
      <c r="L710" s="38" t="str">
        <f aca="false">_xlfn.XLOOKUP($E710,$A$5:$A$8,$H$5:$H$8,"")</f>
        <v>Every pay period (ongoing)</v>
      </c>
      <c r="M710" s="43" t="n">
        <f aca="false" t="array" ref="M710:M710">MAX(_xlfn.XLOOKUP($A710,TRIM(SUBSTITUTE('worker file'!$A$2:$A$406,_xlfn.UNICHAR(160)," ")),'worker file'!$M$2:$M$406,0),_xlfn.XLOOKUP($B710,TRIM('pay group &amp; schedule'!$A$2:$A$6),'pay group &amp; schedule'!$D$2:$D$6,0))</f>
        <v>46311</v>
      </c>
      <c r="N710" s="43" t="str">
        <f aca="false" t="array" ref="N710:N710">_xlfn.LET(_xlpm.t,_xlfn.XLOOKUP($A710,TRIM(SUBSTITUTE('worker file'!$A$2:$A$406,_xlfn.UNICHAR(160)," ")),'worker file'!$N$2:$N$406,""),IF(N(_xlpm.t)=0,"",_xlpm.t))</f>
        <v/>
      </c>
    </row>
    <row r="711" customFormat="false" ht="15" hidden="false" customHeight="false" outlineLevel="0" collapsed="false">
      <c r="A711" s="39" t="s">
        <v>346</v>
      </c>
      <c r="B711" s="40" t="str">
        <f aca="false" t="array" ref="B711:B711">_xlfn.XLOOKUP($A711,TRIM(SUBSTITUTE('worker file'!$A$2:$A$406,_xlfn.UNICHAR(160)," ")),'worker file'!$L$2:$L$406,"Not found")</f>
        <v>US Semi-monthly</v>
      </c>
      <c r="C711" s="40" t="str">
        <f aca="false" t="array" ref="C711:C711">_xlfn.XLOOKUP($A711,TRIM(SUBSTITUTE('worker file'!$A$2:$A$406,_xlfn.UNICHAR(160)," ")),'worker file'!$D$2:$D$406,"Not found")</f>
        <v>WA</v>
      </c>
      <c r="D711" s="40" t="str">
        <f aca="false" t="array" ref="D711:D711">_xlfn.XLOOKUP($A711,TRIM(SUBSTITUTE('worker file'!$A$2:$A$406,_xlfn.UNICHAR(160)," ")),'worker file'!$Q$2:$Q$406,"Not found")</f>
        <v>Active</v>
      </c>
      <c r="E711" s="39" t="s">
        <v>626</v>
      </c>
      <c r="F711" s="38" t="str">
        <f aca="false">_xlfn.XLOOKUP($E711,$A$5:$A$8,$B$5:$B$8,"")</f>
        <v>Medical (Health) – Employee</v>
      </c>
      <c r="G711" s="38" t="str">
        <f aca="false">_xlfn.XLOOKUP($E711,$A$5:$A$8,$D$5:$D$8,"")</f>
        <v>Pre-tax Section 125 (exempt from FIT/SIT/FICA)</v>
      </c>
      <c r="H711" s="38" t="str">
        <f aca="false">_xlfn.XLOOKUP($E711,$A$5:$A$8,$E$5:$E$8,"")</f>
        <v>Flat</v>
      </c>
      <c r="I711" s="44" t="str">
        <f aca="false">IF($H711="Percent",_xlfn.XLOOKUP($E711,$A$5:$A$8,$F$5:$F$8,""),"")</f>
        <v/>
      </c>
      <c r="J711" s="42" t="n">
        <f aca="false">IF($H711="Flat",_xlfn.XLOOKUP($E711,$A$5:$A$8,$F$5:$F$8,""),"")</f>
        <v>200</v>
      </c>
      <c r="K711" s="38" t="str">
        <f aca="false">_xlfn.XLOOKUP($E711,$A$5:$A$8,$G$5:$G$8,"")</f>
        <v>Per pay period</v>
      </c>
      <c r="L711" s="38" t="str">
        <f aca="false">_xlfn.XLOOKUP($E711,$A$5:$A$8,$H$5:$H$8,"")</f>
        <v>Every pay period (ongoing)</v>
      </c>
      <c r="M711" s="43" t="n">
        <f aca="false" t="array" ref="M711:M711">MAX(_xlfn.XLOOKUP($A711,TRIM(SUBSTITUTE('worker file'!$A$2:$A$406,_xlfn.UNICHAR(160)," ")),'worker file'!$M$2:$M$406,0),_xlfn.XLOOKUP($B711,TRIM('pay group &amp; schedule'!$A$2:$A$6),'pay group &amp; schedule'!$D$2:$D$6,0))</f>
        <v>46311</v>
      </c>
      <c r="N711" s="43" t="str">
        <f aca="false" t="array" ref="N711:N711">_xlfn.LET(_xlpm.t,_xlfn.XLOOKUP($A711,TRIM(SUBSTITUTE('worker file'!$A$2:$A$406,_xlfn.UNICHAR(160)," ")),'worker file'!$N$2:$N$406,""),IF(N(_xlpm.t)=0,"",_xlpm.t))</f>
        <v/>
      </c>
    </row>
    <row r="712" customFormat="false" ht="15" hidden="false" customHeight="false" outlineLevel="0" collapsed="false">
      <c r="A712" s="39" t="s">
        <v>346</v>
      </c>
      <c r="B712" s="40" t="str">
        <f aca="false" t="array" ref="B712:B712">_xlfn.XLOOKUP($A712,TRIM(SUBSTITUTE('worker file'!$A$2:$A$406,_xlfn.UNICHAR(160)," ")),'worker file'!$L$2:$L$406,"Not found")</f>
        <v>US Semi-monthly</v>
      </c>
      <c r="C712" s="40" t="str">
        <f aca="false" t="array" ref="C712:C712">_xlfn.XLOOKUP($A712,TRIM(SUBSTITUTE('worker file'!$A$2:$A$406,_xlfn.UNICHAR(160)," ")),'worker file'!$D$2:$D$406,"Not found")</f>
        <v>WA</v>
      </c>
      <c r="D712" s="40" t="str">
        <f aca="false" t="array" ref="D712:D712">_xlfn.XLOOKUP($A712,TRIM(SUBSTITUTE('worker file'!$A$2:$A$406,_xlfn.UNICHAR(160)," ")),'worker file'!$Q$2:$Q$406,"Not found")</f>
        <v>Active</v>
      </c>
      <c r="E712" s="39" t="s">
        <v>632</v>
      </c>
      <c r="F712" s="38" t="str">
        <f aca="false">_xlfn.XLOOKUP($E712,$A$5:$A$8,$B$5:$B$8,"")</f>
        <v>Dental – Employee</v>
      </c>
      <c r="G712" s="38" t="str">
        <f aca="false">_xlfn.XLOOKUP($E712,$A$5:$A$8,$D$5:$D$8,"")</f>
        <v>Pre-tax Section 125 (exempt from FIT/SIT/FICA)</v>
      </c>
      <c r="H712" s="38" t="str">
        <f aca="false">_xlfn.XLOOKUP($E712,$A$5:$A$8,$E$5:$E$8,"")</f>
        <v>Flat</v>
      </c>
      <c r="I712" s="44" t="str">
        <f aca="false">IF($H712="Percent",_xlfn.XLOOKUP($E712,$A$5:$A$8,$F$5:$F$8,""),"")</f>
        <v/>
      </c>
      <c r="J712" s="42" t="n">
        <f aca="false">IF($H712="Flat",_xlfn.XLOOKUP($E712,$A$5:$A$8,$F$5:$F$8,""),"")</f>
        <v>44</v>
      </c>
      <c r="K712" s="38" t="str">
        <f aca="false">_xlfn.XLOOKUP($E712,$A$5:$A$8,$G$5:$G$8,"")</f>
        <v>Per pay period</v>
      </c>
      <c r="L712" s="38" t="str">
        <f aca="false">_xlfn.XLOOKUP($E712,$A$5:$A$8,$H$5:$H$8,"")</f>
        <v>Every pay period (ongoing)</v>
      </c>
      <c r="M712" s="43" t="n">
        <f aca="false" t="array" ref="M712:M712">MAX(_xlfn.XLOOKUP($A712,TRIM(SUBSTITUTE('worker file'!$A$2:$A$406,_xlfn.UNICHAR(160)," ")),'worker file'!$M$2:$M$406,0),_xlfn.XLOOKUP($B712,TRIM('pay group &amp; schedule'!$A$2:$A$6),'pay group &amp; schedule'!$D$2:$D$6,0))</f>
        <v>46311</v>
      </c>
      <c r="N712" s="43" t="str">
        <f aca="false" t="array" ref="N712:N712">_xlfn.LET(_xlpm.t,_xlfn.XLOOKUP($A712,TRIM(SUBSTITUTE('worker file'!$A$2:$A$406,_xlfn.UNICHAR(160)," ")),'worker file'!$N$2:$N$406,""),IF(N(_xlpm.t)=0,"",_xlpm.t))</f>
        <v/>
      </c>
    </row>
    <row r="713" customFormat="false" ht="15" hidden="false" customHeight="false" outlineLevel="0" collapsed="false">
      <c r="A713" s="39" t="s">
        <v>346</v>
      </c>
      <c r="B713" s="40" t="str">
        <f aca="false" t="array" ref="B713:B713">_xlfn.XLOOKUP($A713,TRIM(SUBSTITUTE('worker file'!$A$2:$A$406,_xlfn.UNICHAR(160)," ")),'worker file'!$L$2:$L$406,"Not found")</f>
        <v>US Semi-monthly</v>
      </c>
      <c r="C713" s="40" t="str">
        <f aca="false" t="array" ref="C713:C713">_xlfn.XLOOKUP($A713,TRIM(SUBSTITUTE('worker file'!$A$2:$A$406,_xlfn.UNICHAR(160)," ")),'worker file'!$D$2:$D$406,"Not found")</f>
        <v>WA</v>
      </c>
      <c r="D713" s="40" t="str">
        <f aca="false" t="array" ref="D713:D713">_xlfn.XLOOKUP($A713,TRIM(SUBSTITUTE('worker file'!$A$2:$A$406,_xlfn.UNICHAR(160)," ")),'worker file'!$Q$2:$Q$406,"Not found")</f>
        <v>Active</v>
      </c>
      <c r="E713" s="39" t="s">
        <v>634</v>
      </c>
      <c r="F713" s="38" t="str">
        <f aca="false">_xlfn.XLOOKUP($E713,$A$5:$A$8,$B$5:$B$8,"")</f>
        <v>Vision – Employee</v>
      </c>
      <c r="G713" s="38" t="str">
        <f aca="false">_xlfn.XLOOKUP($E713,$A$5:$A$8,$D$5:$D$8,"")</f>
        <v>Pre-tax Section 125 (exempt from FIT/SIT/FICA)</v>
      </c>
      <c r="H713" s="38" t="str">
        <f aca="false">_xlfn.XLOOKUP($E713,$A$5:$A$8,$E$5:$E$8,"")</f>
        <v>Flat</v>
      </c>
      <c r="I713" s="44" t="str">
        <f aca="false">IF($H713="Percent",_xlfn.XLOOKUP($E713,$A$5:$A$8,$F$5:$F$8,""),"")</f>
        <v/>
      </c>
      <c r="J713" s="42" t="n">
        <f aca="false">IF($H713="Flat",_xlfn.XLOOKUP($E713,$A$5:$A$8,$F$5:$F$8,""),"")</f>
        <v>30</v>
      </c>
      <c r="K713" s="38" t="str">
        <f aca="false">_xlfn.XLOOKUP($E713,$A$5:$A$8,$G$5:$G$8,"")</f>
        <v>Per pay period</v>
      </c>
      <c r="L713" s="38" t="str">
        <f aca="false">_xlfn.XLOOKUP($E713,$A$5:$A$8,$H$5:$H$8,"")</f>
        <v>Every pay period (ongoing)</v>
      </c>
      <c r="M713" s="43" t="n">
        <f aca="false" t="array" ref="M713:M713">MAX(_xlfn.XLOOKUP($A713,TRIM(SUBSTITUTE('worker file'!$A$2:$A$406,_xlfn.UNICHAR(160)," ")),'worker file'!$M$2:$M$406,0),_xlfn.XLOOKUP($B713,TRIM('pay group &amp; schedule'!$A$2:$A$6),'pay group &amp; schedule'!$D$2:$D$6,0))</f>
        <v>46311</v>
      </c>
      <c r="N713" s="43" t="str">
        <f aca="false" t="array" ref="N713:N713">_xlfn.LET(_xlpm.t,_xlfn.XLOOKUP($A713,TRIM(SUBSTITUTE('worker file'!$A$2:$A$406,_xlfn.UNICHAR(160)," ")),'worker file'!$N$2:$N$406,""),IF(N(_xlpm.t)=0,"",_xlpm.t))</f>
        <v/>
      </c>
    </row>
    <row r="714" customFormat="false" ht="15" hidden="false" customHeight="false" outlineLevel="0" collapsed="false">
      <c r="A714" s="39" t="s">
        <v>347</v>
      </c>
      <c r="B714" s="40" t="str">
        <f aca="false" t="array" ref="B714:B714">_xlfn.XLOOKUP($A714,TRIM(SUBSTITUTE('worker file'!$A$2:$A$406,_xlfn.UNICHAR(160)," ")),'worker file'!$L$2:$L$406,"Not found")</f>
        <v>US Semi-monthly</v>
      </c>
      <c r="C714" s="40" t="str">
        <f aca="false" t="array" ref="C714:C714">_xlfn.XLOOKUP($A714,TRIM(SUBSTITUTE('worker file'!$A$2:$A$406,_xlfn.UNICHAR(160)," ")),'worker file'!$D$2:$D$406,"Not found")</f>
        <v>IL</v>
      </c>
      <c r="D714" s="40" t="str">
        <f aca="false" t="array" ref="D714:D714">_xlfn.XLOOKUP($A714,TRIM(SUBSTITUTE('worker file'!$A$2:$A$406,_xlfn.UNICHAR(160)," ")),'worker file'!$Q$2:$Q$406,"Not found")</f>
        <v>Active</v>
      </c>
      <c r="E714" s="39" t="s">
        <v>618</v>
      </c>
      <c r="F714" s="38" t="str">
        <f aca="false">_xlfn.XLOOKUP($E714,$A$5:$A$8,$B$5:$B$8,"")</f>
        <v>401(k) Employee Deferral</v>
      </c>
      <c r="G714" s="38" t="str">
        <f aca="false">_xlfn.XLOOKUP($E714,$A$5:$A$8,$D$5:$D$8,"")</f>
        <v>Pre-tax (exempt from FIT/SIT; subject to FICA)</v>
      </c>
      <c r="H714" s="38" t="str">
        <f aca="false">_xlfn.XLOOKUP($E714,$A$5:$A$8,$E$5:$E$8,"")</f>
        <v>Percent</v>
      </c>
      <c r="I714" s="41" t="n">
        <v>0.07</v>
      </c>
      <c r="J714" s="42" t="str">
        <f aca="false">IF($H714="Flat",_xlfn.XLOOKUP($E714,$A$5:$A$8,$F$5:$F$8,""),"")</f>
        <v/>
      </c>
      <c r="K714" s="38" t="str">
        <f aca="false">_xlfn.XLOOKUP($E714,$A$5:$A$8,$G$5:$G$8,"")</f>
        <v>Gross pay</v>
      </c>
      <c r="L714" s="38" t="str">
        <f aca="false">_xlfn.XLOOKUP($E714,$A$5:$A$8,$H$5:$H$8,"")</f>
        <v>Every pay period (ongoing)</v>
      </c>
      <c r="M714" s="43" t="n">
        <f aca="false" t="array" ref="M714:M714">MAX(_xlfn.XLOOKUP($A714,TRIM(SUBSTITUTE('worker file'!$A$2:$A$406,_xlfn.UNICHAR(160)," ")),'worker file'!$M$2:$M$406,0),_xlfn.XLOOKUP($B714,TRIM('pay group &amp; schedule'!$A$2:$A$6),'pay group &amp; schedule'!$D$2:$D$6,0))</f>
        <v>46311</v>
      </c>
      <c r="N714" s="43" t="str">
        <f aca="false" t="array" ref="N714:N714">_xlfn.LET(_xlpm.t,_xlfn.XLOOKUP($A714,TRIM(SUBSTITUTE('worker file'!$A$2:$A$406,_xlfn.UNICHAR(160)," ")),'worker file'!$N$2:$N$406,""),IF(N(_xlpm.t)=0,"",_xlpm.t))</f>
        <v/>
      </c>
    </row>
    <row r="715" customFormat="false" ht="15" hidden="false" customHeight="false" outlineLevel="0" collapsed="false">
      <c r="A715" s="39" t="s">
        <v>347</v>
      </c>
      <c r="B715" s="40" t="str">
        <f aca="false" t="array" ref="B715:B715">_xlfn.XLOOKUP($A715,TRIM(SUBSTITUTE('worker file'!$A$2:$A$406,_xlfn.UNICHAR(160)," ")),'worker file'!$L$2:$L$406,"Not found")</f>
        <v>US Semi-monthly</v>
      </c>
      <c r="C715" s="40" t="str">
        <f aca="false" t="array" ref="C715:C715">_xlfn.XLOOKUP($A715,TRIM(SUBSTITUTE('worker file'!$A$2:$A$406,_xlfn.UNICHAR(160)," ")),'worker file'!$D$2:$D$406,"Not found")</f>
        <v>IL</v>
      </c>
      <c r="D715" s="40" t="str">
        <f aca="false" t="array" ref="D715:D715">_xlfn.XLOOKUP($A715,TRIM(SUBSTITUTE('worker file'!$A$2:$A$406,_xlfn.UNICHAR(160)," ")),'worker file'!$Q$2:$Q$406,"Not found")</f>
        <v>Active</v>
      </c>
      <c r="E715" s="39" t="s">
        <v>626</v>
      </c>
      <c r="F715" s="38" t="str">
        <f aca="false">_xlfn.XLOOKUP($E715,$A$5:$A$8,$B$5:$B$8,"")</f>
        <v>Medical (Health) – Employee</v>
      </c>
      <c r="G715" s="38" t="str">
        <f aca="false">_xlfn.XLOOKUP($E715,$A$5:$A$8,$D$5:$D$8,"")</f>
        <v>Pre-tax Section 125 (exempt from FIT/SIT/FICA)</v>
      </c>
      <c r="H715" s="38" t="str">
        <f aca="false">_xlfn.XLOOKUP($E715,$A$5:$A$8,$E$5:$E$8,"")</f>
        <v>Flat</v>
      </c>
      <c r="I715" s="44" t="str">
        <f aca="false">IF($H715="Percent",_xlfn.XLOOKUP($E715,$A$5:$A$8,$F$5:$F$8,""),"")</f>
        <v/>
      </c>
      <c r="J715" s="42" t="n">
        <f aca="false">IF($H715="Flat",_xlfn.XLOOKUP($E715,$A$5:$A$8,$F$5:$F$8,""),"")</f>
        <v>200</v>
      </c>
      <c r="K715" s="38" t="str">
        <f aca="false">_xlfn.XLOOKUP($E715,$A$5:$A$8,$G$5:$G$8,"")</f>
        <v>Per pay period</v>
      </c>
      <c r="L715" s="38" t="str">
        <f aca="false">_xlfn.XLOOKUP($E715,$A$5:$A$8,$H$5:$H$8,"")</f>
        <v>Every pay period (ongoing)</v>
      </c>
      <c r="M715" s="43" t="n">
        <f aca="false" t="array" ref="M715:M715">MAX(_xlfn.XLOOKUP($A715,TRIM(SUBSTITUTE('worker file'!$A$2:$A$406,_xlfn.UNICHAR(160)," ")),'worker file'!$M$2:$M$406,0),_xlfn.XLOOKUP($B715,TRIM('pay group &amp; schedule'!$A$2:$A$6),'pay group &amp; schedule'!$D$2:$D$6,0))</f>
        <v>46311</v>
      </c>
      <c r="N715" s="43" t="str">
        <f aca="false" t="array" ref="N715:N715">_xlfn.LET(_xlpm.t,_xlfn.XLOOKUP($A715,TRIM(SUBSTITUTE('worker file'!$A$2:$A$406,_xlfn.UNICHAR(160)," ")),'worker file'!$N$2:$N$406,""),IF(N(_xlpm.t)=0,"",_xlpm.t))</f>
        <v/>
      </c>
    </row>
    <row r="716" customFormat="false" ht="15" hidden="false" customHeight="false" outlineLevel="0" collapsed="false">
      <c r="A716" s="39" t="s">
        <v>347</v>
      </c>
      <c r="B716" s="40" t="str">
        <f aca="false" t="array" ref="B716:B716">_xlfn.XLOOKUP($A716,TRIM(SUBSTITUTE('worker file'!$A$2:$A$406,_xlfn.UNICHAR(160)," ")),'worker file'!$L$2:$L$406,"Not found")</f>
        <v>US Semi-monthly</v>
      </c>
      <c r="C716" s="40" t="str">
        <f aca="false" t="array" ref="C716:C716">_xlfn.XLOOKUP($A716,TRIM(SUBSTITUTE('worker file'!$A$2:$A$406,_xlfn.UNICHAR(160)," ")),'worker file'!$D$2:$D$406,"Not found")</f>
        <v>IL</v>
      </c>
      <c r="D716" s="40" t="str">
        <f aca="false" t="array" ref="D716:D716">_xlfn.XLOOKUP($A716,TRIM(SUBSTITUTE('worker file'!$A$2:$A$406,_xlfn.UNICHAR(160)," ")),'worker file'!$Q$2:$Q$406,"Not found")</f>
        <v>Active</v>
      </c>
      <c r="E716" s="39" t="s">
        <v>632</v>
      </c>
      <c r="F716" s="38" t="str">
        <f aca="false">_xlfn.XLOOKUP($E716,$A$5:$A$8,$B$5:$B$8,"")</f>
        <v>Dental – Employee</v>
      </c>
      <c r="G716" s="38" t="str">
        <f aca="false">_xlfn.XLOOKUP($E716,$A$5:$A$8,$D$5:$D$8,"")</f>
        <v>Pre-tax Section 125 (exempt from FIT/SIT/FICA)</v>
      </c>
      <c r="H716" s="38" t="str">
        <f aca="false">_xlfn.XLOOKUP($E716,$A$5:$A$8,$E$5:$E$8,"")</f>
        <v>Flat</v>
      </c>
      <c r="I716" s="44" t="str">
        <f aca="false">IF($H716="Percent",_xlfn.XLOOKUP($E716,$A$5:$A$8,$F$5:$F$8,""),"")</f>
        <v/>
      </c>
      <c r="J716" s="42" t="n">
        <f aca="false">IF($H716="Flat",_xlfn.XLOOKUP($E716,$A$5:$A$8,$F$5:$F$8,""),"")</f>
        <v>44</v>
      </c>
      <c r="K716" s="38" t="str">
        <f aca="false">_xlfn.XLOOKUP($E716,$A$5:$A$8,$G$5:$G$8,"")</f>
        <v>Per pay period</v>
      </c>
      <c r="L716" s="38" t="str">
        <f aca="false">_xlfn.XLOOKUP($E716,$A$5:$A$8,$H$5:$H$8,"")</f>
        <v>Every pay period (ongoing)</v>
      </c>
      <c r="M716" s="43" t="n">
        <f aca="false" t="array" ref="M716:M716">MAX(_xlfn.XLOOKUP($A716,TRIM(SUBSTITUTE('worker file'!$A$2:$A$406,_xlfn.UNICHAR(160)," ")),'worker file'!$M$2:$M$406,0),_xlfn.XLOOKUP($B716,TRIM('pay group &amp; schedule'!$A$2:$A$6),'pay group &amp; schedule'!$D$2:$D$6,0))</f>
        <v>46311</v>
      </c>
      <c r="N716" s="43" t="str">
        <f aca="false" t="array" ref="N716:N716">_xlfn.LET(_xlpm.t,_xlfn.XLOOKUP($A716,TRIM(SUBSTITUTE('worker file'!$A$2:$A$406,_xlfn.UNICHAR(160)," ")),'worker file'!$N$2:$N$406,""),IF(N(_xlpm.t)=0,"",_xlpm.t))</f>
        <v/>
      </c>
    </row>
    <row r="717" customFormat="false" ht="15" hidden="false" customHeight="false" outlineLevel="0" collapsed="false">
      <c r="A717" s="39" t="s">
        <v>347</v>
      </c>
      <c r="B717" s="40" t="str">
        <f aca="false" t="array" ref="B717:B717">_xlfn.XLOOKUP($A717,TRIM(SUBSTITUTE('worker file'!$A$2:$A$406,_xlfn.UNICHAR(160)," ")),'worker file'!$L$2:$L$406,"Not found")</f>
        <v>US Semi-monthly</v>
      </c>
      <c r="C717" s="40" t="str">
        <f aca="false" t="array" ref="C717:C717">_xlfn.XLOOKUP($A717,TRIM(SUBSTITUTE('worker file'!$A$2:$A$406,_xlfn.UNICHAR(160)," ")),'worker file'!$D$2:$D$406,"Not found")</f>
        <v>IL</v>
      </c>
      <c r="D717" s="40" t="str">
        <f aca="false" t="array" ref="D717:D717">_xlfn.XLOOKUP($A717,TRIM(SUBSTITUTE('worker file'!$A$2:$A$406,_xlfn.UNICHAR(160)," ")),'worker file'!$Q$2:$Q$406,"Not found")</f>
        <v>Active</v>
      </c>
      <c r="E717" s="39" t="s">
        <v>634</v>
      </c>
      <c r="F717" s="38" t="str">
        <f aca="false">_xlfn.XLOOKUP($E717,$A$5:$A$8,$B$5:$B$8,"")</f>
        <v>Vision – Employee</v>
      </c>
      <c r="G717" s="38" t="str">
        <f aca="false">_xlfn.XLOOKUP($E717,$A$5:$A$8,$D$5:$D$8,"")</f>
        <v>Pre-tax Section 125 (exempt from FIT/SIT/FICA)</v>
      </c>
      <c r="H717" s="38" t="str">
        <f aca="false">_xlfn.XLOOKUP($E717,$A$5:$A$8,$E$5:$E$8,"")</f>
        <v>Flat</v>
      </c>
      <c r="I717" s="44" t="str">
        <f aca="false">IF($H717="Percent",_xlfn.XLOOKUP($E717,$A$5:$A$8,$F$5:$F$8,""),"")</f>
        <v/>
      </c>
      <c r="J717" s="42" t="n">
        <f aca="false">IF($H717="Flat",_xlfn.XLOOKUP($E717,$A$5:$A$8,$F$5:$F$8,""),"")</f>
        <v>30</v>
      </c>
      <c r="K717" s="38" t="str">
        <f aca="false">_xlfn.XLOOKUP($E717,$A$5:$A$8,$G$5:$G$8,"")</f>
        <v>Per pay period</v>
      </c>
      <c r="L717" s="38" t="str">
        <f aca="false">_xlfn.XLOOKUP($E717,$A$5:$A$8,$H$5:$H$8,"")</f>
        <v>Every pay period (ongoing)</v>
      </c>
      <c r="M717" s="43" t="n">
        <f aca="false" t="array" ref="M717:M717">MAX(_xlfn.XLOOKUP($A717,TRIM(SUBSTITUTE('worker file'!$A$2:$A$406,_xlfn.UNICHAR(160)," ")),'worker file'!$M$2:$M$406,0),_xlfn.XLOOKUP($B717,TRIM('pay group &amp; schedule'!$A$2:$A$6),'pay group &amp; schedule'!$D$2:$D$6,0))</f>
        <v>46311</v>
      </c>
      <c r="N717" s="43" t="str">
        <f aca="false" t="array" ref="N717:N717">_xlfn.LET(_xlpm.t,_xlfn.XLOOKUP($A717,TRIM(SUBSTITUTE('worker file'!$A$2:$A$406,_xlfn.UNICHAR(160)," ")),'worker file'!$N$2:$N$406,""),IF(N(_xlpm.t)=0,"",_xlpm.t))</f>
        <v/>
      </c>
    </row>
    <row r="718" customFormat="false" ht="15" hidden="false" customHeight="false" outlineLevel="0" collapsed="false">
      <c r="A718" s="39" t="s">
        <v>348</v>
      </c>
      <c r="B718" s="40" t="str">
        <f aca="false" t="array" ref="B718:B718">_xlfn.XLOOKUP($A718,TRIM(SUBSTITUTE('worker file'!$A$2:$A$406,_xlfn.UNICHAR(160)," ")),'worker file'!$L$2:$L$406,"Not found")</f>
        <v>US Semi-monthly</v>
      </c>
      <c r="C718" s="40" t="str">
        <f aca="false" t="array" ref="C718:C718">_xlfn.XLOOKUP($A718,TRIM(SUBSTITUTE('worker file'!$A$2:$A$406,_xlfn.UNICHAR(160)," ")),'worker file'!$D$2:$D$406,"Not found")</f>
        <v>CA</v>
      </c>
      <c r="D718" s="40" t="str">
        <f aca="false" t="array" ref="D718:D718">_xlfn.XLOOKUP($A718,TRIM(SUBSTITUTE('worker file'!$A$2:$A$406,_xlfn.UNICHAR(160)," ")),'worker file'!$Q$2:$Q$406,"Not found")</f>
        <v>Active</v>
      </c>
      <c r="E718" s="39" t="s">
        <v>626</v>
      </c>
      <c r="F718" s="38" t="str">
        <f aca="false">_xlfn.XLOOKUP($E718,$A$5:$A$8,$B$5:$B$8,"")</f>
        <v>Medical (Health) – Employee</v>
      </c>
      <c r="G718" s="38" t="str">
        <f aca="false">_xlfn.XLOOKUP($E718,$A$5:$A$8,$D$5:$D$8,"")</f>
        <v>Pre-tax Section 125 (exempt from FIT/SIT/FICA)</v>
      </c>
      <c r="H718" s="38" t="str">
        <f aca="false">_xlfn.XLOOKUP($E718,$A$5:$A$8,$E$5:$E$8,"")</f>
        <v>Flat</v>
      </c>
      <c r="I718" s="44" t="str">
        <f aca="false">IF($H718="Percent",_xlfn.XLOOKUP($E718,$A$5:$A$8,$F$5:$F$8,""),"")</f>
        <v/>
      </c>
      <c r="J718" s="42" t="n">
        <f aca="false">IF($H718="Flat",_xlfn.XLOOKUP($E718,$A$5:$A$8,$F$5:$F$8,""),"")</f>
        <v>200</v>
      </c>
      <c r="K718" s="38" t="str">
        <f aca="false">_xlfn.XLOOKUP($E718,$A$5:$A$8,$G$5:$G$8,"")</f>
        <v>Per pay period</v>
      </c>
      <c r="L718" s="38" t="str">
        <f aca="false">_xlfn.XLOOKUP($E718,$A$5:$A$8,$H$5:$H$8,"")</f>
        <v>Every pay period (ongoing)</v>
      </c>
      <c r="M718" s="43" t="n">
        <f aca="false" t="array" ref="M718:M718">MAX(_xlfn.XLOOKUP($A718,TRIM(SUBSTITUTE('worker file'!$A$2:$A$406,_xlfn.UNICHAR(160)," ")),'worker file'!$M$2:$M$406,0),_xlfn.XLOOKUP($B718,TRIM('pay group &amp; schedule'!$A$2:$A$6),'pay group &amp; schedule'!$D$2:$D$6,0))</f>
        <v>46311</v>
      </c>
      <c r="N718" s="43" t="str">
        <f aca="false" t="array" ref="N718:N718">_xlfn.LET(_xlpm.t,_xlfn.XLOOKUP($A718,TRIM(SUBSTITUTE('worker file'!$A$2:$A$406,_xlfn.UNICHAR(160)," ")),'worker file'!$N$2:$N$406,""),IF(N(_xlpm.t)=0,"",_xlpm.t))</f>
        <v/>
      </c>
    </row>
    <row r="719" customFormat="false" ht="15" hidden="false" customHeight="false" outlineLevel="0" collapsed="false">
      <c r="A719" s="39" t="s">
        <v>348</v>
      </c>
      <c r="B719" s="40" t="str">
        <f aca="false" t="array" ref="B719:B719">_xlfn.XLOOKUP($A719,TRIM(SUBSTITUTE('worker file'!$A$2:$A$406,_xlfn.UNICHAR(160)," ")),'worker file'!$L$2:$L$406,"Not found")</f>
        <v>US Semi-monthly</v>
      </c>
      <c r="C719" s="40" t="str">
        <f aca="false" t="array" ref="C719:C719">_xlfn.XLOOKUP($A719,TRIM(SUBSTITUTE('worker file'!$A$2:$A$406,_xlfn.UNICHAR(160)," ")),'worker file'!$D$2:$D$406,"Not found")</f>
        <v>CA</v>
      </c>
      <c r="D719" s="40" t="str">
        <f aca="false" t="array" ref="D719:D719">_xlfn.XLOOKUP($A719,TRIM(SUBSTITUTE('worker file'!$A$2:$A$406,_xlfn.UNICHAR(160)," ")),'worker file'!$Q$2:$Q$406,"Not found")</f>
        <v>Active</v>
      </c>
      <c r="E719" s="39" t="s">
        <v>632</v>
      </c>
      <c r="F719" s="38" t="str">
        <f aca="false">_xlfn.XLOOKUP($E719,$A$5:$A$8,$B$5:$B$8,"")</f>
        <v>Dental – Employee</v>
      </c>
      <c r="G719" s="38" t="str">
        <f aca="false">_xlfn.XLOOKUP($E719,$A$5:$A$8,$D$5:$D$8,"")</f>
        <v>Pre-tax Section 125 (exempt from FIT/SIT/FICA)</v>
      </c>
      <c r="H719" s="38" t="str">
        <f aca="false">_xlfn.XLOOKUP($E719,$A$5:$A$8,$E$5:$E$8,"")</f>
        <v>Flat</v>
      </c>
      <c r="I719" s="44" t="str">
        <f aca="false">IF($H719="Percent",_xlfn.XLOOKUP($E719,$A$5:$A$8,$F$5:$F$8,""),"")</f>
        <v/>
      </c>
      <c r="J719" s="42" t="n">
        <f aca="false">IF($H719="Flat",_xlfn.XLOOKUP($E719,$A$5:$A$8,$F$5:$F$8,""),"")</f>
        <v>44</v>
      </c>
      <c r="K719" s="38" t="str">
        <f aca="false">_xlfn.XLOOKUP($E719,$A$5:$A$8,$G$5:$G$8,"")</f>
        <v>Per pay period</v>
      </c>
      <c r="L719" s="38" t="str">
        <f aca="false">_xlfn.XLOOKUP($E719,$A$5:$A$8,$H$5:$H$8,"")</f>
        <v>Every pay period (ongoing)</v>
      </c>
      <c r="M719" s="43" t="n">
        <f aca="false" t="array" ref="M719:M719">MAX(_xlfn.XLOOKUP($A719,TRIM(SUBSTITUTE('worker file'!$A$2:$A$406,_xlfn.UNICHAR(160)," ")),'worker file'!$M$2:$M$406,0),_xlfn.XLOOKUP($B719,TRIM('pay group &amp; schedule'!$A$2:$A$6),'pay group &amp; schedule'!$D$2:$D$6,0))</f>
        <v>46311</v>
      </c>
      <c r="N719" s="43" t="str">
        <f aca="false" t="array" ref="N719:N719">_xlfn.LET(_xlpm.t,_xlfn.XLOOKUP($A719,TRIM(SUBSTITUTE('worker file'!$A$2:$A$406,_xlfn.UNICHAR(160)," ")),'worker file'!$N$2:$N$406,""),IF(N(_xlpm.t)=0,"",_xlpm.t))</f>
        <v/>
      </c>
    </row>
    <row r="720" customFormat="false" ht="15" hidden="false" customHeight="false" outlineLevel="0" collapsed="false">
      <c r="A720" s="39" t="s">
        <v>348</v>
      </c>
      <c r="B720" s="40" t="str">
        <f aca="false" t="array" ref="B720:B720">_xlfn.XLOOKUP($A720,TRIM(SUBSTITUTE('worker file'!$A$2:$A$406,_xlfn.UNICHAR(160)," ")),'worker file'!$L$2:$L$406,"Not found")</f>
        <v>US Semi-monthly</v>
      </c>
      <c r="C720" s="40" t="str">
        <f aca="false" t="array" ref="C720:C720">_xlfn.XLOOKUP($A720,TRIM(SUBSTITUTE('worker file'!$A$2:$A$406,_xlfn.UNICHAR(160)," ")),'worker file'!$D$2:$D$406,"Not found")</f>
        <v>CA</v>
      </c>
      <c r="D720" s="40" t="str">
        <f aca="false" t="array" ref="D720:D720">_xlfn.XLOOKUP($A720,TRIM(SUBSTITUTE('worker file'!$A$2:$A$406,_xlfn.UNICHAR(160)," ")),'worker file'!$Q$2:$Q$406,"Not found")</f>
        <v>Active</v>
      </c>
      <c r="E720" s="39" t="s">
        <v>634</v>
      </c>
      <c r="F720" s="38" t="str">
        <f aca="false">_xlfn.XLOOKUP($E720,$A$5:$A$8,$B$5:$B$8,"")</f>
        <v>Vision – Employee</v>
      </c>
      <c r="G720" s="38" t="str">
        <f aca="false">_xlfn.XLOOKUP($E720,$A$5:$A$8,$D$5:$D$8,"")</f>
        <v>Pre-tax Section 125 (exempt from FIT/SIT/FICA)</v>
      </c>
      <c r="H720" s="38" t="str">
        <f aca="false">_xlfn.XLOOKUP($E720,$A$5:$A$8,$E$5:$E$8,"")</f>
        <v>Flat</v>
      </c>
      <c r="I720" s="44" t="str">
        <f aca="false">IF($H720="Percent",_xlfn.XLOOKUP($E720,$A$5:$A$8,$F$5:$F$8,""),"")</f>
        <v/>
      </c>
      <c r="J720" s="42" t="n">
        <f aca="false">IF($H720="Flat",_xlfn.XLOOKUP($E720,$A$5:$A$8,$F$5:$F$8,""),"")</f>
        <v>30</v>
      </c>
      <c r="K720" s="38" t="str">
        <f aca="false">_xlfn.XLOOKUP($E720,$A$5:$A$8,$G$5:$G$8,"")</f>
        <v>Per pay period</v>
      </c>
      <c r="L720" s="38" t="str">
        <f aca="false">_xlfn.XLOOKUP($E720,$A$5:$A$8,$H$5:$H$8,"")</f>
        <v>Every pay period (ongoing)</v>
      </c>
      <c r="M720" s="43" t="n">
        <f aca="false" t="array" ref="M720:M720">MAX(_xlfn.XLOOKUP($A720,TRIM(SUBSTITUTE('worker file'!$A$2:$A$406,_xlfn.UNICHAR(160)," ")),'worker file'!$M$2:$M$406,0),_xlfn.XLOOKUP($B720,TRIM('pay group &amp; schedule'!$A$2:$A$6),'pay group &amp; schedule'!$D$2:$D$6,0))</f>
        <v>46311</v>
      </c>
      <c r="N720" s="43" t="str">
        <f aca="false" t="array" ref="N720:N720">_xlfn.LET(_xlpm.t,_xlfn.XLOOKUP($A720,TRIM(SUBSTITUTE('worker file'!$A$2:$A$406,_xlfn.UNICHAR(160)," ")),'worker file'!$N$2:$N$406,""),IF(N(_xlpm.t)=0,"",_xlpm.t))</f>
        <v/>
      </c>
    </row>
    <row r="721" customFormat="false" ht="15" hidden="false" customHeight="false" outlineLevel="0" collapsed="false">
      <c r="A721" s="39" t="s">
        <v>349</v>
      </c>
      <c r="B721" s="40" t="str">
        <f aca="false" t="array" ref="B721:B721">_xlfn.XLOOKUP($A721,TRIM(SUBSTITUTE('worker file'!$A$2:$A$406,_xlfn.UNICHAR(160)," ")),'worker file'!$L$2:$L$406,"Not found")</f>
        <v>US Biweekly</v>
      </c>
      <c r="C721" s="40" t="str">
        <f aca="false" t="array" ref="C721:C721">_xlfn.XLOOKUP($A721,TRIM(SUBSTITUTE('worker file'!$A$2:$A$406,_xlfn.UNICHAR(160)," ")),'worker file'!$D$2:$D$406,"Not found")</f>
        <v>CA</v>
      </c>
      <c r="D721" s="40" t="str">
        <f aca="false" t="array" ref="D721:D721">_xlfn.XLOOKUP($A721,TRIM(SUBSTITUTE('worker file'!$A$2:$A$406,_xlfn.UNICHAR(160)," ")),'worker file'!$Q$2:$Q$406,"Not found")</f>
        <v>Active</v>
      </c>
      <c r="E721" s="39" t="s">
        <v>618</v>
      </c>
      <c r="F721" s="38" t="str">
        <f aca="false">_xlfn.XLOOKUP($E721,$A$5:$A$8,$B$5:$B$8,"")</f>
        <v>401(k) Employee Deferral</v>
      </c>
      <c r="G721" s="38" t="str">
        <f aca="false">_xlfn.XLOOKUP($E721,$A$5:$A$8,$D$5:$D$8,"")</f>
        <v>Pre-tax (exempt from FIT/SIT; subject to FICA)</v>
      </c>
      <c r="H721" s="38" t="str">
        <f aca="false">_xlfn.XLOOKUP($E721,$A$5:$A$8,$E$5:$E$8,"")</f>
        <v>Percent</v>
      </c>
      <c r="I721" s="41" t="n">
        <v>0.01</v>
      </c>
      <c r="J721" s="42" t="str">
        <f aca="false">IF($H721="Flat",_xlfn.XLOOKUP($E721,$A$5:$A$8,$F$5:$F$8,""),"")</f>
        <v/>
      </c>
      <c r="K721" s="38" t="str">
        <f aca="false">_xlfn.XLOOKUP($E721,$A$5:$A$8,$G$5:$G$8,"")</f>
        <v>Gross pay</v>
      </c>
      <c r="L721" s="38" t="str">
        <f aca="false">_xlfn.XLOOKUP($E721,$A$5:$A$8,$H$5:$H$8,"")</f>
        <v>Every pay period (ongoing)</v>
      </c>
      <c r="M721" s="43" t="n">
        <f aca="false" t="array" ref="M721:M721">MAX(_xlfn.XLOOKUP($A721,TRIM(SUBSTITUTE('worker file'!$A$2:$A$406,_xlfn.UNICHAR(160)," ")),'worker file'!$M$2:$M$406,0),_xlfn.XLOOKUP($B721,TRIM('pay group &amp; schedule'!$A$2:$A$6),'pay group &amp; schedule'!$D$2:$D$6,0))</f>
        <v>46299</v>
      </c>
      <c r="N721" s="43" t="str">
        <f aca="false" t="array" ref="N721:N721">_xlfn.LET(_xlpm.t,_xlfn.XLOOKUP($A721,TRIM(SUBSTITUTE('worker file'!$A$2:$A$406,_xlfn.UNICHAR(160)," ")),'worker file'!$N$2:$N$406,""),IF(N(_xlpm.t)=0,"",_xlpm.t))</f>
        <v/>
      </c>
    </row>
    <row r="722" customFormat="false" ht="15" hidden="false" customHeight="false" outlineLevel="0" collapsed="false">
      <c r="A722" s="39" t="s">
        <v>349</v>
      </c>
      <c r="B722" s="40" t="str">
        <f aca="false" t="array" ref="B722:B722">_xlfn.XLOOKUP($A722,TRIM(SUBSTITUTE('worker file'!$A$2:$A$406,_xlfn.UNICHAR(160)," ")),'worker file'!$L$2:$L$406,"Not found")</f>
        <v>US Biweekly</v>
      </c>
      <c r="C722" s="40" t="str">
        <f aca="false" t="array" ref="C722:C722">_xlfn.XLOOKUP($A722,TRIM(SUBSTITUTE('worker file'!$A$2:$A$406,_xlfn.UNICHAR(160)," ")),'worker file'!$D$2:$D$406,"Not found")</f>
        <v>CA</v>
      </c>
      <c r="D722" s="40" t="str">
        <f aca="false" t="array" ref="D722:D722">_xlfn.XLOOKUP($A722,TRIM(SUBSTITUTE('worker file'!$A$2:$A$406,_xlfn.UNICHAR(160)," ")),'worker file'!$Q$2:$Q$406,"Not found")</f>
        <v>Active</v>
      </c>
      <c r="E722" s="39" t="s">
        <v>626</v>
      </c>
      <c r="F722" s="38" t="str">
        <f aca="false">_xlfn.XLOOKUP($E722,$A$5:$A$8,$B$5:$B$8,"")</f>
        <v>Medical (Health) – Employee</v>
      </c>
      <c r="G722" s="38" t="str">
        <f aca="false">_xlfn.XLOOKUP($E722,$A$5:$A$8,$D$5:$D$8,"")</f>
        <v>Pre-tax Section 125 (exempt from FIT/SIT/FICA)</v>
      </c>
      <c r="H722" s="38" t="str">
        <f aca="false">_xlfn.XLOOKUP($E722,$A$5:$A$8,$E$5:$E$8,"")</f>
        <v>Flat</v>
      </c>
      <c r="I722" s="44" t="str">
        <f aca="false">IF($H722="Percent",_xlfn.XLOOKUP($E722,$A$5:$A$8,$F$5:$F$8,""),"")</f>
        <v/>
      </c>
      <c r="J722" s="42" t="n">
        <f aca="false">IF($H722="Flat",_xlfn.XLOOKUP($E722,$A$5:$A$8,$F$5:$F$8,""),"")</f>
        <v>200</v>
      </c>
      <c r="K722" s="38" t="str">
        <f aca="false">_xlfn.XLOOKUP($E722,$A$5:$A$8,$G$5:$G$8,"")</f>
        <v>Per pay period</v>
      </c>
      <c r="L722" s="38" t="str">
        <f aca="false">_xlfn.XLOOKUP($E722,$A$5:$A$8,$H$5:$H$8,"")</f>
        <v>Every pay period (ongoing)</v>
      </c>
      <c r="M722" s="43" t="n">
        <f aca="false" t="array" ref="M722:M722">MAX(_xlfn.XLOOKUP($A722,TRIM(SUBSTITUTE('worker file'!$A$2:$A$406,_xlfn.UNICHAR(160)," ")),'worker file'!$M$2:$M$406,0),_xlfn.XLOOKUP($B722,TRIM('pay group &amp; schedule'!$A$2:$A$6),'pay group &amp; schedule'!$D$2:$D$6,0))</f>
        <v>46299</v>
      </c>
      <c r="N722" s="43" t="str">
        <f aca="false" t="array" ref="N722:N722">_xlfn.LET(_xlpm.t,_xlfn.XLOOKUP($A722,TRIM(SUBSTITUTE('worker file'!$A$2:$A$406,_xlfn.UNICHAR(160)," ")),'worker file'!$N$2:$N$406,""),IF(N(_xlpm.t)=0,"",_xlpm.t))</f>
        <v/>
      </c>
    </row>
    <row r="723" customFormat="false" ht="15" hidden="false" customHeight="false" outlineLevel="0" collapsed="false">
      <c r="A723" s="39" t="s">
        <v>349</v>
      </c>
      <c r="B723" s="40" t="str">
        <f aca="false" t="array" ref="B723:B723">_xlfn.XLOOKUP($A723,TRIM(SUBSTITUTE('worker file'!$A$2:$A$406,_xlfn.UNICHAR(160)," ")),'worker file'!$L$2:$L$406,"Not found")</f>
        <v>US Biweekly</v>
      </c>
      <c r="C723" s="40" t="str">
        <f aca="false" t="array" ref="C723:C723">_xlfn.XLOOKUP($A723,TRIM(SUBSTITUTE('worker file'!$A$2:$A$406,_xlfn.UNICHAR(160)," ")),'worker file'!$D$2:$D$406,"Not found")</f>
        <v>CA</v>
      </c>
      <c r="D723" s="40" t="str">
        <f aca="false" t="array" ref="D723:D723">_xlfn.XLOOKUP($A723,TRIM(SUBSTITUTE('worker file'!$A$2:$A$406,_xlfn.UNICHAR(160)," ")),'worker file'!$Q$2:$Q$406,"Not found")</f>
        <v>Active</v>
      </c>
      <c r="E723" s="39" t="s">
        <v>632</v>
      </c>
      <c r="F723" s="38" t="str">
        <f aca="false">_xlfn.XLOOKUP($E723,$A$5:$A$8,$B$5:$B$8,"")</f>
        <v>Dental – Employee</v>
      </c>
      <c r="G723" s="38" t="str">
        <f aca="false">_xlfn.XLOOKUP($E723,$A$5:$A$8,$D$5:$D$8,"")</f>
        <v>Pre-tax Section 125 (exempt from FIT/SIT/FICA)</v>
      </c>
      <c r="H723" s="38" t="str">
        <f aca="false">_xlfn.XLOOKUP($E723,$A$5:$A$8,$E$5:$E$8,"")</f>
        <v>Flat</v>
      </c>
      <c r="I723" s="44" t="str">
        <f aca="false">IF($H723="Percent",_xlfn.XLOOKUP($E723,$A$5:$A$8,$F$5:$F$8,""),"")</f>
        <v/>
      </c>
      <c r="J723" s="42" t="n">
        <f aca="false">IF($H723="Flat",_xlfn.XLOOKUP($E723,$A$5:$A$8,$F$5:$F$8,""),"")</f>
        <v>44</v>
      </c>
      <c r="K723" s="38" t="str">
        <f aca="false">_xlfn.XLOOKUP($E723,$A$5:$A$8,$G$5:$G$8,"")</f>
        <v>Per pay period</v>
      </c>
      <c r="L723" s="38" t="str">
        <f aca="false">_xlfn.XLOOKUP($E723,$A$5:$A$8,$H$5:$H$8,"")</f>
        <v>Every pay period (ongoing)</v>
      </c>
      <c r="M723" s="43" t="n">
        <f aca="false" t="array" ref="M723:M723">MAX(_xlfn.XLOOKUP($A723,TRIM(SUBSTITUTE('worker file'!$A$2:$A$406,_xlfn.UNICHAR(160)," ")),'worker file'!$M$2:$M$406,0),_xlfn.XLOOKUP($B723,TRIM('pay group &amp; schedule'!$A$2:$A$6),'pay group &amp; schedule'!$D$2:$D$6,0))</f>
        <v>46299</v>
      </c>
      <c r="N723" s="43" t="str">
        <f aca="false" t="array" ref="N723:N723">_xlfn.LET(_xlpm.t,_xlfn.XLOOKUP($A723,TRIM(SUBSTITUTE('worker file'!$A$2:$A$406,_xlfn.UNICHAR(160)," ")),'worker file'!$N$2:$N$406,""),IF(N(_xlpm.t)=0,"",_xlpm.t))</f>
        <v/>
      </c>
    </row>
    <row r="724" customFormat="false" ht="15" hidden="false" customHeight="false" outlineLevel="0" collapsed="false">
      <c r="A724" s="39" t="s">
        <v>349</v>
      </c>
      <c r="B724" s="40" t="str">
        <f aca="false" t="array" ref="B724:B724">_xlfn.XLOOKUP($A724,TRIM(SUBSTITUTE('worker file'!$A$2:$A$406,_xlfn.UNICHAR(160)," ")),'worker file'!$L$2:$L$406,"Not found")</f>
        <v>US Biweekly</v>
      </c>
      <c r="C724" s="40" t="str">
        <f aca="false" t="array" ref="C724:C724">_xlfn.XLOOKUP($A724,TRIM(SUBSTITUTE('worker file'!$A$2:$A$406,_xlfn.UNICHAR(160)," ")),'worker file'!$D$2:$D$406,"Not found")</f>
        <v>CA</v>
      </c>
      <c r="D724" s="40" t="str">
        <f aca="false" t="array" ref="D724:D724">_xlfn.XLOOKUP($A724,TRIM(SUBSTITUTE('worker file'!$A$2:$A$406,_xlfn.UNICHAR(160)," ")),'worker file'!$Q$2:$Q$406,"Not found")</f>
        <v>Active</v>
      </c>
      <c r="E724" s="39" t="s">
        <v>634</v>
      </c>
      <c r="F724" s="38" t="str">
        <f aca="false">_xlfn.XLOOKUP($E724,$A$5:$A$8,$B$5:$B$8,"")</f>
        <v>Vision – Employee</v>
      </c>
      <c r="G724" s="38" t="str">
        <f aca="false">_xlfn.XLOOKUP($E724,$A$5:$A$8,$D$5:$D$8,"")</f>
        <v>Pre-tax Section 125 (exempt from FIT/SIT/FICA)</v>
      </c>
      <c r="H724" s="38" t="str">
        <f aca="false">_xlfn.XLOOKUP($E724,$A$5:$A$8,$E$5:$E$8,"")</f>
        <v>Flat</v>
      </c>
      <c r="I724" s="44" t="str">
        <f aca="false">IF($H724="Percent",_xlfn.XLOOKUP($E724,$A$5:$A$8,$F$5:$F$8,""),"")</f>
        <v/>
      </c>
      <c r="J724" s="42" t="n">
        <f aca="false">IF($H724="Flat",_xlfn.XLOOKUP($E724,$A$5:$A$8,$F$5:$F$8,""),"")</f>
        <v>30</v>
      </c>
      <c r="K724" s="38" t="str">
        <f aca="false">_xlfn.XLOOKUP($E724,$A$5:$A$8,$G$5:$G$8,"")</f>
        <v>Per pay period</v>
      </c>
      <c r="L724" s="38" t="str">
        <f aca="false">_xlfn.XLOOKUP($E724,$A$5:$A$8,$H$5:$H$8,"")</f>
        <v>Every pay period (ongoing)</v>
      </c>
      <c r="M724" s="43" t="n">
        <f aca="false" t="array" ref="M724:M724">MAX(_xlfn.XLOOKUP($A724,TRIM(SUBSTITUTE('worker file'!$A$2:$A$406,_xlfn.UNICHAR(160)," ")),'worker file'!$M$2:$M$406,0),_xlfn.XLOOKUP($B724,TRIM('pay group &amp; schedule'!$A$2:$A$6),'pay group &amp; schedule'!$D$2:$D$6,0))</f>
        <v>46299</v>
      </c>
      <c r="N724" s="43" t="str">
        <f aca="false" t="array" ref="N724:N724">_xlfn.LET(_xlpm.t,_xlfn.XLOOKUP($A724,TRIM(SUBSTITUTE('worker file'!$A$2:$A$406,_xlfn.UNICHAR(160)," ")),'worker file'!$N$2:$N$406,""),IF(N(_xlpm.t)=0,"",_xlpm.t))</f>
        <v/>
      </c>
    </row>
    <row r="725" customFormat="false" ht="15" hidden="false" customHeight="false" outlineLevel="0" collapsed="false">
      <c r="A725" s="39" t="s">
        <v>351</v>
      </c>
      <c r="B725" s="40" t="str">
        <f aca="false" t="array" ref="B725:B725">_xlfn.XLOOKUP($A725,TRIM(SUBSTITUTE('worker file'!$A$2:$A$406,_xlfn.UNICHAR(160)," ")),'worker file'!$L$2:$L$406,"Not found")</f>
        <v>US Biweekly</v>
      </c>
      <c r="C725" s="40" t="str">
        <f aca="false" t="array" ref="C725:C725">_xlfn.XLOOKUP($A725,TRIM(SUBSTITUTE('worker file'!$A$2:$A$406,_xlfn.UNICHAR(160)," ")),'worker file'!$D$2:$D$406,"Not found")</f>
        <v>CA</v>
      </c>
      <c r="D725" s="40" t="str">
        <f aca="false" t="array" ref="D725:D725">_xlfn.XLOOKUP($A725,TRIM(SUBSTITUTE('worker file'!$A$2:$A$406,_xlfn.UNICHAR(160)," ")),'worker file'!$Q$2:$Q$406,"Not found")</f>
        <v>Active</v>
      </c>
      <c r="E725" s="39" t="s">
        <v>618</v>
      </c>
      <c r="F725" s="38" t="str">
        <f aca="false">_xlfn.XLOOKUP($E725,$A$5:$A$8,$B$5:$B$8,"")</f>
        <v>401(k) Employee Deferral</v>
      </c>
      <c r="G725" s="38" t="str">
        <f aca="false">_xlfn.XLOOKUP($E725,$A$5:$A$8,$D$5:$D$8,"")</f>
        <v>Pre-tax (exempt from FIT/SIT; subject to FICA)</v>
      </c>
      <c r="H725" s="38" t="str">
        <f aca="false">_xlfn.XLOOKUP($E725,$A$5:$A$8,$E$5:$E$8,"")</f>
        <v>Percent</v>
      </c>
      <c r="I725" s="41" t="n">
        <v>0.06</v>
      </c>
      <c r="J725" s="42" t="str">
        <f aca="false">IF($H725="Flat",_xlfn.XLOOKUP($E725,$A$5:$A$8,$F$5:$F$8,""),"")</f>
        <v/>
      </c>
      <c r="K725" s="38" t="str">
        <f aca="false">_xlfn.XLOOKUP($E725,$A$5:$A$8,$G$5:$G$8,"")</f>
        <v>Gross pay</v>
      </c>
      <c r="L725" s="38" t="str">
        <f aca="false">_xlfn.XLOOKUP($E725,$A$5:$A$8,$H$5:$H$8,"")</f>
        <v>Every pay period (ongoing)</v>
      </c>
      <c r="M725" s="43" t="n">
        <f aca="false" t="array" ref="M725:M725">MAX(_xlfn.XLOOKUP($A725,TRIM(SUBSTITUTE('worker file'!$A$2:$A$406,_xlfn.UNICHAR(160)," ")),'worker file'!$M$2:$M$406,0),_xlfn.XLOOKUP($B725,TRIM('pay group &amp; schedule'!$A$2:$A$6),'pay group &amp; schedule'!$D$2:$D$6,0))</f>
        <v>46299</v>
      </c>
      <c r="N725" s="43" t="str">
        <f aca="false" t="array" ref="N725:N725">_xlfn.LET(_xlpm.t,_xlfn.XLOOKUP($A725,TRIM(SUBSTITUTE('worker file'!$A$2:$A$406,_xlfn.UNICHAR(160)," ")),'worker file'!$N$2:$N$406,""),IF(N(_xlpm.t)=0,"",_xlpm.t))</f>
        <v/>
      </c>
    </row>
    <row r="726" customFormat="false" ht="15" hidden="false" customHeight="false" outlineLevel="0" collapsed="false">
      <c r="A726" s="39" t="s">
        <v>351</v>
      </c>
      <c r="B726" s="40" t="str">
        <f aca="false" t="array" ref="B726:B726">_xlfn.XLOOKUP($A726,TRIM(SUBSTITUTE('worker file'!$A$2:$A$406,_xlfn.UNICHAR(160)," ")),'worker file'!$L$2:$L$406,"Not found")</f>
        <v>US Biweekly</v>
      </c>
      <c r="C726" s="40" t="str">
        <f aca="false" t="array" ref="C726:C726">_xlfn.XLOOKUP($A726,TRIM(SUBSTITUTE('worker file'!$A$2:$A$406,_xlfn.UNICHAR(160)," ")),'worker file'!$D$2:$D$406,"Not found")</f>
        <v>CA</v>
      </c>
      <c r="D726" s="40" t="str">
        <f aca="false" t="array" ref="D726:D726">_xlfn.XLOOKUP($A726,TRIM(SUBSTITUTE('worker file'!$A$2:$A$406,_xlfn.UNICHAR(160)," ")),'worker file'!$Q$2:$Q$406,"Not found")</f>
        <v>Active</v>
      </c>
      <c r="E726" s="39" t="s">
        <v>626</v>
      </c>
      <c r="F726" s="38" t="str">
        <f aca="false">_xlfn.XLOOKUP($E726,$A$5:$A$8,$B$5:$B$8,"")</f>
        <v>Medical (Health) – Employee</v>
      </c>
      <c r="G726" s="38" t="str">
        <f aca="false">_xlfn.XLOOKUP($E726,$A$5:$A$8,$D$5:$D$8,"")</f>
        <v>Pre-tax Section 125 (exempt from FIT/SIT/FICA)</v>
      </c>
      <c r="H726" s="38" t="str">
        <f aca="false">_xlfn.XLOOKUP($E726,$A$5:$A$8,$E$5:$E$8,"")</f>
        <v>Flat</v>
      </c>
      <c r="I726" s="44" t="str">
        <f aca="false">IF($H726="Percent",_xlfn.XLOOKUP($E726,$A$5:$A$8,$F$5:$F$8,""),"")</f>
        <v/>
      </c>
      <c r="J726" s="42" t="n">
        <f aca="false">IF($H726="Flat",_xlfn.XLOOKUP($E726,$A$5:$A$8,$F$5:$F$8,""),"")</f>
        <v>200</v>
      </c>
      <c r="K726" s="38" t="str">
        <f aca="false">_xlfn.XLOOKUP($E726,$A$5:$A$8,$G$5:$G$8,"")</f>
        <v>Per pay period</v>
      </c>
      <c r="L726" s="38" t="str">
        <f aca="false">_xlfn.XLOOKUP($E726,$A$5:$A$8,$H$5:$H$8,"")</f>
        <v>Every pay period (ongoing)</v>
      </c>
      <c r="M726" s="43" t="n">
        <f aca="false" t="array" ref="M726:M726">MAX(_xlfn.XLOOKUP($A726,TRIM(SUBSTITUTE('worker file'!$A$2:$A$406,_xlfn.UNICHAR(160)," ")),'worker file'!$M$2:$M$406,0),_xlfn.XLOOKUP($B726,TRIM('pay group &amp; schedule'!$A$2:$A$6),'pay group &amp; schedule'!$D$2:$D$6,0))</f>
        <v>46299</v>
      </c>
      <c r="N726" s="43" t="str">
        <f aca="false" t="array" ref="N726:N726">_xlfn.LET(_xlpm.t,_xlfn.XLOOKUP($A726,TRIM(SUBSTITUTE('worker file'!$A$2:$A$406,_xlfn.UNICHAR(160)," ")),'worker file'!$N$2:$N$406,""),IF(N(_xlpm.t)=0,"",_xlpm.t))</f>
        <v/>
      </c>
    </row>
    <row r="727" customFormat="false" ht="15" hidden="false" customHeight="false" outlineLevel="0" collapsed="false">
      <c r="A727" s="39" t="s">
        <v>351</v>
      </c>
      <c r="B727" s="40" t="str">
        <f aca="false" t="array" ref="B727:B727">_xlfn.XLOOKUP($A727,TRIM(SUBSTITUTE('worker file'!$A$2:$A$406,_xlfn.UNICHAR(160)," ")),'worker file'!$L$2:$L$406,"Not found")</f>
        <v>US Biweekly</v>
      </c>
      <c r="C727" s="40" t="str">
        <f aca="false" t="array" ref="C727:C727">_xlfn.XLOOKUP($A727,TRIM(SUBSTITUTE('worker file'!$A$2:$A$406,_xlfn.UNICHAR(160)," ")),'worker file'!$D$2:$D$406,"Not found")</f>
        <v>CA</v>
      </c>
      <c r="D727" s="40" t="str">
        <f aca="false" t="array" ref="D727:D727">_xlfn.XLOOKUP($A727,TRIM(SUBSTITUTE('worker file'!$A$2:$A$406,_xlfn.UNICHAR(160)," ")),'worker file'!$Q$2:$Q$406,"Not found")</f>
        <v>Active</v>
      </c>
      <c r="E727" s="39" t="s">
        <v>632</v>
      </c>
      <c r="F727" s="38" t="str">
        <f aca="false">_xlfn.XLOOKUP($E727,$A$5:$A$8,$B$5:$B$8,"")</f>
        <v>Dental – Employee</v>
      </c>
      <c r="G727" s="38" t="str">
        <f aca="false">_xlfn.XLOOKUP($E727,$A$5:$A$8,$D$5:$D$8,"")</f>
        <v>Pre-tax Section 125 (exempt from FIT/SIT/FICA)</v>
      </c>
      <c r="H727" s="38" t="str">
        <f aca="false">_xlfn.XLOOKUP($E727,$A$5:$A$8,$E$5:$E$8,"")</f>
        <v>Flat</v>
      </c>
      <c r="I727" s="44" t="str">
        <f aca="false">IF($H727="Percent",_xlfn.XLOOKUP($E727,$A$5:$A$8,$F$5:$F$8,""),"")</f>
        <v/>
      </c>
      <c r="J727" s="42" t="n">
        <f aca="false">IF($H727="Flat",_xlfn.XLOOKUP($E727,$A$5:$A$8,$F$5:$F$8,""),"")</f>
        <v>44</v>
      </c>
      <c r="K727" s="38" t="str">
        <f aca="false">_xlfn.XLOOKUP($E727,$A$5:$A$8,$G$5:$G$8,"")</f>
        <v>Per pay period</v>
      </c>
      <c r="L727" s="38" t="str">
        <f aca="false">_xlfn.XLOOKUP($E727,$A$5:$A$8,$H$5:$H$8,"")</f>
        <v>Every pay period (ongoing)</v>
      </c>
      <c r="M727" s="43" t="n">
        <f aca="false" t="array" ref="M727:M727">MAX(_xlfn.XLOOKUP($A727,TRIM(SUBSTITUTE('worker file'!$A$2:$A$406,_xlfn.UNICHAR(160)," ")),'worker file'!$M$2:$M$406,0),_xlfn.XLOOKUP($B727,TRIM('pay group &amp; schedule'!$A$2:$A$6),'pay group &amp; schedule'!$D$2:$D$6,0))</f>
        <v>46299</v>
      </c>
      <c r="N727" s="43" t="str">
        <f aca="false" t="array" ref="N727:N727">_xlfn.LET(_xlpm.t,_xlfn.XLOOKUP($A727,TRIM(SUBSTITUTE('worker file'!$A$2:$A$406,_xlfn.UNICHAR(160)," ")),'worker file'!$N$2:$N$406,""),IF(N(_xlpm.t)=0,"",_xlpm.t))</f>
        <v/>
      </c>
    </row>
    <row r="728" customFormat="false" ht="15" hidden="false" customHeight="false" outlineLevel="0" collapsed="false">
      <c r="A728" s="39" t="s">
        <v>351</v>
      </c>
      <c r="B728" s="40" t="str">
        <f aca="false" t="array" ref="B728:B728">_xlfn.XLOOKUP($A728,TRIM(SUBSTITUTE('worker file'!$A$2:$A$406,_xlfn.UNICHAR(160)," ")),'worker file'!$L$2:$L$406,"Not found")</f>
        <v>US Biweekly</v>
      </c>
      <c r="C728" s="40" t="str">
        <f aca="false" t="array" ref="C728:C728">_xlfn.XLOOKUP($A728,TRIM(SUBSTITUTE('worker file'!$A$2:$A$406,_xlfn.UNICHAR(160)," ")),'worker file'!$D$2:$D$406,"Not found")</f>
        <v>CA</v>
      </c>
      <c r="D728" s="40" t="str">
        <f aca="false" t="array" ref="D728:D728">_xlfn.XLOOKUP($A728,TRIM(SUBSTITUTE('worker file'!$A$2:$A$406,_xlfn.UNICHAR(160)," ")),'worker file'!$Q$2:$Q$406,"Not found")</f>
        <v>Active</v>
      </c>
      <c r="E728" s="39" t="s">
        <v>634</v>
      </c>
      <c r="F728" s="38" t="str">
        <f aca="false">_xlfn.XLOOKUP($E728,$A$5:$A$8,$B$5:$B$8,"")</f>
        <v>Vision – Employee</v>
      </c>
      <c r="G728" s="38" t="str">
        <f aca="false">_xlfn.XLOOKUP($E728,$A$5:$A$8,$D$5:$D$8,"")</f>
        <v>Pre-tax Section 125 (exempt from FIT/SIT/FICA)</v>
      </c>
      <c r="H728" s="38" t="str">
        <f aca="false">_xlfn.XLOOKUP($E728,$A$5:$A$8,$E$5:$E$8,"")</f>
        <v>Flat</v>
      </c>
      <c r="I728" s="44" t="str">
        <f aca="false">IF($H728="Percent",_xlfn.XLOOKUP($E728,$A$5:$A$8,$F$5:$F$8,""),"")</f>
        <v/>
      </c>
      <c r="J728" s="42" t="n">
        <f aca="false">IF($H728="Flat",_xlfn.XLOOKUP($E728,$A$5:$A$8,$F$5:$F$8,""),"")</f>
        <v>30</v>
      </c>
      <c r="K728" s="38" t="str">
        <f aca="false">_xlfn.XLOOKUP($E728,$A$5:$A$8,$G$5:$G$8,"")</f>
        <v>Per pay period</v>
      </c>
      <c r="L728" s="38" t="str">
        <f aca="false">_xlfn.XLOOKUP($E728,$A$5:$A$8,$H$5:$H$8,"")</f>
        <v>Every pay period (ongoing)</v>
      </c>
      <c r="M728" s="43" t="n">
        <f aca="false" t="array" ref="M728:M728">MAX(_xlfn.XLOOKUP($A728,TRIM(SUBSTITUTE('worker file'!$A$2:$A$406,_xlfn.UNICHAR(160)," ")),'worker file'!$M$2:$M$406,0),_xlfn.XLOOKUP($B728,TRIM('pay group &amp; schedule'!$A$2:$A$6),'pay group &amp; schedule'!$D$2:$D$6,0))</f>
        <v>46299</v>
      </c>
      <c r="N728" s="43" t="str">
        <f aca="false" t="array" ref="N728:N728">_xlfn.LET(_xlpm.t,_xlfn.XLOOKUP($A728,TRIM(SUBSTITUTE('worker file'!$A$2:$A$406,_xlfn.UNICHAR(160)," ")),'worker file'!$N$2:$N$406,""),IF(N(_xlpm.t)=0,"",_xlpm.t))</f>
        <v/>
      </c>
    </row>
    <row r="729" customFormat="false" ht="15" hidden="false" customHeight="false" outlineLevel="0" collapsed="false">
      <c r="A729" s="39" t="s">
        <v>352</v>
      </c>
      <c r="B729" s="40" t="str">
        <f aca="false" t="array" ref="B729:B729">_xlfn.XLOOKUP($A729,TRIM(SUBSTITUTE('worker file'!$A$2:$A$406,_xlfn.UNICHAR(160)," ")),'worker file'!$L$2:$L$406,"Not found")</f>
        <v>US Semi-monthly</v>
      </c>
      <c r="C729" s="40" t="str">
        <f aca="false" t="array" ref="C729:C729">_xlfn.XLOOKUP($A729,TRIM(SUBSTITUTE('worker file'!$A$2:$A$406,_xlfn.UNICHAR(160)," ")),'worker file'!$D$2:$D$406,"Not found")</f>
        <v>CA</v>
      </c>
      <c r="D729" s="40" t="str">
        <f aca="false" t="array" ref="D729:D729">_xlfn.XLOOKUP($A729,TRIM(SUBSTITUTE('worker file'!$A$2:$A$406,_xlfn.UNICHAR(160)," ")),'worker file'!$Q$2:$Q$406,"Not found")</f>
        <v>Active</v>
      </c>
      <c r="E729" s="39" t="s">
        <v>618</v>
      </c>
      <c r="F729" s="38" t="str">
        <f aca="false">_xlfn.XLOOKUP($E729,$A$5:$A$8,$B$5:$B$8,"")</f>
        <v>401(k) Employee Deferral</v>
      </c>
      <c r="G729" s="38" t="str">
        <f aca="false">_xlfn.XLOOKUP($E729,$A$5:$A$8,$D$5:$D$8,"")</f>
        <v>Pre-tax (exempt from FIT/SIT; subject to FICA)</v>
      </c>
      <c r="H729" s="38" t="str">
        <f aca="false">_xlfn.XLOOKUP($E729,$A$5:$A$8,$E$5:$E$8,"")</f>
        <v>Percent</v>
      </c>
      <c r="I729" s="41" t="n">
        <v>0.03</v>
      </c>
      <c r="J729" s="42" t="str">
        <f aca="false">IF($H729="Flat",_xlfn.XLOOKUP($E729,$A$5:$A$8,$F$5:$F$8,""),"")</f>
        <v/>
      </c>
      <c r="K729" s="38" t="str">
        <f aca="false">_xlfn.XLOOKUP($E729,$A$5:$A$8,$G$5:$G$8,"")</f>
        <v>Gross pay</v>
      </c>
      <c r="L729" s="38" t="str">
        <f aca="false">_xlfn.XLOOKUP($E729,$A$5:$A$8,$H$5:$H$8,"")</f>
        <v>Every pay period (ongoing)</v>
      </c>
      <c r="M729" s="43" t="n">
        <f aca="false" t="array" ref="M729:M729">MAX(_xlfn.XLOOKUP($A729,TRIM(SUBSTITUTE('worker file'!$A$2:$A$406,_xlfn.UNICHAR(160)," ")),'worker file'!$M$2:$M$406,0),_xlfn.XLOOKUP($B729,TRIM('pay group &amp; schedule'!$A$2:$A$6),'pay group &amp; schedule'!$D$2:$D$6,0))</f>
        <v>46311</v>
      </c>
      <c r="N729" s="43" t="str">
        <f aca="false" t="array" ref="N729:N729">_xlfn.LET(_xlpm.t,_xlfn.XLOOKUP($A729,TRIM(SUBSTITUTE('worker file'!$A$2:$A$406,_xlfn.UNICHAR(160)," ")),'worker file'!$N$2:$N$406,""),IF(N(_xlpm.t)=0,"",_xlpm.t))</f>
        <v/>
      </c>
    </row>
    <row r="730" customFormat="false" ht="15" hidden="false" customHeight="false" outlineLevel="0" collapsed="false">
      <c r="A730" s="39" t="s">
        <v>352</v>
      </c>
      <c r="B730" s="40" t="str">
        <f aca="false" t="array" ref="B730:B730">_xlfn.XLOOKUP($A730,TRIM(SUBSTITUTE('worker file'!$A$2:$A$406,_xlfn.UNICHAR(160)," ")),'worker file'!$L$2:$L$406,"Not found")</f>
        <v>US Semi-monthly</v>
      </c>
      <c r="C730" s="40" t="str">
        <f aca="false" t="array" ref="C730:C730">_xlfn.XLOOKUP($A730,TRIM(SUBSTITUTE('worker file'!$A$2:$A$406,_xlfn.UNICHAR(160)," ")),'worker file'!$D$2:$D$406,"Not found")</f>
        <v>CA</v>
      </c>
      <c r="D730" s="40" t="str">
        <f aca="false" t="array" ref="D730:D730">_xlfn.XLOOKUP($A730,TRIM(SUBSTITUTE('worker file'!$A$2:$A$406,_xlfn.UNICHAR(160)," ")),'worker file'!$Q$2:$Q$406,"Not found")</f>
        <v>Active</v>
      </c>
      <c r="E730" s="39" t="s">
        <v>626</v>
      </c>
      <c r="F730" s="38" t="str">
        <f aca="false">_xlfn.XLOOKUP($E730,$A$5:$A$8,$B$5:$B$8,"")</f>
        <v>Medical (Health) – Employee</v>
      </c>
      <c r="G730" s="38" t="str">
        <f aca="false">_xlfn.XLOOKUP($E730,$A$5:$A$8,$D$5:$D$8,"")</f>
        <v>Pre-tax Section 125 (exempt from FIT/SIT/FICA)</v>
      </c>
      <c r="H730" s="38" t="str">
        <f aca="false">_xlfn.XLOOKUP($E730,$A$5:$A$8,$E$5:$E$8,"")</f>
        <v>Flat</v>
      </c>
      <c r="I730" s="44" t="str">
        <f aca="false">IF($H730="Percent",_xlfn.XLOOKUP($E730,$A$5:$A$8,$F$5:$F$8,""),"")</f>
        <v/>
      </c>
      <c r="J730" s="42" t="n">
        <f aca="false">IF($H730="Flat",_xlfn.XLOOKUP($E730,$A$5:$A$8,$F$5:$F$8,""),"")</f>
        <v>200</v>
      </c>
      <c r="K730" s="38" t="str">
        <f aca="false">_xlfn.XLOOKUP($E730,$A$5:$A$8,$G$5:$G$8,"")</f>
        <v>Per pay period</v>
      </c>
      <c r="L730" s="38" t="str">
        <f aca="false">_xlfn.XLOOKUP($E730,$A$5:$A$8,$H$5:$H$8,"")</f>
        <v>Every pay period (ongoing)</v>
      </c>
      <c r="M730" s="43" t="n">
        <f aca="false" t="array" ref="M730:M730">MAX(_xlfn.XLOOKUP($A730,TRIM(SUBSTITUTE('worker file'!$A$2:$A$406,_xlfn.UNICHAR(160)," ")),'worker file'!$M$2:$M$406,0),_xlfn.XLOOKUP($B730,TRIM('pay group &amp; schedule'!$A$2:$A$6),'pay group &amp; schedule'!$D$2:$D$6,0))</f>
        <v>46311</v>
      </c>
      <c r="N730" s="43" t="str">
        <f aca="false" t="array" ref="N730:N730">_xlfn.LET(_xlpm.t,_xlfn.XLOOKUP($A730,TRIM(SUBSTITUTE('worker file'!$A$2:$A$406,_xlfn.UNICHAR(160)," ")),'worker file'!$N$2:$N$406,""),IF(N(_xlpm.t)=0,"",_xlpm.t))</f>
        <v/>
      </c>
    </row>
    <row r="731" customFormat="false" ht="15" hidden="false" customHeight="false" outlineLevel="0" collapsed="false">
      <c r="A731" s="39" t="s">
        <v>352</v>
      </c>
      <c r="B731" s="40" t="str">
        <f aca="false" t="array" ref="B731:B731">_xlfn.XLOOKUP($A731,TRIM(SUBSTITUTE('worker file'!$A$2:$A$406,_xlfn.UNICHAR(160)," ")),'worker file'!$L$2:$L$406,"Not found")</f>
        <v>US Semi-monthly</v>
      </c>
      <c r="C731" s="40" t="str">
        <f aca="false" t="array" ref="C731:C731">_xlfn.XLOOKUP($A731,TRIM(SUBSTITUTE('worker file'!$A$2:$A$406,_xlfn.UNICHAR(160)," ")),'worker file'!$D$2:$D$406,"Not found")</f>
        <v>CA</v>
      </c>
      <c r="D731" s="40" t="str">
        <f aca="false" t="array" ref="D731:D731">_xlfn.XLOOKUP($A731,TRIM(SUBSTITUTE('worker file'!$A$2:$A$406,_xlfn.UNICHAR(160)," ")),'worker file'!$Q$2:$Q$406,"Not found")</f>
        <v>Active</v>
      </c>
      <c r="E731" s="39" t="s">
        <v>632</v>
      </c>
      <c r="F731" s="38" t="str">
        <f aca="false">_xlfn.XLOOKUP($E731,$A$5:$A$8,$B$5:$B$8,"")</f>
        <v>Dental – Employee</v>
      </c>
      <c r="G731" s="38" t="str">
        <f aca="false">_xlfn.XLOOKUP($E731,$A$5:$A$8,$D$5:$D$8,"")</f>
        <v>Pre-tax Section 125 (exempt from FIT/SIT/FICA)</v>
      </c>
      <c r="H731" s="38" t="str">
        <f aca="false">_xlfn.XLOOKUP($E731,$A$5:$A$8,$E$5:$E$8,"")</f>
        <v>Flat</v>
      </c>
      <c r="I731" s="44" t="str">
        <f aca="false">IF($H731="Percent",_xlfn.XLOOKUP($E731,$A$5:$A$8,$F$5:$F$8,""),"")</f>
        <v/>
      </c>
      <c r="J731" s="42" t="n">
        <f aca="false">IF($H731="Flat",_xlfn.XLOOKUP($E731,$A$5:$A$8,$F$5:$F$8,""),"")</f>
        <v>44</v>
      </c>
      <c r="K731" s="38" t="str">
        <f aca="false">_xlfn.XLOOKUP($E731,$A$5:$A$8,$G$5:$G$8,"")</f>
        <v>Per pay period</v>
      </c>
      <c r="L731" s="38" t="str">
        <f aca="false">_xlfn.XLOOKUP($E731,$A$5:$A$8,$H$5:$H$8,"")</f>
        <v>Every pay period (ongoing)</v>
      </c>
      <c r="M731" s="43" t="n">
        <f aca="false" t="array" ref="M731:M731">MAX(_xlfn.XLOOKUP($A731,TRIM(SUBSTITUTE('worker file'!$A$2:$A$406,_xlfn.UNICHAR(160)," ")),'worker file'!$M$2:$M$406,0),_xlfn.XLOOKUP($B731,TRIM('pay group &amp; schedule'!$A$2:$A$6),'pay group &amp; schedule'!$D$2:$D$6,0))</f>
        <v>46311</v>
      </c>
      <c r="N731" s="43" t="str">
        <f aca="false" t="array" ref="N731:N731">_xlfn.LET(_xlpm.t,_xlfn.XLOOKUP($A731,TRIM(SUBSTITUTE('worker file'!$A$2:$A$406,_xlfn.UNICHAR(160)," ")),'worker file'!$N$2:$N$406,""),IF(N(_xlpm.t)=0,"",_xlpm.t))</f>
        <v/>
      </c>
    </row>
    <row r="732" customFormat="false" ht="15" hidden="false" customHeight="false" outlineLevel="0" collapsed="false">
      <c r="A732" s="39" t="s">
        <v>352</v>
      </c>
      <c r="B732" s="40" t="str">
        <f aca="false" t="array" ref="B732:B732">_xlfn.XLOOKUP($A732,TRIM(SUBSTITUTE('worker file'!$A$2:$A$406,_xlfn.UNICHAR(160)," ")),'worker file'!$L$2:$L$406,"Not found")</f>
        <v>US Semi-monthly</v>
      </c>
      <c r="C732" s="40" t="str">
        <f aca="false" t="array" ref="C732:C732">_xlfn.XLOOKUP($A732,TRIM(SUBSTITUTE('worker file'!$A$2:$A$406,_xlfn.UNICHAR(160)," ")),'worker file'!$D$2:$D$406,"Not found")</f>
        <v>CA</v>
      </c>
      <c r="D732" s="40" t="str">
        <f aca="false" t="array" ref="D732:D732">_xlfn.XLOOKUP($A732,TRIM(SUBSTITUTE('worker file'!$A$2:$A$406,_xlfn.UNICHAR(160)," ")),'worker file'!$Q$2:$Q$406,"Not found")</f>
        <v>Active</v>
      </c>
      <c r="E732" s="39" t="s">
        <v>634</v>
      </c>
      <c r="F732" s="38" t="str">
        <f aca="false">_xlfn.XLOOKUP($E732,$A$5:$A$8,$B$5:$B$8,"")</f>
        <v>Vision – Employee</v>
      </c>
      <c r="G732" s="38" t="str">
        <f aca="false">_xlfn.XLOOKUP($E732,$A$5:$A$8,$D$5:$D$8,"")</f>
        <v>Pre-tax Section 125 (exempt from FIT/SIT/FICA)</v>
      </c>
      <c r="H732" s="38" t="str">
        <f aca="false">_xlfn.XLOOKUP($E732,$A$5:$A$8,$E$5:$E$8,"")</f>
        <v>Flat</v>
      </c>
      <c r="I732" s="44" t="str">
        <f aca="false">IF($H732="Percent",_xlfn.XLOOKUP($E732,$A$5:$A$8,$F$5:$F$8,""),"")</f>
        <v/>
      </c>
      <c r="J732" s="42" t="n">
        <f aca="false">IF($H732="Flat",_xlfn.XLOOKUP($E732,$A$5:$A$8,$F$5:$F$8,""),"")</f>
        <v>30</v>
      </c>
      <c r="K732" s="38" t="str">
        <f aca="false">_xlfn.XLOOKUP($E732,$A$5:$A$8,$G$5:$G$8,"")</f>
        <v>Per pay period</v>
      </c>
      <c r="L732" s="38" t="str">
        <f aca="false">_xlfn.XLOOKUP($E732,$A$5:$A$8,$H$5:$H$8,"")</f>
        <v>Every pay period (ongoing)</v>
      </c>
      <c r="M732" s="43" t="n">
        <f aca="false" t="array" ref="M732:M732">MAX(_xlfn.XLOOKUP($A732,TRIM(SUBSTITUTE('worker file'!$A$2:$A$406,_xlfn.UNICHAR(160)," ")),'worker file'!$M$2:$M$406,0),_xlfn.XLOOKUP($B732,TRIM('pay group &amp; schedule'!$A$2:$A$6),'pay group &amp; schedule'!$D$2:$D$6,0))</f>
        <v>46311</v>
      </c>
      <c r="N732" s="43" t="str">
        <f aca="false" t="array" ref="N732:N732">_xlfn.LET(_xlpm.t,_xlfn.XLOOKUP($A732,TRIM(SUBSTITUTE('worker file'!$A$2:$A$406,_xlfn.UNICHAR(160)," ")),'worker file'!$N$2:$N$406,""),IF(N(_xlpm.t)=0,"",_xlpm.t))</f>
        <v/>
      </c>
    </row>
    <row r="733" customFormat="false" ht="15" hidden="false" customHeight="false" outlineLevel="0" collapsed="false">
      <c r="A733" s="39" t="s">
        <v>353</v>
      </c>
      <c r="B733" s="40" t="str">
        <f aca="false" t="array" ref="B733:B733">_xlfn.XLOOKUP($A733,TRIM(SUBSTITUTE('worker file'!$A$2:$A$406,_xlfn.UNICHAR(160)," ")),'worker file'!$L$2:$L$406,"Not found")</f>
        <v>US Semi-monthly</v>
      </c>
      <c r="C733" s="40" t="str">
        <f aca="false" t="array" ref="C733:C733">_xlfn.XLOOKUP($A733,TRIM(SUBSTITUTE('worker file'!$A$2:$A$406,_xlfn.UNICHAR(160)," ")),'worker file'!$D$2:$D$406,"Not found")</f>
        <v>WA</v>
      </c>
      <c r="D733" s="40" t="str">
        <f aca="false" t="array" ref="D733:D733">_xlfn.XLOOKUP($A733,TRIM(SUBSTITUTE('worker file'!$A$2:$A$406,_xlfn.UNICHAR(160)," ")),'worker file'!$Q$2:$Q$406,"Not found")</f>
        <v>Active</v>
      </c>
      <c r="E733" s="39" t="s">
        <v>618</v>
      </c>
      <c r="F733" s="38" t="str">
        <f aca="false">_xlfn.XLOOKUP($E733,$A$5:$A$8,$B$5:$B$8,"")</f>
        <v>401(k) Employee Deferral</v>
      </c>
      <c r="G733" s="38" t="str">
        <f aca="false">_xlfn.XLOOKUP($E733,$A$5:$A$8,$D$5:$D$8,"")</f>
        <v>Pre-tax (exempt from FIT/SIT; subject to FICA)</v>
      </c>
      <c r="H733" s="38" t="str">
        <f aca="false">_xlfn.XLOOKUP($E733,$A$5:$A$8,$E$5:$E$8,"")</f>
        <v>Percent</v>
      </c>
      <c r="I733" s="41" t="n">
        <v>0</v>
      </c>
      <c r="J733" s="42" t="str">
        <f aca="false">IF($H733="Flat",_xlfn.XLOOKUP($E733,$A$5:$A$8,$F$5:$F$8,""),"")</f>
        <v/>
      </c>
      <c r="K733" s="38" t="str">
        <f aca="false">_xlfn.XLOOKUP($E733,$A$5:$A$8,$G$5:$G$8,"")</f>
        <v>Gross pay</v>
      </c>
      <c r="L733" s="38" t="str">
        <f aca="false">_xlfn.XLOOKUP($E733,$A$5:$A$8,$H$5:$H$8,"")</f>
        <v>Every pay period (ongoing)</v>
      </c>
      <c r="M733" s="43" t="n">
        <f aca="false" t="array" ref="M733:M733">MAX(_xlfn.XLOOKUP($A733,TRIM(SUBSTITUTE('worker file'!$A$2:$A$406,_xlfn.UNICHAR(160)," ")),'worker file'!$M$2:$M$406,0),_xlfn.XLOOKUP($B733,TRIM('pay group &amp; schedule'!$A$2:$A$6),'pay group &amp; schedule'!$D$2:$D$6,0))</f>
        <v>46311</v>
      </c>
      <c r="N733" s="43" t="str">
        <f aca="false" t="array" ref="N733:N733">_xlfn.LET(_xlpm.t,_xlfn.XLOOKUP($A733,TRIM(SUBSTITUTE('worker file'!$A$2:$A$406,_xlfn.UNICHAR(160)," ")),'worker file'!$N$2:$N$406,""),IF(N(_xlpm.t)=0,"",_xlpm.t))</f>
        <v/>
      </c>
    </row>
    <row r="734" customFormat="false" ht="15" hidden="false" customHeight="false" outlineLevel="0" collapsed="false">
      <c r="A734" s="39" t="s">
        <v>353</v>
      </c>
      <c r="B734" s="40" t="str">
        <f aca="false" t="array" ref="B734:B734">_xlfn.XLOOKUP($A734,TRIM(SUBSTITUTE('worker file'!$A$2:$A$406,_xlfn.UNICHAR(160)," ")),'worker file'!$L$2:$L$406,"Not found")</f>
        <v>US Semi-monthly</v>
      </c>
      <c r="C734" s="40" t="str">
        <f aca="false" t="array" ref="C734:C734">_xlfn.XLOOKUP($A734,TRIM(SUBSTITUTE('worker file'!$A$2:$A$406,_xlfn.UNICHAR(160)," ")),'worker file'!$D$2:$D$406,"Not found")</f>
        <v>WA</v>
      </c>
      <c r="D734" s="40" t="str">
        <f aca="false" t="array" ref="D734:D734">_xlfn.XLOOKUP($A734,TRIM(SUBSTITUTE('worker file'!$A$2:$A$406,_xlfn.UNICHAR(160)," ")),'worker file'!$Q$2:$Q$406,"Not found")</f>
        <v>Active</v>
      </c>
      <c r="E734" s="39" t="s">
        <v>626</v>
      </c>
      <c r="F734" s="38" t="str">
        <f aca="false">_xlfn.XLOOKUP($E734,$A$5:$A$8,$B$5:$B$8,"")</f>
        <v>Medical (Health) – Employee</v>
      </c>
      <c r="G734" s="38" t="str">
        <f aca="false">_xlfn.XLOOKUP($E734,$A$5:$A$8,$D$5:$D$8,"")</f>
        <v>Pre-tax Section 125 (exempt from FIT/SIT/FICA)</v>
      </c>
      <c r="H734" s="38" t="str">
        <f aca="false">_xlfn.XLOOKUP($E734,$A$5:$A$8,$E$5:$E$8,"")</f>
        <v>Flat</v>
      </c>
      <c r="I734" s="44" t="str">
        <f aca="false">IF($H734="Percent",_xlfn.XLOOKUP($E734,$A$5:$A$8,$F$5:$F$8,""),"")</f>
        <v/>
      </c>
      <c r="J734" s="42" t="n">
        <f aca="false">IF($H734="Flat",_xlfn.XLOOKUP($E734,$A$5:$A$8,$F$5:$F$8,""),"")</f>
        <v>200</v>
      </c>
      <c r="K734" s="38" t="str">
        <f aca="false">_xlfn.XLOOKUP($E734,$A$5:$A$8,$G$5:$G$8,"")</f>
        <v>Per pay period</v>
      </c>
      <c r="L734" s="38" t="str">
        <f aca="false">_xlfn.XLOOKUP($E734,$A$5:$A$8,$H$5:$H$8,"")</f>
        <v>Every pay period (ongoing)</v>
      </c>
      <c r="M734" s="43" t="n">
        <f aca="false" t="array" ref="M734:M734">MAX(_xlfn.XLOOKUP($A734,TRIM(SUBSTITUTE('worker file'!$A$2:$A$406,_xlfn.UNICHAR(160)," ")),'worker file'!$M$2:$M$406,0),_xlfn.XLOOKUP($B734,TRIM('pay group &amp; schedule'!$A$2:$A$6),'pay group &amp; schedule'!$D$2:$D$6,0))</f>
        <v>46311</v>
      </c>
      <c r="N734" s="43" t="str">
        <f aca="false" t="array" ref="N734:N734">_xlfn.LET(_xlpm.t,_xlfn.XLOOKUP($A734,TRIM(SUBSTITUTE('worker file'!$A$2:$A$406,_xlfn.UNICHAR(160)," ")),'worker file'!$N$2:$N$406,""),IF(N(_xlpm.t)=0,"",_xlpm.t))</f>
        <v/>
      </c>
    </row>
    <row r="735" customFormat="false" ht="15" hidden="false" customHeight="false" outlineLevel="0" collapsed="false">
      <c r="A735" s="39" t="s">
        <v>353</v>
      </c>
      <c r="B735" s="40" t="str">
        <f aca="false" t="array" ref="B735:B735">_xlfn.XLOOKUP($A735,TRIM(SUBSTITUTE('worker file'!$A$2:$A$406,_xlfn.UNICHAR(160)," ")),'worker file'!$L$2:$L$406,"Not found")</f>
        <v>US Semi-monthly</v>
      </c>
      <c r="C735" s="40" t="str">
        <f aca="false" t="array" ref="C735:C735">_xlfn.XLOOKUP($A735,TRIM(SUBSTITUTE('worker file'!$A$2:$A$406,_xlfn.UNICHAR(160)," ")),'worker file'!$D$2:$D$406,"Not found")</f>
        <v>WA</v>
      </c>
      <c r="D735" s="40" t="str">
        <f aca="false" t="array" ref="D735:D735">_xlfn.XLOOKUP($A735,TRIM(SUBSTITUTE('worker file'!$A$2:$A$406,_xlfn.UNICHAR(160)," ")),'worker file'!$Q$2:$Q$406,"Not found")</f>
        <v>Active</v>
      </c>
      <c r="E735" s="39" t="s">
        <v>632</v>
      </c>
      <c r="F735" s="38" t="str">
        <f aca="false">_xlfn.XLOOKUP($E735,$A$5:$A$8,$B$5:$B$8,"")</f>
        <v>Dental – Employee</v>
      </c>
      <c r="G735" s="38" t="str">
        <f aca="false">_xlfn.XLOOKUP($E735,$A$5:$A$8,$D$5:$D$8,"")</f>
        <v>Pre-tax Section 125 (exempt from FIT/SIT/FICA)</v>
      </c>
      <c r="H735" s="38" t="str">
        <f aca="false">_xlfn.XLOOKUP($E735,$A$5:$A$8,$E$5:$E$8,"")</f>
        <v>Flat</v>
      </c>
      <c r="I735" s="44" t="str">
        <f aca="false">IF($H735="Percent",_xlfn.XLOOKUP($E735,$A$5:$A$8,$F$5:$F$8,""),"")</f>
        <v/>
      </c>
      <c r="J735" s="42" t="n">
        <f aca="false">IF($H735="Flat",_xlfn.XLOOKUP($E735,$A$5:$A$8,$F$5:$F$8,""),"")</f>
        <v>44</v>
      </c>
      <c r="K735" s="38" t="str">
        <f aca="false">_xlfn.XLOOKUP($E735,$A$5:$A$8,$G$5:$G$8,"")</f>
        <v>Per pay period</v>
      </c>
      <c r="L735" s="38" t="str">
        <f aca="false">_xlfn.XLOOKUP($E735,$A$5:$A$8,$H$5:$H$8,"")</f>
        <v>Every pay period (ongoing)</v>
      </c>
      <c r="M735" s="43" t="n">
        <f aca="false" t="array" ref="M735:M735">MAX(_xlfn.XLOOKUP($A735,TRIM(SUBSTITUTE('worker file'!$A$2:$A$406,_xlfn.UNICHAR(160)," ")),'worker file'!$M$2:$M$406,0),_xlfn.XLOOKUP($B735,TRIM('pay group &amp; schedule'!$A$2:$A$6),'pay group &amp; schedule'!$D$2:$D$6,0))</f>
        <v>46311</v>
      </c>
      <c r="N735" s="43" t="str">
        <f aca="false" t="array" ref="N735:N735">_xlfn.LET(_xlpm.t,_xlfn.XLOOKUP($A735,TRIM(SUBSTITUTE('worker file'!$A$2:$A$406,_xlfn.UNICHAR(160)," ")),'worker file'!$N$2:$N$406,""),IF(N(_xlpm.t)=0,"",_xlpm.t))</f>
        <v/>
      </c>
    </row>
    <row r="736" customFormat="false" ht="15" hidden="false" customHeight="false" outlineLevel="0" collapsed="false">
      <c r="A736" s="39" t="s">
        <v>353</v>
      </c>
      <c r="B736" s="40" t="str">
        <f aca="false" t="array" ref="B736:B736">_xlfn.XLOOKUP($A736,TRIM(SUBSTITUTE('worker file'!$A$2:$A$406,_xlfn.UNICHAR(160)," ")),'worker file'!$L$2:$L$406,"Not found")</f>
        <v>US Semi-monthly</v>
      </c>
      <c r="C736" s="40" t="str">
        <f aca="false" t="array" ref="C736:C736">_xlfn.XLOOKUP($A736,TRIM(SUBSTITUTE('worker file'!$A$2:$A$406,_xlfn.UNICHAR(160)," ")),'worker file'!$D$2:$D$406,"Not found")</f>
        <v>WA</v>
      </c>
      <c r="D736" s="40" t="str">
        <f aca="false" t="array" ref="D736:D736">_xlfn.XLOOKUP($A736,TRIM(SUBSTITUTE('worker file'!$A$2:$A$406,_xlfn.UNICHAR(160)," ")),'worker file'!$Q$2:$Q$406,"Not found")</f>
        <v>Active</v>
      </c>
      <c r="E736" s="39" t="s">
        <v>634</v>
      </c>
      <c r="F736" s="38" t="str">
        <f aca="false">_xlfn.XLOOKUP($E736,$A$5:$A$8,$B$5:$B$8,"")</f>
        <v>Vision – Employee</v>
      </c>
      <c r="G736" s="38" t="str">
        <f aca="false">_xlfn.XLOOKUP($E736,$A$5:$A$8,$D$5:$D$8,"")</f>
        <v>Pre-tax Section 125 (exempt from FIT/SIT/FICA)</v>
      </c>
      <c r="H736" s="38" t="str">
        <f aca="false">_xlfn.XLOOKUP($E736,$A$5:$A$8,$E$5:$E$8,"")</f>
        <v>Flat</v>
      </c>
      <c r="I736" s="44" t="str">
        <f aca="false">IF($H736="Percent",_xlfn.XLOOKUP($E736,$A$5:$A$8,$F$5:$F$8,""),"")</f>
        <v/>
      </c>
      <c r="J736" s="42" t="n">
        <f aca="false">IF($H736="Flat",_xlfn.XLOOKUP($E736,$A$5:$A$8,$F$5:$F$8,""),"")</f>
        <v>30</v>
      </c>
      <c r="K736" s="38" t="str">
        <f aca="false">_xlfn.XLOOKUP($E736,$A$5:$A$8,$G$5:$G$8,"")</f>
        <v>Per pay period</v>
      </c>
      <c r="L736" s="38" t="str">
        <f aca="false">_xlfn.XLOOKUP($E736,$A$5:$A$8,$H$5:$H$8,"")</f>
        <v>Every pay period (ongoing)</v>
      </c>
      <c r="M736" s="43" t="n">
        <f aca="false" t="array" ref="M736:M736">MAX(_xlfn.XLOOKUP($A736,TRIM(SUBSTITUTE('worker file'!$A$2:$A$406,_xlfn.UNICHAR(160)," ")),'worker file'!$M$2:$M$406,0),_xlfn.XLOOKUP($B736,TRIM('pay group &amp; schedule'!$A$2:$A$6),'pay group &amp; schedule'!$D$2:$D$6,0))</f>
        <v>46311</v>
      </c>
      <c r="N736" s="43" t="str">
        <f aca="false" t="array" ref="N736:N736">_xlfn.LET(_xlpm.t,_xlfn.XLOOKUP($A736,TRIM(SUBSTITUTE('worker file'!$A$2:$A$406,_xlfn.UNICHAR(160)," ")),'worker file'!$N$2:$N$406,""),IF(N(_xlpm.t)=0,"",_xlpm.t))</f>
        <v/>
      </c>
    </row>
    <row r="737" customFormat="false" ht="15" hidden="false" customHeight="false" outlineLevel="0" collapsed="false">
      <c r="A737" s="39" t="s">
        <v>354</v>
      </c>
      <c r="B737" s="40" t="str">
        <f aca="false" t="array" ref="B737:B737">_xlfn.XLOOKUP($A737,TRIM(SUBSTITUTE('worker file'!$A$2:$A$406,_xlfn.UNICHAR(160)," ")),'worker file'!$L$2:$L$406,"Not found")</f>
        <v>US Biweekly</v>
      </c>
      <c r="C737" s="40" t="str">
        <f aca="false" t="array" ref="C737:C737">_xlfn.XLOOKUP($A737,TRIM(SUBSTITUTE('worker file'!$A$2:$A$406,_xlfn.UNICHAR(160)," ")),'worker file'!$D$2:$D$406,"Not found")</f>
        <v>CA</v>
      </c>
      <c r="D737" s="40" t="str">
        <f aca="false" t="array" ref="D737:D737">_xlfn.XLOOKUP($A737,TRIM(SUBSTITUTE('worker file'!$A$2:$A$406,_xlfn.UNICHAR(160)," ")),'worker file'!$Q$2:$Q$406,"Not found")</f>
        <v>Active</v>
      </c>
      <c r="E737" s="39" t="s">
        <v>618</v>
      </c>
      <c r="F737" s="38" t="str">
        <f aca="false">_xlfn.XLOOKUP($E737,$A$5:$A$8,$B$5:$B$8,"")</f>
        <v>401(k) Employee Deferral</v>
      </c>
      <c r="G737" s="38" t="str">
        <f aca="false">_xlfn.XLOOKUP($E737,$A$5:$A$8,$D$5:$D$8,"")</f>
        <v>Pre-tax (exempt from FIT/SIT; subject to FICA)</v>
      </c>
      <c r="H737" s="38" t="str">
        <f aca="false">_xlfn.XLOOKUP($E737,$A$5:$A$8,$E$5:$E$8,"")</f>
        <v>Percent</v>
      </c>
      <c r="I737" s="41" t="n">
        <v>0.05</v>
      </c>
      <c r="J737" s="42" t="str">
        <f aca="false">IF($H737="Flat",_xlfn.XLOOKUP($E737,$A$5:$A$8,$F$5:$F$8,""),"")</f>
        <v/>
      </c>
      <c r="K737" s="38" t="str">
        <f aca="false">_xlfn.XLOOKUP($E737,$A$5:$A$8,$G$5:$G$8,"")</f>
        <v>Gross pay</v>
      </c>
      <c r="L737" s="38" t="str">
        <f aca="false">_xlfn.XLOOKUP($E737,$A$5:$A$8,$H$5:$H$8,"")</f>
        <v>Every pay period (ongoing)</v>
      </c>
      <c r="M737" s="43" t="n">
        <f aca="false" t="array" ref="M737:M737">MAX(_xlfn.XLOOKUP($A737,TRIM(SUBSTITUTE('worker file'!$A$2:$A$406,_xlfn.UNICHAR(160)," ")),'worker file'!$M$2:$M$406,0),_xlfn.XLOOKUP($B737,TRIM('pay group &amp; schedule'!$A$2:$A$6),'pay group &amp; schedule'!$D$2:$D$6,0))</f>
        <v>46299</v>
      </c>
      <c r="N737" s="43" t="str">
        <f aca="false" t="array" ref="N737:N737">_xlfn.LET(_xlpm.t,_xlfn.XLOOKUP($A737,TRIM(SUBSTITUTE('worker file'!$A$2:$A$406,_xlfn.UNICHAR(160)," ")),'worker file'!$N$2:$N$406,""),IF(N(_xlpm.t)=0,"",_xlpm.t))</f>
        <v/>
      </c>
    </row>
    <row r="738" customFormat="false" ht="15" hidden="false" customHeight="false" outlineLevel="0" collapsed="false">
      <c r="A738" s="39" t="s">
        <v>354</v>
      </c>
      <c r="B738" s="40" t="str">
        <f aca="false" t="array" ref="B738:B738">_xlfn.XLOOKUP($A738,TRIM(SUBSTITUTE('worker file'!$A$2:$A$406,_xlfn.UNICHAR(160)," ")),'worker file'!$L$2:$L$406,"Not found")</f>
        <v>US Biweekly</v>
      </c>
      <c r="C738" s="40" t="str">
        <f aca="false" t="array" ref="C738:C738">_xlfn.XLOOKUP($A738,TRIM(SUBSTITUTE('worker file'!$A$2:$A$406,_xlfn.UNICHAR(160)," ")),'worker file'!$D$2:$D$406,"Not found")</f>
        <v>CA</v>
      </c>
      <c r="D738" s="40" t="str">
        <f aca="false" t="array" ref="D738:D738">_xlfn.XLOOKUP($A738,TRIM(SUBSTITUTE('worker file'!$A$2:$A$406,_xlfn.UNICHAR(160)," ")),'worker file'!$Q$2:$Q$406,"Not found")</f>
        <v>Active</v>
      </c>
      <c r="E738" s="39" t="s">
        <v>626</v>
      </c>
      <c r="F738" s="38" t="str">
        <f aca="false">_xlfn.XLOOKUP($E738,$A$5:$A$8,$B$5:$B$8,"")</f>
        <v>Medical (Health) – Employee</v>
      </c>
      <c r="G738" s="38" t="str">
        <f aca="false">_xlfn.XLOOKUP($E738,$A$5:$A$8,$D$5:$D$8,"")</f>
        <v>Pre-tax Section 125 (exempt from FIT/SIT/FICA)</v>
      </c>
      <c r="H738" s="38" t="str">
        <f aca="false">_xlfn.XLOOKUP($E738,$A$5:$A$8,$E$5:$E$8,"")</f>
        <v>Flat</v>
      </c>
      <c r="I738" s="44" t="str">
        <f aca="false">IF($H738="Percent",_xlfn.XLOOKUP($E738,$A$5:$A$8,$F$5:$F$8,""),"")</f>
        <v/>
      </c>
      <c r="J738" s="42" t="n">
        <f aca="false">IF($H738="Flat",_xlfn.XLOOKUP($E738,$A$5:$A$8,$F$5:$F$8,""),"")</f>
        <v>200</v>
      </c>
      <c r="K738" s="38" t="str">
        <f aca="false">_xlfn.XLOOKUP($E738,$A$5:$A$8,$G$5:$G$8,"")</f>
        <v>Per pay period</v>
      </c>
      <c r="L738" s="38" t="str">
        <f aca="false">_xlfn.XLOOKUP($E738,$A$5:$A$8,$H$5:$H$8,"")</f>
        <v>Every pay period (ongoing)</v>
      </c>
      <c r="M738" s="43" t="n">
        <f aca="false" t="array" ref="M738:M738">MAX(_xlfn.XLOOKUP($A738,TRIM(SUBSTITUTE('worker file'!$A$2:$A$406,_xlfn.UNICHAR(160)," ")),'worker file'!$M$2:$M$406,0),_xlfn.XLOOKUP($B738,TRIM('pay group &amp; schedule'!$A$2:$A$6),'pay group &amp; schedule'!$D$2:$D$6,0))</f>
        <v>46299</v>
      </c>
      <c r="N738" s="43" t="str">
        <f aca="false" t="array" ref="N738:N738">_xlfn.LET(_xlpm.t,_xlfn.XLOOKUP($A738,TRIM(SUBSTITUTE('worker file'!$A$2:$A$406,_xlfn.UNICHAR(160)," ")),'worker file'!$N$2:$N$406,""),IF(N(_xlpm.t)=0,"",_xlpm.t))</f>
        <v/>
      </c>
    </row>
    <row r="739" customFormat="false" ht="15" hidden="false" customHeight="false" outlineLevel="0" collapsed="false">
      <c r="A739" s="39" t="s">
        <v>354</v>
      </c>
      <c r="B739" s="40" t="str">
        <f aca="false" t="array" ref="B739:B739">_xlfn.XLOOKUP($A739,TRIM(SUBSTITUTE('worker file'!$A$2:$A$406,_xlfn.UNICHAR(160)," ")),'worker file'!$L$2:$L$406,"Not found")</f>
        <v>US Biweekly</v>
      </c>
      <c r="C739" s="40" t="str">
        <f aca="false" t="array" ref="C739:C739">_xlfn.XLOOKUP($A739,TRIM(SUBSTITUTE('worker file'!$A$2:$A$406,_xlfn.UNICHAR(160)," ")),'worker file'!$D$2:$D$406,"Not found")</f>
        <v>CA</v>
      </c>
      <c r="D739" s="40" t="str">
        <f aca="false" t="array" ref="D739:D739">_xlfn.XLOOKUP($A739,TRIM(SUBSTITUTE('worker file'!$A$2:$A$406,_xlfn.UNICHAR(160)," ")),'worker file'!$Q$2:$Q$406,"Not found")</f>
        <v>Active</v>
      </c>
      <c r="E739" s="39" t="s">
        <v>632</v>
      </c>
      <c r="F739" s="38" t="str">
        <f aca="false">_xlfn.XLOOKUP($E739,$A$5:$A$8,$B$5:$B$8,"")</f>
        <v>Dental – Employee</v>
      </c>
      <c r="G739" s="38" t="str">
        <f aca="false">_xlfn.XLOOKUP($E739,$A$5:$A$8,$D$5:$D$8,"")</f>
        <v>Pre-tax Section 125 (exempt from FIT/SIT/FICA)</v>
      </c>
      <c r="H739" s="38" t="str">
        <f aca="false">_xlfn.XLOOKUP($E739,$A$5:$A$8,$E$5:$E$8,"")</f>
        <v>Flat</v>
      </c>
      <c r="I739" s="44" t="str">
        <f aca="false">IF($H739="Percent",_xlfn.XLOOKUP($E739,$A$5:$A$8,$F$5:$F$8,""),"")</f>
        <v/>
      </c>
      <c r="J739" s="42" t="n">
        <f aca="false">IF($H739="Flat",_xlfn.XLOOKUP($E739,$A$5:$A$8,$F$5:$F$8,""),"")</f>
        <v>44</v>
      </c>
      <c r="K739" s="38" t="str">
        <f aca="false">_xlfn.XLOOKUP($E739,$A$5:$A$8,$G$5:$G$8,"")</f>
        <v>Per pay period</v>
      </c>
      <c r="L739" s="38" t="str">
        <f aca="false">_xlfn.XLOOKUP($E739,$A$5:$A$8,$H$5:$H$8,"")</f>
        <v>Every pay period (ongoing)</v>
      </c>
      <c r="M739" s="43" t="n">
        <f aca="false" t="array" ref="M739:M739">MAX(_xlfn.XLOOKUP($A739,TRIM(SUBSTITUTE('worker file'!$A$2:$A$406,_xlfn.UNICHAR(160)," ")),'worker file'!$M$2:$M$406,0),_xlfn.XLOOKUP($B739,TRIM('pay group &amp; schedule'!$A$2:$A$6),'pay group &amp; schedule'!$D$2:$D$6,0))</f>
        <v>46299</v>
      </c>
      <c r="N739" s="43" t="str">
        <f aca="false" t="array" ref="N739:N739">_xlfn.LET(_xlpm.t,_xlfn.XLOOKUP($A739,TRIM(SUBSTITUTE('worker file'!$A$2:$A$406,_xlfn.UNICHAR(160)," ")),'worker file'!$N$2:$N$406,""),IF(N(_xlpm.t)=0,"",_xlpm.t))</f>
        <v/>
      </c>
    </row>
    <row r="740" customFormat="false" ht="15" hidden="false" customHeight="false" outlineLevel="0" collapsed="false">
      <c r="A740" s="39" t="s">
        <v>354</v>
      </c>
      <c r="B740" s="40" t="str">
        <f aca="false" t="array" ref="B740:B740">_xlfn.XLOOKUP($A740,TRIM(SUBSTITUTE('worker file'!$A$2:$A$406,_xlfn.UNICHAR(160)," ")),'worker file'!$L$2:$L$406,"Not found")</f>
        <v>US Biweekly</v>
      </c>
      <c r="C740" s="40" t="str">
        <f aca="false" t="array" ref="C740:C740">_xlfn.XLOOKUP($A740,TRIM(SUBSTITUTE('worker file'!$A$2:$A$406,_xlfn.UNICHAR(160)," ")),'worker file'!$D$2:$D$406,"Not found")</f>
        <v>CA</v>
      </c>
      <c r="D740" s="40" t="str">
        <f aca="false" t="array" ref="D740:D740">_xlfn.XLOOKUP($A740,TRIM(SUBSTITUTE('worker file'!$A$2:$A$406,_xlfn.UNICHAR(160)," ")),'worker file'!$Q$2:$Q$406,"Not found")</f>
        <v>Active</v>
      </c>
      <c r="E740" s="39" t="s">
        <v>634</v>
      </c>
      <c r="F740" s="38" t="str">
        <f aca="false">_xlfn.XLOOKUP($E740,$A$5:$A$8,$B$5:$B$8,"")</f>
        <v>Vision – Employee</v>
      </c>
      <c r="G740" s="38" t="str">
        <f aca="false">_xlfn.XLOOKUP($E740,$A$5:$A$8,$D$5:$D$8,"")</f>
        <v>Pre-tax Section 125 (exempt from FIT/SIT/FICA)</v>
      </c>
      <c r="H740" s="38" t="str">
        <f aca="false">_xlfn.XLOOKUP($E740,$A$5:$A$8,$E$5:$E$8,"")</f>
        <v>Flat</v>
      </c>
      <c r="I740" s="44" t="str">
        <f aca="false">IF($H740="Percent",_xlfn.XLOOKUP($E740,$A$5:$A$8,$F$5:$F$8,""),"")</f>
        <v/>
      </c>
      <c r="J740" s="42" t="n">
        <f aca="false">IF($H740="Flat",_xlfn.XLOOKUP($E740,$A$5:$A$8,$F$5:$F$8,""),"")</f>
        <v>30</v>
      </c>
      <c r="K740" s="38" t="str">
        <f aca="false">_xlfn.XLOOKUP($E740,$A$5:$A$8,$G$5:$G$8,"")</f>
        <v>Per pay period</v>
      </c>
      <c r="L740" s="38" t="str">
        <f aca="false">_xlfn.XLOOKUP($E740,$A$5:$A$8,$H$5:$H$8,"")</f>
        <v>Every pay period (ongoing)</v>
      </c>
      <c r="M740" s="43" t="n">
        <f aca="false" t="array" ref="M740:M740">MAX(_xlfn.XLOOKUP($A740,TRIM(SUBSTITUTE('worker file'!$A$2:$A$406,_xlfn.UNICHAR(160)," ")),'worker file'!$M$2:$M$406,0),_xlfn.XLOOKUP($B740,TRIM('pay group &amp; schedule'!$A$2:$A$6),'pay group &amp; schedule'!$D$2:$D$6,0))</f>
        <v>46299</v>
      </c>
      <c r="N740" s="43" t="str">
        <f aca="false" t="array" ref="N740:N740">_xlfn.LET(_xlpm.t,_xlfn.XLOOKUP($A740,TRIM(SUBSTITUTE('worker file'!$A$2:$A$406,_xlfn.UNICHAR(160)," ")),'worker file'!$N$2:$N$406,""),IF(N(_xlpm.t)=0,"",_xlpm.t))</f>
        <v/>
      </c>
    </row>
    <row r="741" customFormat="false" ht="15" hidden="false" customHeight="false" outlineLevel="0" collapsed="false">
      <c r="A741" s="39" t="s">
        <v>355</v>
      </c>
      <c r="B741" s="40" t="str">
        <f aca="false" t="array" ref="B741:B741">_xlfn.XLOOKUP($A741,TRIM(SUBSTITUTE('worker file'!$A$2:$A$406,_xlfn.UNICHAR(160)," ")),'worker file'!$L$2:$L$406,"Not found")</f>
        <v>US Semi-monthly</v>
      </c>
      <c r="C741" s="40" t="str">
        <f aca="false" t="array" ref="C741:C741">_xlfn.XLOOKUP($A741,TRIM(SUBSTITUTE('worker file'!$A$2:$A$406,_xlfn.UNICHAR(160)," ")),'worker file'!$D$2:$D$406,"Not found")</f>
        <v>GA</v>
      </c>
      <c r="D741" s="40" t="str">
        <f aca="false" t="array" ref="D741:D741">_xlfn.XLOOKUP($A741,TRIM(SUBSTITUTE('worker file'!$A$2:$A$406,_xlfn.UNICHAR(160)," ")),'worker file'!$Q$2:$Q$406,"Not found")</f>
        <v>Active</v>
      </c>
      <c r="E741" s="39" t="s">
        <v>618</v>
      </c>
      <c r="F741" s="38" t="str">
        <f aca="false">_xlfn.XLOOKUP($E741,$A$5:$A$8,$B$5:$B$8,"")</f>
        <v>401(k) Employee Deferral</v>
      </c>
      <c r="G741" s="38" t="str">
        <f aca="false">_xlfn.XLOOKUP($E741,$A$5:$A$8,$D$5:$D$8,"")</f>
        <v>Pre-tax (exempt from FIT/SIT; subject to FICA)</v>
      </c>
      <c r="H741" s="38" t="str">
        <f aca="false">_xlfn.XLOOKUP($E741,$A$5:$A$8,$E$5:$E$8,"")</f>
        <v>Percent</v>
      </c>
      <c r="I741" s="41" t="n">
        <v>0.02</v>
      </c>
      <c r="J741" s="42" t="str">
        <f aca="false">IF($H741="Flat",_xlfn.XLOOKUP($E741,$A$5:$A$8,$F$5:$F$8,""),"")</f>
        <v/>
      </c>
      <c r="K741" s="38" t="str">
        <f aca="false">_xlfn.XLOOKUP($E741,$A$5:$A$8,$G$5:$G$8,"")</f>
        <v>Gross pay</v>
      </c>
      <c r="L741" s="38" t="str">
        <f aca="false">_xlfn.XLOOKUP($E741,$A$5:$A$8,$H$5:$H$8,"")</f>
        <v>Every pay period (ongoing)</v>
      </c>
      <c r="M741" s="43" t="n">
        <f aca="false" t="array" ref="M741:M741">MAX(_xlfn.XLOOKUP($A741,TRIM(SUBSTITUTE('worker file'!$A$2:$A$406,_xlfn.UNICHAR(160)," ")),'worker file'!$M$2:$M$406,0),_xlfn.XLOOKUP($B741,TRIM('pay group &amp; schedule'!$A$2:$A$6),'pay group &amp; schedule'!$D$2:$D$6,0))</f>
        <v>46311</v>
      </c>
      <c r="N741" s="43" t="str">
        <f aca="false" t="array" ref="N741:N741">_xlfn.LET(_xlpm.t,_xlfn.XLOOKUP($A741,TRIM(SUBSTITUTE('worker file'!$A$2:$A$406,_xlfn.UNICHAR(160)," ")),'worker file'!$N$2:$N$406,""),IF(N(_xlpm.t)=0,"",_xlpm.t))</f>
        <v/>
      </c>
    </row>
    <row r="742" customFormat="false" ht="15" hidden="false" customHeight="false" outlineLevel="0" collapsed="false">
      <c r="A742" s="39" t="s">
        <v>355</v>
      </c>
      <c r="B742" s="40" t="str">
        <f aca="false" t="array" ref="B742:B742">_xlfn.XLOOKUP($A742,TRIM(SUBSTITUTE('worker file'!$A$2:$A$406,_xlfn.UNICHAR(160)," ")),'worker file'!$L$2:$L$406,"Not found")</f>
        <v>US Semi-monthly</v>
      </c>
      <c r="C742" s="40" t="str">
        <f aca="false" t="array" ref="C742:C742">_xlfn.XLOOKUP($A742,TRIM(SUBSTITUTE('worker file'!$A$2:$A$406,_xlfn.UNICHAR(160)," ")),'worker file'!$D$2:$D$406,"Not found")</f>
        <v>GA</v>
      </c>
      <c r="D742" s="40" t="str">
        <f aca="false" t="array" ref="D742:D742">_xlfn.XLOOKUP($A742,TRIM(SUBSTITUTE('worker file'!$A$2:$A$406,_xlfn.UNICHAR(160)," ")),'worker file'!$Q$2:$Q$406,"Not found")</f>
        <v>Active</v>
      </c>
      <c r="E742" s="39" t="s">
        <v>626</v>
      </c>
      <c r="F742" s="38" t="str">
        <f aca="false">_xlfn.XLOOKUP($E742,$A$5:$A$8,$B$5:$B$8,"")</f>
        <v>Medical (Health) – Employee</v>
      </c>
      <c r="G742" s="38" t="str">
        <f aca="false">_xlfn.XLOOKUP($E742,$A$5:$A$8,$D$5:$D$8,"")</f>
        <v>Pre-tax Section 125 (exempt from FIT/SIT/FICA)</v>
      </c>
      <c r="H742" s="38" t="str">
        <f aca="false">_xlfn.XLOOKUP($E742,$A$5:$A$8,$E$5:$E$8,"")</f>
        <v>Flat</v>
      </c>
      <c r="I742" s="44" t="str">
        <f aca="false">IF($H742="Percent",_xlfn.XLOOKUP($E742,$A$5:$A$8,$F$5:$F$8,""),"")</f>
        <v/>
      </c>
      <c r="J742" s="42" t="n">
        <f aca="false">IF($H742="Flat",_xlfn.XLOOKUP($E742,$A$5:$A$8,$F$5:$F$8,""),"")</f>
        <v>200</v>
      </c>
      <c r="K742" s="38" t="str">
        <f aca="false">_xlfn.XLOOKUP($E742,$A$5:$A$8,$G$5:$G$8,"")</f>
        <v>Per pay period</v>
      </c>
      <c r="L742" s="38" t="str">
        <f aca="false">_xlfn.XLOOKUP($E742,$A$5:$A$8,$H$5:$H$8,"")</f>
        <v>Every pay period (ongoing)</v>
      </c>
      <c r="M742" s="43" t="n">
        <f aca="false" t="array" ref="M742:M742">MAX(_xlfn.XLOOKUP($A742,TRIM(SUBSTITUTE('worker file'!$A$2:$A$406,_xlfn.UNICHAR(160)," ")),'worker file'!$M$2:$M$406,0),_xlfn.XLOOKUP($B742,TRIM('pay group &amp; schedule'!$A$2:$A$6),'pay group &amp; schedule'!$D$2:$D$6,0))</f>
        <v>46311</v>
      </c>
      <c r="N742" s="43" t="str">
        <f aca="false" t="array" ref="N742:N742">_xlfn.LET(_xlpm.t,_xlfn.XLOOKUP($A742,TRIM(SUBSTITUTE('worker file'!$A$2:$A$406,_xlfn.UNICHAR(160)," ")),'worker file'!$N$2:$N$406,""),IF(N(_xlpm.t)=0,"",_xlpm.t))</f>
        <v/>
      </c>
    </row>
    <row r="743" customFormat="false" ht="15" hidden="false" customHeight="false" outlineLevel="0" collapsed="false">
      <c r="A743" s="39" t="s">
        <v>355</v>
      </c>
      <c r="B743" s="40" t="str">
        <f aca="false" t="array" ref="B743:B743">_xlfn.XLOOKUP($A743,TRIM(SUBSTITUTE('worker file'!$A$2:$A$406,_xlfn.UNICHAR(160)," ")),'worker file'!$L$2:$L$406,"Not found")</f>
        <v>US Semi-monthly</v>
      </c>
      <c r="C743" s="40" t="str">
        <f aca="false" t="array" ref="C743:C743">_xlfn.XLOOKUP($A743,TRIM(SUBSTITUTE('worker file'!$A$2:$A$406,_xlfn.UNICHAR(160)," ")),'worker file'!$D$2:$D$406,"Not found")</f>
        <v>GA</v>
      </c>
      <c r="D743" s="40" t="str">
        <f aca="false" t="array" ref="D743:D743">_xlfn.XLOOKUP($A743,TRIM(SUBSTITUTE('worker file'!$A$2:$A$406,_xlfn.UNICHAR(160)," ")),'worker file'!$Q$2:$Q$406,"Not found")</f>
        <v>Active</v>
      </c>
      <c r="E743" s="39" t="s">
        <v>632</v>
      </c>
      <c r="F743" s="38" t="str">
        <f aca="false">_xlfn.XLOOKUP($E743,$A$5:$A$8,$B$5:$B$8,"")</f>
        <v>Dental – Employee</v>
      </c>
      <c r="G743" s="38" t="str">
        <f aca="false">_xlfn.XLOOKUP($E743,$A$5:$A$8,$D$5:$D$8,"")</f>
        <v>Pre-tax Section 125 (exempt from FIT/SIT/FICA)</v>
      </c>
      <c r="H743" s="38" t="str">
        <f aca="false">_xlfn.XLOOKUP($E743,$A$5:$A$8,$E$5:$E$8,"")</f>
        <v>Flat</v>
      </c>
      <c r="I743" s="44" t="str">
        <f aca="false">IF($H743="Percent",_xlfn.XLOOKUP($E743,$A$5:$A$8,$F$5:$F$8,""),"")</f>
        <v/>
      </c>
      <c r="J743" s="42" t="n">
        <f aca="false">IF($H743="Flat",_xlfn.XLOOKUP($E743,$A$5:$A$8,$F$5:$F$8,""),"")</f>
        <v>44</v>
      </c>
      <c r="K743" s="38" t="str">
        <f aca="false">_xlfn.XLOOKUP($E743,$A$5:$A$8,$G$5:$G$8,"")</f>
        <v>Per pay period</v>
      </c>
      <c r="L743" s="38" t="str">
        <f aca="false">_xlfn.XLOOKUP($E743,$A$5:$A$8,$H$5:$H$8,"")</f>
        <v>Every pay period (ongoing)</v>
      </c>
      <c r="M743" s="43" t="n">
        <f aca="false" t="array" ref="M743:M743">MAX(_xlfn.XLOOKUP($A743,TRIM(SUBSTITUTE('worker file'!$A$2:$A$406,_xlfn.UNICHAR(160)," ")),'worker file'!$M$2:$M$406,0),_xlfn.XLOOKUP($B743,TRIM('pay group &amp; schedule'!$A$2:$A$6),'pay group &amp; schedule'!$D$2:$D$6,0))</f>
        <v>46311</v>
      </c>
      <c r="N743" s="43" t="str">
        <f aca="false" t="array" ref="N743:N743">_xlfn.LET(_xlpm.t,_xlfn.XLOOKUP($A743,TRIM(SUBSTITUTE('worker file'!$A$2:$A$406,_xlfn.UNICHAR(160)," ")),'worker file'!$N$2:$N$406,""),IF(N(_xlpm.t)=0,"",_xlpm.t))</f>
        <v/>
      </c>
    </row>
    <row r="744" customFormat="false" ht="15" hidden="false" customHeight="false" outlineLevel="0" collapsed="false">
      <c r="A744" s="39" t="s">
        <v>355</v>
      </c>
      <c r="B744" s="40" t="str">
        <f aca="false" t="array" ref="B744:B744">_xlfn.XLOOKUP($A744,TRIM(SUBSTITUTE('worker file'!$A$2:$A$406,_xlfn.UNICHAR(160)," ")),'worker file'!$L$2:$L$406,"Not found")</f>
        <v>US Semi-monthly</v>
      </c>
      <c r="C744" s="40" t="str">
        <f aca="false" t="array" ref="C744:C744">_xlfn.XLOOKUP($A744,TRIM(SUBSTITUTE('worker file'!$A$2:$A$406,_xlfn.UNICHAR(160)," ")),'worker file'!$D$2:$D$406,"Not found")</f>
        <v>GA</v>
      </c>
      <c r="D744" s="40" t="str">
        <f aca="false" t="array" ref="D744:D744">_xlfn.XLOOKUP($A744,TRIM(SUBSTITUTE('worker file'!$A$2:$A$406,_xlfn.UNICHAR(160)," ")),'worker file'!$Q$2:$Q$406,"Not found")</f>
        <v>Active</v>
      </c>
      <c r="E744" s="39" t="s">
        <v>634</v>
      </c>
      <c r="F744" s="38" t="str">
        <f aca="false">_xlfn.XLOOKUP($E744,$A$5:$A$8,$B$5:$B$8,"")</f>
        <v>Vision – Employee</v>
      </c>
      <c r="G744" s="38" t="str">
        <f aca="false">_xlfn.XLOOKUP($E744,$A$5:$A$8,$D$5:$D$8,"")</f>
        <v>Pre-tax Section 125 (exempt from FIT/SIT/FICA)</v>
      </c>
      <c r="H744" s="38" t="str">
        <f aca="false">_xlfn.XLOOKUP($E744,$A$5:$A$8,$E$5:$E$8,"")</f>
        <v>Flat</v>
      </c>
      <c r="I744" s="44" t="str">
        <f aca="false">IF($H744="Percent",_xlfn.XLOOKUP($E744,$A$5:$A$8,$F$5:$F$8,""),"")</f>
        <v/>
      </c>
      <c r="J744" s="42" t="n">
        <f aca="false">IF($H744="Flat",_xlfn.XLOOKUP($E744,$A$5:$A$8,$F$5:$F$8,""),"")</f>
        <v>30</v>
      </c>
      <c r="K744" s="38" t="str">
        <f aca="false">_xlfn.XLOOKUP($E744,$A$5:$A$8,$G$5:$G$8,"")</f>
        <v>Per pay period</v>
      </c>
      <c r="L744" s="38" t="str">
        <f aca="false">_xlfn.XLOOKUP($E744,$A$5:$A$8,$H$5:$H$8,"")</f>
        <v>Every pay period (ongoing)</v>
      </c>
      <c r="M744" s="43" t="n">
        <f aca="false" t="array" ref="M744:M744">MAX(_xlfn.XLOOKUP($A744,TRIM(SUBSTITUTE('worker file'!$A$2:$A$406,_xlfn.UNICHAR(160)," ")),'worker file'!$M$2:$M$406,0),_xlfn.XLOOKUP($B744,TRIM('pay group &amp; schedule'!$A$2:$A$6),'pay group &amp; schedule'!$D$2:$D$6,0))</f>
        <v>46311</v>
      </c>
      <c r="N744" s="43" t="str">
        <f aca="false" t="array" ref="N744:N744">_xlfn.LET(_xlpm.t,_xlfn.XLOOKUP($A744,TRIM(SUBSTITUTE('worker file'!$A$2:$A$406,_xlfn.UNICHAR(160)," ")),'worker file'!$N$2:$N$406,""),IF(N(_xlpm.t)=0,"",_xlpm.t))</f>
        <v/>
      </c>
    </row>
    <row r="745" customFormat="false" ht="15" hidden="false" customHeight="false" outlineLevel="0" collapsed="false">
      <c r="A745" s="39" t="s">
        <v>356</v>
      </c>
      <c r="B745" s="40" t="str">
        <f aca="false" t="array" ref="B745:B745">_xlfn.XLOOKUP($A745,TRIM(SUBSTITUTE('worker file'!$A$2:$A$406,_xlfn.UNICHAR(160)," ")),'worker file'!$L$2:$L$406,"Not found")</f>
        <v>US Semi-monthly</v>
      </c>
      <c r="C745" s="40" t="str">
        <f aca="false" t="array" ref="C745:C745">_xlfn.XLOOKUP($A745,TRIM(SUBSTITUTE('worker file'!$A$2:$A$406,_xlfn.UNICHAR(160)," ")),'worker file'!$D$2:$D$406,"Not found")</f>
        <v>WA</v>
      </c>
      <c r="D745" s="40" t="str">
        <f aca="false" t="array" ref="D745:D745">_xlfn.XLOOKUP($A745,TRIM(SUBSTITUTE('worker file'!$A$2:$A$406,_xlfn.UNICHAR(160)," ")),'worker file'!$Q$2:$Q$406,"Not found")</f>
        <v>Active</v>
      </c>
      <c r="E745" s="39" t="s">
        <v>618</v>
      </c>
      <c r="F745" s="38" t="str">
        <f aca="false">_xlfn.XLOOKUP($E745,$A$5:$A$8,$B$5:$B$8,"")</f>
        <v>401(k) Employee Deferral</v>
      </c>
      <c r="G745" s="38" t="str">
        <f aca="false">_xlfn.XLOOKUP($E745,$A$5:$A$8,$D$5:$D$8,"")</f>
        <v>Pre-tax (exempt from FIT/SIT; subject to FICA)</v>
      </c>
      <c r="H745" s="38" t="str">
        <f aca="false">_xlfn.XLOOKUP($E745,$A$5:$A$8,$E$5:$E$8,"")</f>
        <v>Percent</v>
      </c>
      <c r="I745" s="41" t="n">
        <v>0.07</v>
      </c>
      <c r="J745" s="42" t="str">
        <f aca="false">IF($H745="Flat",_xlfn.XLOOKUP($E745,$A$5:$A$8,$F$5:$F$8,""),"")</f>
        <v/>
      </c>
      <c r="K745" s="38" t="str">
        <f aca="false">_xlfn.XLOOKUP($E745,$A$5:$A$8,$G$5:$G$8,"")</f>
        <v>Gross pay</v>
      </c>
      <c r="L745" s="38" t="str">
        <f aca="false">_xlfn.XLOOKUP($E745,$A$5:$A$8,$H$5:$H$8,"")</f>
        <v>Every pay period (ongoing)</v>
      </c>
      <c r="M745" s="43" t="n">
        <f aca="false" t="array" ref="M745:M745">MAX(_xlfn.XLOOKUP($A745,TRIM(SUBSTITUTE('worker file'!$A$2:$A$406,_xlfn.UNICHAR(160)," ")),'worker file'!$M$2:$M$406,0),_xlfn.XLOOKUP($B745,TRIM('pay group &amp; schedule'!$A$2:$A$6),'pay group &amp; schedule'!$D$2:$D$6,0))</f>
        <v>46311</v>
      </c>
      <c r="N745" s="43" t="str">
        <f aca="false" t="array" ref="N745:N745">_xlfn.LET(_xlpm.t,_xlfn.XLOOKUP($A745,TRIM(SUBSTITUTE('worker file'!$A$2:$A$406,_xlfn.UNICHAR(160)," ")),'worker file'!$N$2:$N$406,""),IF(N(_xlpm.t)=0,"",_xlpm.t))</f>
        <v/>
      </c>
    </row>
    <row r="746" customFormat="false" ht="15" hidden="false" customHeight="false" outlineLevel="0" collapsed="false">
      <c r="A746" s="39" t="s">
        <v>356</v>
      </c>
      <c r="B746" s="40" t="str">
        <f aca="false" t="array" ref="B746:B746">_xlfn.XLOOKUP($A746,TRIM(SUBSTITUTE('worker file'!$A$2:$A$406,_xlfn.UNICHAR(160)," ")),'worker file'!$L$2:$L$406,"Not found")</f>
        <v>US Semi-monthly</v>
      </c>
      <c r="C746" s="40" t="str">
        <f aca="false" t="array" ref="C746:C746">_xlfn.XLOOKUP($A746,TRIM(SUBSTITUTE('worker file'!$A$2:$A$406,_xlfn.UNICHAR(160)," ")),'worker file'!$D$2:$D$406,"Not found")</f>
        <v>WA</v>
      </c>
      <c r="D746" s="40" t="str">
        <f aca="false" t="array" ref="D746:D746">_xlfn.XLOOKUP($A746,TRIM(SUBSTITUTE('worker file'!$A$2:$A$406,_xlfn.UNICHAR(160)," ")),'worker file'!$Q$2:$Q$406,"Not found")</f>
        <v>Active</v>
      </c>
      <c r="E746" s="39" t="s">
        <v>626</v>
      </c>
      <c r="F746" s="38" t="str">
        <f aca="false">_xlfn.XLOOKUP($E746,$A$5:$A$8,$B$5:$B$8,"")</f>
        <v>Medical (Health) – Employee</v>
      </c>
      <c r="G746" s="38" t="str">
        <f aca="false">_xlfn.XLOOKUP($E746,$A$5:$A$8,$D$5:$D$8,"")</f>
        <v>Pre-tax Section 125 (exempt from FIT/SIT/FICA)</v>
      </c>
      <c r="H746" s="38" t="str">
        <f aca="false">_xlfn.XLOOKUP($E746,$A$5:$A$8,$E$5:$E$8,"")</f>
        <v>Flat</v>
      </c>
      <c r="I746" s="44" t="str">
        <f aca="false">IF($H746="Percent",_xlfn.XLOOKUP($E746,$A$5:$A$8,$F$5:$F$8,""),"")</f>
        <v/>
      </c>
      <c r="J746" s="42" t="n">
        <f aca="false">IF($H746="Flat",_xlfn.XLOOKUP($E746,$A$5:$A$8,$F$5:$F$8,""),"")</f>
        <v>200</v>
      </c>
      <c r="K746" s="38" t="str">
        <f aca="false">_xlfn.XLOOKUP($E746,$A$5:$A$8,$G$5:$G$8,"")</f>
        <v>Per pay period</v>
      </c>
      <c r="L746" s="38" t="str">
        <f aca="false">_xlfn.XLOOKUP($E746,$A$5:$A$8,$H$5:$H$8,"")</f>
        <v>Every pay period (ongoing)</v>
      </c>
      <c r="M746" s="43" t="n">
        <f aca="false" t="array" ref="M746:M746">MAX(_xlfn.XLOOKUP($A746,TRIM(SUBSTITUTE('worker file'!$A$2:$A$406,_xlfn.UNICHAR(160)," ")),'worker file'!$M$2:$M$406,0),_xlfn.XLOOKUP($B746,TRIM('pay group &amp; schedule'!$A$2:$A$6),'pay group &amp; schedule'!$D$2:$D$6,0))</f>
        <v>46311</v>
      </c>
      <c r="N746" s="43" t="str">
        <f aca="false" t="array" ref="N746:N746">_xlfn.LET(_xlpm.t,_xlfn.XLOOKUP($A746,TRIM(SUBSTITUTE('worker file'!$A$2:$A$406,_xlfn.UNICHAR(160)," ")),'worker file'!$N$2:$N$406,""),IF(N(_xlpm.t)=0,"",_xlpm.t))</f>
        <v/>
      </c>
    </row>
    <row r="747" customFormat="false" ht="15" hidden="false" customHeight="false" outlineLevel="0" collapsed="false">
      <c r="A747" s="39" t="s">
        <v>356</v>
      </c>
      <c r="B747" s="40" t="str">
        <f aca="false" t="array" ref="B747:B747">_xlfn.XLOOKUP($A747,TRIM(SUBSTITUTE('worker file'!$A$2:$A$406,_xlfn.UNICHAR(160)," ")),'worker file'!$L$2:$L$406,"Not found")</f>
        <v>US Semi-monthly</v>
      </c>
      <c r="C747" s="40" t="str">
        <f aca="false" t="array" ref="C747:C747">_xlfn.XLOOKUP($A747,TRIM(SUBSTITUTE('worker file'!$A$2:$A$406,_xlfn.UNICHAR(160)," ")),'worker file'!$D$2:$D$406,"Not found")</f>
        <v>WA</v>
      </c>
      <c r="D747" s="40" t="str">
        <f aca="false" t="array" ref="D747:D747">_xlfn.XLOOKUP($A747,TRIM(SUBSTITUTE('worker file'!$A$2:$A$406,_xlfn.UNICHAR(160)," ")),'worker file'!$Q$2:$Q$406,"Not found")</f>
        <v>Active</v>
      </c>
      <c r="E747" s="39" t="s">
        <v>632</v>
      </c>
      <c r="F747" s="38" t="str">
        <f aca="false">_xlfn.XLOOKUP($E747,$A$5:$A$8,$B$5:$B$8,"")</f>
        <v>Dental – Employee</v>
      </c>
      <c r="G747" s="38" t="str">
        <f aca="false">_xlfn.XLOOKUP($E747,$A$5:$A$8,$D$5:$D$8,"")</f>
        <v>Pre-tax Section 125 (exempt from FIT/SIT/FICA)</v>
      </c>
      <c r="H747" s="38" t="str">
        <f aca="false">_xlfn.XLOOKUP($E747,$A$5:$A$8,$E$5:$E$8,"")</f>
        <v>Flat</v>
      </c>
      <c r="I747" s="44" t="str">
        <f aca="false">IF($H747="Percent",_xlfn.XLOOKUP($E747,$A$5:$A$8,$F$5:$F$8,""),"")</f>
        <v/>
      </c>
      <c r="J747" s="42" t="n">
        <f aca="false">IF($H747="Flat",_xlfn.XLOOKUP($E747,$A$5:$A$8,$F$5:$F$8,""),"")</f>
        <v>44</v>
      </c>
      <c r="K747" s="38" t="str">
        <f aca="false">_xlfn.XLOOKUP($E747,$A$5:$A$8,$G$5:$G$8,"")</f>
        <v>Per pay period</v>
      </c>
      <c r="L747" s="38" t="str">
        <f aca="false">_xlfn.XLOOKUP($E747,$A$5:$A$8,$H$5:$H$8,"")</f>
        <v>Every pay period (ongoing)</v>
      </c>
      <c r="M747" s="43" t="n">
        <f aca="false" t="array" ref="M747:M747">MAX(_xlfn.XLOOKUP($A747,TRIM(SUBSTITUTE('worker file'!$A$2:$A$406,_xlfn.UNICHAR(160)," ")),'worker file'!$M$2:$M$406,0),_xlfn.XLOOKUP($B747,TRIM('pay group &amp; schedule'!$A$2:$A$6),'pay group &amp; schedule'!$D$2:$D$6,0))</f>
        <v>46311</v>
      </c>
      <c r="N747" s="43" t="str">
        <f aca="false" t="array" ref="N747:N747">_xlfn.LET(_xlpm.t,_xlfn.XLOOKUP($A747,TRIM(SUBSTITUTE('worker file'!$A$2:$A$406,_xlfn.UNICHAR(160)," ")),'worker file'!$N$2:$N$406,""),IF(N(_xlpm.t)=0,"",_xlpm.t))</f>
        <v/>
      </c>
    </row>
    <row r="748" customFormat="false" ht="15" hidden="false" customHeight="false" outlineLevel="0" collapsed="false">
      <c r="A748" s="39" t="s">
        <v>356</v>
      </c>
      <c r="B748" s="40" t="str">
        <f aca="false" t="array" ref="B748:B748">_xlfn.XLOOKUP($A748,TRIM(SUBSTITUTE('worker file'!$A$2:$A$406,_xlfn.UNICHAR(160)," ")),'worker file'!$L$2:$L$406,"Not found")</f>
        <v>US Semi-monthly</v>
      </c>
      <c r="C748" s="40" t="str">
        <f aca="false" t="array" ref="C748:C748">_xlfn.XLOOKUP($A748,TRIM(SUBSTITUTE('worker file'!$A$2:$A$406,_xlfn.UNICHAR(160)," ")),'worker file'!$D$2:$D$406,"Not found")</f>
        <v>WA</v>
      </c>
      <c r="D748" s="40" t="str">
        <f aca="false" t="array" ref="D748:D748">_xlfn.XLOOKUP($A748,TRIM(SUBSTITUTE('worker file'!$A$2:$A$406,_xlfn.UNICHAR(160)," ")),'worker file'!$Q$2:$Q$406,"Not found")</f>
        <v>Active</v>
      </c>
      <c r="E748" s="39" t="s">
        <v>634</v>
      </c>
      <c r="F748" s="38" t="str">
        <f aca="false">_xlfn.XLOOKUP($E748,$A$5:$A$8,$B$5:$B$8,"")</f>
        <v>Vision – Employee</v>
      </c>
      <c r="G748" s="38" t="str">
        <f aca="false">_xlfn.XLOOKUP($E748,$A$5:$A$8,$D$5:$D$8,"")</f>
        <v>Pre-tax Section 125 (exempt from FIT/SIT/FICA)</v>
      </c>
      <c r="H748" s="38" t="str">
        <f aca="false">_xlfn.XLOOKUP($E748,$A$5:$A$8,$E$5:$E$8,"")</f>
        <v>Flat</v>
      </c>
      <c r="I748" s="44" t="str">
        <f aca="false">IF($H748="Percent",_xlfn.XLOOKUP($E748,$A$5:$A$8,$F$5:$F$8,""),"")</f>
        <v/>
      </c>
      <c r="J748" s="42" t="n">
        <f aca="false">IF($H748="Flat",_xlfn.XLOOKUP($E748,$A$5:$A$8,$F$5:$F$8,""),"")</f>
        <v>30</v>
      </c>
      <c r="K748" s="38" t="str">
        <f aca="false">_xlfn.XLOOKUP($E748,$A$5:$A$8,$G$5:$G$8,"")</f>
        <v>Per pay period</v>
      </c>
      <c r="L748" s="38" t="str">
        <f aca="false">_xlfn.XLOOKUP($E748,$A$5:$A$8,$H$5:$H$8,"")</f>
        <v>Every pay period (ongoing)</v>
      </c>
      <c r="M748" s="43" t="n">
        <f aca="false" t="array" ref="M748:M748">MAX(_xlfn.XLOOKUP($A748,TRIM(SUBSTITUTE('worker file'!$A$2:$A$406,_xlfn.UNICHAR(160)," ")),'worker file'!$M$2:$M$406,0),_xlfn.XLOOKUP($B748,TRIM('pay group &amp; schedule'!$A$2:$A$6),'pay group &amp; schedule'!$D$2:$D$6,0))</f>
        <v>46311</v>
      </c>
      <c r="N748" s="43" t="str">
        <f aca="false" t="array" ref="N748:N748">_xlfn.LET(_xlpm.t,_xlfn.XLOOKUP($A748,TRIM(SUBSTITUTE('worker file'!$A$2:$A$406,_xlfn.UNICHAR(160)," ")),'worker file'!$N$2:$N$406,""),IF(N(_xlpm.t)=0,"",_xlpm.t))</f>
        <v/>
      </c>
    </row>
    <row r="749" customFormat="false" ht="15" hidden="false" customHeight="false" outlineLevel="0" collapsed="false">
      <c r="A749" s="39" t="s">
        <v>357</v>
      </c>
      <c r="B749" s="40" t="str">
        <f aca="false" t="array" ref="B749:B749">_xlfn.XLOOKUP($A749,TRIM(SUBSTITUTE('worker file'!$A$2:$A$406,_xlfn.UNICHAR(160)," ")),'worker file'!$L$2:$L$406,"Not found")</f>
        <v>US Semi-monthly</v>
      </c>
      <c r="C749" s="40" t="str">
        <f aca="false" t="array" ref="C749:C749">_xlfn.XLOOKUP($A749,TRIM(SUBSTITUTE('worker file'!$A$2:$A$406,_xlfn.UNICHAR(160)," ")),'worker file'!$D$2:$D$406,"Not found")</f>
        <v>CA</v>
      </c>
      <c r="D749" s="40" t="str">
        <f aca="false" t="array" ref="D749:D749">_xlfn.XLOOKUP($A749,TRIM(SUBSTITUTE('worker file'!$A$2:$A$406,_xlfn.UNICHAR(160)," ")),'worker file'!$Q$2:$Q$406,"Not found")</f>
        <v>Active</v>
      </c>
      <c r="E749" s="39" t="s">
        <v>618</v>
      </c>
      <c r="F749" s="38" t="str">
        <f aca="false">_xlfn.XLOOKUP($E749,$A$5:$A$8,$B$5:$B$8,"")</f>
        <v>401(k) Employee Deferral</v>
      </c>
      <c r="G749" s="38" t="str">
        <f aca="false">_xlfn.XLOOKUP($E749,$A$5:$A$8,$D$5:$D$8,"")</f>
        <v>Pre-tax (exempt from FIT/SIT; subject to FICA)</v>
      </c>
      <c r="H749" s="38" t="str">
        <f aca="false">_xlfn.XLOOKUP($E749,$A$5:$A$8,$E$5:$E$8,"")</f>
        <v>Percent</v>
      </c>
      <c r="I749" s="41" t="n">
        <v>0.04</v>
      </c>
      <c r="J749" s="42" t="str">
        <f aca="false">IF($H749="Flat",_xlfn.XLOOKUP($E749,$A$5:$A$8,$F$5:$F$8,""),"")</f>
        <v/>
      </c>
      <c r="K749" s="38" t="str">
        <f aca="false">_xlfn.XLOOKUP($E749,$A$5:$A$8,$G$5:$G$8,"")</f>
        <v>Gross pay</v>
      </c>
      <c r="L749" s="38" t="str">
        <f aca="false">_xlfn.XLOOKUP($E749,$A$5:$A$8,$H$5:$H$8,"")</f>
        <v>Every pay period (ongoing)</v>
      </c>
      <c r="M749" s="43" t="n">
        <f aca="false" t="array" ref="M749:M749">MAX(_xlfn.XLOOKUP($A749,TRIM(SUBSTITUTE('worker file'!$A$2:$A$406,_xlfn.UNICHAR(160)," ")),'worker file'!$M$2:$M$406,0),_xlfn.XLOOKUP($B749,TRIM('pay group &amp; schedule'!$A$2:$A$6),'pay group &amp; schedule'!$D$2:$D$6,0))</f>
        <v>46311</v>
      </c>
      <c r="N749" s="43" t="str">
        <f aca="false" t="array" ref="N749:N749">_xlfn.LET(_xlpm.t,_xlfn.XLOOKUP($A749,TRIM(SUBSTITUTE('worker file'!$A$2:$A$406,_xlfn.UNICHAR(160)," ")),'worker file'!$N$2:$N$406,""),IF(N(_xlpm.t)=0,"",_xlpm.t))</f>
        <v/>
      </c>
    </row>
    <row r="750" customFormat="false" ht="15" hidden="false" customHeight="false" outlineLevel="0" collapsed="false">
      <c r="A750" s="39" t="s">
        <v>357</v>
      </c>
      <c r="B750" s="40" t="str">
        <f aca="false" t="array" ref="B750:B750">_xlfn.XLOOKUP($A750,TRIM(SUBSTITUTE('worker file'!$A$2:$A$406,_xlfn.UNICHAR(160)," ")),'worker file'!$L$2:$L$406,"Not found")</f>
        <v>US Semi-monthly</v>
      </c>
      <c r="C750" s="40" t="str">
        <f aca="false" t="array" ref="C750:C750">_xlfn.XLOOKUP($A750,TRIM(SUBSTITUTE('worker file'!$A$2:$A$406,_xlfn.UNICHAR(160)," ")),'worker file'!$D$2:$D$406,"Not found")</f>
        <v>CA</v>
      </c>
      <c r="D750" s="40" t="str">
        <f aca="false" t="array" ref="D750:D750">_xlfn.XLOOKUP($A750,TRIM(SUBSTITUTE('worker file'!$A$2:$A$406,_xlfn.UNICHAR(160)," ")),'worker file'!$Q$2:$Q$406,"Not found")</f>
        <v>Active</v>
      </c>
      <c r="E750" s="39" t="s">
        <v>626</v>
      </c>
      <c r="F750" s="38" t="str">
        <f aca="false">_xlfn.XLOOKUP($E750,$A$5:$A$8,$B$5:$B$8,"")</f>
        <v>Medical (Health) – Employee</v>
      </c>
      <c r="G750" s="38" t="str">
        <f aca="false">_xlfn.XLOOKUP($E750,$A$5:$A$8,$D$5:$D$8,"")</f>
        <v>Pre-tax Section 125 (exempt from FIT/SIT/FICA)</v>
      </c>
      <c r="H750" s="38" t="str">
        <f aca="false">_xlfn.XLOOKUP($E750,$A$5:$A$8,$E$5:$E$8,"")</f>
        <v>Flat</v>
      </c>
      <c r="I750" s="44" t="str">
        <f aca="false">IF($H750="Percent",_xlfn.XLOOKUP($E750,$A$5:$A$8,$F$5:$F$8,""),"")</f>
        <v/>
      </c>
      <c r="J750" s="42" t="n">
        <f aca="false">IF($H750="Flat",_xlfn.XLOOKUP($E750,$A$5:$A$8,$F$5:$F$8,""),"")</f>
        <v>200</v>
      </c>
      <c r="K750" s="38" t="str">
        <f aca="false">_xlfn.XLOOKUP($E750,$A$5:$A$8,$G$5:$G$8,"")</f>
        <v>Per pay period</v>
      </c>
      <c r="L750" s="38" t="str">
        <f aca="false">_xlfn.XLOOKUP($E750,$A$5:$A$8,$H$5:$H$8,"")</f>
        <v>Every pay period (ongoing)</v>
      </c>
      <c r="M750" s="43" t="n">
        <f aca="false" t="array" ref="M750:M750">MAX(_xlfn.XLOOKUP($A750,TRIM(SUBSTITUTE('worker file'!$A$2:$A$406,_xlfn.UNICHAR(160)," ")),'worker file'!$M$2:$M$406,0),_xlfn.XLOOKUP($B750,TRIM('pay group &amp; schedule'!$A$2:$A$6),'pay group &amp; schedule'!$D$2:$D$6,0))</f>
        <v>46311</v>
      </c>
      <c r="N750" s="43" t="str">
        <f aca="false" t="array" ref="N750:N750">_xlfn.LET(_xlpm.t,_xlfn.XLOOKUP($A750,TRIM(SUBSTITUTE('worker file'!$A$2:$A$406,_xlfn.UNICHAR(160)," ")),'worker file'!$N$2:$N$406,""),IF(N(_xlpm.t)=0,"",_xlpm.t))</f>
        <v/>
      </c>
    </row>
    <row r="751" customFormat="false" ht="15" hidden="false" customHeight="false" outlineLevel="0" collapsed="false">
      <c r="A751" s="39" t="s">
        <v>357</v>
      </c>
      <c r="B751" s="40" t="str">
        <f aca="false" t="array" ref="B751:B751">_xlfn.XLOOKUP($A751,TRIM(SUBSTITUTE('worker file'!$A$2:$A$406,_xlfn.UNICHAR(160)," ")),'worker file'!$L$2:$L$406,"Not found")</f>
        <v>US Semi-monthly</v>
      </c>
      <c r="C751" s="40" t="str">
        <f aca="false" t="array" ref="C751:C751">_xlfn.XLOOKUP($A751,TRIM(SUBSTITUTE('worker file'!$A$2:$A$406,_xlfn.UNICHAR(160)," ")),'worker file'!$D$2:$D$406,"Not found")</f>
        <v>CA</v>
      </c>
      <c r="D751" s="40" t="str">
        <f aca="false" t="array" ref="D751:D751">_xlfn.XLOOKUP($A751,TRIM(SUBSTITUTE('worker file'!$A$2:$A$406,_xlfn.UNICHAR(160)," ")),'worker file'!$Q$2:$Q$406,"Not found")</f>
        <v>Active</v>
      </c>
      <c r="E751" s="39" t="s">
        <v>632</v>
      </c>
      <c r="F751" s="38" t="str">
        <f aca="false">_xlfn.XLOOKUP($E751,$A$5:$A$8,$B$5:$B$8,"")</f>
        <v>Dental – Employee</v>
      </c>
      <c r="G751" s="38" t="str">
        <f aca="false">_xlfn.XLOOKUP($E751,$A$5:$A$8,$D$5:$D$8,"")</f>
        <v>Pre-tax Section 125 (exempt from FIT/SIT/FICA)</v>
      </c>
      <c r="H751" s="38" t="str">
        <f aca="false">_xlfn.XLOOKUP($E751,$A$5:$A$8,$E$5:$E$8,"")</f>
        <v>Flat</v>
      </c>
      <c r="I751" s="44" t="str">
        <f aca="false">IF($H751="Percent",_xlfn.XLOOKUP($E751,$A$5:$A$8,$F$5:$F$8,""),"")</f>
        <v/>
      </c>
      <c r="J751" s="42" t="n">
        <f aca="false">IF($H751="Flat",_xlfn.XLOOKUP($E751,$A$5:$A$8,$F$5:$F$8,""),"")</f>
        <v>44</v>
      </c>
      <c r="K751" s="38" t="str">
        <f aca="false">_xlfn.XLOOKUP($E751,$A$5:$A$8,$G$5:$G$8,"")</f>
        <v>Per pay period</v>
      </c>
      <c r="L751" s="38" t="str">
        <f aca="false">_xlfn.XLOOKUP($E751,$A$5:$A$8,$H$5:$H$8,"")</f>
        <v>Every pay period (ongoing)</v>
      </c>
      <c r="M751" s="43" t="n">
        <f aca="false" t="array" ref="M751:M751">MAX(_xlfn.XLOOKUP($A751,TRIM(SUBSTITUTE('worker file'!$A$2:$A$406,_xlfn.UNICHAR(160)," ")),'worker file'!$M$2:$M$406,0),_xlfn.XLOOKUP($B751,TRIM('pay group &amp; schedule'!$A$2:$A$6),'pay group &amp; schedule'!$D$2:$D$6,0))</f>
        <v>46311</v>
      </c>
      <c r="N751" s="43" t="str">
        <f aca="false" t="array" ref="N751:N751">_xlfn.LET(_xlpm.t,_xlfn.XLOOKUP($A751,TRIM(SUBSTITUTE('worker file'!$A$2:$A$406,_xlfn.UNICHAR(160)," ")),'worker file'!$N$2:$N$406,""),IF(N(_xlpm.t)=0,"",_xlpm.t))</f>
        <v/>
      </c>
    </row>
    <row r="752" customFormat="false" ht="15" hidden="false" customHeight="false" outlineLevel="0" collapsed="false">
      <c r="A752" s="39" t="s">
        <v>357</v>
      </c>
      <c r="B752" s="40" t="str">
        <f aca="false" t="array" ref="B752:B752">_xlfn.XLOOKUP($A752,TRIM(SUBSTITUTE('worker file'!$A$2:$A$406,_xlfn.UNICHAR(160)," ")),'worker file'!$L$2:$L$406,"Not found")</f>
        <v>US Semi-monthly</v>
      </c>
      <c r="C752" s="40" t="str">
        <f aca="false" t="array" ref="C752:C752">_xlfn.XLOOKUP($A752,TRIM(SUBSTITUTE('worker file'!$A$2:$A$406,_xlfn.UNICHAR(160)," ")),'worker file'!$D$2:$D$406,"Not found")</f>
        <v>CA</v>
      </c>
      <c r="D752" s="40" t="str">
        <f aca="false" t="array" ref="D752:D752">_xlfn.XLOOKUP($A752,TRIM(SUBSTITUTE('worker file'!$A$2:$A$406,_xlfn.UNICHAR(160)," ")),'worker file'!$Q$2:$Q$406,"Not found")</f>
        <v>Active</v>
      </c>
      <c r="E752" s="39" t="s">
        <v>634</v>
      </c>
      <c r="F752" s="38" t="str">
        <f aca="false">_xlfn.XLOOKUP($E752,$A$5:$A$8,$B$5:$B$8,"")</f>
        <v>Vision – Employee</v>
      </c>
      <c r="G752" s="38" t="str">
        <f aca="false">_xlfn.XLOOKUP($E752,$A$5:$A$8,$D$5:$D$8,"")</f>
        <v>Pre-tax Section 125 (exempt from FIT/SIT/FICA)</v>
      </c>
      <c r="H752" s="38" t="str">
        <f aca="false">_xlfn.XLOOKUP($E752,$A$5:$A$8,$E$5:$E$8,"")</f>
        <v>Flat</v>
      </c>
      <c r="I752" s="44" t="str">
        <f aca="false">IF($H752="Percent",_xlfn.XLOOKUP($E752,$A$5:$A$8,$F$5:$F$8,""),"")</f>
        <v/>
      </c>
      <c r="J752" s="42" t="n">
        <f aca="false">IF($H752="Flat",_xlfn.XLOOKUP($E752,$A$5:$A$8,$F$5:$F$8,""),"")</f>
        <v>30</v>
      </c>
      <c r="K752" s="38" t="str">
        <f aca="false">_xlfn.XLOOKUP($E752,$A$5:$A$8,$G$5:$G$8,"")</f>
        <v>Per pay period</v>
      </c>
      <c r="L752" s="38" t="str">
        <f aca="false">_xlfn.XLOOKUP($E752,$A$5:$A$8,$H$5:$H$8,"")</f>
        <v>Every pay period (ongoing)</v>
      </c>
      <c r="M752" s="43" t="n">
        <f aca="false" t="array" ref="M752:M752">MAX(_xlfn.XLOOKUP($A752,TRIM(SUBSTITUTE('worker file'!$A$2:$A$406,_xlfn.UNICHAR(160)," ")),'worker file'!$M$2:$M$406,0),_xlfn.XLOOKUP($B752,TRIM('pay group &amp; schedule'!$A$2:$A$6),'pay group &amp; schedule'!$D$2:$D$6,0))</f>
        <v>46311</v>
      </c>
      <c r="N752" s="43" t="str">
        <f aca="false" t="array" ref="N752:N752">_xlfn.LET(_xlpm.t,_xlfn.XLOOKUP($A752,TRIM(SUBSTITUTE('worker file'!$A$2:$A$406,_xlfn.UNICHAR(160)," ")),'worker file'!$N$2:$N$406,""),IF(N(_xlpm.t)=0,"",_xlpm.t))</f>
        <v/>
      </c>
    </row>
    <row r="753" customFormat="false" ht="15" hidden="false" customHeight="false" outlineLevel="0" collapsed="false">
      <c r="A753" s="39" t="s">
        <v>358</v>
      </c>
      <c r="B753" s="40" t="str">
        <f aca="false" t="array" ref="B753:B753">_xlfn.XLOOKUP($A753,TRIM(SUBSTITUTE('worker file'!$A$2:$A$406,_xlfn.UNICHAR(160)," ")),'worker file'!$L$2:$L$406,"Not found")</f>
        <v>US Biweekly</v>
      </c>
      <c r="C753" s="40" t="str">
        <f aca="false" t="array" ref="C753:C753">_xlfn.XLOOKUP($A753,TRIM(SUBSTITUTE('worker file'!$A$2:$A$406,_xlfn.UNICHAR(160)," ")),'worker file'!$D$2:$D$406,"Not found")</f>
        <v>TX</v>
      </c>
      <c r="D753" s="40" t="str">
        <f aca="false" t="array" ref="D753:D753">_xlfn.XLOOKUP($A753,TRIM(SUBSTITUTE('worker file'!$A$2:$A$406,_xlfn.UNICHAR(160)," ")),'worker file'!$Q$2:$Q$406,"Not found")</f>
        <v>Active</v>
      </c>
      <c r="E753" s="39" t="s">
        <v>618</v>
      </c>
      <c r="F753" s="38" t="str">
        <f aca="false">_xlfn.XLOOKUP($E753,$A$5:$A$8,$B$5:$B$8,"")</f>
        <v>401(k) Employee Deferral</v>
      </c>
      <c r="G753" s="38" t="str">
        <f aca="false">_xlfn.XLOOKUP($E753,$A$5:$A$8,$D$5:$D$8,"")</f>
        <v>Pre-tax (exempt from FIT/SIT; subject to FICA)</v>
      </c>
      <c r="H753" s="38" t="str">
        <f aca="false">_xlfn.XLOOKUP($E753,$A$5:$A$8,$E$5:$E$8,"")</f>
        <v>Percent</v>
      </c>
      <c r="I753" s="41" t="n">
        <v>0.01</v>
      </c>
      <c r="J753" s="42" t="str">
        <f aca="false">IF($H753="Flat",_xlfn.XLOOKUP($E753,$A$5:$A$8,$F$5:$F$8,""),"")</f>
        <v/>
      </c>
      <c r="K753" s="38" t="str">
        <f aca="false">_xlfn.XLOOKUP($E753,$A$5:$A$8,$G$5:$G$8,"")</f>
        <v>Gross pay</v>
      </c>
      <c r="L753" s="38" t="str">
        <f aca="false">_xlfn.XLOOKUP($E753,$A$5:$A$8,$H$5:$H$8,"")</f>
        <v>Every pay period (ongoing)</v>
      </c>
      <c r="M753" s="43" t="n">
        <f aca="false" t="array" ref="M753:M753">MAX(_xlfn.XLOOKUP($A753,TRIM(SUBSTITUTE('worker file'!$A$2:$A$406,_xlfn.UNICHAR(160)," ")),'worker file'!$M$2:$M$406,0),_xlfn.XLOOKUP($B753,TRIM('pay group &amp; schedule'!$A$2:$A$6),'pay group &amp; schedule'!$D$2:$D$6,0))</f>
        <v>46299</v>
      </c>
      <c r="N753" s="43" t="str">
        <f aca="false" t="array" ref="N753:N753">_xlfn.LET(_xlpm.t,_xlfn.XLOOKUP($A753,TRIM(SUBSTITUTE('worker file'!$A$2:$A$406,_xlfn.UNICHAR(160)," ")),'worker file'!$N$2:$N$406,""),IF(N(_xlpm.t)=0,"",_xlpm.t))</f>
        <v/>
      </c>
    </row>
    <row r="754" customFormat="false" ht="15" hidden="false" customHeight="false" outlineLevel="0" collapsed="false">
      <c r="A754" s="39" t="s">
        <v>358</v>
      </c>
      <c r="B754" s="40" t="str">
        <f aca="false" t="array" ref="B754:B754">_xlfn.XLOOKUP($A754,TRIM(SUBSTITUTE('worker file'!$A$2:$A$406,_xlfn.UNICHAR(160)," ")),'worker file'!$L$2:$L$406,"Not found")</f>
        <v>US Biweekly</v>
      </c>
      <c r="C754" s="40" t="str">
        <f aca="false" t="array" ref="C754:C754">_xlfn.XLOOKUP($A754,TRIM(SUBSTITUTE('worker file'!$A$2:$A$406,_xlfn.UNICHAR(160)," ")),'worker file'!$D$2:$D$406,"Not found")</f>
        <v>TX</v>
      </c>
      <c r="D754" s="40" t="str">
        <f aca="false" t="array" ref="D754:D754">_xlfn.XLOOKUP($A754,TRIM(SUBSTITUTE('worker file'!$A$2:$A$406,_xlfn.UNICHAR(160)," ")),'worker file'!$Q$2:$Q$406,"Not found")</f>
        <v>Active</v>
      </c>
      <c r="E754" s="39" t="s">
        <v>626</v>
      </c>
      <c r="F754" s="38" t="str">
        <f aca="false">_xlfn.XLOOKUP($E754,$A$5:$A$8,$B$5:$B$8,"")</f>
        <v>Medical (Health) – Employee</v>
      </c>
      <c r="G754" s="38" t="str">
        <f aca="false">_xlfn.XLOOKUP($E754,$A$5:$A$8,$D$5:$D$8,"")</f>
        <v>Pre-tax Section 125 (exempt from FIT/SIT/FICA)</v>
      </c>
      <c r="H754" s="38" t="str">
        <f aca="false">_xlfn.XLOOKUP($E754,$A$5:$A$8,$E$5:$E$8,"")</f>
        <v>Flat</v>
      </c>
      <c r="I754" s="44" t="str">
        <f aca="false">IF($H754="Percent",_xlfn.XLOOKUP($E754,$A$5:$A$8,$F$5:$F$8,""),"")</f>
        <v/>
      </c>
      <c r="J754" s="42" t="n">
        <f aca="false">IF($H754="Flat",_xlfn.XLOOKUP($E754,$A$5:$A$8,$F$5:$F$8,""),"")</f>
        <v>200</v>
      </c>
      <c r="K754" s="38" t="str">
        <f aca="false">_xlfn.XLOOKUP($E754,$A$5:$A$8,$G$5:$G$8,"")</f>
        <v>Per pay period</v>
      </c>
      <c r="L754" s="38" t="str">
        <f aca="false">_xlfn.XLOOKUP($E754,$A$5:$A$8,$H$5:$H$8,"")</f>
        <v>Every pay period (ongoing)</v>
      </c>
      <c r="M754" s="43" t="n">
        <f aca="false" t="array" ref="M754:M754">MAX(_xlfn.XLOOKUP($A754,TRIM(SUBSTITUTE('worker file'!$A$2:$A$406,_xlfn.UNICHAR(160)," ")),'worker file'!$M$2:$M$406,0),_xlfn.XLOOKUP($B754,TRIM('pay group &amp; schedule'!$A$2:$A$6),'pay group &amp; schedule'!$D$2:$D$6,0))</f>
        <v>46299</v>
      </c>
      <c r="N754" s="43" t="str">
        <f aca="false" t="array" ref="N754:N754">_xlfn.LET(_xlpm.t,_xlfn.XLOOKUP($A754,TRIM(SUBSTITUTE('worker file'!$A$2:$A$406,_xlfn.UNICHAR(160)," ")),'worker file'!$N$2:$N$406,""),IF(N(_xlpm.t)=0,"",_xlpm.t))</f>
        <v/>
      </c>
    </row>
    <row r="755" customFormat="false" ht="15" hidden="false" customHeight="false" outlineLevel="0" collapsed="false">
      <c r="A755" s="39" t="s">
        <v>358</v>
      </c>
      <c r="B755" s="40" t="str">
        <f aca="false" t="array" ref="B755:B755">_xlfn.XLOOKUP($A755,TRIM(SUBSTITUTE('worker file'!$A$2:$A$406,_xlfn.UNICHAR(160)," ")),'worker file'!$L$2:$L$406,"Not found")</f>
        <v>US Biweekly</v>
      </c>
      <c r="C755" s="40" t="str">
        <f aca="false" t="array" ref="C755:C755">_xlfn.XLOOKUP($A755,TRIM(SUBSTITUTE('worker file'!$A$2:$A$406,_xlfn.UNICHAR(160)," ")),'worker file'!$D$2:$D$406,"Not found")</f>
        <v>TX</v>
      </c>
      <c r="D755" s="40" t="str">
        <f aca="false" t="array" ref="D755:D755">_xlfn.XLOOKUP($A755,TRIM(SUBSTITUTE('worker file'!$A$2:$A$406,_xlfn.UNICHAR(160)," ")),'worker file'!$Q$2:$Q$406,"Not found")</f>
        <v>Active</v>
      </c>
      <c r="E755" s="39" t="s">
        <v>632</v>
      </c>
      <c r="F755" s="38" t="str">
        <f aca="false">_xlfn.XLOOKUP($E755,$A$5:$A$8,$B$5:$B$8,"")</f>
        <v>Dental – Employee</v>
      </c>
      <c r="G755" s="38" t="str">
        <f aca="false">_xlfn.XLOOKUP($E755,$A$5:$A$8,$D$5:$D$8,"")</f>
        <v>Pre-tax Section 125 (exempt from FIT/SIT/FICA)</v>
      </c>
      <c r="H755" s="38" t="str">
        <f aca="false">_xlfn.XLOOKUP($E755,$A$5:$A$8,$E$5:$E$8,"")</f>
        <v>Flat</v>
      </c>
      <c r="I755" s="44" t="str">
        <f aca="false">IF($H755="Percent",_xlfn.XLOOKUP($E755,$A$5:$A$8,$F$5:$F$8,""),"")</f>
        <v/>
      </c>
      <c r="J755" s="42" t="n">
        <f aca="false">IF($H755="Flat",_xlfn.XLOOKUP($E755,$A$5:$A$8,$F$5:$F$8,""),"")</f>
        <v>44</v>
      </c>
      <c r="K755" s="38" t="str">
        <f aca="false">_xlfn.XLOOKUP($E755,$A$5:$A$8,$G$5:$G$8,"")</f>
        <v>Per pay period</v>
      </c>
      <c r="L755" s="38" t="str">
        <f aca="false">_xlfn.XLOOKUP($E755,$A$5:$A$8,$H$5:$H$8,"")</f>
        <v>Every pay period (ongoing)</v>
      </c>
      <c r="M755" s="43" t="n">
        <f aca="false" t="array" ref="M755:M755">MAX(_xlfn.XLOOKUP($A755,TRIM(SUBSTITUTE('worker file'!$A$2:$A$406,_xlfn.UNICHAR(160)," ")),'worker file'!$M$2:$M$406,0),_xlfn.XLOOKUP($B755,TRIM('pay group &amp; schedule'!$A$2:$A$6),'pay group &amp; schedule'!$D$2:$D$6,0))</f>
        <v>46299</v>
      </c>
      <c r="N755" s="43" t="str">
        <f aca="false" t="array" ref="N755:N755">_xlfn.LET(_xlpm.t,_xlfn.XLOOKUP($A755,TRIM(SUBSTITUTE('worker file'!$A$2:$A$406,_xlfn.UNICHAR(160)," ")),'worker file'!$N$2:$N$406,""),IF(N(_xlpm.t)=0,"",_xlpm.t))</f>
        <v/>
      </c>
    </row>
    <row r="756" customFormat="false" ht="15" hidden="false" customHeight="false" outlineLevel="0" collapsed="false">
      <c r="A756" s="39" t="s">
        <v>358</v>
      </c>
      <c r="B756" s="40" t="str">
        <f aca="false" t="array" ref="B756:B756">_xlfn.XLOOKUP($A756,TRIM(SUBSTITUTE('worker file'!$A$2:$A$406,_xlfn.UNICHAR(160)," ")),'worker file'!$L$2:$L$406,"Not found")</f>
        <v>US Biweekly</v>
      </c>
      <c r="C756" s="40" t="str">
        <f aca="false" t="array" ref="C756:C756">_xlfn.XLOOKUP($A756,TRIM(SUBSTITUTE('worker file'!$A$2:$A$406,_xlfn.UNICHAR(160)," ")),'worker file'!$D$2:$D$406,"Not found")</f>
        <v>TX</v>
      </c>
      <c r="D756" s="40" t="str">
        <f aca="false" t="array" ref="D756:D756">_xlfn.XLOOKUP($A756,TRIM(SUBSTITUTE('worker file'!$A$2:$A$406,_xlfn.UNICHAR(160)," ")),'worker file'!$Q$2:$Q$406,"Not found")</f>
        <v>Active</v>
      </c>
      <c r="E756" s="39" t="s">
        <v>634</v>
      </c>
      <c r="F756" s="38" t="str">
        <f aca="false">_xlfn.XLOOKUP($E756,$A$5:$A$8,$B$5:$B$8,"")</f>
        <v>Vision – Employee</v>
      </c>
      <c r="G756" s="38" t="str">
        <f aca="false">_xlfn.XLOOKUP($E756,$A$5:$A$8,$D$5:$D$8,"")</f>
        <v>Pre-tax Section 125 (exempt from FIT/SIT/FICA)</v>
      </c>
      <c r="H756" s="38" t="str">
        <f aca="false">_xlfn.XLOOKUP($E756,$A$5:$A$8,$E$5:$E$8,"")</f>
        <v>Flat</v>
      </c>
      <c r="I756" s="44" t="str">
        <f aca="false">IF($H756="Percent",_xlfn.XLOOKUP($E756,$A$5:$A$8,$F$5:$F$8,""),"")</f>
        <v/>
      </c>
      <c r="J756" s="42" t="n">
        <f aca="false">IF($H756="Flat",_xlfn.XLOOKUP($E756,$A$5:$A$8,$F$5:$F$8,""),"")</f>
        <v>30</v>
      </c>
      <c r="K756" s="38" t="str">
        <f aca="false">_xlfn.XLOOKUP($E756,$A$5:$A$8,$G$5:$G$8,"")</f>
        <v>Per pay period</v>
      </c>
      <c r="L756" s="38" t="str">
        <f aca="false">_xlfn.XLOOKUP($E756,$A$5:$A$8,$H$5:$H$8,"")</f>
        <v>Every pay period (ongoing)</v>
      </c>
      <c r="M756" s="43" t="n">
        <f aca="false" t="array" ref="M756:M756">MAX(_xlfn.XLOOKUP($A756,TRIM(SUBSTITUTE('worker file'!$A$2:$A$406,_xlfn.UNICHAR(160)," ")),'worker file'!$M$2:$M$406,0),_xlfn.XLOOKUP($B756,TRIM('pay group &amp; schedule'!$A$2:$A$6),'pay group &amp; schedule'!$D$2:$D$6,0))</f>
        <v>46299</v>
      </c>
      <c r="N756" s="43" t="str">
        <f aca="false" t="array" ref="N756:N756">_xlfn.LET(_xlpm.t,_xlfn.XLOOKUP($A756,TRIM(SUBSTITUTE('worker file'!$A$2:$A$406,_xlfn.UNICHAR(160)," ")),'worker file'!$N$2:$N$406,""),IF(N(_xlpm.t)=0,"",_xlpm.t))</f>
        <v/>
      </c>
    </row>
    <row r="757" customFormat="false" ht="15" hidden="false" customHeight="false" outlineLevel="0" collapsed="false">
      <c r="A757" s="39" t="s">
        <v>359</v>
      </c>
      <c r="B757" s="40" t="str">
        <f aca="false" t="array" ref="B757:B757">_xlfn.XLOOKUP($A757,TRIM(SUBSTITUTE('worker file'!$A$2:$A$406,_xlfn.UNICHAR(160)," ")),'worker file'!$L$2:$L$406,"Not found")</f>
        <v>US Semi-monthly</v>
      </c>
      <c r="C757" s="40" t="str">
        <f aca="false" t="array" ref="C757:C757">_xlfn.XLOOKUP($A757,TRIM(SUBSTITUTE('worker file'!$A$2:$A$406,_xlfn.UNICHAR(160)," ")),'worker file'!$D$2:$D$406,"Not found")</f>
        <v>CA</v>
      </c>
      <c r="D757" s="40" t="str">
        <f aca="false" t="array" ref="D757:D757">_xlfn.XLOOKUP($A757,TRIM(SUBSTITUTE('worker file'!$A$2:$A$406,_xlfn.UNICHAR(160)," ")),'worker file'!$Q$2:$Q$406,"Not found")</f>
        <v>Active</v>
      </c>
      <c r="E757" s="39" t="s">
        <v>626</v>
      </c>
      <c r="F757" s="38" t="str">
        <f aca="false">_xlfn.XLOOKUP($E757,$A$5:$A$8,$B$5:$B$8,"")</f>
        <v>Medical (Health) – Employee</v>
      </c>
      <c r="G757" s="38" t="str">
        <f aca="false">_xlfn.XLOOKUP($E757,$A$5:$A$8,$D$5:$D$8,"")</f>
        <v>Pre-tax Section 125 (exempt from FIT/SIT/FICA)</v>
      </c>
      <c r="H757" s="38" t="str">
        <f aca="false">_xlfn.XLOOKUP($E757,$A$5:$A$8,$E$5:$E$8,"")</f>
        <v>Flat</v>
      </c>
      <c r="I757" s="44" t="str">
        <f aca="false">IF($H757="Percent",_xlfn.XLOOKUP($E757,$A$5:$A$8,$F$5:$F$8,""),"")</f>
        <v/>
      </c>
      <c r="J757" s="42" t="n">
        <f aca="false">IF($H757="Flat",_xlfn.XLOOKUP($E757,$A$5:$A$8,$F$5:$F$8,""),"")</f>
        <v>200</v>
      </c>
      <c r="K757" s="38" t="str">
        <f aca="false">_xlfn.XLOOKUP($E757,$A$5:$A$8,$G$5:$G$8,"")</f>
        <v>Per pay period</v>
      </c>
      <c r="L757" s="38" t="str">
        <f aca="false">_xlfn.XLOOKUP($E757,$A$5:$A$8,$H$5:$H$8,"")</f>
        <v>Every pay period (ongoing)</v>
      </c>
      <c r="M757" s="43" t="n">
        <f aca="false" t="array" ref="M757:M757">MAX(_xlfn.XLOOKUP($A757,TRIM(SUBSTITUTE('worker file'!$A$2:$A$406,_xlfn.UNICHAR(160)," ")),'worker file'!$M$2:$M$406,0),_xlfn.XLOOKUP($B757,TRIM('pay group &amp; schedule'!$A$2:$A$6),'pay group &amp; schedule'!$D$2:$D$6,0))</f>
        <v>46311</v>
      </c>
      <c r="N757" s="43" t="str">
        <f aca="false" t="array" ref="N757:N757">_xlfn.LET(_xlpm.t,_xlfn.XLOOKUP($A757,TRIM(SUBSTITUTE('worker file'!$A$2:$A$406,_xlfn.UNICHAR(160)," ")),'worker file'!$N$2:$N$406,""),IF(N(_xlpm.t)=0,"",_xlpm.t))</f>
        <v/>
      </c>
    </row>
    <row r="758" customFormat="false" ht="15" hidden="false" customHeight="false" outlineLevel="0" collapsed="false">
      <c r="A758" s="39" t="s">
        <v>359</v>
      </c>
      <c r="B758" s="40" t="str">
        <f aca="false" t="array" ref="B758:B758">_xlfn.XLOOKUP($A758,TRIM(SUBSTITUTE('worker file'!$A$2:$A$406,_xlfn.UNICHAR(160)," ")),'worker file'!$L$2:$L$406,"Not found")</f>
        <v>US Semi-monthly</v>
      </c>
      <c r="C758" s="40" t="str">
        <f aca="false" t="array" ref="C758:C758">_xlfn.XLOOKUP($A758,TRIM(SUBSTITUTE('worker file'!$A$2:$A$406,_xlfn.UNICHAR(160)," ")),'worker file'!$D$2:$D$406,"Not found")</f>
        <v>CA</v>
      </c>
      <c r="D758" s="40" t="str">
        <f aca="false" t="array" ref="D758:D758">_xlfn.XLOOKUP($A758,TRIM(SUBSTITUTE('worker file'!$A$2:$A$406,_xlfn.UNICHAR(160)," ")),'worker file'!$Q$2:$Q$406,"Not found")</f>
        <v>Active</v>
      </c>
      <c r="E758" s="39" t="s">
        <v>632</v>
      </c>
      <c r="F758" s="38" t="str">
        <f aca="false">_xlfn.XLOOKUP($E758,$A$5:$A$8,$B$5:$B$8,"")</f>
        <v>Dental – Employee</v>
      </c>
      <c r="G758" s="38" t="str">
        <f aca="false">_xlfn.XLOOKUP($E758,$A$5:$A$8,$D$5:$D$8,"")</f>
        <v>Pre-tax Section 125 (exempt from FIT/SIT/FICA)</v>
      </c>
      <c r="H758" s="38" t="str">
        <f aca="false">_xlfn.XLOOKUP($E758,$A$5:$A$8,$E$5:$E$8,"")</f>
        <v>Flat</v>
      </c>
      <c r="I758" s="44" t="str">
        <f aca="false">IF($H758="Percent",_xlfn.XLOOKUP($E758,$A$5:$A$8,$F$5:$F$8,""),"")</f>
        <v/>
      </c>
      <c r="J758" s="42" t="n">
        <f aca="false">IF($H758="Flat",_xlfn.XLOOKUP($E758,$A$5:$A$8,$F$5:$F$8,""),"")</f>
        <v>44</v>
      </c>
      <c r="K758" s="38" t="str">
        <f aca="false">_xlfn.XLOOKUP($E758,$A$5:$A$8,$G$5:$G$8,"")</f>
        <v>Per pay period</v>
      </c>
      <c r="L758" s="38" t="str">
        <f aca="false">_xlfn.XLOOKUP($E758,$A$5:$A$8,$H$5:$H$8,"")</f>
        <v>Every pay period (ongoing)</v>
      </c>
      <c r="M758" s="43" t="n">
        <f aca="false" t="array" ref="M758:M758">MAX(_xlfn.XLOOKUP($A758,TRIM(SUBSTITUTE('worker file'!$A$2:$A$406,_xlfn.UNICHAR(160)," ")),'worker file'!$M$2:$M$406,0),_xlfn.XLOOKUP($B758,TRIM('pay group &amp; schedule'!$A$2:$A$6),'pay group &amp; schedule'!$D$2:$D$6,0))</f>
        <v>46311</v>
      </c>
      <c r="N758" s="43" t="str">
        <f aca="false" t="array" ref="N758:N758">_xlfn.LET(_xlpm.t,_xlfn.XLOOKUP($A758,TRIM(SUBSTITUTE('worker file'!$A$2:$A$406,_xlfn.UNICHAR(160)," ")),'worker file'!$N$2:$N$406,""),IF(N(_xlpm.t)=0,"",_xlpm.t))</f>
        <v/>
      </c>
    </row>
    <row r="759" customFormat="false" ht="15" hidden="false" customHeight="false" outlineLevel="0" collapsed="false">
      <c r="A759" s="39" t="s">
        <v>359</v>
      </c>
      <c r="B759" s="40" t="str">
        <f aca="false" t="array" ref="B759:B759">_xlfn.XLOOKUP($A759,TRIM(SUBSTITUTE('worker file'!$A$2:$A$406,_xlfn.UNICHAR(160)," ")),'worker file'!$L$2:$L$406,"Not found")</f>
        <v>US Semi-monthly</v>
      </c>
      <c r="C759" s="40" t="str">
        <f aca="false" t="array" ref="C759:C759">_xlfn.XLOOKUP($A759,TRIM(SUBSTITUTE('worker file'!$A$2:$A$406,_xlfn.UNICHAR(160)," ")),'worker file'!$D$2:$D$406,"Not found")</f>
        <v>CA</v>
      </c>
      <c r="D759" s="40" t="str">
        <f aca="false" t="array" ref="D759:D759">_xlfn.XLOOKUP($A759,TRIM(SUBSTITUTE('worker file'!$A$2:$A$406,_xlfn.UNICHAR(160)," ")),'worker file'!$Q$2:$Q$406,"Not found")</f>
        <v>Active</v>
      </c>
      <c r="E759" s="39" t="s">
        <v>634</v>
      </c>
      <c r="F759" s="38" t="str">
        <f aca="false">_xlfn.XLOOKUP($E759,$A$5:$A$8,$B$5:$B$8,"")</f>
        <v>Vision – Employee</v>
      </c>
      <c r="G759" s="38" t="str">
        <f aca="false">_xlfn.XLOOKUP($E759,$A$5:$A$8,$D$5:$D$8,"")</f>
        <v>Pre-tax Section 125 (exempt from FIT/SIT/FICA)</v>
      </c>
      <c r="H759" s="38" t="str">
        <f aca="false">_xlfn.XLOOKUP($E759,$A$5:$A$8,$E$5:$E$8,"")</f>
        <v>Flat</v>
      </c>
      <c r="I759" s="44" t="str">
        <f aca="false">IF($H759="Percent",_xlfn.XLOOKUP($E759,$A$5:$A$8,$F$5:$F$8,""),"")</f>
        <v/>
      </c>
      <c r="J759" s="42" t="n">
        <f aca="false">IF($H759="Flat",_xlfn.XLOOKUP($E759,$A$5:$A$8,$F$5:$F$8,""),"")</f>
        <v>30</v>
      </c>
      <c r="K759" s="38" t="str">
        <f aca="false">_xlfn.XLOOKUP($E759,$A$5:$A$8,$G$5:$G$8,"")</f>
        <v>Per pay period</v>
      </c>
      <c r="L759" s="38" t="str">
        <f aca="false">_xlfn.XLOOKUP($E759,$A$5:$A$8,$H$5:$H$8,"")</f>
        <v>Every pay period (ongoing)</v>
      </c>
      <c r="M759" s="43" t="n">
        <f aca="false" t="array" ref="M759:M759">MAX(_xlfn.XLOOKUP($A759,TRIM(SUBSTITUTE('worker file'!$A$2:$A$406,_xlfn.UNICHAR(160)," ")),'worker file'!$M$2:$M$406,0),_xlfn.XLOOKUP($B759,TRIM('pay group &amp; schedule'!$A$2:$A$6),'pay group &amp; schedule'!$D$2:$D$6,0))</f>
        <v>46311</v>
      </c>
      <c r="N759" s="43" t="str">
        <f aca="false" t="array" ref="N759:N759">_xlfn.LET(_xlpm.t,_xlfn.XLOOKUP($A759,TRIM(SUBSTITUTE('worker file'!$A$2:$A$406,_xlfn.UNICHAR(160)," ")),'worker file'!$N$2:$N$406,""),IF(N(_xlpm.t)=0,"",_xlpm.t))</f>
        <v/>
      </c>
    </row>
    <row r="760" customFormat="false" ht="15" hidden="false" customHeight="false" outlineLevel="0" collapsed="false">
      <c r="A760" s="39" t="s">
        <v>361</v>
      </c>
      <c r="B760" s="40" t="str">
        <f aca="false" t="array" ref="B760:B760">_xlfn.XLOOKUP($A760,TRIM(SUBSTITUTE('worker file'!$A$2:$A$406,_xlfn.UNICHAR(160)," ")),'worker file'!$L$2:$L$406,"Not found")</f>
        <v>US Semi-monthly</v>
      </c>
      <c r="C760" s="40" t="str">
        <f aca="false" t="array" ref="C760:C760">_xlfn.XLOOKUP($A760,TRIM(SUBSTITUTE('worker file'!$A$2:$A$406,_xlfn.UNICHAR(160)," ")),'worker file'!$D$2:$D$406,"Not found")</f>
        <v>CA</v>
      </c>
      <c r="D760" s="40" t="str">
        <f aca="false" t="array" ref="D760:D760">_xlfn.XLOOKUP($A760,TRIM(SUBSTITUTE('worker file'!$A$2:$A$406,_xlfn.UNICHAR(160)," ")),'worker file'!$Q$2:$Q$406,"Not found")</f>
        <v>On Leave(unpaid)</v>
      </c>
      <c r="E760" s="39" t="s">
        <v>618</v>
      </c>
      <c r="F760" s="38" t="str">
        <f aca="false">_xlfn.XLOOKUP($E760,$A$5:$A$8,$B$5:$B$8,"")</f>
        <v>401(k) Employee Deferral</v>
      </c>
      <c r="G760" s="38" t="str">
        <f aca="false">_xlfn.XLOOKUP($E760,$A$5:$A$8,$D$5:$D$8,"")</f>
        <v>Pre-tax (exempt from FIT/SIT; subject to FICA)</v>
      </c>
      <c r="H760" s="38" t="str">
        <f aca="false">_xlfn.XLOOKUP($E760,$A$5:$A$8,$E$5:$E$8,"")</f>
        <v>Percent</v>
      </c>
      <c r="I760" s="41" t="n">
        <v>0.03</v>
      </c>
      <c r="J760" s="42" t="str">
        <f aca="false">IF($H760="Flat",_xlfn.XLOOKUP($E760,$A$5:$A$8,$F$5:$F$8,""),"")</f>
        <v/>
      </c>
      <c r="K760" s="38" t="str">
        <f aca="false">_xlfn.XLOOKUP($E760,$A$5:$A$8,$G$5:$G$8,"")</f>
        <v>Gross pay</v>
      </c>
      <c r="L760" s="38" t="str">
        <f aca="false">_xlfn.XLOOKUP($E760,$A$5:$A$8,$H$5:$H$8,"")</f>
        <v>Every pay period (ongoing)</v>
      </c>
      <c r="M760" s="43" t="n">
        <f aca="false" t="array" ref="M760:M760">MAX(_xlfn.XLOOKUP($A760,TRIM(SUBSTITUTE('worker file'!$A$2:$A$406,_xlfn.UNICHAR(160)," ")),'worker file'!$M$2:$M$406,0),_xlfn.XLOOKUP($B760,TRIM('pay group &amp; schedule'!$A$2:$A$6),'pay group &amp; schedule'!$D$2:$D$6,0))</f>
        <v>46311</v>
      </c>
      <c r="N760" s="43" t="str">
        <f aca="false" t="array" ref="N760:N760">_xlfn.LET(_xlpm.t,_xlfn.XLOOKUP($A760,TRIM(SUBSTITUTE('worker file'!$A$2:$A$406,_xlfn.UNICHAR(160)," ")),'worker file'!$N$2:$N$406,""),IF(N(_xlpm.t)=0,"",_xlpm.t))</f>
        <v/>
      </c>
      <c r="O760" s="0" t="s">
        <v>646</v>
      </c>
    </row>
    <row r="761" customFormat="false" ht="15" hidden="false" customHeight="false" outlineLevel="0" collapsed="false">
      <c r="A761" s="39" t="s">
        <v>361</v>
      </c>
      <c r="B761" s="40" t="str">
        <f aca="false" t="array" ref="B761:B761">_xlfn.XLOOKUP($A761,TRIM(SUBSTITUTE('worker file'!$A$2:$A$406,_xlfn.UNICHAR(160)," ")),'worker file'!$L$2:$L$406,"Not found")</f>
        <v>US Semi-monthly</v>
      </c>
      <c r="C761" s="40" t="str">
        <f aca="false" t="array" ref="C761:C761">_xlfn.XLOOKUP($A761,TRIM(SUBSTITUTE('worker file'!$A$2:$A$406,_xlfn.UNICHAR(160)," ")),'worker file'!$D$2:$D$406,"Not found")</f>
        <v>CA</v>
      </c>
      <c r="D761" s="40" t="str">
        <f aca="false" t="array" ref="D761:D761">_xlfn.XLOOKUP($A761,TRIM(SUBSTITUTE('worker file'!$A$2:$A$406,_xlfn.UNICHAR(160)," ")),'worker file'!$Q$2:$Q$406,"Not found")</f>
        <v>On Leave(unpaid)</v>
      </c>
      <c r="E761" s="39" t="s">
        <v>626</v>
      </c>
      <c r="F761" s="38" t="str">
        <f aca="false">_xlfn.XLOOKUP($E761,$A$5:$A$8,$B$5:$B$8,"")</f>
        <v>Medical (Health) – Employee</v>
      </c>
      <c r="G761" s="38" t="str">
        <f aca="false">_xlfn.XLOOKUP($E761,$A$5:$A$8,$D$5:$D$8,"")</f>
        <v>Pre-tax Section 125 (exempt from FIT/SIT/FICA)</v>
      </c>
      <c r="H761" s="38" t="str">
        <f aca="false">_xlfn.XLOOKUP($E761,$A$5:$A$8,$E$5:$E$8,"")</f>
        <v>Flat</v>
      </c>
      <c r="I761" s="44" t="str">
        <f aca="false">IF($H761="Percent",_xlfn.XLOOKUP($E761,$A$5:$A$8,$F$5:$F$8,""),"")</f>
        <v/>
      </c>
      <c r="J761" s="42" t="n">
        <f aca="false">IF($H761="Flat",_xlfn.XLOOKUP($E761,$A$5:$A$8,$F$5:$F$8,""),"")</f>
        <v>200</v>
      </c>
      <c r="K761" s="38" t="str">
        <f aca="false">_xlfn.XLOOKUP($E761,$A$5:$A$8,$G$5:$G$8,"")</f>
        <v>Per pay period</v>
      </c>
      <c r="L761" s="38" t="str">
        <f aca="false">_xlfn.XLOOKUP($E761,$A$5:$A$8,$H$5:$H$8,"")</f>
        <v>Every pay period (ongoing)</v>
      </c>
      <c r="M761" s="43" t="n">
        <f aca="false" t="array" ref="M761:M761">MAX(_xlfn.XLOOKUP($A761,TRIM(SUBSTITUTE('worker file'!$A$2:$A$406,_xlfn.UNICHAR(160)," ")),'worker file'!$M$2:$M$406,0),_xlfn.XLOOKUP($B761,TRIM('pay group &amp; schedule'!$A$2:$A$6),'pay group &amp; schedule'!$D$2:$D$6,0))</f>
        <v>46311</v>
      </c>
      <c r="N761" s="43" t="str">
        <f aca="false" t="array" ref="N761:N761">_xlfn.LET(_xlpm.t,_xlfn.XLOOKUP($A761,TRIM(SUBSTITUTE('worker file'!$A$2:$A$406,_xlfn.UNICHAR(160)," ")),'worker file'!$N$2:$N$406,""),IF(N(_xlpm.t)=0,"",_xlpm.t))</f>
        <v/>
      </c>
      <c r="O761" s="0" t="s">
        <v>646</v>
      </c>
    </row>
    <row r="762" customFormat="false" ht="15" hidden="false" customHeight="false" outlineLevel="0" collapsed="false">
      <c r="A762" s="39" t="s">
        <v>361</v>
      </c>
      <c r="B762" s="40" t="str">
        <f aca="false" t="array" ref="B762:B762">_xlfn.XLOOKUP($A762,TRIM(SUBSTITUTE('worker file'!$A$2:$A$406,_xlfn.UNICHAR(160)," ")),'worker file'!$L$2:$L$406,"Not found")</f>
        <v>US Semi-monthly</v>
      </c>
      <c r="C762" s="40" t="str">
        <f aca="false" t="array" ref="C762:C762">_xlfn.XLOOKUP($A762,TRIM(SUBSTITUTE('worker file'!$A$2:$A$406,_xlfn.UNICHAR(160)," ")),'worker file'!$D$2:$D$406,"Not found")</f>
        <v>CA</v>
      </c>
      <c r="D762" s="40" t="str">
        <f aca="false" t="array" ref="D762:D762">_xlfn.XLOOKUP($A762,TRIM(SUBSTITUTE('worker file'!$A$2:$A$406,_xlfn.UNICHAR(160)," ")),'worker file'!$Q$2:$Q$406,"Not found")</f>
        <v>On Leave(unpaid)</v>
      </c>
      <c r="E762" s="39" t="s">
        <v>632</v>
      </c>
      <c r="F762" s="38" t="str">
        <f aca="false">_xlfn.XLOOKUP($E762,$A$5:$A$8,$B$5:$B$8,"")</f>
        <v>Dental – Employee</v>
      </c>
      <c r="G762" s="38" t="str">
        <f aca="false">_xlfn.XLOOKUP($E762,$A$5:$A$8,$D$5:$D$8,"")</f>
        <v>Pre-tax Section 125 (exempt from FIT/SIT/FICA)</v>
      </c>
      <c r="H762" s="38" t="str">
        <f aca="false">_xlfn.XLOOKUP($E762,$A$5:$A$8,$E$5:$E$8,"")</f>
        <v>Flat</v>
      </c>
      <c r="I762" s="44" t="str">
        <f aca="false">IF($H762="Percent",_xlfn.XLOOKUP($E762,$A$5:$A$8,$F$5:$F$8,""),"")</f>
        <v/>
      </c>
      <c r="J762" s="42" t="n">
        <f aca="false">IF($H762="Flat",_xlfn.XLOOKUP($E762,$A$5:$A$8,$F$5:$F$8,""),"")</f>
        <v>44</v>
      </c>
      <c r="K762" s="38" t="str">
        <f aca="false">_xlfn.XLOOKUP($E762,$A$5:$A$8,$G$5:$G$8,"")</f>
        <v>Per pay period</v>
      </c>
      <c r="L762" s="38" t="str">
        <f aca="false">_xlfn.XLOOKUP($E762,$A$5:$A$8,$H$5:$H$8,"")</f>
        <v>Every pay period (ongoing)</v>
      </c>
      <c r="M762" s="43" t="n">
        <f aca="false" t="array" ref="M762:M762">MAX(_xlfn.XLOOKUP($A762,TRIM(SUBSTITUTE('worker file'!$A$2:$A$406,_xlfn.UNICHAR(160)," ")),'worker file'!$M$2:$M$406,0),_xlfn.XLOOKUP($B762,TRIM('pay group &amp; schedule'!$A$2:$A$6),'pay group &amp; schedule'!$D$2:$D$6,0))</f>
        <v>46311</v>
      </c>
      <c r="N762" s="43" t="str">
        <f aca="false" t="array" ref="N762:N762">_xlfn.LET(_xlpm.t,_xlfn.XLOOKUP($A762,TRIM(SUBSTITUTE('worker file'!$A$2:$A$406,_xlfn.UNICHAR(160)," ")),'worker file'!$N$2:$N$406,""),IF(N(_xlpm.t)=0,"",_xlpm.t))</f>
        <v/>
      </c>
      <c r="O762" s="0" t="s">
        <v>646</v>
      </c>
    </row>
    <row r="763" customFormat="false" ht="15" hidden="false" customHeight="false" outlineLevel="0" collapsed="false">
      <c r="A763" s="39" t="s">
        <v>361</v>
      </c>
      <c r="B763" s="40" t="str">
        <f aca="false" t="array" ref="B763:B763">_xlfn.XLOOKUP($A763,TRIM(SUBSTITUTE('worker file'!$A$2:$A$406,_xlfn.UNICHAR(160)," ")),'worker file'!$L$2:$L$406,"Not found")</f>
        <v>US Semi-monthly</v>
      </c>
      <c r="C763" s="40" t="str">
        <f aca="false" t="array" ref="C763:C763">_xlfn.XLOOKUP($A763,TRIM(SUBSTITUTE('worker file'!$A$2:$A$406,_xlfn.UNICHAR(160)," ")),'worker file'!$D$2:$D$406,"Not found")</f>
        <v>CA</v>
      </c>
      <c r="D763" s="40" t="str">
        <f aca="false" t="array" ref="D763:D763">_xlfn.XLOOKUP($A763,TRIM(SUBSTITUTE('worker file'!$A$2:$A$406,_xlfn.UNICHAR(160)," ")),'worker file'!$Q$2:$Q$406,"Not found")</f>
        <v>On Leave(unpaid)</v>
      </c>
      <c r="E763" s="39" t="s">
        <v>634</v>
      </c>
      <c r="F763" s="38" t="str">
        <f aca="false">_xlfn.XLOOKUP($E763,$A$5:$A$8,$B$5:$B$8,"")</f>
        <v>Vision – Employee</v>
      </c>
      <c r="G763" s="38" t="str">
        <f aca="false">_xlfn.XLOOKUP($E763,$A$5:$A$8,$D$5:$D$8,"")</f>
        <v>Pre-tax Section 125 (exempt from FIT/SIT/FICA)</v>
      </c>
      <c r="H763" s="38" t="str">
        <f aca="false">_xlfn.XLOOKUP($E763,$A$5:$A$8,$E$5:$E$8,"")</f>
        <v>Flat</v>
      </c>
      <c r="I763" s="44" t="str">
        <f aca="false">IF($H763="Percent",_xlfn.XLOOKUP($E763,$A$5:$A$8,$F$5:$F$8,""),"")</f>
        <v/>
      </c>
      <c r="J763" s="42" t="n">
        <f aca="false">IF($H763="Flat",_xlfn.XLOOKUP($E763,$A$5:$A$8,$F$5:$F$8,""),"")</f>
        <v>30</v>
      </c>
      <c r="K763" s="38" t="str">
        <f aca="false">_xlfn.XLOOKUP($E763,$A$5:$A$8,$G$5:$G$8,"")</f>
        <v>Per pay period</v>
      </c>
      <c r="L763" s="38" t="str">
        <f aca="false">_xlfn.XLOOKUP($E763,$A$5:$A$8,$H$5:$H$8,"")</f>
        <v>Every pay period (ongoing)</v>
      </c>
      <c r="M763" s="43" t="n">
        <f aca="false" t="array" ref="M763:M763">MAX(_xlfn.XLOOKUP($A763,TRIM(SUBSTITUTE('worker file'!$A$2:$A$406,_xlfn.UNICHAR(160)," ")),'worker file'!$M$2:$M$406,0),_xlfn.XLOOKUP($B763,TRIM('pay group &amp; schedule'!$A$2:$A$6),'pay group &amp; schedule'!$D$2:$D$6,0))</f>
        <v>46311</v>
      </c>
      <c r="N763" s="43" t="str">
        <f aca="false" t="array" ref="N763:N763">_xlfn.LET(_xlpm.t,_xlfn.XLOOKUP($A763,TRIM(SUBSTITUTE('worker file'!$A$2:$A$406,_xlfn.UNICHAR(160)," ")),'worker file'!$N$2:$N$406,""),IF(N(_xlpm.t)=0,"",_xlpm.t))</f>
        <v/>
      </c>
      <c r="O763" s="0" t="s">
        <v>646</v>
      </c>
    </row>
    <row r="764" customFormat="false" ht="15" hidden="false" customHeight="false" outlineLevel="0" collapsed="false">
      <c r="A764" s="39" t="s">
        <v>362</v>
      </c>
      <c r="B764" s="40" t="str">
        <f aca="false" t="array" ref="B764:B764">_xlfn.XLOOKUP($A764,TRIM(SUBSTITUTE('worker file'!$A$2:$A$406,_xlfn.UNICHAR(160)," ")),'worker file'!$L$2:$L$406,"Not found")</f>
        <v>US Semi-monthly</v>
      </c>
      <c r="C764" s="40" t="str">
        <f aca="false" t="array" ref="C764:C764">_xlfn.XLOOKUP($A764,TRIM(SUBSTITUTE('worker file'!$A$2:$A$406,_xlfn.UNICHAR(160)," ")),'worker file'!$D$2:$D$406,"Not found")</f>
        <v>CA</v>
      </c>
      <c r="D764" s="40" t="str">
        <f aca="false" t="array" ref="D764:D764">_xlfn.XLOOKUP($A764,TRIM(SUBSTITUTE('worker file'!$A$2:$A$406,_xlfn.UNICHAR(160)," ")),'worker file'!$Q$2:$Q$406,"Not found")</f>
        <v>Active</v>
      </c>
      <c r="E764" s="39" t="s">
        <v>618</v>
      </c>
      <c r="F764" s="38" t="str">
        <f aca="false">_xlfn.XLOOKUP($E764,$A$5:$A$8,$B$5:$B$8,"")</f>
        <v>401(k) Employee Deferral</v>
      </c>
      <c r="G764" s="38" t="str">
        <f aca="false">_xlfn.XLOOKUP($E764,$A$5:$A$8,$D$5:$D$8,"")</f>
        <v>Pre-tax (exempt from FIT/SIT; subject to FICA)</v>
      </c>
      <c r="H764" s="38" t="str">
        <f aca="false">_xlfn.XLOOKUP($E764,$A$5:$A$8,$E$5:$E$8,"")</f>
        <v>Percent</v>
      </c>
      <c r="I764" s="41" t="n">
        <v>0</v>
      </c>
      <c r="J764" s="42" t="str">
        <f aca="false">IF($H764="Flat",_xlfn.XLOOKUP($E764,$A$5:$A$8,$F$5:$F$8,""),"")</f>
        <v/>
      </c>
      <c r="K764" s="38" t="str">
        <f aca="false">_xlfn.XLOOKUP($E764,$A$5:$A$8,$G$5:$G$8,"")</f>
        <v>Gross pay</v>
      </c>
      <c r="L764" s="38" t="str">
        <f aca="false">_xlfn.XLOOKUP($E764,$A$5:$A$8,$H$5:$H$8,"")</f>
        <v>Every pay period (ongoing)</v>
      </c>
      <c r="M764" s="43" t="n">
        <f aca="false" t="array" ref="M764:M764">MAX(_xlfn.XLOOKUP($A764,TRIM(SUBSTITUTE('worker file'!$A$2:$A$406,_xlfn.UNICHAR(160)," ")),'worker file'!$M$2:$M$406,0),_xlfn.XLOOKUP($B764,TRIM('pay group &amp; schedule'!$A$2:$A$6),'pay group &amp; schedule'!$D$2:$D$6,0))</f>
        <v>46311</v>
      </c>
      <c r="N764" s="43" t="str">
        <f aca="false" t="array" ref="N764:N764">_xlfn.LET(_xlpm.t,_xlfn.XLOOKUP($A764,TRIM(SUBSTITUTE('worker file'!$A$2:$A$406,_xlfn.UNICHAR(160)," ")),'worker file'!$N$2:$N$406,""),IF(N(_xlpm.t)=0,"",_xlpm.t))</f>
        <v/>
      </c>
    </row>
    <row r="765" customFormat="false" ht="15" hidden="false" customHeight="false" outlineLevel="0" collapsed="false">
      <c r="A765" s="39" t="s">
        <v>362</v>
      </c>
      <c r="B765" s="40" t="str">
        <f aca="false" t="array" ref="B765:B765">_xlfn.XLOOKUP($A765,TRIM(SUBSTITUTE('worker file'!$A$2:$A$406,_xlfn.UNICHAR(160)," ")),'worker file'!$L$2:$L$406,"Not found")</f>
        <v>US Semi-monthly</v>
      </c>
      <c r="C765" s="40" t="str">
        <f aca="false" t="array" ref="C765:C765">_xlfn.XLOOKUP($A765,TRIM(SUBSTITUTE('worker file'!$A$2:$A$406,_xlfn.UNICHAR(160)," ")),'worker file'!$D$2:$D$406,"Not found")</f>
        <v>CA</v>
      </c>
      <c r="D765" s="40" t="str">
        <f aca="false" t="array" ref="D765:D765">_xlfn.XLOOKUP($A765,TRIM(SUBSTITUTE('worker file'!$A$2:$A$406,_xlfn.UNICHAR(160)," ")),'worker file'!$Q$2:$Q$406,"Not found")</f>
        <v>Active</v>
      </c>
      <c r="E765" s="39" t="s">
        <v>626</v>
      </c>
      <c r="F765" s="38" t="str">
        <f aca="false">_xlfn.XLOOKUP($E765,$A$5:$A$8,$B$5:$B$8,"")</f>
        <v>Medical (Health) – Employee</v>
      </c>
      <c r="G765" s="38" t="str">
        <f aca="false">_xlfn.XLOOKUP($E765,$A$5:$A$8,$D$5:$D$8,"")</f>
        <v>Pre-tax Section 125 (exempt from FIT/SIT/FICA)</v>
      </c>
      <c r="H765" s="38" t="str">
        <f aca="false">_xlfn.XLOOKUP($E765,$A$5:$A$8,$E$5:$E$8,"")</f>
        <v>Flat</v>
      </c>
      <c r="I765" s="44" t="str">
        <f aca="false">IF($H765="Percent",_xlfn.XLOOKUP($E765,$A$5:$A$8,$F$5:$F$8,""),"")</f>
        <v/>
      </c>
      <c r="J765" s="42" t="n">
        <f aca="false">IF($H765="Flat",_xlfn.XLOOKUP($E765,$A$5:$A$8,$F$5:$F$8,""),"")</f>
        <v>200</v>
      </c>
      <c r="K765" s="38" t="str">
        <f aca="false">_xlfn.XLOOKUP($E765,$A$5:$A$8,$G$5:$G$8,"")</f>
        <v>Per pay period</v>
      </c>
      <c r="L765" s="38" t="str">
        <f aca="false">_xlfn.XLOOKUP($E765,$A$5:$A$8,$H$5:$H$8,"")</f>
        <v>Every pay period (ongoing)</v>
      </c>
      <c r="M765" s="43" t="n">
        <f aca="false" t="array" ref="M765:M765">MAX(_xlfn.XLOOKUP($A765,TRIM(SUBSTITUTE('worker file'!$A$2:$A$406,_xlfn.UNICHAR(160)," ")),'worker file'!$M$2:$M$406,0),_xlfn.XLOOKUP($B765,TRIM('pay group &amp; schedule'!$A$2:$A$6),'pay group &amp; schedule'!$D$2:$D$6,0))</f>
        <v>46311</v>
      </c>
      <c r="N765" s="43" t="str">
        <f aca="false" t="array" ref="N765:N765">_xlfn.LET(_xlpm.t,_xlfn.XLOOKUP($A765,TRIM(SUBSTITUTE('worker file'!$A$2:$A$406,_xlfn.UNICHAR(160)," ")),'worker file'!$N$2:$N$406,""),IF(N(_xlpm.t)=0,"",_xlpm.t))</f>
        <v/>
      </c>
    </row>
    <row r="766" customFormat="false" ht="15" hidden="false" customHeight="false" outlineLevel="0" collapsed="false">
      <c r="A766" s="39" t="s">
        <v>362</v>
      </c>
      <c r="B766" s="40" t="str">
        <f aca="false" t="array" ref="B766:B766">_xlfn.XLOOKUP($A766,TRIM(SUBSTITUTE('worker file'!$A$2:$A$406,_xlfn.UNICHAR(160)," ")),'worker file'!$L$2:$L$406,"Not found")</f>
        <v>US Semi-monthly</v>
      </c>
      <c r="C766" s="40" t="str">
        <f aca="false" t="array" ref="C766:C766">_xlfn.XLOOKUP($A766,TRIM(SUBSTITUTE('worker file'!$A$2:$A$406,_xlfn.UNICHAR(160)," ")),'worker file'!$D$2:$D$406,"Not found")</f>
        <v>CA</v>
      </c>
      <c r="D766" s="40" t="str">
        <f aca="false" t="array" ref="D766:D766">_xlfn.XLOOKUP($A766,TRIM(SUBSTITUTE('worker file'!$A$2:$A$406,_xlfn.UNICHAR(160)," ")),'worker file'!$Q$2:$Q$406,"Not found")</f>
        <v>Active</v>
      </c>
      <c r="E766" s="39" t="s">
        <v>632</v>
      </c>
      <c r="F766" s="38" t="str">
        <f aca="false">_xlfn.XLOOKUP($E766,$A$5:$A$8,$B$5:$B$8,"")</f>
        <v>Dental – Employee</v>
      </c>
      <c r="G766" s="38" t="str">
        <f aca="false">_xlfn.XLOOKUP($E766,$A$5:$A$8,$D$5:$D$8,"")</f>
        <v>Pre-tax Section 125 (exempt from FIT/SIT/FICA)</v>
      </c>
      <c r="H766" s="38" t="str">
        <f aca="false">_xlfn.XLOOKUP($E766,$A$5:$A$8,$E$5:$E$8,"")</f>
        <v>Flat</v>
      </c>
      <c r="I766" s="44" t="str">
        <f aca="false">IF($H766="Percent",_xlfn.XLOOKUP($E766,$A$5:$A$8,$F$5:$F$8,""),"")</f>
        <v/>
      </c>
      <c r="J766" s="42" t="n">
        <f aca="false">IF($H766="Flat",_xlfn.XLOOKUP($E766,$A$5:$A$8,$F$5:$F$8,""),"")</f>
        <v>44</v>
      </c>
      <c r="K766" s="38" t="str">
        <f aca="false">_xlfn.XLOOKUP($E766,$A$5:$A$8,$G$5:$G$8,"")</f>
        <v>Per pay period</v>
      </c>
      <c r="L766" s="38" t="str">
        <f aca="false">_xlfn.XLOOKUP($E766,$A$5:$A$8,$H$5:$H$8,"")</f>
        <v>Every pay period (ongoing)</v>
      </c>
      <c r="M766" s="43" t="n">
        <f aca="false" t="array" ref="M766:M766">MAX(_xlfn.XLOOKUP($A766,TRIM(SUBSTITUTE('worker file'!$A$2:$A$406,_xlfn.UNICHAR(160)," ")),'worker file'!$M$2:$M$406,0),_xlfn.XLOOKUP($B766,TRIM('pay group &amp; schedule'!$A$2:$A$6),'pay group &amp; schedule'!$D$2:$D$6,0))</f>
        <v>46311</v>
      </c>
      <c r="N766" s="43" t="str">
        <f aca="false" t="array" ref="N766:N766">_xlfn.LET(_xlpm.t,_xlfn.XLOOKUP($A766,TRIM(SUBSTITUTE('worker file'!$A$2:$A$406,_xlfn.UNICHAR(160)," ")),'worker file'!$N$2:$N$406,""),IF(N(_xlpm.t)=0,"",_xlpm.t))</f>
        <v/>
      </c>
    </row>
    <row r="767" customFormat="false" ht="15" hidden="false" customHeight="false" outlineLevel="0" collapsed="false">
      <c r="A767" s="39" t="s">
        <v>362</v>
      </c>
      <c r="B767" s="40" t="str">
        <f aca="false" t="array" ref="B767:B767">_xlfn.XLOOKUP($A767,TRIM(SUBSTITUTE('worker file'!$A$2:$A$406,_xlfn.UNICHAR(160)," ")),'worker file'!$L$2:$L$406,"Not found")</f>
        <v>US Semi-monthly</v>
      </c>
      <c r="C767" s="40" t="str">
        <f aca="false" t="array" ref="C767:C767">_xlfn.XLOOKUP($A767,TRIM(SUBSTITUTE('worker file'!$A$2:$A$406,_xlfn.UNICHAR(160)," ")),'worker file'!$D$2:$D$406,"Not found")</f>
        <v>CA</v>
      </c>
      <c r="D767" s="40" t="str">
        <f aca="false" t="array" ref="D767:D767">_xlfn.XLOOKUP($A767,TRIM(SUBSTITUTE('worker file'!$A$2:$A$406,_xlfn.UNICHAR(160)," ")),'worker file'!$Q$2:$Q$406,"Not found")</f>
        <v>Active</v>
      </c>
      <c r="E767" s="39" t="s">
        <v>634</v>
      </c>
      <c r="F767" s="38" t="str">
        <f aca="false">_xlfn.XLOOKUP($E767,$A$5:$A$8,$B$5:$B$8,"")</f>
        <v>Vision – Employee</v>
      </c>
      <c r="G767" s="38" t="str">
        <f aca="false">_xlfn.XLOOKUP($E767,$A$5:$A$8,$D$5:$D$8,"")</f>
        <v>Pre-tax Section 125 (exempt from FIT/SIT/FICA)</v>
      </c>
      <c r="H767" s="38" t="str">
        <f aca="false">_xlfn.XLOOKUP($E767,$A$5:$A$8,$E$5:$E$8,"")</f>
        <v>Flat</v>
      </c>
      <c r="I767" s="44" t="str">
        <f aca="false">IF($H767="Percent",_xlfn.XLOOKUP($E767,$A$5:$A$8,$F$5:$F$8,""),"")</f>
        <v/>
      </c>
      <c r="J767" s="42" t="n">
        <f aca="false">IF($H767="Flat",_xlfn.XLOOKUP($E767,$A$5:$A$8,$F$5:$F$8,""),"")</f>
        <v>30</v>
      </c>
      <c r="K767" s="38" t="str">
        <f aca="false">_xlfn.XLOOKUP($E767,$A$5:$A$8,$G$5:$G$8,"")</f>
        <v>Per pay period</v>
      </c>
      <c r="L767" s="38" t="str">
        <f aca="false">_xlfn.XLOOKUP($E767,$A$5:$A$8,$H$5:$H$8,"")</f>
        <v>Every pay period (ongoing)</v>
      </c>
      <c r="M767" s="43" t="n">
        <f aca="false" t="array" ref="M767:M767">MAX(_xlfn.XLOOKUP($A767,TRIM(SUBSTITUTE('worker file'!$A$2:$A$406,_xlfn.UNICHAR(160)," ")),'worker file'!$M$2:$M$406,0),_xlfn.XLOOKUP($B767,TRIM('pay group &amp; schedule'!$A$2:$A$6),'pay group &amp; schedule'!$D$2:$D$6,0))</f>
        <v>46311</v>
      </c>
      <c r="N767" s="43" t="str">
        <f aca="false" t="array" ref="N767:N767">_xlfn.LET(_xlpm.t,_xlfn.XLOOKUP($A767,TRIM(SUBSTITUTE('worker file'!$A$2:$A$406,_xlfn.UNICHAR(160)," ")),'worker file'!$N$2:$N$406,""),IF(N(_xlpm.t)=0,"",_xlpm.t))</f>
        <v/>
      </c>
    </row>
    <row r="768" customFormat="false" ht="15" hidden="false" customHeight="false" outlineLevel="0" collapsed="false">
      <c r="A768" s="39" t="s">
        <v>363</v>
      </c>
      <c r="B768" s="40" t="str">
        <f aca="false" t="array" ref="B768:B768">_xlfn.XLOOKUP($A768,TRIM(SUBSTITUTE('worker file'!$A$2:$A$406,_xlfn.UNICHAR(160)," ")),'worker file'!$L$2:$L$406,"Not found")</f>
        <v>US Biweekly</v>
      </c>
      <c r="C768" s="40" t="str">
        <f aca="false" t="array" ref="C768:C768">_xlfn.XLOOKUP($A768,TRIM(SUBSTITUTE('worker file'!$A$2:$A$406,_xlfn.UNICHAR(160)," ")),'worker file'!$D$2:$D$406,"Not found")</f>
        <v>TX</v>
      </c>
      <c r="D768" s="40" t="str">
        <f aca="false" t="array" ref="D768:D768">_xlfn.XLOOKUP($A768,TRIM(SUBSTITUTE('worker file'!$A$2:$A$406,_xlfn.UNICHAR(160)," ")),'worker file'!$Q$2:$Q$406,"Not found")</f>
        <v>Active</v>
      </c>
      <c r="E768" s="39" t="s">
        <v>618</v>
      </c>
      <c r="F768" s="38" t="str">
        <f aca="false">_xlfn.XLOOKUP($E768,$A$5:$A$8,$B$5:$B$8,"")</f>
        <v>401(k) Employee Deferral</v>
      </c>
      <c r="G768" s="38" t="str">
        <f aca="false">_xlfn.XLOOKUP($E768,$A$5:$A$8,$D$5:$D$8,"")</f>
        <v>Pre-tax (exempt from FIT/SIT; subject to FICA)</v>
      </c>
      <c r="H768" s="38" t="str">
        <f aca="false">_xlfn.XLOOKUP($E768,$A$5:$A$8,$E$5:$E$8,"")</f>
        <v>Percent</v>
      </c>
      <c r="I768" s="41" t="n">
        <v>0.05</v>
      </c>
      <c r="J768" s="42" t="str">
        <f aca="false">IF($H768="Flat",_xlfn.XLOOKUP($E768,$A$5:$A$8,$F$5:$F$8,""),"")</f>
        <v/>
      </c>
      <c r="K768" s="38" t="str">
        <f aca="false">_xlfn.XLOOKUP($E768,$A$5:$A$8,$G$5:$G$8,"")</f>
        <v>Gross pay</v>
      </c>
      <c r="L768" s="38" t="str">
        <f aca="false">_xlfn.XLOOKUP($E768,$A$5:$A$8,$H$5:$H$8,"")</f>
        <v>Every pay period (ongoing)</v>
      </c>
      <c r="M768" s="43" t="n">
        <f aca="false" t="array" ref="M768:M768">MAX(_xlfn.XLOOKUP($A768,TRIM(SUBSTITUTE('worker file'!$A$2:$A$406,_xlfn.UNICHAR(160)," ")),'worker file'!$M$2:$M$406,0),_xlfn.XLOOKUP($B768,TRIM('pay group &amp; schedule'!$A$2:$A$6),'pay group &amp; schedule'!$D$2:$D$6,0))</f>
        <v>46299</v>
      </c>
      <c r="N768" s="43" t="str">
        <f aca="false" t="array" ref="N768:N768">_xlfn.LET(_xlpm.t,_xlfn.XLOOKUP($A768,TRIM(SUBSTITUTE('worker file'!$A$2:$A$406,_xlfn.UNICHAR(160)," ")),'worker file'!$N$2:$N$406,""),IF(N(_xlpm.t)=0,"",_xlpm.t))</f>
        <v/>
      </c>
    </row>
    <row r="769" customFormat="false" ht="15" hidden="false" customHeight="false" outlineLevel="0" collapsed="false">
      <c r="A769" s="39" t="s">
        <v>363</v>
      </c>
      <c r="B769" s="40" t="str">
        <f aca="false" t="array" ref="B769:B769">_xlfn.XLOOKUP($A769,TRIM(SUBSTITUTE('worker file'!$A$2:$A$406,_xlfn.UNICHAR(160)," ")),'worker file'!$L$2:$L$406,"Not found")</f>
        <v>US Biweekly</v>
      </c>
      <c r="C769" s="40" t="str">
        <f aca="false" t="array" ref="C769:C769">_xlfn.XLOOKUP($A769,TRIM(SUBSTITUTE('worker file'!$A$2:$A$406,_xlfn.UNICHAR(160)," ")),'worker file'!$D$2:$D$406,"Not found")</f>
        <v>TX</v>
      </c>
      <c r="D769" s="40" t="str">
        <f aca="false" t="array" ref="D769:D769">_xlfn.XLOOKUP($A769,TRIM(SUBSTITUTE('worker file'!$A$2:$A$406,_xlfn.UNICHAR(160)," ")),'worker file'!$Q$2:$Q$406,"Not found")</f>
        <v>Active</v>
      </c>
      <c r="E769" s="39" t="s">
        <v>626</v>
      </c>
      <c r="F769" s="38" t="str">
        <f aca="false">_xlfn.XLOOKUP($E769,$A$5:$A$8,$B$5:$B$8,"")</f>
        <v>Medical (Health) – Employee</v>
      </c>
      <c r="G769" s="38" t="str">
        <f aca="false">_xlfn.XLOOKUP($E769,$A$5:$A$8,$D$5:$D$8,"")</f>
        <v>Pre-tax Section 125 (exempt from FIT/SIT/FICA)</v>
      </c>
      <c r="H769" s="38" t="str">
        <f aca="false">_xlfn.XLOOKUP($E769,$A$5:$A$8,$E$5:$E$8,"")</f>
        <v>Flat</v>
      </c>
      <c r="I769" s="44" t="str">
        <f aca="false">IF($H769="Percent",_xlfn.XLOOKUP($E769,$A$5:$A$8,$F$5:$F$8,""),"")</f>
        <v/>
      </c>
      <c r="J769" s="42" t="n">
        <f aca="false">IF($H769="Flat",_xlfn.XLOOKUP($E769,$A$5:$A$8,$F$5:$F$8,""),"")</f>
        <v>200</v>
      </c>
      <c r="K769" s="38" t="str">
        <f aca="false">_xlfn.XLOOKUP($E769,$A$5:$A$8,$G$5:$G$8,"")</f>
        <v>Per pay period</v>
      </c>
      <c r="L769" s="38" t="str">
        <f aca="false">_xlfn.XLOOKUP($E769,$A$5:$A$8,$H$5:$H$8,"")</f>
        <v>Every pay period (ongoing)</v>
      </c>
      <c r="M769" s="43" t="n">
        <f aca="false" t="array" ref="M769:M769">MAX(_xlfn.XLOOKUP($A769,TRIM(SUBSTITUTE('worker file'!$A$2:$A$406,_xlfn.UNICHAR(160)," ")),'worker file'!$M$2:$M$406,0),_xlfn.XLOOKUP($B769,TRIM('pay group &amp; schedule'!$A$2:$A$6),'pay group &amp; schedule'!$D$2:$D$6,0))</f>
        <v>46299</v>
      </c>
      <c r="N769" s="43" t="str">
        <f aca="false" t="array" ref="N769:N769">_xlfn.LET(_xlpm.t,_xlfn.XLOOKUP($A769,TRIM(SUBSTITUTE('worker file'!$A$2:$A$406,_xlfn.UNICHAR(160)," ")),'worker file'!$N$2:$N$406,""),IF(N(_xlpm.t)=0,"",_xlpm.t))</f>
        <v/>
      </c>
    </row>
    <row r="770" customFormat="false" ht="15" hidden="false" customHeight="false" outlineLevel="0" collapsed="false">
      <c r="A770" s="39" t="s">
        <v>363</v>
      </c>
      <c r="B770" s="40" t="str">
        <f aca="false" t="array" ref="B770:B770">_xlfn.XLOOKUP($A770,TRIM(SUBSTITUTE('worker file'!$A$2:$A$406,_xlfn.UNICHAR(160)," ")),'worker file'!$L$2:$L$406,"Not found")</f>
        <v>US Biweekly</v>
      </c>
      <c r="C770" s="40" t="str">
        <f aca="false" t="array" ref="C770:C770">_xlfn.XLOOKUP($A770,TRIM(SUBSTITUTE('worker file'!$A$2:$A$406,_xlfn.UNICHAR(160)," ")),'worker file'!$D$2:$D$406,"Not found")</f>
        <v>TX</v>
      </c>
      <c r="D770" s="40" t="str">
        <f aca="false" t="array" ref="D770:D770">_xlfn.XLOOKUP($A770,TRIM(SUBSTITUTE('worker file'!$A$2:$A$406,_xlfn.UNICHAR(160)," ")),'worker file'!$Q$2:$Q$406,"Not found")</f>
        <v>Active</v>
      </c>
      <c r="E770" s="39" t="s">
        <v>632</v>
      </c>
      <c r="F770" s="38" t="str">
        <f aca="false">_xlfn.XLOOKUP($E770,$A$5:$A$8,$B$5:$B$8,"")</f>
        <v>Dental – Employee</v>
      </c>
      <c r="G770" s="38" t="str">
        <f aca="false">_xlfn.XLOOKUP($E770,$A$5:$A$8,$D$5:$D$8,"")</f>
        <v>Pre-tax Section 125 (exempt from FIT/SIT/FICA)</v>
      </c>
      <c r="H770" s="38" t="str">
        <f aca="false">_xlfn.XLOOKUP($E770,$A$5:$A$8,$E$5:$E$8,"")</f>
        <v>Flat</v>
      </c>
      <c r="I770" s="44" t="str">
        <f aca="false">IF($H770="Percent",_xlfn.XLOOKUP($E770,$A$5:$A$8,$F$5:$F$8,""),"")</f>
        <v/>
      </c>
      <c r="J770" s="42" t="n">
        <f aca="false">IF($H770="Flat",_xlfn.XLOOKUP($E770,$A$5:$A$8,$F$5:$F$8,""),"")</f>
        <v>44</v>
      </c>
      <c r="K770" s="38" t="str">
        <f aca="false">_xlfn.XLOOKUP($E770,$A$5:$A$8,$G$5:$G$8,"")</f>
        <v>Per pay period</v>
      </c>
      <c r="L770" s="38" t="str">
        <f aca="false">_xlfn.XLOOKUP($E770,$A$5:$A$8,$H$5:$H$8,"")</f>
        <v>Every pay period (ongoing)</v>
      </c>
      <c r="M770" s="43" t="n">
        <f aca="false" t="array" ref="M770:M770">MAX(_xlfn.XLOOKUP($A770,TRIM(SUBSTITUTE('worker file'!$A$2:$A$406,_xlfn.UNICHAR(160)," ")),'worker file'!$M$2:$M$406,0),_xlfn.XLOOKUP($B770,TRIM('pay group &amp; schedule'!$A$2:$A$6),'pay group &amp; schedule'!$D$2:$D$6,0))</f>
        <v>46299</v>
      </c>
      <c r="N770" s="43" t="str">
        <f aca="false" t="array" ref="N770:N770">_xlfn.LET(_xlpm.t,_xlfn.XLOOKUP($A770,TRIM(SUBSTITUTE('worker file'!$A$2:$A$406,_xlfn.UNICHAR(160)," ")),'worker file'!$N$2:$N$406,""),IF(N(_xlpm.t)=0,"",_xlpm.t))</f>
        <v/>
      </c>
    </row>
    <row r="771" customFormat="false" ht="15" hidden="false" customHeight="false" outlineLevel="0" collapsed="false">
      <c r="A771" s="39" t="s">
        <v>363</v>
      </c>
      <c r="B771" s="40" t="str">
        <f aca="false" t="array" ref="B771:B771">_xlfn.XLOOKUP($A771,TRIM(SUBSTITUTE('worker file'!$A$2:$A$406,_xlfn.UNICHAR(160)," ")),'worker file'!$L$2:$L$406,"Not found")</f>
        <v>US Biweekly</v>
      </c>
      <c r="C771" s="40" t="str">
        <f aca="false" t="array" ref="C771:C771">_xlfn.XLOOKUP($A771,TRIM(SUBSTITUTE('worker file'!$A$2:$A$406,_xlfn.UNICHAR(160)," ")),'worker file'!$D$2:$D$406,"Not found")</f>
        <v>TX</v>
      </c>
      <c r="D771" s="40" t="str">
        <f aca="false" t="array" ref="D771:D771">_xlfn.XLOOKUP($A771,TRIM(SUBSTITUTE('worker file'!$A$2:$A$406,_xlfn.UNICHAR(160)," ")),'worker file'!$Q$2:$Q$406,"Not found")</f>
        <v>Active</v>
      </c>
      <c r="E771" s="39" t="s">
        <v>634</v>
      </c>
      <c r="F771" s="38" t="str">
        <f aca="false">_xlfn.XLOOKUP($E771,$A$5:$A$8,$B$5:$B$8,"")</f>
        <v>Vision – Employee</v>
      </c>
      <c r="G771" s="38" t="str">
        <f aca="false">_xlfn.XLOOKUP($E771,$A$5:$A$8,$D$5:$D$8,"")</f>
        <v>Pre-tax Section 125 (exempt from FIT/SIT/FICA)</v>
      </c>
      <c r="H771" s="38" t="str">
        <f aca="false">_xlfn.XLOOKUP($E771,$A$5:$A$8,$E$5:$E$8,"")</f>
        <v>Flat</v>
      </c>
      <c r="I771" s="44" t="str">
        <f aca="false">IF($H771="Percent",_xlfn.XLOOKUP($E771,$A$5:$A$8,$F$5:$F$8,""),"")</f>
        <v/>
      </c>
      <c r="J771" s="42" t="n">
        <f aca="false">IF($H771="Flat",_xlfn.XLOOKUP($E771,$A$5:$A$8,$F$5:$F$8,""),"")</f>
        <v>30</v>
      </c>
      <c r="K771" s="38" t="str">
        <f aca="false">_xlfn.XLOOKUP($E771,$A$5:$A$8,$G$5:$G$8,"")</f>
        <v>Per pay period</v>
      </c>
      <c r="L771" s="38" t="str">
        <f aca="false">_xlfn.XLOOKUP($E771,$A$5:$A$8,$H$5:$H$8,"")</f>
        <v>Every pay period (ongoing)</v>
      </c>
      <c r="M771" s="43" t="n">
        <f aca="false" t="array" ref="M771:M771">MAX(_xlfn.XLOOKUP($A771,TRIM(SUBSTITUTE('worker file'!$A$2:$A$406,_xlfn.UNICHAR(160)," ")),'worker file'!$M$2:$M$406,0),_xlfn.XLOOKUP($B771,TRIM('pay group &amp; schedule'!$A$2:$A$6),'pay group &amp; schedule'!$D$2:$D$6,0))</f>
        <v>46299</v>
      </c>
      <c r="N771" s="43" t="str">
        <f aca="false" t="array" ref="N771:N771">_xlfn.LET(_xlpm.t,_xlfn.XLOOKUP($A771,TRIM(SUBSTITUTE('worker file'!$A$2:$A$406,_xlfn.UNICHAR(160)," ")),'worker file'!$N$2:$N$406,""),IF(N(_xlpm.t)=0,"",_xlpm.t))</f>
        <v/>
      </c>
    </row>
    <row r="772" customFormat="false" ht="15" hidden="false" customHeight="false" outlineLevel="0" collapsed="false">
      <c r="A772" s="39" t="s">
        <v>364</v>
      </c>
      <c r="B772" s="40" t="str">
        <f aca="false" t="array" ref="B772:B772">_xlfn.XLOOKUP($A772,TRIM(SUBSTITUTE('worker file'!$A$2:$A$406,_xlfn.UNICHAR(160)," ")),'worker file'!$L$2:$L$406,"Not found")</f>
        <v>US Semi-monthly</v>
      </c>
      <c r="C772" s="40" t="str">
        <f aca="false" t="array" ref="C772:C772">_xlfn.XLOOKUP($A772,TRIM(SUBSTITUTE('worker file'!$A$2:$A$406,_xlfn.UNICHAR(160)," ")),'worker file'!$D$2:$D$406,"Not found")</f>
        <v>IL</v>
      </c>
      <c r="D772" s="40" t="str">
        <f aca="false" t="array" ref="D772:D772">_xlfn.XLOOKUP($A772,TRIM(SUBSTITUTE('worker file'!$A$2:$A$406,_xlfn.UNICHAR(160)," ")),'worker file'!$Q$2:$Q$406,"Not found")</f>
        <v>Active</v>
      </c>
      <c r="E772" s="39" t="s">
        <v>618</v>
      </c>
      <c r="F772" s="38" t="str">
        <f aca="false">_xlfn.XLOOKUP($E772,$A$5:$A$8,$B$5:$B$8,"")</f>
        <v>401(k) Employee Deferral</v>
      </c>
      <c r="G772" s="38" t="str">
        <f aca="false">_xlfn.XLOOKUP($E772,$A$5:$A$8,$D$5:$D$8,"")</f>
        <v>Pre-tax (exempt from FIT/SIT; subject to FICA)</v>
      </c>
      <c r="H772" s="38" t="str">
        <f aca="false">_xlfn.XLOOKUP($E772,$A$5:$A$8,$E$5:$E$8,"")</f>
        <v>Percent</v>
      </c>
      <c r="I772" s="41" t="n">
        <v>0.02</v>
      </c>
      <c r="J772" s="42" t="str">
        <f aca="false">IF($H772="Flat",_xlfn.XLOOKUP($E772,$A$5:$A$8,$F$5:$F$8,""),"")</f>
        <v/>
      </c>
      <c r="K772" s="38" t="str">
        <f aca="false">_xlfn.XLOOKUP($E772,$A$5:$A$8,$G$5:$G$8,"")</f>
        <v>Gross pay</v>
      </c>
      <c r="L772" s="38" t="str">
        <f aca="false">_xlfn.XLOOKUP($E772,$A$5:$A$8,$H$5:$H$8,"")</f>
        <v>Every pay period (ongoing)</v>
      </c>
      <c r="M772" s="43" t="n">
        <f aca="false" t="array" ref="M772:M772">MAX(_xlfn.XLOOKUP($A772,TRIM(SUBSTITUTE('worker file'!$A$2:$A$406,_xlfn.UNICHAR(160)," ")),'worker file'!$M$2:$M$406,0),_xlfn.XLOOKUP($B772,TRIM('pay group &amp; schedule'!$A$2:$A$6),'pay group &amp; schedule'!$D$2:$D$6,0))</f>
        <v>46311</v>
      </c>
      <c r="N772" s="43" t="str">
        <f aca="false" t="array" ref="N772:N772">_xlfn.LET(_xlpm.t,_xlfn.XLOOKUP($A772,TRIM(SUBSTITUTE('worker file'!$A$2:$A$406,_xlfn.UNICHAR(160)," ")),'worker file'!$N$2:$N$406,""),IF(N(_xlpm.t)=0,"",_xlpm.t))</f>
        <v/>
      </c>
    </row>
    <row r="773" customFormat="false" ht="15" hidden="false" customHeight="false" outlineLevel="0" collapsed="false">
      <c r="A773" s="39" t="s">
        <v>364</v>
      </c>
      <c r="B773" s="40" t="str">
        <f aca="false" t="array" ref="B773:B773">_xlfn.XLOOKUP($A773,TRIM(SUBSTITUTE('worker file'!$A$2:$A$406,_xlfn.UNICHAR(160)," ")),'worker file'!$L$2:$L$406,"Not found")</f>
        <v>US Semi-monthly</v>
      </c>
      <c r="C773" s="40" t="str">
        <f aca="false" t="array" ref="C773:C773">_xlfn.XLOOKUP($A773,TRIM(SUBSTITUTE('worker file'!$A$2:$A$406,_xlfn.UNICHAR(160)," ")),'worker file'!$D$2:$D$406,"Not found")</f>
        <v>IL</v>
      </c>
      <c r="D773" s="40" t="str">
        <f aca="false" t="array" ref="D773:D773">_xlfn.XLOOKUP($A773,TRIM(SUBSTITUTE('worker file'!$A$2:$A$406,_xlfn.UNICHAR(160)," ")),'worker file'!$Q$2:$Q$406,"Not found")</f>
        <v>Active</v>
      </c>
      <c r="E773" s="39" t="s">
        <v>626</v>
      </c>
      <c r="F773" s="38" t="str">
        <f aca="false">_xlfn.XLOOKUP($E773,$A$5:$A$8,$B$5:$B$8,"")</f>
        <v>Medical (Health) – Employee</v>
      </c>
      <c r="G773" s="38" t="str">
        <f aca="false">_xlfn.XLOOKUP($E773,$A$5:$A$8,$D$5:$D$8,"")</f>
        <v>Pre-tax Section 125 (exempt from FIT/SIT/FICA)</v>
      </c>
      <c r="H773" s="38" t="str">
        <f aca="false">_xlfn.XLOOKUP($E773,$A$5:$A$8,$E$5:$E$8,"")</f>
        <v>Flat</v>
      </c>
      <c r="I773" s="44" t="str">
        <f aca="false">IF($H773="Percent",_xlfn.XLOOKUP($E773,$A$5:$A$8,$F$5:$F$8,""),"")</f>
        <v/>
      </c>
      <c r="J773" s="42" t="n">
        <f aca="false">IF($H773="Flat",_xlfn.XLOOKUP($E773,$A$5:$A$8,$F$5:$F$8,""),"")</f>
        <v>200</v>
      </c>
      <c r="K773" s="38" t="str">
        <f aca="false">_xlfn.XLOOKUP($E773,$A$5:$A$8,$G$5:$G$8,"")</f>
        <v>Per pay period</v>
      </c>
      <c r="L773" s="38" t="str">
        <f aca="false">_xlfn.XLOOKUP($E773,$A$5:$A$8,$H$5:$H$8,"")</f>
        <v>Every pay period (ongoing)</v>
      </c>
      <c r="M773" s="43" t="n">
        <f aca="false" t="array" ref="M773:M773">MAX(_xlfn.XLOOKUP($A773,TRIM(SUBSTITUTE('worker file'!$A$2:$A$406,_xlfn.UNICHAR(160)," ")),'worker file'!$M$2:$M$406,0),_xlfn.XLOOKUP($B773,TRIM('pay group &amp; schedule'!$A$2:$A$6),'pay group &amp; schedule'!$D$2:$D$6,0))</f>
        <v>46311</v>
      </c>
      <c r="N773" s="43" t="str">
        <f aca="false" t="array" ref="N773:N773">_xlfn.LET(_xlpm.t,_xlfn.XLOOKUP($A773,TRIM(SUBSTITUTE('worker file'!$A$2:$A$406,_xlfn.UNICHAR(160)," ")),'worker file'!$N$2:$N$406,""),IF(N(_xlpm.t)=0,"",_xlpm.t))</f>
        <v/>
      </c>
    </row>
    <row r="774" customFormat="false" ht="15" hidden="false" customHeight="false" outlineLevel="0" collapsed="false">
      <c r="A774" s="39" t="s">
        <v>364</v>
      </c>
      <c r="B774" s="40" t="str">
        <f aca="false" t="array" ref="B774:B774">_xlfn.XLOOKUP($A774,TRIM(SUBSTITUTE('worker file'!$A$2:$A$406,_xlfn.UNICHAR(160)," ")),'worker file'!$L$2:$L$406,"Not found")</f>
        <v>US Semi-monthly</v>
      </c>
      <c r="C774" s="40" t="str">
        <f aca="false" t="array" ref="C774:C774">_xlfn.XLOOKUP($A774,TRIM(SUBSTITUTE('worker file'!$A$2:$A$406,_xlfn.UNICHAR(160)," ")),'worker file'!$D$2:$D$406,"Not found")</f>
        <v>IL</v>
      </c>
      <c r="D774" s="40" t="str">
        <f aca="false" t="array" ref="D774:D774">_xlfn.XLOOKUP($A774,TRIM(SUBSTITUTE('worker file'!$A$2:$A$406,_xlfn.UNICHAR(160)," ")),'worker file'!$Q$2:$Q$406,"Not found")</f>
        <v>Active</v>
      </c>
      <c r="E774" s="39" t="s">
        <v>632</v>
      </c>
      <c r="F774" s="38" t="str">
        <f aca="false">_xlfn.XLOOKUP($E774,$A$5:$A$8,$B$5:$B$8,"")</f>
        <v>Dental – Employee</v>
      </c>
      <c r="G774" s="38" t="str">
        <f aca="false">_xlfn.XLOOKUP($E774,$A$5:$A$8,$D$5:$D$8,"")</f>
        <v>Pre-tax Section 125 (exempt from FIT/SIT/FICA)</v>
      </c>
      <c r="H774" s="38" t="str">
        <f aca="false">_xlfn.XLOOKUP($E774,$A$5:$A$8,$E$5:$E$8,"")</f>
        <v>Flat</v>
      </c>
      <c r="I774" s="44" t="str">
        <f aca="false">IF($H774="Percent",_xlfn.XLOOKUP($E774,$A$5:$A$8,$F$5:$F$8,""),"")</f>
        <v/>
      </c>
      <c r="J774" s="42" t="n">
        <f aca="false">IF($H774="Flat",_xlfn.XLOOKUP($E774,$A$5:$A$8,$F$5:$F$8,""),"")</f>
        <v>44</v>
      </c>
      <c r="K774" s="38" t="str">
        <f aca="false">_xlfn.XLOOKUP($E774,$A$5:$A$8,$G$5:$G$8,"")</f>
        <v>Per pay period</v>
      </c>
      <c r="L774" s="38" t="str">
        <f aca="false">_xlfn.XLOOKUP($E774,$A$5:$A$8,$H$5:$H$8,"")</f>
        <v>Every pay period (ongoing)</v>
      </c>
      <c r="M774" s="43" t="n">
        <f aca="false" t="array" ref="M774:M774">MAX(_xlfn.XLOOKUP($A774,TRIM(SUBSTITUTE('worker file'!$A$2:$A$406,_xlfn.UNICHAR(160)," ")),'worker file'!$M$2:$M$406,0),_xlfn.XLOOKUP($B774,TRIM('pay group &amp; schedule'!$A$2:$A$6),'pay group &amp; schedule'!$D$2:$D$6,0))</f>
        <v>46311</v>
      </c>
      <c r="N774" s="43" t="str">
        <f aca="false" t="array" ref="N774:N774">_xlfn.LET(_xlpm.t,_xlfn.XLOOKUP($A774,TRIM(SUBSTITUTE('worker file'!$A$2:$A$406,_xlfn.UNICHAR(160)," ")),'worker file'!$N$2:$N$406,""),IF(N(_xlpm.t)=0,"",_xlpm.t))</f>
        <v/>
      </c>
    </row>
    <row r="775" customFormat="false" ht="15" hidden="false" customHeight="false" outlineLevel="0" collapsed="false">
      <c r="A775" s="39" t="s">
        <v>364</v>
      </c>
      <c r="B775" s="40" t="str">
        <f aca="false" t="array" ref="B775:B775">_xlfn.XLOOKUP($A775,TRIM(SUBSTITUTE('worker file'!$A$2:$A$406,_xlfn.UNICHAR(160)," ")),'worker file'!$L$2:$L$406,"Not found")</f>
        <v>US Semi-monthly</v>
      </c>
      <c r="C775" s="40" t="str">
        <f aca="false" t="array" ref="C775:C775">_xlfn.XLOOKUP($A775,TRIM(SUBSTITUTE('worker file'!$A$2:$A$406,_xlfn.UNICHAR(160)," ")),'worker file'!$D$2:$D$406,"Not found")</f>
        <v>IL</v>
      </c>
      <c r="D775" s="40" t="str">
        <f aca="false" t="array" ref="D775:D775">_xlfn.XLOOKUP($A775,TRIM(SUBSTITUTE('worker file'!$A$2:$A$406,_xlfn.UNICHAR(160)," ")),'worker file'!$Q$2:$Q$406,"Not found")</f>
        <v>Active</v>
      </c>
      <c r="E775" s="39" t="s">
        <v>634</v>
      </c>
      <c r="F775" s="38" t="str">
        <f aca="false">_xlfn.XLOOKUP($E775,$A$5:$A$8,$B$5:$B$8,"")</f>
        <v>Vision – Employee</v>
      </c>
      <c r="G775" s="38" t="str">
        <f aca="false">_xlfn.XLOOKUP($E775,$A$5:$A$8,$D$5:$D$8,"")</f>
        <v>Pre-tax Section 125 (exempt from FIT/SIT/FICA)</v>
      </c>
      <c r="H775" s="38" t="str">
        <f aca="false">_xlfn.XLOOKUP($E775,$A$5:$A$8,$E$5:$E$8,"")</f>
        <v>Flat</v>
      </c>
      <c r="I775" s="44" t="str">
        <f aca="false">IF($H775="Percent",_xlfn.XLOOKUP($E775,$A$5:$A$8,$F$5:$F$8,""),"")</f>
        <v/>
      </c>
      <c r="J775" s="42" t="n">
        <f aca="false">IF($H775="Flat",_xlfn.XLOOKUP($E775,$A$5:$A$8,$F$5:$F$8,""),"")</f>
        <v>30</v>
      </c>
      <c r="K775" s="38" t="str">
        <f aca="false">_xlfn.XLOOKUP($E775,$A$5:$A$8,$G$5:$G$8,"")</f>
        <v>Per pay period</v>
      </c>
      <c r="L775" s="38" t="str">
        <f aca="false">_xlfn.XLOOKUP($E775,$A$5:$A$8,$H$5:$H$8,"")</f>
        <v>Every pay period (ongoing)</v>
      </c>
      <c r="M775" s="43" t="n">
        <f aca="false" t="array" ref="M775:M775">MAX(_xlfn.XLOOKUP($A775,TRIM(SUBSTITUTE('worker file'!$A$2:$A$406,_xlfn.UNICHAR(160)," ")),'worker file'!$M$2:$M$406,0),_xlfn.XLOOKUP($B775,TRIM('pay group &amp; schedule'!$A$2:$A$6),'pay group &amp; schedule'!$D$2:$D$6,0))</f>
        <v>46311</v>
      </c>
      <c r="N775" s="43" t="str">
        <f aca="false" t="array" ref="N775:N775">_xlfn.LET(_xlpm.t,_xlfn.XLOOKUP($A775,TRIM(SUBSTITUTE('worker file'!$A$2:$A$406,_xlfn.UNICHAR(160)," ")),'worker file'!$N$2:$N$406,""),IF(N(_xlpm.t)=0,"",_xlpm.t))</f>
        <v/>
      </c>
    </row>
    <row r="776" customFormat="false" ht="15" hidden="false" customHeight="false" outlineLevel="0" collapsed="false">
      <c r="A776" s="39" t="s">
        <v>367</v>
      </c>
      <c r="B776" s="40" t="str">
        <f aca="false" t="array" ref="B776:B776">_xlfn.XLOOKUP($A776,TRIM(SUBSTITUTE('worker file'!$A$2:$A$406,_xlfn.UNICHAR(160)," ")),'worker file'!$L$2:$L$406,"Not found")</f>
        <v>US Semi-monthly</v>
      </c>
      <c r="C776" s="40" t="str">
        <f aca="false" t="array" ref="C776:C776">_xlfn.XLOOKUP($A776,TRIM(SUBSTITUTE('worker file'!$A$2:$A$406,_xlfn.UNICHAR(160)," ")),'worker file'!$D$2:$D$406,"Not found")</f>
        <v>CA</v>
      </c>
      <c r="D776" s="40" t="str">
        <f aca="false" t="array" ref="D776:D776">_xlfn.XLOOKUP($A776,TRIM(SUBSTITUTE('worker file'!$A$2:$A$406,_xlfn.UNICHAR(160)," ")),'worker file'!$Q$2:$Q$406,"Not found")</f>
        <v>Active</v>
      </c>
      <c r="E776" s="39" t="s">
        <v>618</v>
      </c>
      <c r="F776" s="38" t="str">
        <f aca="false">_xlfn.XLOOKUP($E776,$A$5:$A$8,$B$5:$B$8,"")</f>
        <v>401(k) Employee Deferral</v>
      </c>
      <c r="G776" s="38" t="str">
        <f aca="false">_xlfn.XLOOKUP($E776,$A$5:$A$8,$D$5:$D$8,"")</f>
        <v>Pre-tax (exempt from FIT/SIT; subject to FICA)</v>
      </c>
      <c r="H776" s="38" t="str">
        <f aca="false">_xlfn.XLOOKUP($E776,$A$5:$A$8,$E$5:$E$8,"")</f>
        <v>Percent</v>
      </c>
      <c r="I776" s="41" t="n">
        <v>0.07</v>
      </c>
      <c r="J776" s="42" t="str">
        <f aca="false">IF($H776="Flat",_xlfn.XLOOKUP($E776,$A$5:$A$8,$F$5:$F$8,""),"")</f>
        <v/>
      </c>
      <c r="K776" s="38" t="str">
        <f aca="false">_xlfn.XLOOKUP($E776,$A$5:$A$8,$G$5:$G$8,"")</f>
        <v>Gross pay</v>
      </c>
      <c r="L776" s="38" t="str">
        <f aca="false">_xlfn.XLOOKUP($E776,$A$5:$A$8,$H$5:$H$8,"")</f>
        <v>Every pay period (ongoing)</v>
      </c>
      <c r="M776" s="43" t="n">
        <f aca="false" t="array" ref="M776:M776">MAX(_xlfn.XLOOKUP($A776,TRIM(SUBSTITUTE('worker file'!$A$2:$A$406,_xlfn.UNICHAR(160)," ")),'worker file'!$M$2:$M$406,0),_xlfn.XLOOKUP($B776,TRIM('pay group &amp; schedule'!$A$2:$A$6),'pay group &amp; schedule'!$D$2:$D$6,0))</f>
        <v>46311</v>
      </c>
      <c r="N776" s="43" t="str">
        <f aca="false" t="array" ref="N776:N776">_xlfn.LET(_xlpm.t,_xlfn.XLOOKUP($A776,TRIM(SUBSTITUTE('worker file'!$A$2:$A$406,_xlfn.UNICHAR(160)," ")),'worker file'!$N$2:$N$406,""),IF(N(_xlpm.t)=0,"",_xlpm.t))</f>
        <v/>
      </c>
    </row>
    <row r="777" customFormat="false" ht="15" hidden="false" customHeight="false" outlineLevel="0" collapsed="false">
      <c r="A777" s="39" t="s">
        <v>367</v>
      </c>
      <c r="B777" s="40" t="str">
        <f aca="false" t="array" ref="B777:B777">_xlfn.XLOOKUP($A777,TRIM(SUBSTITUTE('worker file'!$A$2:$A$406,_xlfn.UNICHAR(160)," ")),'worker file'!$L$2:$L$406,"Not found")</f>
        <v>US Semi-monthly</v>
      </c>
      <c r="C777" s="40" t="str">
        <f aca="false" t="array" ref="C777:C777">_xlfn.XLOOKUP($A777,TRIM(SUBSTITUTE('worker file'!$A$2:$A$406,_xlfn.UNICHAR(160)," ")),'worker file'!$D$2:$D$406,"Not found")</f>
        <v>CA</v>
      </c>
      <c r="D777" s="40" t="str">
        <f aca="false" t="array" ref="D777:D777">_xlfn.XLOOKUP($A777,TRIM(SUBSTITUTE('worker file'!$A$2:$A$406,_xlfn.UNICHAR(160)," ")),'worker file'!$Q$2:$Q$406,"Not found")</f>
        <v>Active</v>
      </c>
      <c r="E777" s="39" t="s">
        <v>626</v>
      </c>
      <c r="F777" s="38" t="str">
        <f aca="false">_xlfn.XLOOKUP($E777,$A$5:$A$8,$B$5:$B$8,"")</f>
        <v>Medical (Health) – Employee</v>
      </c>
      <c r="G777" s="38" t="str">
        <f aca="false">_xlfn.XLOOKUP($E777,$A$5:$A$8,$D$5:$D$8,"")</f>
        <v>Pre-tax Section 125 (exempt from FIT/SIT/FICA)</v>
      </c>
      <c r="H777" s="38" t="str">
        <f aca="false">_xlfn.XLOOKUP($E777,$A$5:$A$8,$E$5:$E$8,"")</f>
        <v>Flat</v>
      </c>
      <c r="I777" s="44" t="str">
        <f aca="false">IF($H777="Percent",_xlfn.XLOOKUP($E777,$A$5:$A$8,$F$5:$F$8,""),"")</f>
        <v/>
      </c>
      <c r="J777" s="42" t="n">
        <f aca="false">IF($H777="Flat",_xlfn.XLOOKUP($E777,$A$5:$A$8,$F$5:$F$8,""),"")</f>
        <v>200</v>
      </c>
      <c r="K777" s="38" t="str">
        <f aca="false">_xlfn.XLOOKUP($E777,$A$5:$A$8,$G$5:$G$8,"")</f>
        <v>Per pay period</v>
      </c>
      <c r="L777" s="38" t="str">
        <f aca="false">_xlfn.XLOOKUP($E777,$A$5:$A$8,$H$5:$H$8,"")</f>
        <v>Every pay period (ongoing)</v>
      </c>
      <c r="M777" s="43" t="n">
        <f aca="false" t="array" ref="M777:M777">MAX(_xlfn.XLOOKUP($A777,TRIM(SUBSTITUTE('worker file'!$A$2:$A$406,_xlfn.UNICHAR(160)," ")),'worker file'!$M$2:$M$406,0),_xlfn.XLOOKUP($B777,TRIM('pay group &amp; schedule'!$A$2:$A$6),'pay group &amp; schedule'!$D$2:$D$6,0))</f>
        <v>46311</v>
      </c>
      <c r="N777" s="43" t="str">
        <f aca="false" t="array" ref="N777:N777">_xlfn.LET(_xlpm.t,_xlfn.XLOOKUP($A777,TRIM(SUBSTITUTE('worker file'!$A$2:$A$406,_xlfn.UNICHAR(160)," ")),'worker file'!$N$2:$N$406,""),IF(N(_xlpm.t)=0,"",_xlpm.t))</f>
        <v/>
      </c>
    </row>
    <row r="778" customFormat="false" ht="15" hidden="false" customHeight="false" outlineLevel="0" collapsed="false">
      <c r="A778" s="39" t="s">
        <v>367</v>
      </c>
      <c r="B778" s="40" t="str">
        <f aca="false" t="array" ref="B778:B778">_xlfn.XLOOKUP($A778,TRIM(SUBSTITUTE('worker file'!$A$2:$A$406,_xlfn.UNICHAR(160)," ")),'worker file'!$L$2:$L$406,"Not found")</f>
        <v>US Semi-monthly</v>
      </c>
      <c r="C778" s="40" t="str">
        <f aca="false" t="array" ref="C778:C778">_xlfn.XLOOKUP($A778,TRIM(SUBSTITUTE('worker file'!$A$2:$A$406,_xlfn.UNICHAR(160)," ")),'worker file'!$D$2:$D$406,"Not found")</f>
        <v>CA</v>
      </c>
      <c r="D778" s="40" t="str">
        <f aca="false" t="array" ref="D778:D778">_xlfn.XLOOKUP($A778,TRIM(SUBSTITUTE('worker file'!$A$2:$A$406,_xlfn.UNICHAR(160)," ")),'worker file'!$Q$2:$Q$406,"Not found")</f>
        <v>Active</v>
      </c>
      <c r="E778" s="39" t="s">
        <v>632</v>
      </c>
      <c r="F778" s="38" t="str">
        <f aca="false">_xlfn.XLOOKUP($E778,$A$5:$A$8,$B$5:$B$8,"")</f>
        <v>Dental – Employee</v>
      </c>
      <c r="G778" s="38" t="str">
        <f aca="false">_xlfn.XLOOKUP($E778,$A$5:$A$8,$D$5:$D$8,"")</f>
        <v>Pre-tax Section 125 (exempt from FIT/SIT/FICA)</v>
      </c>
      <c r="H778" s="38" t="str">
        <f aca="false">_xlfn.XLOOKUP($E778,$A$5:$A$8,$E$5:$E$8,"")</f>
        <v>Flat</v>
      </c>
      <c r="I778" s="44" t="str">
        <f aca="false">IF($H778="Percent",_xlfn.XLOOKUP($E778,$A$5:$A$8,$F$5:$F$8,""),"")</f>
        <v/>
      </c>
      <c r="J778" s="42" t="n">
        <f aca="false">IF($H778="Flat",_xlfn.XLOOKUP($E778,$A$5:$A$8,$F$5:$F$8,""),"")</f>
        <v>44</v>
      </c>
      <c r="K778" s="38" t="str">
        <f aca="false">_xlfn.XLOOKUP($E778,$A$5:$A$8,$G$5:$G$8,"")</f>
        <v>Per pay period</v>
      </c>
      <c r="L778" s="38" t="str">
        <f aca="false">_xlfn.XLOOKUP($E778,$A$5:$A$8,$H$5:$H$8,"")</f>
        <v>Every pay period (ongoing)</v>
      </c>
      <c r="M778" s="43" t="n">
        <f aca="false" t="array" ref="M778:M778">MAX(_xlfn.XLOOKUP($A778,TRIM(SUBSTITUTE('worker file'!$A$2:$A$406,_xlfn.UNICHAR(160)," ")),'worker file'!$M$2:$M$406,0),_xlfn.XLOOKUP($B778,TRIM('pay group &amp; schedule'!$A$2:$A$6),'pay group &amp; schedule'!$D$2:$D$6,0))</f>
        <v>46311</v>
      </c>
      <c r="N778" s="43" t="str">
        <f aca="false" t="array" ref="N778:N778">_xlfn.LET(_xlpm.t,_xlfn.XLOOKUP($A778,TRIM(SUBSTITUTE('worker file'!$A$2:$A$406,_xlfn.UNICHAR(160)," ")),'worker file'!$N$2:$N$406,""),IF(N(_xlpm.t)=0,"",_xlpm.t))</f>
        <v/>
      </c>
    </row>
    <row r="779" customFormat="false" ht="15" hidden="false" customHeight="false" outlineLevel="0" collapsed="false">
      <c r="A779" s="39" t="s">
        <v>367</v>
      </c>
      <c r="B779" s="40" t="str">
        <f aca="false" t="array" ref="B779:B779">_xlfn.XLOOKUP($A779,TRIM(SUBSTITUTE('worker file'!$A$2:$A$406,_xlfn.UNICHAR(160)," ")),'worker file'!$L$2:$L$406,"Not found")</f>
        <v>US Semi-monthly</v>
      </c>
      <c r="C779" s="40" t="str">
        <f aca="false" t="array" ref="C779:C779">_xlfn.XLOOKUP($A779,TRIM(SUBSTITUTE('worker file'!$A$2:$A$406,_xlfn.UNICHAR(160)," ")),'worker file'!$D$2:$D$406,"Not found")</f>
        <v>CA</v>
      </c>
      <c r="D779" s="40" t="str">
        <f aca="false" t="array" ref="D779:D779">_xlfn.XLOOKUP($A779,TRIM(SUBSTITUTE('worker file'!$A$2:$A$406,_xlfn.UNICHAR(160)," ")),'worker file'!$Q$2:$Q$406,"Not found")</f>
        <v>Active</v>
      </c>
      <c r="E779" s="39" t="s">
        <v>634</v>
      </c>
      <c r="F779" s="38" t="str">
        <f aca="false">_xlfn.XLOOKUP($E779,$A$5:$A$8,$B$5:$B$8,"")</f>
        <v>Vision – Employee</v>
      </c>
      <c r="G779" s="38" t="str">
        <f aca="false">_xlfn.XLOOKUP($E779,$A$5:$A$8,$D$5:$D$8,"")</f>
        <v>Pre-tax Section 125 (exempt from FIT/SIT/FICA)</v>
      </c>
      <c r="H779" s="38" t="str">
        <f aca="false">_xlfn.XLOOKUP($E779,$A$5:$A$8,$E$5:$E$8,"")</f>
        <v>Flat</v>
      </c>
      <c r="I779" s="44" t="str">
        <f aca="false">IF($H779="Percent",_xlfn.XLOOKUP($E779,$A$5:$A$8,$F$5:$F$8,""),"")</f>
        <v/>
      </c>
      <c r="J779" s="42" t="n">
        <f aca="false">IF($H779="Flat",_xlfn.XLOOKUP($E779,$A$5:$A$8,$F$5:$F$8,""),"")</f>
        <v>30</v>
      </c>
      <c r="K779" s="38" t="str">
        <f aca="false">_xlfn.XLOOKUP($E779,$A$5:$A$8,$G$5:$G$8,"")</f>
        <v>Per pay period</v>
      </c>
      <c r="L779" s="38" t="str">
        <f aca="false">_xlfn.XLOOKUP($E779,$A$5:$A$8,$H$5:$H$8,"")</f>
        <v>Every pay period (ongoing)</v>
      </c>
      <c r="M779" s="43" t="n">
        <f aca="false" t="array" ref="M779:M779">MAX(_xlfn.XLOOKUP($A779,TRIM(SUBSTITUTE('worker file'!$A$2:$A$406,_xlfn.UNICHAR(160)," ")),'worker file'!$M$2:$M$406,0),_xlfn.XLOOKUP($B779,TRIM('pay group &amp; schedule'!$A$2:$A$6),'pay group &amp; schedule'!$D$2:$D$6,0))</f>
        <v>46311</v>
      </c>
      <c r="N779" s="43" t="str">
        <f aca="false" t="array" ref="N779:N779">_xlfn.LET(_xlpm.t,_xlfn.XLOOKUP($A779,TRIM(SUBSTITUTE('worker file'!$A$2:$A$406,_xlfn.UNICHAR(160)," ")),'worker file'!$N$2:$N$406,""),IF(N(_xlpm.t)=0,"",_xlpm.t))</f>
        <v/>
      </c>
    </row>
    <row r="780" customFormat="false" ht="15" hidden="false" customHeight="false" outlineLevel="0" collapsed="false">
      <c r="A780" s="39" t="s">
        <v>368</v>
      </c>
      <c r="B780" s="40" t="str">
        <f aca="false" t="array" ref="B780:B780">_xlfn.XLOOKUP($A780,TRIM(SUBSTITUTE('worker file'!$A$2:$A$406,_xlfn.UNICHAR(160)," ")),'worker file'!$L$2:$L$406,"Not found")</f>
        <v>US Semi-monthly</v>
      </c>
      <c r="C780" s="40" t="str">
        <f aca="false" t="array" ref="C780:C780">_xlfn.XLOOKUP($A780,TRIM(SUBSTITUTE('worker file'!$A$2:$A$406,_xlfn.UNICHAR(160)," ")),'worker file'!$D$2:$D$406,"Not found")</f>
        <v>CA</v>
      </c>
      <c r="D780" s="40" t="str">
        <f aca="false" t="array" ref="D780:D780">_xlfn.XLOOKUP($A780,TRIM(SUBSTITUTE('worker file'!$A$2:$A$406,_xlfn.UNICHAR(160)," ")),'worker file'!$Q$2:$Q$406,"Not found")</f>
        <v>Active</v>
      </c>
      <c r="E780" s="39" t="s">
        <v>618</v>
      </c>
      <c r="F780" s="38" t="str">
        <f aca="false">_xlfn.XLOOKUP($E780,$A$5:$A$8,$B$5:$B$8,"")</f>
        <v>401(k) Employee Deferral</v>
      </c>
      <c r="G780" s="38" t="str">
        <f aca="false">_xlfn.XLOOKUP($E780,$A$5:$A$8,$D$5:$D$8,"")</f>
        <v>Pre-tax (exempt from FIT/SIT; subject to FICA)</v>
      </c>
      <c r="H780" s="38" t="str">
        <f aca="false">_xlfn.XLOOKUP($E780,$A$5:$A$8,$E$5:$E$8,"")</f>
        <v>Percent</v>
      </c>
      <c r="I780" s="41" t="n">
        <v>0.04</v>
      </c>
      <c r="J780" s="42" t="str">
        <f aca="false">IF($H780="Flat",_xlfn.XLOOKUP($E780,$A$5:$A$8,$F$5:$F$8,""),"")</f>
        <v/>
      </c>
      <c r="K780" s="38" t="str">
        <f aca="false">_xlfn.XLOOKUP($E780,$A$5:$A$8,$G$5:$G$8,"")</f>
        <v>Gross pay</v>
      </c>
      <c r="L780" s="38" t="str">
        <f aca="false">_xlfn.XLOOKUP($E780,$A$5:$A$8,$H$5:$H$8,"")</f>
        <v>Every pay period (ongoing)</v>
      </c>
      <c r="M780" s="43" t="n">
        <f aca="false" t="array" ref="M780:M780">MAX(_xlfn.XLOOKUP($A780,TRIM(SUBSTITUTE('worker file'!$A$2:$A$406,_xlfn.UNICHAR(160)," ")),'worker file'!$M$2:$M$406,0),_xlfn.XLOOKUP($B780,TRIM('pay group &amp; schedule'!$A$2:$A$6),'pay group &amp; schedule'!$D$2:$D$6,0))</f>
        <v>46311</v>
      </c>
      <c r="N780" s="43" t="str">
        <f aca="false" t="array" ref="N780:N780">_xlfn.LET(_xlpm.t,_xlfn.XLOOKUP($A780,TRIM(SUBSTITUTE('worker file'!$A$2:$A$406,_xlfn.UNICHAR(160)," ")),'worker file'!$N$2:$N$406,""),IF(N(_xlpm.t)=0,"",_xlpm.t))</f>
        <v/>
      </c>
    </row>
    <row r="781" customFormat="false" ht="15" hidden="false" customHeight="false" outlineLevel="0" collapsed="false">
      <c r="A781" s="39" t="s">
        <v>368</v>
      </c>
      <c r="B781" s="40" t="str">
        <f aca="false" t="array" ref="B781:B781">_xlfn.XLOOKUP($A781,TRIM(SUBSTITUTE('worker file'!$A$2:$A$406,_xlfn.UNICHAR(160)," ")),'worker file'!$L$2:$L$406,"Not found")</f>
        <v>US Semi-monthly</v>
      </c>
      <c r="C781" s="40" t="str">
        <f aca="false" t="array" ref="C781:C781">_xlfn.XLOOKUP($A781,TRIM(SUBSTITUTE('worker file'!$A$2:$A$406,_xlfn.UNICHAR(160)," ")),'worker file'!$D$2:$D$406,"Not found")</f>
        <v>CA</v>
      </c>
      <c r="D781" s="40" t="str">
        <f aca="false" t="array" ref="D781:D781">_xlfn.XLOOKUP($A781,TRIM(SUBSTITUTE('worker file'!$A$2:$A$406,_xlfn.UNICHAR(160)," ")),'worker file'!$Q$2:$Q$406,"Not found")</f>
        <v>Active</v>
      </c>
      <c r="E781" s="39" t="s">
        <v>626</v>
      </c>
      <c r="F781" s="38" t="str">
        <f aca="false">_xlfn.XLOOKUP($E781,$A$5:$A$8,$B$5:$B$8,"")</f>
        <v>Medical (Health) – Employee</v>
      </c>
      <c r="G781" s="38" t="str">
        <f aca="false">_xlfn.XLOOKUP($E781,$A$5:$A$8,$D$5:$D$8,"")</f>
        <v>Pre-tax Section 125 (exempt from FIT/SIT/FICA)</v>
      </c>
      <c r="H781" s="38" t="str">
        <f aca="false">_xlfn.XLOOKUP($E781,$A$5:$A$8,$E$5:$E$8,"")</f>
        <v>Flat</v>
      </c>
      <c r="I781" s="44" t="str">
        <f aca="false">IF($H781="Percent",_xlfn.XLOOKUP($E781,$A$5:$A$8,$F$5:$F$8,""),"")</f>
        <v/>
      </c>
      <c r="J781" s="42" t="n">
        <f aca="false">IF($H781="Flat",_xlfn.XLOOKUP($E781,$A$5:$A$8,$F$5:$F$8,""),"")</f>
        <v>200</v>
      </c>
      <c r="K781" s="38" t="str">
        <f aca="false">_xlfn.XLOOKUP($E781,$A$5:$A$8,$G$5:$G$8,"")</f>
        <v>Per pay period</v>
      </c>
      <c r="L781" s="38" t="str">
        <f aca="false">_xlfn.XLOOKUP($E781,$A$5:$A$8,$H$5:$H$8,"")</f>
        <v>Every pay period (ongoing)</v>
      </c>
      <c r="M781" s="43" t="n">
        <f aca="false" t="array" ref="M781:M781">MAX(_xlfn.XLOOKUP($A781,TRIM(SUBSTITUTE('worker file'!$A$2:$A$406,_xlfn.UNICHAR(160)," ")),'worker file'!$M$2:$M$406,0),_xlfn.XLOOKUP($B781,TRIM('pay group &amp; schedule'!$A$2:$A$6),'pay group &amp; schedule'!$D$2:$D$6,0))</f>
        <v>46311</v>
      </c>
      <c r="N781" s="43" t="str">
        <f aca="false" t="array" ref="N781:N781">_xlfn.LET(_xlpm.t,_xlfn.XLOOKUP($A781,TRIM(SUBSTITUTE('worker file'!$A$2:$A$406,_xlfn.UNICHAR(160)," ")),'worker file'!$N$2:$N$406,""),IF(N(_xlpm.t)=0,"",_xlpm.t))</f>
        <v/>
      </c>
    </row>
    <row r="782" customFormat="false" ht="15" hidden="false" customHeight="false" outlineLevel="0" collapsed="false">
      <c r="A782" s="39" t="s">
        <v>368</v>
      </c>
      <c r="B782" s="40" t="str">
        <f aca="false" t="array" ref="B782:B782">_xlfn.XLOOKUP($A782,TRIM(SUBSTITUTE('worker file'!$A$2:$A$406,_xlfn.UNICHAR(160)," ")),'worker file'!$L$2:$L$406,"Not found")</f>
        <v>US Semi-monthly</v>
      </c>
      <c r="C782" s="40" t="str">
        <f aca="false" t="array" ref="C782:C782">_xlfn.XLOOKUP($A782,TRIM(SUBSTITUTE('worker file'!$A$2:$A$406,_xlfn.UNICHAR(160)," ")),'worker file'!$D$2:$D$406,"Not found")</f>
        <v>CA</v>
      </c>
      <c r="D782" s="40" t="str">
        <f aca="false" t="array" ref="D782:D782">_xlfn.XLOOKUP($A782,TRIM(SUBSTITUTE('worker file'!$A$2:$A$406,_xlfn.UNICHAR(160)," ")),'worker file'!$Q$2:$Q$406,"Not found")</f>
        <v>Active</v>
      </c>
      <c r="E782" s="39" t="s">
        <v>632</v>
      </c>
      <c r="F782" s="38" t="str">
        <f aca="false">_xlfn.XLOOKUP($E782,$A$5:$A$8,$B$5:$B$8,"")</f>
        <v>Dental – Employee</v>
      </c>
      <c r="G782" s="38" t="str">
        <f aca="false">_xlfn.XLOOKUP($E782,$A$5:$A$8,$D$5:$D$8,"")</f>
        <v>Pre-tax Section 125 (exempt from FIT/SIT/FICA)</v>
      </c>
      <c r="H782" s="38" t="str">
        <f aca="false">_xlfn.XLOOKUP($E782,$A$5:$A$8,$E$5:$E$8,"")</f>
        <v>Flat</v>
      </c>
      <c r="I782" s="44" t="str">
        <f aca="false">IF($H782="Percent",_xlfn.XLOOKUP($E782,$A$5:$A$8,$F$5:$F$8,""),"")</f>
        <v/>
      </c>
      <c r="J782" s="42" t="n">
        <f aca="false">IF($H782="Flat",_xlfn.XLOOKUP($E782,$A$5:$A$8,$F$5:$F$8,""),"")</f>
        <v>44</v>
      </c>
      <c r="K782" s="38" t="str">
        <f aca="false">_xlfn.XLOOKUP($E782,$A$5:$A$8,$G$5:$G$8,"")</f>
        <v>Per pay period</v>
      </c>
      <c r="L782" s="38" t="str">
        <f aca="false">_xlfn.XLOOKUP($E782,$A$5:$A$8,$H$5:$H$8,"")</f>
        <v>Every pay period (ongoing)</v>
      </c>
      <c r="M782" s="43" t="n">
        <f aca="false" t="array" ref="M782:M782">MAX(_xlfn.XLOOKUP($A782,TRIM(SUBSTITUTE('worker file'!$A$2:$A$406,_xlfn.UNICHAR(160)," ")),'worker file'!$M$2:$M$406,0),_xlfn.XLOOKUP($B782,TRIM('pay group &amp; schedule'!$A$2:$A$6),'pay group &amp; schedule'!$D$2:$D$6,0))</f>
        <v>46311</v>
      </c>
      <c r="N782" s="43" t="str">
        <f aca="false" t="array" ref="N782:N782">_xlfn.LET(_xlpm.t,_xlfn.XLOOKUP($A782,TRIM(SUBSTITUTE('worker file'!$A$2:$A$406,_xlfn.UNICHAR(160)," ")),'worker file'!$N$2:$N$406,""),IF(N(_xlpm.t)=0,"",_xlpm.t))</f>
        <v/>
      </c>
    </row>
    <row r="783" customFormat="false" ht="15" hidden="false" customHeight="false" outlineLevel="0" collapsed="false">
      <c r="A783" s="39" t="s">
        <v>368</v>
      </c>
      <c r="B783" s="40" t="str">
        <f aca="false" t="array" ref="B783:B783">_xlfn.XLOOKUP($A783,TRIM(SUBSTITUTE('worker file'!$A$2:$A$406,_xlfn.UNICHAR(160)," ")),'worker file'!$L$2:$L$406,"Not found")</f>
        <v>US Semi-monthly</v>
      </c>
      <c r="C783" s="40" t="str">
        <f aca="false" t="array" ref="C783:C783">_xlfn.XLOOKUP($A783,TRIM(SUBSTITUTE('worker file'!$A$2:$A$406,_xlfn.UNICHAR(160)," ")),'worker file'!$D$2:$D$406,"Not found")</f>
        <v>CA</v>
      </c>
      <c r="D783" s="40" t="str">
        <f aca="false" t="array" ref="D783:D783">_xlfn.XLOOKUP($A783,TRIM(SUBSTITUTE('worker file'!$A$2:$A$406,_xlfn.UNICHAR(160)," ")),'worker file'!$Q$2:$Q$406,"Not found")</f>
        <v>Active</v>
      </c>
      <c r="E783" s="39" t="s">
        <v>634</v>
      </c>
      <c r="F783" s="38" t="str">
        <f aca="false">_xlfn.XLOOKUP($E783,$A$5:$A$8,$B$5:$B$8,"")</f>
        <v>Vision – Employee</v>
      </c>
      <c r="G783" s="38" t="str">
        <f aca="false">_xlfn.XLOOKUP($E783,$A$5:$A$8,$D$5:$D$8,"")</f>
        <v>Pre-tax Section 125 (exempt from FIT/SIT/FICA)</v>
      </c>
      <c r="H783" s="38" t="str">
        <f aca="false">_xlfn.XLOOKUP($E783,$A$5:$A$8,$E$5:$E$8,"")</f>
        <v>Flat</v>
      </c>
      <c r="I783" s="44" t="str">
        <f aca="false">IF($H783="Percent",_xlfn.XLOOKUP($E783,$A$5:$A$8,$F$5:$F$8,""),"")</f>
        <v/>
      </c>
      <c r="J783" s="42" t="n">
        <f aca="false">IF($H783="Flat",_xlfn.XLOOKUP($E783,$A$5:$A$8,$F$5:$F$8,""),"")</f>
        <v>30</v>
      </c>
      <c r="K783" s="38" t="str">
        <f aca="false">_xlfn.XLOOKUP($E783,$A$5:$A$8,$G$5:$G$8,"")</f>
        <v>Per pay period</v>
      </c>
      <c r="L783" s="38" t="str">
        <f aca="false">_xlfn.XLOOKUP($E783,$A$5:$A$8,$H$5:$H$8,"")</f>
        <v>Every pay period (ongoing)</v>
      </c>
      <c r="M783" s="43" t="n">
        <f aca="false" t="array" ref="M783:M783">MAX(_xlfn.XLOOKUP($A783,TRIM(SUBSTITUTE('worker file'!$A$2:$A$406,_xlfn.UNICHAR(160)," ")),'worker file'!$M$2:$M$406,0),_xlfn.XLOOKUP($B783,TRIM('pay group &amp; schedule'!$A$2:$A$6),'pay group &amp; schedule'!$D$2:$D$6,0))</f>
        <v>46311</v>
      </c>
      <c r="N783" s="43" t="str">
        <f aca="false" t="array" ref="N783:N783">_xlfn.LET(_xlpm.t,_xlfn.XLOOKUP($A783,TRIM(SUBSTITUTE('worker file'!$A$2:$A$406,_xlfn.UNICHAR(160)," ")),'worker file'!$N$2:$N$406,""),IF(N(_xlpm.t)=0,"",_xlpm.t))</f>
        <v/>
      </c>
    </row>
    <row r="784" customFormat="false" ht="15" hidden="false" customHeight="false" outlineLevel="0" collapsed="false">
      <c r="A784" s="39" t="s">
        <v>370</v>
      </c>
      <c r="B784" s="40" t="str">
        <f aca="false" t="array" ref="B784:B784">_xlfn.XLOOKUP($A784,TRIM(SUBSTITUTE('worker file'!$A$2:$A$406,_xlfn.UNICHAR(160)," ")),'worker file'!$L$2:$L$406,"Not found")</f>
        <v>US Semi-monthly</v>
      </c>
      <c r="C784" s="40" t="str">
        <f aca="false" t="array" ref="C784:C784">_xlfn.XLOOKUP($A784,TRIM(SUBSTITUTE('worker file'!$A$2:$A$406,_xlfn.UNICHAR(160)," ")),'worker file'!$D$2:$D$406,"Not found")</f>
        <v>WA</v>
      </c>
      <c r="D784" s="40" t="str">
        <f aca="false" t="array" ref="D784:D784">_xlfn.XLOOKUP($A784,TRIM(SUBSTITUTE('worker file'!$A$2:$A$406,_xlfn.UNICHAR(160)," ")),'worker file'!$Q$2:$Q$406,"Not found")</f>
        <v>Active</v>
      </c>
      <c r="E784" s="39" t="s">
        <v>618</v>
      </c>
      <c r="F784" s="38" t="str">
        <f aca="false">_xlfn.XLOOKUP($E784,$A$5:$A$8,$B$5:$B$8,"")</f>
        <v>401(k) Employee Deferral</v>
      </c>
      <c r="G784" s="38" t="str">
        <f aca="false">_xlfn.XLOOKUP($E784,$A$5:$A$8,$D$5:$D$8,"")</f>
        <v>Pre-tax (exempt from FIT/SIT; subject to FICA)</v>
      </c>
      <c r="H784" s="38" t="str">
        <f aca="false">_xlfn.XLOOKUP($E784,$A$5:$A$8,$E$5:$E$8,"")</f>
        <v>Percent</v>
      </c>
      <c r="I784" s="41" t="n">
        <v>0.01</v>
      </c>
      <c r="J784" s="42" t="str">
        <f aca="false">IF($H784="Flat",_xlfn.XLOOKUP($E784,$A$5:$A$8,$F$5:$F$8,""),"")</f>
        <v/>
      </c>
      <c r="K784" s="38" t="str">
        <f aca="false">_xlfn.XLOOKUP($E784,$A$5:$A$8,$G$5:$G$8,"")</f>
        <v>Gross pay</v>
      </c>
      <c r="L784" s="38" t="str">
        <f aca="false">_xlfn.XLOOKUP($E784,$A$5:$A$8,$H$5:$H$8,"")</f>
        <v>Every pay period (ongoing)</v>
      </c>
      <c r="M784" s="43" t="n">
        <f aca="false" t="array" ref="M784:M784">MAX(_xlfn.XLOOKUP($A784,TRIM(SUBSTITUTE('worker file'!$A$2:$A$406,_xlfn.UNICHAR(160)," ")),'worker file'!$M$2:$M$406,0),_xlfn.XLOOKUP($B784,TRIM('pay group &amp; schedule'!$A$2:$A$6),'pay group &amp; schedule'!$D$2:$D$6,0))</f>
        <v>46311</v>
      </c>
      <c r="N784" s="43" t="str">
        <f aca="false" t="array" ref="N784:N784">_xlfn.LET(_xlpm.t,_xlfn.XLOOKUP($A784,TRIM(SUBSTITUTE('worker file'!$A$2:$A$406,_xlfn.UNICHAR(160)," ")),'worker file'!$N$2:$N$406,""),IF(N(_xlpm.t)=0,"",_xlpm.t))</f>
        <v/>
      </c>
    </row>
    <row r="785" customFormat="false" ht="15" hidden="false" customHeight="false" outlineLevel="0" collapsed="false">
      <c r="A785" s="39" t="s">
        <v>370</v>
      </c>
      <c r="B785" s="40" t="str">
        <f aca="false" t="array" ref="B785:B785">_xlfn.XLOOKUP($A785,TRIM(SUBSTITUTE('worker file'!$A$2:$A$406,_xlfn.UNICHAR(160)," ")),'worker file'!$L$2:$L$406,"Not found")</f>
        <v>US Semi-monthly</v>
      </c>
      <c r="C785" s="40" t="str">
        <f aca="false" t="array" ref="C785:C785">_xlfn.XLOOKUP($A785,TRIM(SUBSTITUTE('worker file'!$A$2:$A$406,_xlfn.UNICHAR(160)," ")),'worker file'!$D$2:$D$406,"Not found")</f>
        <v>WA</v>
      </c>
      <c r="D785" s="40" t="str">
        <f aca="false" t="array" ref="D785:D785">_xlfn.XLOOKUP($A785,TRIM(SUBSTITUTE('worker file'!$A$2:$A$406,_xlfn.UNICHAR(160)," ")),'worker file'!$Q$2:$Q$406,"Not found")</f>
        <v>Active</v>
      </c>
      <c r="E785" s="39" t="s">
        <v>626</v>
      </c>
      <c r="F785" s="38" t="str">
        <f aca="false">_xlfn.XLOOKUP($E785,$A$5:$A$8,$B$5:$B$8,"")</f>
        <v>Medical (Health) – Employee</v>
      </c>
      <c r="G785" s="38" t="str">
        <f aca="false">_xlfn.XLOOKUP($E785,$A$5:$A$8,$D$5:$D$8,"")</f>
        <v>Pre-tax Section 125 (exempt from FIT/SIT/FICA)</v>
      </c>
      <c r="H785" s="38" t="str">
        <f aca="false">_xlfn.XLOOKUP($E785,$A$5:$A$8,$E$5:$E$8,"")</f>
        <v>Flat</v>
      </c>
      <c r="I785" s="44" t="str">
        <f aca="false">IF($H785="Percent",_xlfn.XLOOKUP($E785,$A$5:$A$8,$F$5:$F$8,""),"")</f>
        <v/>
      </c>
      <c r="J785" s="42" t="n">
        <f aca="false">IF($H785="Flat",_xlfn.XLOOKUP($E785,$A$5:$A$8,$F$5:$F$8,""),"")</f>
        <v>200</v>
      </c>
      <c r="K785" s="38" t="str">
        <f aca="false">_xlfn.XLOOKUP($E785,$A$5:$A$8,$G$5:$G$8,"")</f>
        <v>Per pay period</v>
      </c>
      <c r="L785" s="38" t="str">
        <f aca="false">_xlfn.XLOOKUP($E785,$A$5:$A$8,$H$5:$H$8,"")</f>
        <v>Every pay period (ongoing)</v>
      </c>
      <c r="M785" s="43" t="n">
        <f aca="false" t="array" ref="M785:M785">MAX(_xlfn.XLOOKUP($A785,TRIM(SUBSTITUTE('worker file'!$A$2:$A$406,_xlfn.UNICHAR(160)," ")),'worker file'!$M$2:$M$406,0),_xlfn.XLOOKUP($B785,TRIM('pay group &amp; schedule'!$A$2:$A$6),'pay group &amp; schedule'!$D$2:$D$6,0))</f>
        <v>46311</v>
      </c>
      <c r="N785" s="43" t="str">
        <f aca="false" t="array" ref="N785:N785">_xlfn.LET(_xlpm.t,_xlfn.XLOOKUP($A785,TRIM(SUBSTITUTE('worker file'!$A$2:$A$406,_xlfn.UNICHAR(160)," ")),'worker file'!$N$2:$N$406,""),IF(N(_xlpm.t)=0,"",_xlpm.t))</f>
        <v/>
      </c>
    </row>
    <row r="786" customFormat="false" ht="15" hidden="false" customHeight="false" outlineLevel="0" collapsed="false">
      <c r="A786" s="39" t="s">
        <v>370</v>
      </c>
      <c r="B786" s="40" t="str">
        <f aca="false" t="array" ref="B786:B786">_xlfn.XLOOKUP($A786,TRIM(SUBSTITUTE('worker file'!$A$2:$A$406,_xlfn.UNICHAR(160)," ")),'worker file'!$L$2:$L$406,"Not found")</f>
        <v>US Semi-monthly</v>
      </c>
      <c r="C786" s="40" t="str">
        <f aca="false" t="array" ref="C786:C786">_xlfn.XLOOKUP($A786,TRIM(SUBSTITUTE('worker file'!$A$2:$A$406,_xlfn.UNICHAR(160)," ")),'worker file'!$D$2:$D$406,"Not found")</f>
        <v>WA</v>
      </c>
      <c r="D786" s="40" t="str">
        <f aca="false" t="array" ref="D786:D786">_xlfn.XLOOKUP($A786,TRIM(SUBSTITUTE('worker file'!$A$2:$A$406,_xlfn.UNICHAR(160)," ")),'worker file'!$Q$2:$Q$406,"Not found")</f>
        <v>Active</v>
      </c>
      <c r="E786" s="39" t="s">
        <v>632</v>
      </c>
      <c r="F786" s="38" t="str">
        <f aca="false">_xlfn.XLOOKUP($E786,$A$5:$A$8,$B$5:$B$8,"")</f>
        <v>Dental – Employee</v>
      </c>
      <c r="G786" s="38" t="str">
        <f aca="false">_xlfn.XLOOKUP($E786,$A$5:$A$8,$D$5:$D$8,"")</f>
        <v>Pre-tax Section 125 (exempt from FIT/SIT/FICA)</v>
      </c>
      <c r="H786" s="38" t="str">
        <f aca="false">_xlfn.XLOOKUP($E786,$A$5:$A$8,$E$5:$E$8,"")</f>
        <v>Flat</v>
      </c>
      <c r="I786" s="44" t="str">
        <f aca="false">IF($H786="Percent",_xlfn.XLOOKUP($E786,$A$5:$A$8,$F$5:$F$8,""),"")</f>
        <v/>
      </c>
      <c r="J786" s="42" t="n">
        <f aca="false">IF($H786="Flat",_xlfn.XLOOKUP($E786,$A$5:$A$8,$F$5:$F$8,""),"")</f>
        <v>44</v>
      </c>
      <c r="K786" s="38" t="str">
        <f aca="false">_xlfn.XLOOKUP($E786,$A$5:$A$8,$G$5:$G$8,"")</f>
        <v>Per pay period</v>
      </c>
      <c r="L786" s="38" t="str">
        <f aca="false">_xlfn.XLOOKUP($E786,$A$5:$A$8,$H$5:$H$8,"")</f>
        <v>Every pay period (ongoing)</v>
      </c>
      <c r="M786" s="43" t="n">
        <f aca="false" t="array" ref="M786:M786">MAX(_xlfn.XLOOKUP($A786,TRIM(SUBSTITUTE('worker file'!$A$2:$A$406,_xlfn.UNICHAR(160)," ")),'worker file'!$M$2:$M$406,0),_xlfn.XLOOKUP($B786,TRIM('pay group &amp; schedule'!$A$2:$A$6),'pay group &amp; schedule'!$D$2:$D$6,0))</f>
        <v>46311</v>
      </c>
      <c r="N786" s="43" t="str">
        <f aca="false" t="array" ref="N786:N786">_xlfn.LET(_xlpm.t,_xlfn.XLOOKUP($A786,TRIM(SUBSTITUTE('worker file'!$A$2:$A$406,_xlfn.UNICHAR(160)," ")),'worker file'!$N$2:$N$406,""),IF(N(_xlpm.t)=0,"",_xlpm.t))</f>
        <v/>
      </c>
    </row>
    <row r="787" customFormat="false" ht="15" hidden="false" customHeight="false" outlineLevel="0" collapsed="false">
      <c r="A787" s="39" t="s">
        <v>370</v>
      </c>
      <c r="B787" s="40" t="str">
        <f aca="false" t="array" ref="B787:B787">_xlfn.XLOOKUP($A787,TRIM(SUBSTITUTE('worker file'!$A$2:$A$406,_xlfn.UNICHAR(160)," ")),'worker file'!$L$2:$L$406,"Not found")</f>
        <v>US Semi-monthly</v>
      </c>
      <c r="C787" s="40" t="str">
        <f aca="false" t="array" ref="C787:C787">_xlfn.XLOOKUP($A787,TRIM(SUBSTITUTE('worker file'!$A$2:$A$406,_xlfn.UNICHAR(160)," ")),'worker file'!$D$2:$D$406,"Not found")</f>
        <v>WA</v>
      </c>
      <c r="D787" s="40" t="str">
        <f aca="false" t="array" ref="D787:D787">_xlfn.XLOOKUP($A787,TRIM(SUBSTITUTE('worker file'!$A$2:$A$406,_xlfn.UNICHAR(160)," ")),'worker file'!$Q$2:$Q$406,"Not found")</f>
        <v>Active</v>
      </c>
      <c r="E787" s="39" t="s">
        <v>634</v>
      </c>
      <c r="F787" s="38" t="str">
        <f aca="false">_xlfn.XLOOKUP($E787,$A$5:$A$8,$B$5:$B$8,"")</f>
        <v>Vision – Employee</v>
      </c>
      <c r="G787" s="38" t="str">
        <f aca="false">_xlfn.XLOOKUP($E787,$A$5:$A$8,$D$5:$D$8,"")</f>
        <v>Pre-tax Section 125 (exempt from FIT/SIT/FICA)</v>
      </c>
      <c r="H787" s="38" t="str">
        <f aca="false">_xlfn.XLOOKUP($E787,$A$5:$A$8,$E$5:$E$8,"")</f>
        <v>Flat</v>
      </c>
      <c r="I787" s="44" t="str">
        <f aca="false">IF($H787="Percent",_xlfn.XLOOKUP($E787,$A$5:$A$8,$F$5:$F$8,""),"")</f>
        <v/>
      </c>
      <c r="J787" s="42" t="n">
        <f aca="false">IF($H787="Flat",_xlfn.XLOOKUP($E787,$A$5:$A$8,$F$5:$F$8,""),"")</f>
        <v>30</v>
      </c>
      <c r="K787" s="38" t="str">
        <f aca="false">_xlfn.XLOOKUP($E787,$A$5:$A$8,$G$5:$G$8,"")</f>
        <v>Per pay period</v>
      </c>
      <c r="L787" s="38" t="str">
        <f aca="false">_xlfn.XLOOKUP($E787,$A$5:$A$8,$H$5:$H$8,"")</f>
        <v>Every pay period (ongoing)</v>
      </c>
      <c r="M787" s="43" t="n">
        <f aca="false" t="array" ref="M787:M787">MAX(_xlfn.XLOOKUP($A787,TRIM(SUBSTITUTE('worker file'!$A$2:$A$406,_xlfn.UNICHAR(160)," ")),'worker file'!$M$2:$M$406,0),_xlfn.XLOOKUP($B787,TRIM('pay group &amp; schedule'!$A$2:$A$6),'pay group &amp; schedule'!$D$2:$D$6,0))</f>
        <v>46311</v>
      </c>
      <c r="N787" s="43" t="str">
        <f aca="false" t="array" ref="N787:N787">_xlfn.LET(_xlpm.t,_xlfn.XLOOKUP($A787,TRIM(SUBSTITUTE('worker file'!$A$2:$A$406,_xlfn.UNICHAR(160)," ")),'worker file'!$N$2:$N$406,""),IF(N(_xlpm.t)=0,"",_xlpm.t))</f>
        <v/>
      </c>
    </row>
    <row r="788" customFormat="false" ht="15" hidden="false" customHeight="false" outlineLevel="0" collapsed="false">
      <c r="A788" s="39" t="s">
        <v>371</v>
      </c>
      <c r="B788" s="40" t="str">
        <f aca="false" t="array" ref="B788:B788">_xlfn.XLOOKUP($A788,TRIM(SUBSTITUTE('worker file'!$A$2:$A$406,_xlfn.UNICHAR(160)," ")),'worker file'!$L$2:$L$406,"Not found")</f>
        <v>US Semi-monthly</v>
      </c>
      <c r="C788" s="40" t="str">
        <f aca="false" t="array" ref="C788:C788">_xlfn.XLOOKUP($A788,TRIM(SUBSTITUTE('worker file'!$A$2:$A$406,_xlfn.UNICHAR(160)," ")),'worker file'!$D$2:$D$406,"Not found")</f>
        <v>WA</v>
      </c>
      <c r="D788" s="40" t="str">
        <f aca="false" t="array" ref="D788:D788">_xlfn.XLOOKUP($A788,TRIM(SUBSTITUTE('worker file'!$A$2:$A$406,_xlfn.UNICHAR(160)," ")),'worker file'!$Q$2:$Q$406,"Not found")</f>
        <v>Active</v>
      </c>
      <c r="E788" s="39" t="s">
        <v>618</v>
      </c>
      <c r="F788" s="38" t="str">
        <f aca="false">_xlfn.XLOOKUP($E788,$A$5:$A$8,$B$5:$B$8,"")</f>
        <v>401(k) Employee Deferral</v>
      </c>
      <c r="G788" s="38" t="str">
        <f aca="false">_xlfn.XLOOKUP($E788,$A$5:$A$8,$D$5:$D$8,"")</f>
        <v>Pre-tax (exempt from FIT/SIT; subject to FICA)</v>
      </c>
      <c r="H788" s="38" t="str">
        <f aca="false">_xlfn.XLOOKUP($E788,$A$5:$A$8,$E$5:$E$8,"")</f>
        <v>Percent</v>
      </c>
      <c r="I788" s="41" t="n">
        <v>0.06</v>
      </c>
      <c r="J788" s="42" t="str">
        <f aca="false">IF($H788="Flat",_xlfn.XLOOKUP($E788,$A$5:$A$8,$F$5:$F$8,""),"")</f>
        <v/>
      </c>
      <c r="K788" s="38" t="str">
        <f aca="false">_xlfn.XLOOKUP($E788,$A$5:$A$8,$G$5:$G$8,"")</f>
        <v>Gross pay</v>
      </c>
      <c r="L788" s="38" t="str">
        <f aca="false">_xlfn.XLOOKUP($E788,$A$5:$A$8,$H$5:$H$8,"")</f>
        <v>Every pay period (ongoing)</v>
      </c>
      <c r="M788" s="43" t="n">
        <f aca="false" t="array" ref="M788:M788">MAX(_xlfn.XLOOKUP($A788,TRIM(SUBSTITUTE('worker file'!$A$2:$A$406,_xlfn.UNICHAR(160)," ")),'worker file'!$M$2:$M$406,0),_xlfn.XLOOKUP($B788,TRIM('pay group &amp; schedule'!$A$2:$A$6),'pay group &amp; schedule'!$D$2:$D$6,0))</f>
        <v>46311</v>
      </c>
      <c r="N788" s="43" t="str">
        <f aca="false" t="array" ref="N788:N788">_xlfn.LET(_xlpm.t,_xlfn.XLOOKUP($A788,TRIM(SUBSTITUTE('worker file'!$A$2:$A$406,_xlfn.UNICHAR(160)," ")),'worker file'!$N$2:$N$406,""),IF(N(_xlpm.t)=0,"",_xlpm.t))</f>
        <v/>
      </c>
    </row>
    <row r="789" customFormat="false" ht="15" hidden="false" customHeight="false" outlineLevel="0" collapsed="false">
      <c r="A789" s="39" t="s">
        <v>371</v>
      </c>
      <c r="B789" s="40" t="str">
        <f aca="false" t="array" ref="B789:B789">_xlfn.XLOOKUP($A789,TRIM(SUBSTITUTE('worker file'!$A$2:$A$406,_xlfn.UNICHAR(160)," ")),'worker file'!$L$2:$L$406,"Not found")</f>
        <v>US Semi-monthly</v>
      </c>
      <c r="C789" s="40" t="str">
        <f aca="false" t="array" ref="C789:C789">_xlfn.XLOOKUP($A789,TRIM(SUBSTITUTE('worker file'!$A$2:$A$406,_xlfn.UNICHAR(160)," ")),'worker file'!$D$2:$D$406,"Not found")</f>
        <v>WA</v>
      </c>
      <c r="D789" s="40" t="str">
        <f aca="false" t="array" ref="D789:D789">_xlfn.XLOOKUP($A789,TRIM(SUBSTITUTE('worker file'!$A$2:$A$406,_xlfn.UNICHAR(160)," ")),'worker file'!$Q$2:$Q$406,"Not found")</f>
        <v>Active</v>
      </c>
      <c r="E789" s="39" t="s">
        <v>626</v>
      </c>
      <c r="F789" s="38" t="str">
        <f aca="false">_xlfn.XLOOKUP($E789,$A$5:$A$8,$B$5:$B$8,"")</f>
        <v>Medical (Health) – Employee</v>
      </c>
      <c r="G789" s="38" t="str">
        <f aca="false">_xlfn.XLOOKUP($E789,$A$5:$A$8,$D$5:$D$8,"")</f>
        <v>Pre-tax Section 125 (exempt from FIT/SIT/FICA)</v>
      </c>
      <c r="H789" s="38" t="str">
        <f aca="false">_xlfn.XLOOKUP($E789,$A$5:$A$8,$E$5:$E$8,"")</f>
        <v>Flat</v>
      </c>
      <c r="I789" s="44" t="str">
        <f aca="false">IF($H789="Percent",_xlfn.XLOOKUP($E789,$A$5:$A$8,$F$5:$F$8,""),"")</f>
        <v/>
      </c>
      <c r="J789" s="42" t="n">
        <f aca="false">IF($H789="Flat",_xlfn.XLOOKUP($E789,$A$5:$A$8,$F$5:$F$8,""),"")</f>
        <v>200</v>
      </c>
      <c r="K789" s="38" t="str">
        <f aca="false">_xlfn.XLOOKUP($E789,$A$5:$A$8,$G$5:$G$8,"")</f>
        <v>Per pay period</v>
      </c>
      <c r="L789" s="38" t="str">
        <f aca="false">_xlfn.XLOOKUP($E789,$A$5:$A$8,$H$5:$H$8,"")</f>
        <v>Every pay period (ongoing)</v>
      </c>
      <c r="M789" s="43" t="n">
        <f aca="false" t="array" ref="M789:M789">MAX(_xlfn.XLOOKUP($A789,TRIM(SUBSTITUTE('worker file'!$A$2:$A$406,_xlfn.UNICHAR(160)," ")),'worker file'!$M$2:$M$406,0),_xlfn.XLOOKUP($B789,TRIM('pay group &amp; schedule'!$A$2:$A$6),'pay group &amp; schedule'!$D$2:$D$6,0))</f>
        <v>46311</v>
      </c>
      <c r="N789" s="43" t="str">
        <f aca="false" t="array" ref="N789:N789">_xlfn.LET(_xlpm.t,_xlfn.XLOOKUP($A789,TRIM(SUBSTITUTE('worker file'!$A$2:$A$406,_xlfn.UNICHAR(160)," ")),'worker file'!$N$2:$N$406,""),IF(N(_xlpm.t)=0,"",_xlpm.t))</f>
        <v/>
      </c>
    </row>
    <row r="790" customFormat="false" ht="15" hidden="false" customHeight="false" outlineLevel="0" collapsed="false">
      <c r="A790" s="39" t="s">
        <v>371</v>
      </c>
      <c r="B790" s="40" t="str">
        <f aca="false" t="array" ref="B790:B790">_xlfn.XLOOKUP($A790,TRIM(SUBSTITUTE('worker file'!$A$2:$A$406,_xlfn.UNICHAR(160)," ")),'worker file'!$L$2:$L$406,"Not found")</f>
        <v>US Semi-monthly</v>
      </c>
      <c r="C790" s="40" t="str">
        <f aca="false" t="array" ref="C790:C790">_xlfn.XLOOKUP($A790,TRIM(SUBSTITUTE('worker file'!$A$2:$A$406,_xlfn.UNICHAR(160)," ")),'worker file'!$D$2:$D$406,"Not found")</f>
        <v>WA</v>
      </c>
      <c r="D790" s="40" t="str">
        <f aca="false" t="array" ref="D790:D790">_xlfn.XLOOKUP($A790,TRIM(SUBSTITUTE('worker file'!$A$2:$A$406,_xlfn.UNICHAR(160)," ")),'worker file'!$Q$2:$Q$406,"Not found")</f>
        <v>Active</v>
      </c>
      <c r="E790" s="39" t="s">
        <v>632</v>
      </c>
      <c r="F790" s="38" t="str">
        <f aca="false">_xlfn.XLOOKUP($E790,$A$5:$A$8,$B$5:$B$8,"")</f>
        <v>Dental – Employee</v>
      </c>
      <c r="G790" s="38" t="str">
        <f aca="false">_xlfn.XLOOKUP($E790,$A$5:$A$8,$D$5:$D$8,"")</f>
        <v>Pre-tax Section 125 (exempt from FIT/SIT/FICA)</v>
      </c>
      <c r="H790" s="38" t="str">
        <f aca="false">_xlfn.XLOOKUP($E790,$A$5:$A$8,$E$5:$E$8,"")</f>
        <v>Flat</v>
      </c>
      <c r="I790" s="44" t="str">
        <f aca="false">IF($H790="Percent",_xlfn.XLOOKUP($E790,$A$5:$A$8,$F$5:$F$8,""),"")</f>
        <v/>
      </c>
      <c r="J790" s="42" t="n">
        <f aca="false">IF($H790="Flat",_xlfn.XLOOKUP($E790,$A$5:$A$8,$F$5:$F$8,""),"")</f>
        <v>44</v>
      </c>
      <c r="K790" s="38" t="str">
        <f aca="false">_xlfn.XLOOKUP($E790,$A$5:$A$8,$G$5:$G$8,"")</f>
        <v>Per pay period</v>
      </c>
      <c r="L790" s="38" t="str">
        <f aca="false">_xlfn.XLOOKUP($E790,$A$5:$A$8,$H$5:$H$8,"")</f>
        <v>Every pay period (ongoing)</v>
      </c>
      <c r="M790" s="43" t="n">
        <f aca="false" t="array" ref="M790:M790">MAX(_xlfn.XLOOKUP($A790,TRIM(SUBSTITUTE('worker file'!$A$2:$A$406,_xlfn.UNICHAR(160)," ")),'worker file'!$M$2:$M$406,0),_xlfn.XLOOKUP($B790,TRIM('pay group &amp; schedule'!$A$2:$A$6),'pay group &amp; schedule'!$D$2:$D$6,0))</f>
        <v>46311</v>
      </c>
      <c r="N790" s="43" t="str">
        <f aca="false" t="array" ref="N790:N790">_xlfn.LET(_xlpm.t,_xlfn.XLOOKUP($A790,TRIM(SUBSTITUTE('worker file'!$A$2:$A$406,_xlfn.UNICHAR(160)," ")),'worker file'!$N$2:$N$406,""),IF(N(_xlpm.t)=0,"",_xlpm.t))</f>
        <v/>
      </c>
    </row>
    <row r="791" customFormat="false" ht="15" hidden="false" customHeight="false" outlineLevel="0" collapsed="false">
      <c r="A791" s="39" t="s">
        <v>371</v>
      </c>
      <c r="B791" s="40" t="str">
        <f aca="false" t="array" ref="B791:B791">_xlfn.XLOOKUP($A791,TRIM(SUBSTITUTE('worker file'!$A$2:$A$406,_xlfn.UNICHAR(160)," ")),'worker file'!$L$2:$L$406,"Not found")</f>
        <v>US Semi-monthly</v>
      </c>
      <c r="C791" s="40" t="str">
        <f aca="false" t="array" ref="C791:C791">_xlfn.XLOOKUP($A791,TRIM(SUBSTITUTE('worker file'!$A$2:$A$406,_xlfn.UNICHAR(160)," ")),'worker file'!$D$2:$D$406,"Not found")</f>
        <v>WA</v>
      </c>
      <c r="D791" s="40" t="str">
        <f aca="false" t="array" ref="D791:D791">_xlfn.XLOOKUP($A791,TRIM(SUBSTITUTE('worker file'!$A$2:$A$406,_xlfn.UNICHAR(160)," ")),'worker file'!$Q$2:$Q$406,"Not found")</f>
        <v>Active</v>
      </c>
      <c r="E791" s="39" t="s">
        <v>634</v>
      </c>
      <c r="F791" s="38" t="str">
        <f aca="false">_xlfn.XLOOKUP($E791,$A$5:$A$8,$B$5:$B$8,"")</f>
        <v>Vision – Employee</v>
      </c>
      <c r="G791" s="38" t="str">
        <f aca="false">_xlfn.XLOOKUP($E791,$A$5:$A$8,$D$5:$D$8,"")</f>
        <v>Pre-tax Section 125 (exempt from FIT/SIT/FICA)</v>
      </c>
      <c r="H791" s="38" t="str">
        <f aca="false">_xlfn.XLOOKUP($E791,$A$5:$A$8,$E$5:$E$8,"")</f>
        <v>Flat</v>
      </c>
      <c r="I791" s="44" t="str">
        <f aca="false">IF($H791="Percent",_xlfn.XLOOKUP($E791,$A$5:$A$8,$F$5:$F$8,""),"")</f>
        <v/>
      </c>
      <c r="J791" s="42" t="n">
        <f aca="false">IF($H791="Flat",_xlfn.XLOOKUP($E791,$A$5:$A$8,$F$5:$F$8,""),"")</f>
        <v>30</v>
      </c>
      <c r="K791" s="38" t="str">
        <f aca="false">_xlfn.XLOOKUP($E791,$A$5:$A$8,$G$5:$G$8,"")</f>
        <v>Per pay period</v>
      </c>
      <c r="L791" s="38" t="str">
        <f aca="false">_xlfn.XLOOKUP($E791,$A$5:$A$8,$H$5:$H$8,"")</f>
        <v>Every pay period (ongoing)</v>
      </c>
      <c r="M791" s="43" t="n">
        <f aca="false" t="array" ref="M791:M791">MAX(_xlfn.XLOOKUP($A791,TRIM(SUBSTITUTE('worker file'!$A$2:$A$406,_xlfn.UNICHAR(160)," ")),'worker file'!$M$2:$M$406,0),_xlfn.XLOOKUP($B791,TRIM('pay group &amp; schedule'!$A$2:$A$6),'pay group &amp; schedule'!$D$2:$D$6,0))</f>
        <v>46311</v>
      </c>
      <c r="N791" s="43" t="str">
        <f aca="false" t="array" ref="N791:N791">_xlfn.LET(_xlpm.t,_xlfn.XLOOKUP($A791,TRIM(SUBSTITUTE('worker file'!$A$2:$A$406,_xlfn.UNICHAR(160)," ")),'worker file'!$N$2:$N$406,""),IF(N(_xlpm.t)=0,"",_xlpm.t))</f>
        <v/>
      </c>
    </row>
    <row r="792" customFormat="false" ht="15" hidden="false" customHeight="false" outlineLevel="0" collapsed="false">
      <c r="A792" s="39" t="s">
        <v>372</v>
      </c>
      <c r="B792" s="40" t="str">
        <f aca="false" t="array" ref="B792:B792">_xlfn.XLOOKUP($A792,TRIM(SUBSTITUTE('worker file'!$A$2:$A$406,_xlfn.UNICHAR(160)," ")),'worker file'!$L$2:$L$406,"Not found")</f>
        <v>US Semi-monthly</v>
      </c>
      <c r="C792" s="40" t="str">
        <f aca="false" t="array" ref="C792:C792">_xlfn.XLOOKUP($A792,TRIM(SUBSTITUTE('worker file'!$A$2:$A$406,_xlfn.UNICHAR(160)," ")),'worker file'!$D$2:$D$406,"Not found")</f>
        <v>WA</v>
      </c>
      <c r="D792" s="40" t="str">
        <f aca="false" t="array" ref="D792:D792">_xlfn.XLOOKUP($A792,TRIM(SUBSTITUTE('worker file'!$A$2:$A$406,_xlfn.UNICHAR(160)," ")),'worker file'!$Q$2:$Q$406,"Not found")</f>
        <v>Active</v>
      </c>
      <c r="E792" s="39" t="s">
        <v>618</v>
      </c>
      <c r="F792" s="38" t="str">
        <f aca="false">_xlfn.XLOOKUP($E792,$A$5:$A$8,$B$5:$B$8,"")</f>
        <v>401(k) Employee Deferral</v>
      </c>
      <c r="G792" s="38" t="str">
        <f aca="false">_xlfn.XLOOKUP($E792,$A$5:$A$8,$D$5:$D$8,"")</f>
        <v>Pre-tax (exempt from FIT/SIT; subject to FICA)</v>
      </c>
      <c r="H792" s="38" t="str">
        <f aca="false">_xlfn.XLOOKUP($E792,$A$5:$A$8,$E$5:$E$8,"")</f>
        <v>Percent</v>
      </c>
      <c r="I792" s="41" t="n">
        <v>0.03</v>
      </c>
      <c r="J792" s="42" t="str">
        <f aca="false">IF($H792="Flat",_xlfn.XLOOKUP($E792,$A$5:$A$8,$F$5:$F$8,""),"")</f>
        <v/>
      </c>
      <c r="K792" s="38" t="str">
        <f aca="false">_xlfn.XLOOKUP($E792,$A$5:$A$8,$G$5:$G$8,"")</f>
        <v>Gross pay</v>
      </c>
      <c r="L792" s="38" t="str">
        <f aca="false">_xlfn.XLOOKUP($E792,$A$5:$A$8,$H$5:$H$8,"")</f>
        <v>Every pay period (ongoing)</v>
      </c>
      <c r="M792" s="43" t="n">
        <f aca="false" t="array" ref="M792:M792">MAX(_xlfn.XLOOKUP($A792,TRIM(SUBSTITUTE('worker file'!$A$2:$A$406,_xlfn.UNICHAR(160)," ")),'worker file'!$M$2:$M$406,0),_xlfn.XLOOKUP($B792,TRIM('pay group &amp; schedule'!$A$2:$A$6),'pay group &amp; schedule'!$D$2:$D$6,0))</f>
        <v>46311</v>
      </c>
      <c r="N792" s="43" t="str">
        <f aca="false" t="array" ref="N792:N792">_xlfn.LET(_xlpm.t,_xlfn.XLOOKUP($A792,TRIM(SUBSTITUTE('worker file'!$A$2:$A$406,_xlfn.UNICHAR(160)," ")),'worker file'!$N$2:$N$406,""),IF(N(_xlpm.t)=0,"",_xlpm.t))</f>
        <v/>
      </c>
    </row>
    <row r="793" customFormat="false" ht="15" hidden="false" customHeight="false" outlineLevel="0" collapsed="false">
      <c r="A793" s="39" t="s">
        <v>372</v>
      </c>
      <c r="B793" s="40" t="str">
        <f aca="false" t="array" ref="B793:B793">_xlfn.XLOOKUP($A793,TRIM(SUBSTITUTE('worker file'!$A$2:$A$406,_xlfn.UNICHAR(160)," ")),'worker file'!$L$2:$L$406,"Not found")</f>
        <v>US Semi-monthly</v>
      </c>
      <c r="C793" s="40" t="str">
        <f aca="false" t="array" ref="C793:C793">_xlfn.XLOOKUP($A793,TRIM(SUBSTITUTE('worker file'!$A$2:$A$406,_xlfn.UNICHAR(160)," ")),'worker file'!$D$2:$D$406,"Not found")</f>
        <v>WA</v>
      </c>
      <c r="D793" s="40" t="str">
        <f aca="false" t="array" ref="D793:D793">_xlfn.XLOOKUP($A793,TRIM(SUBSTITUTE('worker file'!$A$2:$A$406,_xlfn.UNICHAR(160)," ")),'worker file'!$Q$2:$Q$406,"Not found")</f>
        <v>Active</v>
      </c>
      <c r="E793" s="39" t="s">
        <v>626</v>
      </c>
      <c r="F793" s="38" t="str">
        <f aca="false">_xlfn.XLOOKUP($E793,$A$5:$A$8,$B$5:$B$8,"")</f>
        <v>Medical (Health) – Employee</v>
      </c>
      <c r="G793" s="38" t="str">
        <f aca="false">_xlfn.XLOOKUP($E793,$A$5:$A$8,$D$5:$D$8,"")</f>
        <v>Pre-tax Section 125 (exempt from FIT/SIT/FICA)</v>
      </c>
      <c r="H793" s="38" t="str">
        <f aca="false">_xlfn.XLOOKUP($E793,$A$5:$A$8,$E$5:$E$8,"")</f>
        <v>Flat</v>
      </c>
      <c r="I793" s="44" t="str">
        <f aca="false">IF($H793="Percent",_xlfn.XLOOKUP($E793,$A$5:$A$8,$F$5:$F$8,""),"")</f>
        <v/>
      </c>
      <c r="J793" s="42" t="n">
        <f aca="false">IF($H793="Flat",_xlfn.XLOOKUP($E793,$A$5:$A$8,$F$5:$F$8,""),"")</f>
        <v>200</v>
      </c>
      <c r="K793" s="38" t="str">
        <f aca="false">_xlfn.XLOOKUP($E793,$A$5:$A$8,$G$5:$G$8,"")</f>
        <v>Per pay period</v>
      </c>
      <c r="L793" s="38" t="str">
        <f aca="false">_xlfn.XLOOKUP($E793,$A$5:$A$8,$H$5:$H$8,"")</f>
        <v>Every pay period (ongoing)</v>
      </c>
      <c r="M793" s="43" t="n">
        <f aca="false" t="array" ref="M793:M793">MAX(_xlfn.XLOOKUP($A793,TRIM(SUBSTITUTE('worker file'!$A$2:$A$406,_xlfn.UNICHAR(160)," ")),'worker file'!$M$2:$M$406,0),_xlfn.XLOOKUP($B793,TRIM('pay group &amp; schedule'!$A$2:$A$6),'pay group &amp; schedule'!$D$2:$D$6,0))</f>
        <v>46311</v>
      </c>
      <c r="N793" s="43" t="str">
        <f aca="false" t="array" ref="N793:N793">_xlfn.LET(_xlpm.t,_xlfn.XLOOKUP($A793,TRIM(SUBSTITUTE('worker file'!$A$2:$A$406,_xlfn.UNICHAR(160)," ")),'worker file'!$N$2:$N$406,""),IF(N(_xlpm.t)=0,"",_xlpm.t))</f>
        <v/>
      </c>
    </row>
    <row r="794" customFormat="false" ht="15" hidden="false" customHeight="false" outlineLevel="0" collapsed="false">
      <c r="A794" s="39" t="s">
        <v>372</v>
      </c>
      <c r="B794" s="40" t="str">
        <f aca="false" t="array" ref="B794:B794">_xlfn.XLOOKUP($A794,TRIM(SUBSTITUTE('worker file'!$A$2:$A$406,_xlfn.UNICHAR(160)," ")),'worker file'!$L$2:$L$406,"Not found")</f>
        <v>US Semi-monthly</v>
      </c>
      <c r="C794" s="40" t="str">
        <f aca="false" t="array" ref="C794:C794">_xlfn.XLOOKUP($A794,TRIM(SUBSTITUTE('worker file'!$A$2:$A$406,_xlfn.UNICHAR(160)," ")),'worker file'!$D$2:$D$406,"Not found")</f>
        <v>WA</v>
      </c>
      <c r="D794" s="40" t="str">
        <f aca="false" t="array" ref="D794:D794">_xlfn.XLOOKUP($A794,TRIM(SUBSTITUTE('worker file'!$A$2:$A$406,_xlfn.UNICHAR(160)," ")),'worker file'!$Q$2:$Q$406,"Not found")</f>
        <v>Active</v>
      </c>
      <c r="E794" s="39" t="s">
        <v>632</v>
      </c>
      <c r="F794" s="38" t="str">
        <f aca="false">_xlfn.XLOOKUP($E794,$A$5:$A$8,$B$5:$B$8,"")</f>
        <v>Dental – Employee</v>
      </c>
      <c r="G794" s="38" t="str">
        <f aca="false">_xlfn.XLOOKUP($E794,$A$5:$A$8,$D$5:$D$8,"")</f>
        <v>Pre-tax Section 125 (exempt from FIT/SIT/FICA)</v>
      </c>
      <c r="H794" s="38" t="str">
        <f aca="false">_xlfn.XLOOKUP($E794,$A$5:$A$8,$E$5:$E$8,"")</f>
        <v>Flat</v>
      </c>
      <c r="I794" s="44" t="str">
        <f aca="false">IF($H794="Percent",_xlfn.XLOOKUP($E794,$A$5:$A$8,$F$5:$F$8,""),"")</f>
        <v/>
      </c>
      <c r="J794" s="42" t="n">
        <f aca="false">IF($H794="Flat",_xlfn.XLOOKUP($E794,$A$5:$A$8,$F$5:$F$8,""),"")</f>
        <v>44</v>
      </c>
      <c r="K794" s="38" t="str">
        <f aca="false">_xlfn.XLOOKUP($E794,$A$5:$A$8,$G$5:$G$8,"")</f>
        <v>Per pay period</v>
      </c>
      <c r="L794" s="38" t="str">
        <f aca="false">_xlfn.XLOOKUP($E794,$A$5:$A$8,$H$5:$H$8,"")</f>
        <v>Every pay period (ongoing)</v>
      </c>
      <c r="M794" s="43" t="n">
        <f aca="false" t="array" ref="M794:M794">MAX(_xlfn.XLOOKUP($A794,TRIM(SUBSTITUTE('worker file'!$A$2:$A$406,_xlfn.UNICHAR(160)," ")),'worker file'!$M$2:$M$406,0),_xlfn.XLOOKUP($B794,TRIM('pay group &amp; schedule'!$A$2:$A$6),'pay group &amp; schedule'!$D$2:$D$6,0))</f>
        <v>46311</v>
      </c>
      <c r="N794" s="43" t="str">
        <f aca="false" t="array" ref="N794:N794">_xlfn.LET(_xlpm.t,_xlfn.XLOOKUP($A794,TRIM(SUBSTITUTE('worker file'!$A$2:$A$406,_xlfn.UNICHAR(160)," ")),'worker file'!$N$2:$N$406,""),IF(N(_xlpm.t)=0,"",_xlpm.t))</f>
        <v/>
      </c>
    </row>
    <row r="795" customFormat="false" ht="15" hidden="false" customHeight="false" outlineLevel="0" collapsed="false">
      <c r="A795" s="39" t="s">
        <v>372</v>
      </c>
      <c r="B795" s="40" t="str">
        <f aca="false" t="array" ref="B795:B795">_xlfn.XLOOKUP($A795,TRIM(SUBSTITUTE('worker file'!$A$2:$A$406,_xlfn.UNICHAR(160)," ")),'worker file'!$L$2:$L$406,"Not found")</f>
        <v>US Semi-monthly</v>
      </c>
      <c r="C795" s="40" t="str">
        <f aca="false" t="array" ref="C795:C795">_xlfn.XLOOKUP($A795,TRIM(SUBSTITUTE('worker file'!$A$2:$A$406,_xlfn.UNICHAR(160)," ")),'worker file'!$D$2:$D$406,"Not found")</f>
        <v>WA</v>
      </c>
      <c r="D795" s="40" t="str">
        <f aca="false" t="array" ref="D795:D795">_xlfn.XLOOKUP($A795,TRIM(SUBSTITUTE('worker file'!$A$2:$A$406,_xlfn.UNICHAR(160)," ")),'worker file'!$Q$2:$Q$406,"Not found")</f>
        <v>Active</v>
      </c>
      <c r="E795" s="39" t="s">
        <v>634</v>
      </c>
      <c r="F795" s="38" t="str">
        <f aca="false">_xlfn.XLOOKUP($E795,$A$5:$A$8,$B$5:$B$8,"")</f>
        <v>Vision – Employee</v>
      </c>
      <c r="G795" s="38" t="str">
        <f aca="false">_xlfn.XLOOKUP($E795,$A$5:$A$8,$D$5:$D$8,"")</f>
        <v>Pre-tax Section 125 (exempt from FIT/SIT/FICA)</v>
      </c>
      <c r="H795" s="38" t="str">
        <f aca="false">_xlfn.XLOOKUP($E795,$A$5:$A$8,$E$5:$E$8,"")</f>
        <v>Flat</v>
      </c>
      <c r="I795" s="44" t="str">
        <f aca="false">IF($H795="Percent",_xlfn.XLOOKUP($E795,$A$5:$A$8,$F$5:$F$8,""),"")</f>
        <v/>
      </c>
      <c r="J795" s="42" t="n">
        <f aca="false">IF($H795="Flat",_xlfn.XLOOKUP($E795,$A$5:$A$8,$F$5:$F$8,""),"")</f>
        <v>30</v>
      </c>
      <c r="K795" s="38" t="str">
        <f aca="false">_xlfn.XLOOKUP($E795,$A$5:$A$8,$G$5:$G$8,"")</f>
        <v>Per pay period</v>
      </c>
      <c r="L795" s="38" t="str">
        <f aca="false">_xlfn.XLOOKUP($E795,$A$5:$A$8,$H$5:$H$8,"")</f>
        <v>Every pay period (ongoing)</v>
      </c>
      <c r="M795" s="43" t="n">
        <f aca="false" t="array" ref="M795:M795">MAX(_xlfn.XLOOKUP($A795,TRIM(SUBSTITUTE('worker file'!$A$2:$A$406,_xlfn.UNICHAR(160)," ")),'worker file'!$M$2:$M$406,0),_xlfn.XLOOKUP($B795,TRIM('pay group &amp; schedule'!$A$2:$A$6),'pay group &amp; schedule'!$D$2:$D$6,0))</f>
        <v>46311</v>
      </c>
      <c r="N795" s="43" t="str">
        <f aca="false" t="array" ref="N795:N795">_xlfn.LET(_xlpm.t,_xlfn.XLOOKUP($A795,TRIM(SUBSTITUTE('worker file'!$A$2:$A$406,_xlfn.UNICHAR(160)," ")),'worker file'!$N$2:$N$406,""),IF(N(_xlpm.t)=0,"",_xlpm.t))</f>
        <v/>
      </c>
    </row>
    <row r="796" customFormat="false" ht="15" hidden="false" customHeight="false" outlineLevel="0" collapsed="false">
      <c r="A796" s="39" t="s">
        <v>373</v>
      </c>
      <c r="B796" s="40" t="str">
        <f aca="false" t="array" ref="B796:B796">_xlfn.XLOOKUP($A796,TRIM(SUBSTITUTE('worker file'!$A$2:$A$406,_xlfn.UNICHAR(160)," ")),'worker file'!$L$2:$L$406,"Not found")</f>
        <v>US Semi-monthly</v>
      </c>
      <c r="C796" s="40" t="str">
        <f aca="false" t="array" ref="C796:C796">_xlfn.XLOOKUP($A796,TRIM(SUBSTITUTE('worker file'!$A$2:$A$406,_xlfn.UNICHAR(160)," ")),'worker file'!$D$2:$D$406,"Not found")</f>
        <v>CA</v>
      </c>
      <c r="D796" s="40" t="str">
        <f aca="false" t="array" ref="D796:D796">_xlfn.XLOOKUP($A796,TRIM(SUBSTITUTE('worker file'!$A$2:$A$406,_xlfn.UNICHAR(160)," ")),'worker file'!$Q$2:$Q$406,"Not found")</f>
        <v>Active</v>
      </c>
      <c r="E796" s="39" t="s">
        <v>626</v>
      </c>
      <c r="F796" s="38" t="str">
        <f aca="false">_xlfn.XLOOKUP($E796,$A$5:$A$8,$B$5:$B$8,"")</f>
        <v>Medical (Health) – Employee</v>
      </c>
      <c r="G796" s="38" t="str">
        <f aca="false">_xlfn.XLOOKUP($E796,$A$5:$A$8,$D$5:$D$8,"")</f>
        <v>Pre-tax Section 125 (exempt from FIT/SIT/FICA)</v>
      </c>
      <c r="H796" s="38" t="str">
        <f aca="false">_xlfn.XLOOKUP($E796,$A$5:$A$8,$E$5:$E$8,"")</f>
        <v>Flat</v>
      </c>
      <c r="I796" s="44" t="str">
        <f aca="false">IF($H796="Percent",_xlfn.XLOOKUP($E796,$A$5:$A$8,$F$5:$F$8,""),"")</f>
        <v/>
      </c>
      <c r="J796" s="42" t="n">
        <f aca="false">IF($H796="Flat",_xlfn.XLOOKUP($E796,$A$5:$A$8,$F$5:$F$8,""),"")</f>
        <v>200</v>
      </c>
      <c r="K796" s="38" t="str">
        <f aca="false">_xlfn.XLOOKUP($E796,$A$5:$A$8,$G$5:$G$8,"")</f>
        <v>Per pay period</v>
      </c>
      <c r="L796" s="38" t="str">
        <f aca="false">_xlfn.XLOOKUP($E796,$A$5:$A$8,$H$5:$H$8,"")</f>
        <v>Every pay period (ongoing)</v>
      </c>
      <c r="M796" s="43" t="n">
        <f aca="false" t="array" ref="M796:M796">MAX(_xlfn.XLOOKUP($A796,TRIM(SUBSTITUTE('worker file'!$A$2:$A$406,_xlfn.UNICHAR(160)," ")),'worker file'!$M$2:$M$406,0),_xlfn.XLOOKUP($B796,TRIM('pay group &amp; schedule'!$A$2:$A$6),'pay group &amp; schedule'!$D$2:$D$6,0))</f>
        <v>46311</v>
      </c>
      <c r="N796" s="43" t="str">
        <f aca="false" t="array" ref="N796:N796">_xlfn.LET(_xlpm.t,_xlfn.XLOOKUP($A796,TRIM(SUBSTITUTE('worker file'!$A$2:$A$406,_xlfn.UNICHAR(160)," ")),'worker file'!$N$2:$N$406,""),IF(N(_xlpm.t)=0,"",_xlpm.t))</f>
        <v/>
      </c>
    </row>
    <row r="797" customFormat="false" ht="15" hidden="false" customHeight="false" outlineLevel="0" collapsed="false">
      <c r="A797" s="39" t="s">
        <v>373</v>
      </c>
      <c r="B797" s="40" t="str">
        <f aca="false" t="array" ref="B797:B797">_xlfn.XLOOKUP($A797,TRIM(SUBSTITUTE('worker file'!$A$2:$A$406,_xlfn.UNICHAR(160)," ")),'worker file'!$L$2:$L$406,"Not found")</f>
        <v>US Semi-monthly</v>
      </c>
      <c r="C797" s="40" t="str">
        <f aca="false" t="array" ref="C797:C797">_xlfn.XLOOKUP($A797,TRIM(SUBSTITUTE('worker file'!$A$2:$A$406,_xlfn.UNICHAR(160)," ")),'worker file'!$D$2:$D$406,"Not found")</f>
        <v>CA</v>
      </c>
      <c r="D797" s="40" t="str">
        <f aca="false" t="array" ref="D797:D797">_xlfn.XLOOKUP($A797,TRIM(SUBSTITUTE('worker file'!$A$2:$A$406,_xlfn.UNICHAR(160)," ")),'worker file'!$Q$2:$Q$406,"Not found")</f>
        <v>Active</v>
      </c>
      <c r="E797" s="39" t="s">
        <v>632</v>
      </c>
      <c r="F797" s="38" t="str">
        <f aca="false">_xlfn.XLOOKUP($E797,$A$5:$A$8,$B$5:$B$8,"")</f>
        <v>Dental – Employee</v>
      </c>
      <c r="G797" s="38" t="str">
        <f aca="false">_xlfn.XLOOKUP($E797,$A$5:$A$8,$D$5:$D$8,"")</f>
        <v>Pre-tax Section 125 (exempt from FIT/SIT/FICA)</v>
      </c>
      <c r="H797" s="38" t="str">
        <f aca="false">_xlfn.XLOOKUP($E797,$A$5:$A$8,$E$5:$E$8,"")</f>
        <v>Flat</v>
      </c>
      <c r="I797" s="44" t="str">
        <f aca="false">IF($H797="Percent",_xlfn.XLOOKUP($E797,$A$5:$A$8,$F$5:$F$8,""),"")</f>
        <v/>
      </c>
      <c r="J797" s="42" t="n">
        <f aca="false">IF($H797="Flat",_xlfn.XLOOKUP($E797,$A$5:$A$8,$F$5:$F$8,""),"")</f>
        <v>44</v>
      </c>
      <c r="K797" s="38" t="str">
        <f aca="false">_xlfn.XLOOKUP($E797,$A$5:$A$8,$G$5:$G$8,"")</f>
        <v>Per pay period</v>
      </c>
      <c r="L797" s="38" t="str">
        <f aca="false">_xlfn.XLOOKUP($E797,$A$5:$A$8,$H$5:$H$8,"")</f>
        <v>Every pay period (ongoing)</v>
      </c>
      <c r="M797" s="43" t="n">
        <f aca="false" t="array" ref="M797:M797">MAX(_xlfn.XLOOKUP($A797,TRIM(SUBSTITUTE('worker file'!$A$2:$A$406,_xlfn.UNICHAR(160)," ")),'worker file'!$M$2:$M$406,0),_xlfn.XLOOKUP($B797,TRIM('pay group &amp; schedule'!$A$2:$A$6),'pay group &amp; schedule'!$D$2:$D$6,0))</f>
        <v>46311</v>
      </c>
      <c r="N797" s="43" t="str">
        <f aca="false" t="array" ref="N797:N797">_xlfn.LET(_xlpm.t,_xlfn.XLOOKUP($A797,TRIM(SUBSTITUTE('worker file'!$A$2:$A$406,_xlfn.UNICHAR(160)," ")),'worker file'!$N$2:$N$406,""),IF(N(_xlpm.t)=0,"",_xlpm.t))</f>
        <v/>
      </c>
    </row>
    <row r="798" customFormat="false" ht="15" hidden="false" customHeight="false" outlineLevel="0" collapsed="false">
      <c r="A798" s="39" t="s">
        <v>373</v>
      </c>
      <c r="B798" s="40" t="str">
        <f aca="false" t="array" ref="B798:B798">_xlfn.XLOOKUP($A798,TRIM(SUBSTITUTE('worker file'!$A$2:$A$406,_xlfn.UNICHAR(160)," ")),'worker file'!$L$2:$L$406,"Not found")</f>
        <v>US Semi-monthly</v>
      </c>
      <c r="C798" s="40" t="str">
        <f aca="false" t="array" ref="C798:C798">_xlfn.XLOOKUP($A798,TRIM(SUBSTITUTE('worker file'!$A$2:$A$406,_xlfn.UNICHAR(160)," ")),'worker file'!$D$2:$D$406,"Not found")</f>
        <v>CA</v>
      </c>
      <c r="D798" s="40" t="str">
        <f aca="false" t="array" ref="D798:D798">_xlfn.XLOOKUP($A798,TRIM(SUBSTITUTE('worker file'!$A$2:$A$406,_xlfn.UNICHAR(160)," ")),'worker file'!$Q$2:$Q$406,"Not found")</f>
        <v>Active</v>
      </c>
      <c r="E798" s="39" t="s">
        <v>634</v>
      </c>
      <c r="F798" s="38" t="str">
        <f aca="false">_xlfn.XLOOKUP($E798,$A$5:$A$8,$B$5:$B$8,"")</f>
        <v>Vision – Employee</v>
      </c>
      <c r="G798" s="38" t="str">
        <f aca="false">_xlfn.XLOOKUP($E798,$A$5:$A$8,$D$5:$D$8,"")</f>
        <v>Pre-tax Section 125 (exempt from FIT/SIT/FICA)</v>
      </c>
      <c r="H798" s="38" t="str">
        <f aca="false">_xlfn.XLOOKUP($E798,$A$5:$A$8,$E$5:$E$8,"")</f>
        <v>Flat</v>
      </c>
      <c r="I798" s="44" t="str">
        <f aca="false">IF($H798="Percent",_xlfn.XLOOKUP($E798,$A$5:$A$8,$F$5:$F$8,""),"")</f>
        <v/>
      </c>
      <c r="J798" s="42" t="n">
        <f aca="false">IF($H798="Flat",_xlfn.XLOOKUP($E798,$A$5:$A$8,$F$5:$F$8,""),"")</f>
        <v>30</v>
      </c>
      <c r="K798" s="38" t="str">
        <f aca="false">_xlfn.XLOOKUP($E798,$A$5:$A$8,$G$5:$G$8,"")</f>
        <v>Per pay period</v>
      </c>
      <c r="L798" s="38" t="str">
        <f aca="false">_xlfn.XLOOKUP($E798,$A$5:$A$8,$H$5:$H$8,"")</f>
        <v>Every pay period (ongoing)</v>
      </c>
      <c r="M798" s="43" t="n">
        <f aca="false" t="array" ref="M798:M798">MAX(_xlfn.XLOOKUP($A798,TRIM(SUBSTITUTE('worker file'!$A$2:$A$406,_xlfn.UNICHAR(160)," ")),'worker file'!$M$2:$M$406,0),_xlfn.XLOOKUP($B798,TRIM('pay group &amp; schedule'!$A$2:$A$6),'pay group &amp; schedule'!$D$2:$D$6,0))</f>
        <v>46311</v>
      </c>
      <c r="N798" s="43" t="str">
        <f aca="false" t="array" ref="N798:N798">_xlfn.LET(_xlpm.t,_xlfn.XLOOKUP($A798,TRIM(SUBSTITUTE('worker file'!$A$2:$A$406,_xlfn.UNICHAR(160)," ")),'worker file'!$N$2:$N$406,""),IF(N(_xlpm.t)=0,"",_xlpm.t))</f>
        <v/>
      </c>
    </row>
    <row r="799" customFormat="false" ht="15" hidden="false" customHeight="false" outlineLevel="0" collapsed="false">
      <c r="A799" s="39" t="s">
        <v>374</v>
      </c>
      <c r="B799" s="40" t="str">
        <f aca="false" t="array" ref="B799:B799">_xlfn.XLOOKUP($A799,TRIM(SUBSTITUTE('worker file'!$A$2:$A$406,_xlfn.UNICHAR(160)," ")),'worker file'!$L$2:$L$406,"Not found")</f>
        <v>US Semi-monthly</v>
      </c>
      <c r="C799" s="40" t="str">
        <f aca="false" t="array" ref="C799:C799">_xlfn.XLOOKUP($A799,TRIM(SUBSTITUTE('worker file'!$A$2:$A$406,_xlfn.UNICHAR(160)," ")),'worker file'!$D$2:$D$406,"Not found")</f>
        <v>WA</v>
      </c>
      <c r="D799" s="40" t="str">
        <f aca="false" t="array" ref="D799:D799">_xlfn.XLOOKUP($A799,TRIM(SUBSTITUTE('worker file'!$A$2:$A$406,_xlfn.UNICHAR(160)," ")),'worker file'!$Q$2:$Q$406,"Not found")</f>
        <v>Active</v>
      </c>
      <c r="E799" s="39" t="s">
        <v>618</v>
      </c>
      <c r="F799" s="38" t="str">
        <f aca="false">_xlfn.XLOOKUP($E799,$A$5:$A$8,$B$5:$B$8,"")</f>
        <v>401(k) Employee Deferral</v>
      </c>
      <c r="G799" s="38" t="str">
        <f aca="false">_xlfn.XLOOKUP($E799,$A$5:$A$8,$D$5:$D$8,"")</f>
        <v>Pre-tax (exempt from FIT/SIT; subject to FICA)</v>
      </c>
      <c r="H799" s="38" t="str">
        <f aca="false">_xlfn.XLOOKUP($E799,$A$5:$A$8,$E$5:$E$8,"")</f>
        <v>Percent</v>
      </c>
      <c r="I799" s="41" t="n">
        <v>0.05</v>
      </c>
      <c r="J799" s="42" t="str">
        <f aca="false">IF($H799="Flat",_xlfn.XLOOKUP($E799,$A$5:$A$8,$F$5:$F$8,""),"")</f>
        <v/>
      </c>
      <c r="K799" s="38" t="str">
        <f aca="false">_xlfn.XLOOKUP($E799,$A$5:$A$8,$G$5:$G$8,"")</f>
        <v>Gross pay</v>
      </c>
      <c r="L799" s="38" t="str">
        <f aca="false">_xlfn.XLOOKUP($E799,$A$5:$A$8,$H$5:$H$8,"")</f>
        <v>Every pay period (ongoing)</v>
      </c>
      <c r="M799" s="43" t="n">
        <f aca="false" t="array" ref="M799:M799">MAX(_xlfn.XLOOKUP($A799,TRIM(SUBSTITUTE('worker file'!$A$2:$A$406,_xlfn.UNICHAR(160)," ")),'worker file'!$M$2:$M$406,0),_xlfn.XLOOKUP($B799,TRIM('pay group &amp; schedule'!$A$2:$A$6),'pay group &amp; schedule'!$D$2:$D$6,0))</f>
        <v>46311</v>
      </c>
      <c r="N799" s="43" t="str">
        <f aca="false" t="array" ref="N799:N799">_xlfn.LET(_xlpm.t,_xlfn.XLOOKUP($A799,TRIM(SUBSTITUTE('worker file'!$A$2:$A$406,_xlfn.UNICHAR(160)," ")),'worker file'!$N$2:$N$406,""),IF(N(_xlpm.t)=0,"",_xlpm.t))</f>
        <v/>
      </c>
    </row>
    <row r="800" customFormat="false" ht="15" hidden="false" customHeight="false" outlineLevel="0" collapsed="false">
      <c r="A800" s="39" t="s">
        <v>374</v>
      </c>
      <c r="B800" s="40" t="str">
        <f aca="false" t="array" ref="B800:B800">_xlfn.XLOOKUP($A800,TRIM(SUBSTITUTE('worker file'!$A$2:$A$406,_xlfn.UNICHAR(160)," ")),'worker file'!$L$2:$L$406,"Not found")</f>
        <v>US Semi-monthly</v>
      </c>
      <c r="C800" s="40" t="str">
        <f aca="false" t="array" ref="C800:C800">_xlfn.XLOOKUP($A800,TRIM(SUBSTITUTE('worker file'!$A$2:$A$406,_xlfn.UNICHAR(160)," ")),'worker file'!$D$2:$D$406,"Not found")</f>
        <v>WA</v>
      </c>
      <c r="D800" s="40" t="str">
        <f aca="false" t="array" ref="D800:D800">_xlfn.XLOOKUP($A800,TRIM(SUBSTITUTE('worker file'!$A$2:$A$406,_xlfn.UNICHAR(160)," ")),'worker file'!$Q$2:$Q$406,"Not found")</f>
        <v>Active</v>
      </c>
      <c r="E800" s="39" t="s">
        <v>626</v>
      </c>
      <c r="F800" s="38" t="str">
        <f aca="false">_xlfn.XLOOKUP($E800,$A$5:$A$8,$B$5:$B$8,"")</f>
        <v>Medical (Health) – Employee</v>
      </c>
      <c r="G800" s="38" t="str">
        <f aca="false">_xlfn.XLOOKUP($E800,$A$5:$A$8,$D$5:$D$8,"")</f>
        <v>Pre-tax Section 125 (exempt from FIT/SIT/FICA)</v>
      </c>
      <c r="H800" s="38" t="str">
        <f aca="false">_xlfn.XLOOKUP($E800,$A$5:$A$8,$E$5:$E$8,"")</f>
        <v>Flat</v>
      </c>
      <c r="I800" s="44" t="str">
        <f aca="false">IF($H800="Percent",_xlfn.XLOOKUP($E800,$A$5:$A$8,$F$5:$F$8,""),"")</f>
        <v/>
      </c>
      <c r="J800" s="42" t="n">
        <f aca="false">IF($H800="Flat",_xlfn.XLOOKUP($E800,$A$5:$A$8,$F$5:$F$8,""),"")</f>
        <v>200</v>
      </c>
      <c r="K800" s="38" t="str">
        <f aca="false">_xlfn.XLOOKUP($E800,$A$5:$A$8,$G$5:$G$8,"")</f>
        <v>Per pay period</v>
      </c>
      <c r="L800" s="38" t="str">
        <f aca="false">_xlfn.XLOOKUP($E800,$A$5:$A$8,$H$5:$H$8,"")</f>
        <v>Every pay period (ongoing)</v>
      </c>
      <c r="M800" s="43" t="n">
        <f aca="false" t="array" ref="M800:M800">MAX(_xlfn.XLOOKUP($A800,TRIM(SUBSTITUTE('worker file'!$A$2:$A$406,_xlfn.UNICHAR(160)," ")),'worker file'!$M$2:$M$406,0),_xlfn.XLOOKUP($B800,TRIM('pay group &amp; schedule'!$A$2:$A$6),'pay group &amp; schedule'!$D$2:$D$6,0))</f>
        <v>46311</v>
      </c>
      <c r="N800" s="43" t="str">
        <f aca="false" t="array" ref="N800:N800">_xlfn.LET(_xlpm.t,_xlfn.XLOOKUP($A800,TRIM(SUBSTITUTE('worker file'!$A$2:$A$406,_xlfn.UNICHAR(160)," ")),'worker file'!$N$2:$N$406,""),IF(N(_xlpm.t)=0,"",_xlpm.t))</f>
        <v/>
      </c>
    </row>
    <row r="801" customFormat="false" ht="15" hidden="false" customHeight="false" outlineLevel="0" collapsed="false">
      <c r="A801" s="39" t="s">
        <v>374</v>
      </c>
      <c r="B801" s="40" t="str">
        <f aca="false" t="array" ref="B801:B801">_xlfn.XLOOKUP($A801,TRIM(SUBSTITUTE('worker file'!$A$2:$A$406,_xlfn.UNICHAR(160)," ")),'worker file'!$L$2:$L$406,"Not found")</f>
        <v>US Semi-monthly</v>
      </c>
      <c r="C801" s="40" t="str">
        <f aca="false" t="array" ref="C801:C801">_xlfn.XLOOKUP($A801,TRIM(SUBSTITUTE('worker file'!$A$2:$A$406,_xlfn.UNICHAR(160)," ")),'worker file'!$D$2:$D$406,"Not found")</f>
        <v>WA</v>
      </c>
      <c r="D801" s="40" t="str">
        <f aca="false" t="array" ref="D801:D801">_xlfn.XLOOKUP($A801,TRIM(SUBSTITUTE('worker file'!$A$2:$A$406,_xlfn.UNICHAR(160)," ")),'worker file'!$Q$2:$Q$406,"Not found")</f>
        <v>Active</v>
      </c>
      <c r="E801" s="39" t="s">
        <v>632</v>
      </c>
      <c r="F801" s="38" t="str">
        <f aca="false">_xlfn.XLOOKUP($E801,$A$5:$A$8,$B$5:$B$8,"")</f>
        <v>Dental – Employee</v>
      </c>
      <c r="G801" s="38" t="str">
        <f aca="false">_xlfn.XLOOKUP($E801,$A$5:$A$8,$D$5:$D$8,"")</f>
        <v>Pre-tax Section 125 (exempt from FIT/SIT/FICA)</v>
      </c>
      <c r="H801" s="38" t="str">
        <f aca="false">_xlfn.XLOOKUP($E801,$A$5:$A$8,$E$5:$E$8,"")</f>
        <v>Flat</v>
      </c>
      <c r="I801" s="44" t="str">
        <f aca="false">IF($H801="Percent",_xlfn.XLOOKUP($E801,$A$5:$A$8,$F$5:$F$8,""),"")</f>
        <v/>
      </c>
      <c r="J801" s="42" t="n">
        <f aca="false">IF($H801="Flat",_xlfn.XLOOKUP($E801,$A$5:$A$8,$F$5:$F$8,""),"")</f>
        <v>44</v>
      </c>
      <c r="K801" s="38" t="str">
        <f aca="false">_xlfn.XLOOKUP($E801,$A$5:$A$8,$G$5:$G$8,"")</f>
        <v>Per pay period</v>
      </c>
      <c r="L801" s="38" t="str">
        <f aca="false">_xlfn.XLOOKUP($E801,$A$5:$A$8,$H$5:$H$8,"")</f>
        <v>Every pay period (ongoing)</v>
      </c>
      <c r="M801" s="43" t="n">
        <f aca="false" t="array" ref="M801:M801">MAX(_xlfn.XLOOKUP($A801,TRIM(SUBSTITUTE('worker file'!$A$2:$A$406,_xlfn.UNICHAR(160)," ")),'worker file'!$M$2:$M$406,0),_xlfn.XLOOKUP($B801,TRIM('pay group &amp; schedule'!$A$2:$A$6),'pay group &amp; schedule'!$D$2:$D$6,0))</f>
        <v>46311</v>
      </c>
      <c r="N801" s="43" t="str">
        <f aca="false" t="array" ref="N801:N801">_xlfn.LET(_xlpm.t,_xlfn.XLOOKUP($A801,TRIM(SUBSTITUTE('worker file'!$A$2:$A$406,_xlfn.UNICHAR(160)," ")),'worker file'!$N$2:$N$406,""),IF(N(_xlpm.t)=0,"",_xlpm.t))</f>
        <v/>
      </c>
    </row>
    <row r="802" customFormat="false" ht="15" hidden="false" customHeight="false" outlineLevel="0" collapsed="false">
      <c r="A802" s="39" t="s">
        <v>374</v>
      </c>
      <c r="B802" s="40" t="str">
        <f aca="false" t="array" ref="B802:B802">_xlfn.XLOOKUP($A802,TRIM(SUBSTITUTE('worker file'!$A$2:$A$406,_xlfn.UNICHAR(160)," ")),'worker file'!$L$2:$L$406,"Not found")</f>
        <v>US Semi-monthly</v>
      </c>
      <c r="C802" s="40" t="str">
        <f aca="false" t="array" ref="C802:C802">_xlfn.XLOOKUP($A802,TRIM(SUBSTITUTE('worker file'!$A$2:$A$406,_xlfn.UNICHAR(160)," ")),'worker file'!$D$2:$D$406,"Not found")</f>
        <v>WA</v>
      </c>
      <c r="D802" s="40" t="str">
        <f aca="false" t="array" ref="D802:D802">_xlfn.XLOOKUP($A802,TRIM(SUBSTITUTE('worker file'!$A$2:$A$406,_xlfn.UNICHAR(160)," ")),'worker file'!$Q$2:$Q$406,"Not found")</f>
        <v>Active</v>
      </c>
      <c r="E802" s="39" t="s">
        <v>634</v>
      </c>
      <c r="F802" s="38" t="str">
        <f aca="false">_xlfn.XLOOKUP($E802,$A$5:$A$8,$B$5:$B$8,"")</f>
        <v>Vision – Employee</v>
      </c>
      <c r="G802" s="38" t="str">
        <f aca="false">_xlfn.XLOOKUP($E802,$A$5:$A$8,$D$5:$D$8,"")</f>
        <v>Pre-tax Section 125 (exempt from FIT/SIT/FICA)</v>
      </c>
      <c r="H802" s="38" t="str">
        <f aca="false">_xlfn.XLOOKUP($E802,$A$5:$A$8,$E$5:$E$8,"")</f>
        <v>Flat</v>
      </c>
      <c r="I802" s="44" t="str">
        <f aca="false">IF($H802="Percent",_xlfn.XLOOKUP($E802,$A$5:$A$8,$F$5:$F$8,""),"")</f>
        <v/>
      </c>
      <c r="J802" s="42" t="n">
        <f aca="false">IF($H802="Flat",_xlfn.XLOOKUP($E802,$A$5:$A$8,$F$5:$F$8,""),"")</f>
        <v>30</v>
      </c>
      <c r="K802" s="38" t="str">
        <f aca="false">_xlfn.XLOOKUP($E802,$A$5:$A$8,$G$5:$G$8,"")</f>
        <v>Per pay period</v>
      </c>
      <c r="L802" s="38" t="str">
        <f aca="false">_xlfn.XLOOKUP($E802,$A$5:$A$8,$H$5:$H$8,"")</f>
        <v>Every pay period (ongoing)</v>
      </c>
      <c r="M802" s="43" t="n">
        <f aca="false" t="array" ref="M802:M802">MAX(_xlfn.XLOOKUP($A802,TRIM(SUBSTITUTE('worker file'!$A$2:$A$406,_xlfn.UNICHAR(160)," ")),'worker file'!$M$2:$M$406,0),_xlfn.XLOOKUP($B802,TRIM('pay group &amp; schedule'!$A$2:$A$6),'pay group &amp; schedule'!$D$2:$D$6,0))</f>
        <v>46311</v>
      </c>
      <c r="N802" s="43" t="str">
        <f aca="false" t="array" ref="N802:N802">_xlfn.LET(_xlpm.t,_xlfn.XLOOKUP($A802,TRIM(SUBSTITUTE('worker file'!$A$2:$A$406,_xlfn.UNICHAR(160)," ")),'worker file'!$N$2:$N$406,""),IF(N(_xlpm.t)=0,"",_xlpm.t))</f>
        <v/>
      </c>
    </row>
    <row r="803" customFormat="false" ht="15" hidden="false" customHeight="false" outlineLevel="0" collapsed="false">
      <c r="A803" s="39" t="s">
        <v>375</v>
      </c>
      <c r="B803" s="40" t="str">
        <f aca="false" t="array" ref="B803:B803">_xlfn.XLOOKUP($A803,TRIM(SUBSTITUTE('worker file'!$A$2:$A$406,_xlfn.UNICHAR(160)," ")),'worker file'!$L$2:$L$406,"Not found")</f>
        <v>US Semi-monthly</v>
      </c>
      <c r="C803" s="40" t="str">
        <f aca="false" t="array" ref="C803:C803">_xlfn.XLOOKUP($A803,TRIM(SUBSTITUTE('worker file'!$A$2:$A$406,_xlfn.UNICHAR(160)," ")),'worker file'!$D$2:$D$406,"Not found")</f>
        <v>CA</v>
      </c>
      <c r="D803" s="40" t="str">
        <f aca="false" t="array" ref="D803:D803">_xlfn.XLOOKUP($A803,TRIM(SUBSTITUTE('worker file'!$A$2:$A$406,_xlfn.UNICHAR(160)," ")),'worker file'!$Q$2:$Q$406,"Not found")</f>
        <v>Active</v>
      </c>
      <c r="E803" s="39" t="s">
        <v>618</v>
      </c>
      <c r="F803" s="38" t="str">
        <f aca="false">_xlfn.XLOOKUP($E803,$A$5:$A$8,$B$5:$B$8,"")</f>
        <v>401(k) Employee Deferral</v>
      </c>
      <c r="G803" s="38" t="str">
        <f aca="false">_xlfn.XLOOKUP($E803,$A$5:$A$8,$D$5:$D$8,"")</f>
        <v>Pre-tax (exempt from FIT/SIT; subject to FICA)</v>
      </c>
      <c r="H803" s="38" t="str">
        <f aca="false">_xlfn.XLOOKUP($E803,$A$5:$A$8,$E$5:$E$8,"")</f>
        <v>Percent</v>
      </c>
      <c r="I803" s="41" t="n">
        <v>0.02</v>
      </c>
      <c r="J803" s="42" t="str">
        <f aca="false">IF($H803="Flat",_xlfn.XLOOKUP($E803,$A$5:$A$8,$F$5:$F$8,""),"")</f>
        <v/>
      </c>
      <c r="K803" s="38" t="str">
        <f aca="false">_xlfn.XLOOKUP($E803,$A$5:$A$8,$G$5:$G$8,"")</f>
        <v>Gross pay</v>
      </c>
      <c r="L803" s="38" t="str">
        <f aca="false">_xlfn.XLOOKUP($E803,$A$5:$A$8,$H$5:$H$8,"")</f>
        <v>Every pay period (ongoing)</v>
      </c>
      <c r="M803" s="43" t="n">
        <f aca="false" t="array" ref="M803:M803">MAX(_xlfn.XLOOKUP($A803,TRIM(SUBSTITUTE('worker file'!$A$2:$A$406,_xlfn.UNICHAR(160)," ")),'worker file'!$M$2:$M$406,0),_xlfn.XLOOKUP($B803,TRIM('pay group &amp; schedule'!$A$2:$A$6),'pay group &amp; schedule'!$D$2:$D$6,0))</f>
        <v>46311</v>
      </c>
      <c r="N803" s="43" t="str">
        <f aca="false" t="array" ref="N803:N803">_xlfn.LET(_xlpm.t,_xlfn.XLOOKUP($A803,TRIM(SUBSTITUTE('worker file'!$A$2:$A$406,_xlfn.UNICHAR(160)," ")),'worker file'!$N$2:$N$406,""),IF(N(_xlpm.t)=0,"",_xlpm.t))</f>
        <v/>
      </c>
    </row>
    <row r="804" customFormat="false" ht="15" hidden="false" customHeight="false" outlineLevel="0" collapsed="false">
      <c r="A804" s="39" t="s">
        <v>375</v>
      </c>
      <c r="B804" s="40" t="str">
        <f aca="false" t="array" ref="B804:B804">_xlfn.XLOOKUP($A804,TRIM(SUBSTITUTE('worker file'!$A$2:$A$406,_xlfn.UNICHAR(160)," ")),'worker file'!$L$2:$L$406,"Not found")</f>
        <v>US Semi-monthly</v>
      </c>
      <c r="C804" s="40" t="str">
        <f aca="false" t="array" ref="C804:C804">_xlfn.XLOOKUP($A804,TRIM(SUBSTITUTE('worker file'!$A$2:$A$406,_xlfn.UNICHAR(160)," ")),'worker file'!$D$2:$D$406,"Not found")</f>
        <v>CA</v>
      </c>
      <c r="D804" s="40" t="str">
        <f aca="false" t="array" ref="D804:D804">_xlfn.XLOOKUP($A804,TRIM(SUBSTITUTE('worker file'!$A$2:$A$406,_xlfn.UNICHAR(160)," ")),'worker file'!$Q$2:$Q$406,"Not found")</f>
        <v>Active</v>
      </c>
      <c r="E804" s="39" t="s">
        <v>626</v>
      </c>
      <c r="F804" s="38" t="str">
        <f aca="false">_xlfn.XLOOKUP($E804,$A$5:$A$8,$B$5:$B$8,"")</f>
        <v>Medical (Health) – Employee</v>
      </c>
      <c r="G804" s="38" t="str">
        <f aca="false">_xlfn.XLOOKUP($E804,$A$5:$A$8,$D$5:$D$8,"")</f>
        <v>Pre-tax Section 125 (exempt from FIT/SIT/FICA)</v>
      </c>
      <c r="H804" s="38" t="str">
        <f aca="false">_xlfn.XLOOKUP($E804,$A$5:$A$8,$E$5:$E$8,"")</f>
        <v>Flat</v>
      </c>
      <c r="I804" s="44" t="str">
        <f aca="false">IF($H804="Percent",_xlfn.XLOOKUP($E804,$A$5:$A$8,$F$5:$F$8,""),"")</f>
        <v/>
      </c>
      <c r="J804" s="42" t="n">
        <f aca="false">IF($H804="Flat",_xlfn.XLOOKUP($E804,$A$5:$A$8,$F$5:$F$8,""),"")</f>
        <v>200</v>
      </c>
      <c r="K804" s="38" t="str">
        <f aca="false">_xlfn.XLOOKUP($E804,$A$5:$A$8,$G$5:$G$8,"")</f>
        <v>Per pay period</v>
      </c>
      <c r="L804" s="38" t="str">
        <f aca="false">_xlfn.XLOOKUP($E804,$A$5:$A$8,$H$5:$H$8,"")</f>
        <v>Every pay period (ongoing)</v>
      </c>
      <c r="M804" s="43" t="n">
        <f aca="false" t="array" ref="M804:M804">MAX(_xlfn.XLOOKUP($A804,TRIM(SUBSTITUTE('worker file'!$A$2:$A$406,_xlfn.UNICHAR(160)," ")),'worker file'!$M$2:$M$406,0),_xlfn.XLOOKUP($B804,TRIM('pay group &amp; schedule'!$A$2:$A$6),'pay group &amp; schedule'!$D$2:$D$6,0))</f>
        <v>46311</v>
      </c>
      <c r="N804" s="43" t="str">
        <f aca="false" t="array" ref="N804:N804">_xlfn.LET(_xlpm.t,_xlfn.XLOOKUP($A804,TRIM(SUBSTITUTE('worker file'!$A$2:$A$406,_xlfn.UNICHAR(160)," ")),'worker file'!$N$2:$N$406,""),IF(N(_xlpm.t)=0,"",_xlpm.t))</f>
        <v/>
      </c>
    </row>
    <row r="805" customFormat="false" ht="15" hidden="false" customHeight="false" outlineLevel="0" collapsed="false">
      <c r="A805" s="39" t="s">
        <v>375</v>
      </c>
      <c r="B805" s="40" t="str">
        <f aca="false" t="array" ref="B805:B805">_xlfn.XLOOKUP($A805,TRIM(SUBSTITUTE('worker file'!$A$2:$A$406,_xlfn.UNICHAR(160)," ")),'worker file'!$L$2:$L$406,"Not found")</f>
        <v>US Semi-monthly</v>
      </c>
      <c r="C805" s="40" t="str">
        <f aca="false" t="array" ref="C805:C805">_xlfn.XLOOKUP($A805,TRIM(SUBSTITUTE('worker file'!$A$2:$A$406,_xlfn.UNICHAR(160)," ")),'worker file'!$D$2:$D$406,"Not found")</f>
        <v>CA</v>
      </c>
      <c r="D805" s="40" t="str">
        <f aca="false" t="array" ref="D805:D805">_xlfn.XLOOKUP($A805,TRIM(SUBSTITUTE('worker file'!$A$2:$A$406,_xlfn.UNICHAR(160)," ")),'worker file'!$Q$2:$Q$406,"Not found")</f>
        <v>Active</v>
      </c>
      <c r="E805" s="39" t="s">
        <v>632</v>
      </c>
      <c r="F805" s="38" t="str">
        <f aca="false">_xlfn.XLOOKUP($E805,$A$5:$A$8,$B$5:$B$8,"")</f>
        <v>Dental – Employee</v>
      </c>
      <c r="G805" s="38" t="str">
        <f aca="false">_xlfn.XLOOKUP($E805,$A$5:$A$8,$D$5:$D$8,"")</f>
        <v>Pre-tax Section 125 (exempt from FIT/SIT/FICA)</v>
      </c>
      <c r="H805" s="38" t="str">
        <f aca="false">_xlfn.XLOOKUP($E805,$A$5:$A$8,$E$5:$E$8,"")</f>
        <v>Flat</v>
      </c>
      <c r="I805" s="44" t="str">
        <f aca="false">IF($H805="Percent",_xlfn.XLOOKUP($E805,$A$5:$A$8,$F$5:$F$8,""),"")</f>
        <v/>
      </c>
      <c r="J805" s="42" t="n">
        <f aca="false">IF($H805="Flat",_xlfn.XLOOKUP($E805,$A$5:$A$8,$F$5:$F$8,""),"")</f>
        <v>44</v>
      </c>
      <c r="K805" s="38" t="str">
        <f aca="false">_xlfn.XLOOKUP($E805,$A$5:$A$8,$G$5:$G$8,"")</f>
        <v>Per pay period</v>
      </c>
      <c r="L805" s="38" t="str">
        <f aca="false">_xlfn.XLOOKUP($E805,$A$5:$A$8,$H$5:$H$8,"")</f>
        <v>Every pay period (ongoing)</v>
      </c>
      <c r="M805" s="43" t="n">
        <f aca="false" t="array" ref="M805:M805">MAX(_xlfn.XLOOKUP($A805,TRIM(SUBSTITUTE('worker file'!$A$2:$A$406,_xlfn.UNICHAR(160)," ")),'worker file'!$M$2:$M$406,0),_xlfn.XLOOKUP($B805,TRIM('pay group &amp; schedule'!$A$2:$A$6),'pay group &amp; schedule'!$D$2:$D$6,0))</f>
        <v>46311</v>
      </c>
      <c r="N805" s="43" t="str">
        <f aca="false" t="array" ref="N805:N805">_xlfn.LET(_xlpm.t,_xlfn.XLOOKUP($A805,TRIM(SUBSTITUTE('worker file'!$A$2:$A$406,_xlfn.UNICHAR(160)," ")),'worker file'!$N$2:$N$406,""),IF(N(_xlpm.t)=0,"",_xlpm.t))</f>
        <v/>
      </c>
    </row>
    <row r="806" customFormat="false" ht="15" hidden="false" customHeight="false" outlineLevel="0" collapsed="false">
      <c r="A806" s="39" t="s">
        <v>375</v>
      </c>
      <c r="B806" s="40" t="str">
        <f aca="false" t="array" ref="B806:B806">_xlfn.XLOOKUP($A806,TRIM(SUBSTITUTE('worker file'!$A$2:$A$406,_xlfn.UNICHAR(160)," ")),'worker file'!$L$2:$L$406,"Not found")</f>
        <v>US Semi-monthly</v>
      </c>
      <c r="C806" s="40" t="str">
        <f aca="false" t="array" ref="C806:C806">_xlfn.XLOOKUP($A806,TRIM(SUBSTITUTE('worker file'!$A$2:$A$406,_xlfn.UNICHAR(160)," ")),'worker file'!$D$2:$D$406,"Not found")</f>
        <v>CA</v>
      </c>
      <c r="D806" s="40" t="str">
        <f aca="false" t="array" ref="D806:D806">_xlfn.XLOOKUP($A806,TRIM(SUBSTITUTE('worker file'!$A$2:$A$406,_xlfn.UNICHAR(160)," ")),'worker file'!$Q$2:$Q$406,"Not found")</f>
        <v>Active</v>
      </c>
      <c r="E806" s="39" t="s">
        <v>634</v>
      </c>
      <c r="F806" s="38" t="str">
        <f aca="false">_xlfn.XLOOKUP($E806,$A$5:$A$8,$B$5:$B$8,"")</f>
        <v>Vision – Employee</v>
      </c>
      <c r="G806" s="38" t="str">
        <f aca="false">_xlfn.XLOOKUP($E806,$A$5:$A$8,$D$5:$D$8,"")</f>
        <v>Pre-tax Section 125 (exempt from FIT/SIT/FICA)</v>
      </c>
      <c r="H806" s="38" t="str">
        <f aca="false">_xlfn.XLOOKUP($E806,$A$5:$A$8,$E$5:$E$8,"")</f>
        <v>Flat</v>
      </c>
      <c r="I806" s="44" t="str">
        <f aca="false">IF($H806="Percent",_xlfn.XLOOKUP($E806,$A$5:$A$8,$F$5:$F$8,""),"")</f>
        <v/>
      </c>
      <c r="J806" s="42" t="n">
        <f aca="false">IF($H806="Flat",_xlfn.XLOOKUP($E806,$A$5:$A$8,$F$5:$F$8,""),"")</f>
        <v>30</v>
      </c>
      <c r="K806" s="38" t="str">
        <f aca="false">_xlfn.XLOOKUP($E806,$A$5:$A$8,$G$5:$G$8,"")</f>
        <v>Per pay period</v>
      </c>
      <c r="L806" s="38" t="str">
        <f aca="false">_xlfn.XLOOKUP($E806,$A$5:$A$8,$H$5:$H$8,"")</f>
        <v>Every pay period (ongoing)</v>
      </c>
      <c r="M806" s="43" t="n">
        <f aca="false" t="array" ref="M806:M806">MAX(_xlfn.XLOOKUP($A806,TRIM(SUBSTITUTE('worker file'!$A$2:$A$406,_xlfn.UNICHAR(160)," ")),'worker file'!$M$2:$M$406,0),_xlfn.XLOOKUP($B806,TRIM('pay group &amp; schedule'!$A$2:$A$6),'pay group &amp; schedule'!$D$2:$D$6,0))</f>
        <v>46311</v>
      </c>
      <c r="N806" s="43" t="str">
        <f aca="false" t="array" ref="N806:N806">_xlfn.LET(_xlpm.t,_xlfn.XLOOKUP($A806,TRIM(SUBSTITUTE('worker file'!$A$2:$A$406,_xlfn.UNICHAR(160)," ")),'worker file'!$N$2:$N$406,""),IF(N(_xlpm.t)=0,"",_xlpm.t))</f>
        <v/>
      </c>
    </row>
    <row r="807" customFormat="false" ht="15" hidden="false" customHeight="false" outlineLevel="0" collapsed="false">
      <c r="A807" s="39" t="s">
        <v>376</v>
      </c>
      <c r="B807" s="40" t="str">
        <f aca="false" t="array" ref="B807:B807">_xlfn.XLOOKUP($A807,TRIM(SUBSTITUTE('worker file'!$A$2:$A$406,_xlfn.UNICHAR(160)," ")),'worker file'!$L$2:$L$406,"Not found")</f>
        <v>US Biweekly</v>
      </c>
      <c r="C807" s="40" t="str">
        <f aca="false" t="array" ref="C807:C807">_xlfn.XLOOKUP($A807,TRIM(SUBSTITUTE('worker file'!$A$2:$A$406,_xlfn.UNICHAR(160)," ")),'worker file'!$D$2:$D$406,"Not found")</f>
        <v>TX</v>
      </c>
      <c r="D807" s="40" t="str">
        <f aca="false" t="array" ref="D807:D807">_xlfn.XLOOKUP($A807,TRIM(SUBSTITUTE('worker file'!$A$2:$A$406,_xlfn.UNICHAR(160)," ")),'worker file'!$Q$2:$Q$406,"Not found")</f>
        <v>Active</v>
      </c>
      <c r="E807" s="39" t="s">
        <v>618</v>
      </c>
      <c r="F807" s="38" t="str">
        <f aca="false">_xlfn.XLOOKUP($E807,$A$5:$A$8,$B$5:$B$8,"")</f>
        <v>401(k) Employee Deferral</v>
      </c>
      <c r="G807" s="38" t="str">
        <f aca="false">_xlfn.XLOOKUP($E807,$A$5:$A$8,$D$5:$D$8,"")</f>
        <v>Pre-tax (exempt from FIT/SIT; subject to FICA)</v>
      </c>
      <c r="H807" s="38" t="str">
        <f aca="false">_xlfn.XLOOKUP($E807,$A$5:$A$8,$E$5:$E$8,"")</f>
        <v>Percent</v>
      </c>
      <c r="I807" s="41" t="n">
        <v>0.07</v>
      </c>
      <c r="J807" s="42" t="str">
        <f aca="false">IF($H807="Flat",_xlfn.XLOOKUP($E807,$A$5:$A$8,$F$5:$F$8,""),"")</f>
        <v/>
      </c>
      <c r="K807" s="38" t="str">
        <f aca="false">_xlfn.XLOOKUP($E807,$A$5:$A$8,$G$5:$G$8,"")</f>
        <v>Gross pay</v>
      </c>
      <c r="L807" s="38" t="str">
        <f aca="false">_xlfn.XLOOKUP($E807,$A$5:$A$8,$H$5:$H$8,"")</f>
        <v>Every pay period (ongoing)</v>
      </c>
      <c r="M807" s="43" t="n">
        <f aca="false" t="array" ref="M807:M807">MAX(_xlfn.XLOOKUP($A807,TRIM(SUBSTITUTE('worker file'!$A$2:$A$406,_xlfn.UNICHAR(160)," ")),'worker file'!$M$2:$M$406,0),_xlfn.XLOOKUP($B807,TRIM('pay group &amp; schedule'!$A$2:$A$6),'pay group &amp; schedule'!$D$2:$D$6,0))</f>
        <v>46299</v>
      </c>
      <c r="N807" s="43" t="str">
        <f aca="false" t="array" ref="N807:N807">_xlfn.LET(_xlpm.t,_xlfn.XLOOKUP($A807,TRIM(SUBSTITUTE('worker file'!$A$2:$A$406,_xlfn.UNICHAR(160)," ")),'worker file'!$N$2:$N$406,""),IF(N(_xlpm.t)=0,"",_xlpm.t))</f>
        <v/>
      </c>
    </row>
    <row r="808" customFormat="false" ht="15" hidden="false" customHeight="false" outlineLevel="0" collapsed="false">
      <c r="A808" s="39" t="s">
        <v>376</v>
      </c>
      <c r="B808" s="40" t="str">
        <f aca="false" t="array" ref="B808:B808">_xlfn.XLOOKUP($A808,TRIM(SUBSTITUTE('worker file'!$A$2:$A$406,_xlfn.UNICHAR(160)," ")),'worker file'!$L$2:$L$406,"Not found")</f>
        <v>US Biweekly</v>
      </c>
      <c r="C808" s="40" t="str">
        <f aca="false" t="array" ref="C808:C808">_xlfn.XLOOKUP($A808,TRIM(SUBSTITUTE('worker file'!$A$2:$A$406,_xlfn.UNICHAR(160)," ")),'worker file'!$D$2:$D$406,"Not found")</f>
        <v>TX</v>
      </c>
      <c r="D808" s="40" t="str">
        <f aca="false" t="array" ref="D808:D808">_xlfn.XLOOKUP($A808,TRIM(SUBSTITUTE('worker file'!$A$2:$A$406,_xlfn.UNICHAR(160)," ")),'worker file'!$Q$2:$Q$406,"Not found")</f>
        <v>Active</v>
      </c>
      <c r="E808" s="39" t="s">
        <v>626</v>
      </c>
      <c r="F808" s="38" t="str">
        <f aca="false">_xlfn.XLOOKUP($E808,$A$5:$A$8,$B$5:$B$8,"")</f>
        <v>Medical (Health) – Employee</v>
      </c>
      <c r="G808" s="38" t="str">
        <f aca="false">_xlfn.XLOOKUP($E808,$A$5:$A$8,$D$5:$D$8,"")</f>
        <v>Pre-tax Section 125 (exempt from FIT/SIT/FICA)</v>
      </c>
      <c r="H808" s="38" t="str">
        <f aca="false">_xlfn.XLOOKUP($E808,$A$5:$A$8,$E$5:$E$8,"")</f>
        <v>Flat</v>
      </c>
      <c r="I808" s="44" t="str">
        <f aca="false">IF($H808="Percent",_xlfn.XLOOKUP($E808,$A$5:$A$8,$F$5:$F$8,""),"")</f>
        <v/>
      </c>
      <c r="J808" s="42" t="n">
        <f aca="false">IF($H808="Flat",_xlfn.XLOOKUP($E808,$A$5:$A$8,$F$5:$F$8,""),"")</f>
        <v>200</v>
      </c>
      <c r="K808" s="38" t="str">
        <f aca="false">_xlfn.XLOOKUP($E808,$A$5:$A$8,$G$5:$G$8,"")</f>
        <v>Per pay period</v>
      </c>
      <c r="L808" s="38" t="str">
        <f aca="false">_xlfn.XLOOKUP($E808,$A$5:$A$8,$H$5:$H$8,"")</f>
        <v>Every pay period (ongoing)</v>
      </c>
      <c r="M808" s="43" t="n">
        <f aca="false" t="array" ref="M808:M808">MAX(_xlfn.XLOOKUP($A808,TRIM(SUBSTITUTE('worker file'!$A$2:$A$406,_xlfn.UNICHAR(160)," ")),'worker file'!$M$2:$M$406,0),_xlfn.XLOOKUP($B808,TRIM('pay group &amp; schedule'!$A$2:$A$6),'pay group &amp; schedule'!$D$2:$D$6,0))</f>
        <v>46299</v>
      </c>
      <c r="N808" s="43" t="str">
        <f aca="false" t="array" ref="N808:N808">_xlfn.LET(_xlpm.t,_xlfn.XLOOKUP($A808,TRIM(SUBSTITUTE('worker file'!$A$2:$A$406,_xlfn.UNICHAR(160)," ")),'worker file'!$N$2:$N$406,""),IF(N(_xlpm.t)=0,"",_xlpm.t))</f>
        <v/>
      </c>
    </row>
    <row r="809" customFormat="false" ht="15" hidden="false" customHeight="false" outlineLevel="0" collapsed="false">
      <c r="A809" s="39" t="s">
        <v>376</v>
      </c>
      <c r="B809" s="40" t="str">
        <f aca="false" t="array" ref="B809:B809">_xlfn.XLOOKUP($A809,TRIM(SUBSTITUTE('worker file'!$A$2:$A$406,_xlfn.UNICHAR(160)," ")),'worker file'!$L$2:$L$406,"Not found")</f>
        <v>US Biweekly</v>
      </c>
      <c r="C809" s="40" t="str">
        <f aca="false" t="array" ref="C809:C809">_xlfn.XLOOKUP($A809,TRIM(SUBSTITUTE('worker file'!$A$2:$A$406,_xlfn.UNICHAR(160)," ")),'worker file'!$D$2:$D$406,"Not found")</f>
        <v>TX</v>
      </c>
      <c r="D809" s="40" t="str">
        <f aca="false" t="array" ref="D809:D809">_xlfn.XLOOKUP($A809,TRIM(SUBSTITUTE('worker file'!$A$2:$A$406,_xlfn.UNICHAR(160)," ")),'worker file'!$Q$2:$Q$406,"Not found")</f>
        <v>Active</v>
      </c>
      <c r="E809" s="39" t="s">
        <v>632</v>
      </c>
      <c r="F809" s="38" t="str">
        <f aca="false">_xlfn.XLOOKUP($E809,$A$5:$A$8,$B$5:$B$8,"")</f>
        <v>Dental – Employee</v>
      </c>
      <c r="G809" s="38" t="str">
        <f aca="false">_xlfn.XLOOKUP($E809,$A$5:$A$8,$D$5:$D$8,"")</f>
        <v>Pre-tax Section 125 (exempt from FIT/SIT/FICA)</v>
      </c>
      <c r="H809" s="38" t="str">
        <f aca="false">_xlfn.XLOOKUP($E809,$A$5:$A$8,$E$5:$E$8,"")</f>
        <v>Flat</v>
      </c>
      <c r="I809" s="44" t="str">
        <f aca="false">IF($H809="Percent",_xlfn.XLOOKUP($E809,$A$5:$A$8,$F$5:$F$8,""),"")</f>
        <v/>
      </c>
      <c r="J809" s="42" t="n">
        <f aca="false">IF($H809="Flat",_xlfn.XLOOKUP($E809,$A$5:$A$8,$F$5:$F$8,""),"")</f>
        <v>44</v>
      </c>
      <c r="K809" s="38" t="str">
        <f aca="false">_xlfn.XLOOKUP($E809,$A$5:$A$8,$G$5:$G$8,"")</f>
        <v>Per pay period</v>
      </c>
      <c r="L809" s="38" t="str">
        <f aca="false">_xlfn.XLOOKUP($E809,$A$5:$A$8,$H$5:$H$8,"")</f>
        <v>Every pay period (ongoing)</v>
      </c>
      <c r="M809" s="43" t="n">
        <f aca="false" t="array" ref="M809:M809">MAX(_xlfn.XLOOKUP($A809,TRIM(SUBSTITUTE('worker file'!$A$2:$A$406,_xlfn.UNICHAR(160)," ")),'worker file'!$M$2:$M$406,0),_xlfn.XLOOKUP($B809,TRIM('pay group &amp; schedule'!$A$2:$A$6),'pay group &amp; schedule'!$D$2:$D$6,0))</f>
        <v>46299</v>
      </c>
      <c r="N809" s="43" t="str">
        <f aca="false" t="array" ref="N809:N809">_xlfn.LET(_xlpm.t,_xlfn.XLOOKUP($A809,TRIM(SUBSTITUTE('worker file'!$A$2:$A$406,_xlfn.UNICHAR(160)," ")),'worker file'!$N$2:$N$406,""),IF(N(_xlpm.t)=0,"",_xlpm.t))</f>
        <v/>
      </c>
    </row>
    <row r="810" customFormat="false" ht="15" hidden="false" customHeight="false" outlineLevel="0" collapsed="false">
      <c r="A810" s="39" t="s">
        <v>376</v>
      </c>
      <c r="B810" s="40" t="str">
        <f aca="false" t="array" ref="B810:B810">_xlfn.XLOOKUP($A810,TRIM(SUBSTITUTE('worker file'!$A$2:$A$406,_xlfn.UNICHAR(160)," ")),'worker file'!$L$2:$L$406,"Not found")</f>
        <v>US Biweekly</v>
      </c>
      <c r="C810" s="40" t="str">
        <f aca="false" t="array" ref="C810:C810">_xlfn.XLOOKUP($A810,TRIM(SUBSTITUTE('worker file'!$A$2:$A$406,_xlfn.UNICHAR(160)," ")),'worker file'!$D$2:$D$406,"Not found")</f>
        <v>TX</v>
      </c>
      <c r="D810" s="40" t="str">
        <f aca="false" t="array" ref="D810:D810">_xlfn.XLOOKUP($A810,TRIM(SUBSTITUTE('worker file'!$A$2:$A$406,_xlfn.UNICHAR(160)," ")),'worker file'!$Q$2:$Q$406,"Not found")</f>
        <v>Active</v>
      </c>
      <c r="E810" s="39" t="s">
        <v>634</v>
      </c>
      <c r="F810" s="38" t="str">
        <f aca="false">_xlfn.XLOOKUP($E810,$A$5:$A$8,$B$5:$B$8,"")</f>
        <v>Vision – Employee</v>
      </c>
      <c r="G810" s="38" t="str">
        <f aca="false">_xlfn.XLOOKUP($E810,$A$5:$A$8,$D$5:$D$8,"")</f>
        <v>Pre-tax Section 125 (exempt from FIT/SIT/FICA)</v>
      </c>
      <c r="H810" s="38" t="str">
        <f aca="false">_xlfn.XLOOKUP($E810,$A$5:$A$8,$E$5:$E$8,"")</f>
        <v>Flat</v>
      </c>
      <c r="I810" s="44" t="str">
        <f aca="false">IF($H810="Percent",_xlfn.XLOOKUP($E810,$A$5:$A$8,$F$5:$F$8,""),"")</f>
        <v/>
      </c>
      <c r="J810" s="42" t="n">
        <f aca="false">IF($H810="Flat",_xlfn.XLOOKUP($E810,$A$5:$A$8,$F$5:$F$8,""),"")</f>
        <v>30</v>
      </c>
      <c r="K810" s="38" t="str">
        <f aca="false">_xlfn.XLOOKUP($E810,$A$5:$A$8,$G$5:$G$8,"")</f>
        <v>Per pay period</v>
      </c>
      <c r="L810" s="38" t="str">
        <f aca="false">_xlfn.XLOOKUP($E810,$A$5:$A$8,$H$5:$H$8,"")</f>
        <v>Every pay period (ongoing)</v>
      </c>
      <c r="M810" s="43" t="n">
        <f aca="false" t="array" ref="M810:M810">MAX(_xlfn.XLOOKUP($A810,TRIM(SUBSTITUTE('worker file'!$A$2:$A$406,_xlfn.UNICHAR(160)," ")),'worker file'!$M$2:$M$406,0),_xlfn.XLOOKUP($B810,TRIM('pay group &amp; schedule'!$A$2:$A$6),'pay group &amp; schedule'!$D$2:$D$6,0))</f>
        <v>46299</v>
      </c>
      <c r="N810" s="43" t="str">
        <f aca="false" t="array" ref="N810:N810">_xlfn.LET(_xlpm.t,_xlfn.XLOOKUP($A810,TRIM(SUBSTITUTE('worker file'!$A$2:$A$406,_xlfn.UNICHAR(160)," ")),'worker file'!$N$2:$N$406,""),IF(N(_xlpm.t)=0,"",_xlpm.t))</f>
        <v/>
      </c>
    </row>
    <row r="811" customFormat="false" ht="15" hidden="false" customHeight="false" outlineLevel="0" collapsed="false">
      <c r="A811" s="39" t="s">
        <v>377</v>
      </c>
      <c r="B811" s="40" t="str">
        <f aca="false" t="array" ref="B811:B811">_xlfn.XLOOKUP($A811,TRIM(SUBSTITUTE('worker file'!$A$2:$A$406,_xlfn.UNICHAR(160)," ")),'worker file'!$L$2:$L$406,"Not found")</f>
        <v>US Biweekly</v>
      </c>
      <c r="C811" s="40" t="str">
        <f aca="false" t="array" ref="C811:C811">_xlfn.XLOOKUP($A811,TRIM(SUBSTITUTE('worker file'!$A$2:$A$406,_xlfn.UNICHAR(160)," ")),'worker file'!$D$2:$D$406,"Not found")</f>
        <v>TX</v>
      </c>
      <c r="D811" s="40" t="str">
        <f aca="false" t="array" ref="D811:D811">_xlfn.XLOOKUP($A811,TRIM(SUBSTITUTE('worker file'!$A$2:$A$406,_xlfn.UNICHAR(160)," ")),'worker file'!$Q$2:$Q$406,"Not found")</f>
        <v>Active</v>
      </c>
      <c r="E811" s="39" t="s">
        <v>618</v>
      </c>
      <c r="F811" s="38" t="str">
        <f aca="false">_xlfn.XLOOKUP($E811,$A$5:$A$8,$B$5:$B$8,"")</f>
        <v>401(k) Employee Deferral</v>
      </c>
      <c r="G811" s="38" t="str">
        <f aca="false">_xlfn.XLOOKUP($E811,$A$5:$A$8,$D$5:$D$8,"")</f>
        <v>Pre-tax (exempt from FIT/SIT; subject to FICA)</v>
      </c>
      <c r="H811" s="38" t="str">
        <f aca="false">_xlfn.XLOOKUP($E811,$A$5:$A$8,$E$5:$E$8,"")</f>
        <v>Percent</v>
      </c>
      <c r="I811" s="41" t="n">
        <v>0.04</v>
      </c>
      <c r="J811" s="42" t="str">
        <f aca="false">IF($H811="Flat",_xlfn.XLOOKUP($E811,$A$5:$A$8,$F$5:$F$8,""),"")</f>
        <v/>
      </c>
      <c r="K811" s="38" t="str">
        <f aca="false">_xlfn.XLOOKUP($E811,$A$5:$A$8,$G$5:$G$8,"")</f>
        <v>Gross pay</v>
      </c>
      <c r="L811" s="38" t="str">
        <f aca="false">_xlfn.XLOOKUP($E811,$A$5:$A$8,$H$5:$H$8,"")</f>
        <v>Every pay period (ongoing)</v>
      </c>
      <c r="M811" s="43" t="n">
        <f aca="false" t="array" ref="M811:M811">MAX(_xlfn.XLOOKUP($A811,TRIM(SUBSTITUTE('worker file'!$A$2:$A$406,_xlfn.UNICHAR(160)," ")),'worker file'!$M$2:$M$406,0),_xlfn.XLOOKUP($B811,TRIM('pay group &amp; schedule'!$A$2:$A$6),'pay group &amp; schedule'!$D$2:$D$6,0))</f>
        <v>46299</v>
      </c>
      <c r="N811" s="43" t="str">
        <f aca="false" t="array" ref="N811:N811">_xlfn.LET(_xlpm.t,_xlfn.XLOOKUP($A811,TRIM(SUBSTITUTE('worker file'!$A$2:$A$406,_xlfn.UNICHAR(160)," ")),'worker file'!$N$2:$N$406,""),IF(N(_xlpm.t)=0,"",_xlpm.t))</f>
        <v/>
      </c>
    </row>
    <row r="812" customFormat="false" ht="15" hidden="false" customHeight="false" outlineLevel="0" collapsed="false">
      <c r="A812" s="39" t="s">
        <v>377</v>
      </c>
      <c r="B812" s="40" t="str">
        <f aca="false" t="array" ref="B812:B812">_xlfn.XLOOKUP($A812,TRIM(SUBSTITUTE('worker file'!$A$2:$A$406,_xlfn.UNICHAR(160)," ")),'worker file'!$L$2:$L$406,"Not found")</f>
        <v>US Biweekly</v>
      </c>
      <c r="C812" s="40" t="str">
        <f aca="false" t="array" ref="C812:C812">_xlfn.XLOOKUP($A812,TRIM(SUBSTITUTE('worker file'!$A$2:$A$406,_xlfn.UNICHAR(160)," ")),'worker file'!$D$2:$D$406,"Not found")</f>
        <v>TX</v>
      </c>
      <c r="D812" s="40" t="str">
        <f aca="false" t="array" ref="D812:D812">_xlfn.XLOOKUP($A812,TRIM(SUBSTITUTE('worker file'!$A$2:$A$406,_xlfn.UNICHAR(160)," ")),'worker file'!$Q$2:$Q$406,"Not found")</f>
        <v>Active</v>
      </c>
      <c r="E812" s="39" t="s">
        <v>626</v>
      </c>
      <c r="F812" s="38" t="str">
        <f aca="false">_xlfn.XLOOKUP($E812,$A$5:$A$8,$B$5:$B$8,"")</f>
        <v>Medical (Health) – Employee</v>
      </c>
      <c r="G812" s="38" t="str">
        <f aca="false">_xlfn.XLOOKUP($E812,$A$5:$A$8,$D$5:$D$8,"")</f>
        <v>Pre-tax Section 125 (exempt from FIT/SIT/FICA)</v>
      </c>
      <c r="H812" s="38" t="str">
        <f aca="false">_xlfn.XLOOKUP($E812,$A$5:$A$8,$E$5:$E$8,"")</f>
        <v>Flat</v>
      </c>
      <c r="I812" s="44" t="str">
        <f aca="false">IF($H812="Percent",_xlfn.XLOOKUP($E812,$A$5:$A$8,$F$5:$F$8,""),"")</f>
        <v/>
      </c>
      <c r="J812" s="42" t="n">
        <f aca="false">IF($H812="Flat",_xlfn.XLOOKUP($E812,$A$5:$A$8,$F$5:$F$8,""),"")</f>
        <v>200</v>
      </c>
      <c r="K812" s="38" t="str">
        <f aca="false">_xlfn.XLOOKUP($E812,$A$5:$A$8,$G$5:$G$8,"")</f>
        <v>Per pay period</v>
      </c>
      <c r="L812" s="38" t="str">
        <f aca="false">_xlfn.XLOOKUP($E812,$A$5:$A$8,$H$5:$H$8,"")</f>
        <v>Every pay period (ongoing)</v>
      </c>
      <c r="M812" s="43" t="n">
        <f aca="false" t="array" ref="M812:M812">MAX(_xlfn.XLOOKUP($A812,TRIM(SUBSTITUTE('worker file'!$A$2:$A$406,_xlfn.UNICHAR(160)," ")),'worker file'!$M$2:$M$406,0),_xlfn.XLOOKUP($B812,TRIM('pay group &amp; schedule'!$A$2:$A$6),'pay group &amp; schedule'!$D$2:$D$6,0))</f>
        <v>46299</v>
      </c>
      <c r="N812" s="43" t="str">
        <f aca="false" t="array" ref="N812:N812">_xlfn.LET(_xlpm.t,_xlfn.XLOOKUP($A812,TRIM(SUBSTITUTE('worker file'!$A$2:$A$406,_xlfn.UNICHAR(160)," ")),'worker file'!$N$2:$N$406,""),IF(N(_xlpm.t)=0,"",_xlpm.t))</f>
        <v/>
      </c>
    </row>
    <row r="813" customFormat="false" ht="15" hidden="false" customHeight="false" outlineLevel="0" collapsed="false">
      <c r="A813" s="39" t="s">
        <v>377</v>
      </c>
      <c r="B813" s="40" t="str">
        <f aca="false" t="array" ref="B813:B813">_xlfn.XLOOKUP($A813,TRIM(SUBSTITUTE('worker file'!$A$2:$A$406,_xlfn.UNICHAR(160)," ")),'worker file'!$L$2:$L$406,"Not found")</f>
        <v>US Biweekly</v>
      </c>
      <c r="C813" s="40" t="str">
        <f aca="false" t="array" ref="C813:C813">_xlfn.XLOOKUP($A813,TRIM(SUBSTITUTE('worker file'!$A$2:$A$406,_xlfn.UNICHAR(160)," ")),'worker file'!$D$2:$D$406,"Not found")</f>
        <v>TX</v>
      </c>
      <c r="D813" s="40" t="str">
        <f aca="false" t="array" ref="D813:D813">_xlfn.XLOOKUP($A813,TRIM(SUBSTITUTE('worker file'!$A$2:$A$406,_xlfn.UNICHAR(160)," ")),'worker file'!$Q$2:$Q$406,"Not found")</f>
        <v>Active</v>
      </c>
      <c r="E813" s="39" t="s">
        <v>632</v>
      </c>
      <c r="F813" s="38" t="str">
        <f aca="false">_xlfn.XLOOKUP($E813,$A$5:$A$8,$B$5:$B$8,"")</f>
        <v>Dental – Employee</v>
      </c>
      <c r="G813" s="38" t="str">
        <f aca="false">_xlfn.XLOOKUP($E813,$A$5:$A$8,$D$5:$D$8,"")</f>
        <v>Pre-tax Section 125 (exempt from FIT/SIT/FICA)</v>
      </c>
      <c r="H813" s="38" t="str">
        <f aca="false">_xlfn.XLOOKUP($E813,$A$5:$A$8,$E$5:$E$8,"")</f>
        <v>Flat</v>
      </c>
      <c r="I813" s="44" t="str">
        <f aca="false">IF($H813="Percent",_xlfn.XLOOKUP($E813,$A$5:$A$8,$F$5:$F$8,""),"")</f>
        <v/>
      </c>
      <c r="J813" s="42" t="n">
        <f aca="false">IF($H813="Flat",_xlfn.XLOOKUP($E813,$A$5:$A$8,$F$5:$F$8,""),"")</f>
        <v>44</v>
      </c>
      <c r="K813" s="38" t="str">
        <f aca="false">_xlfn.XLOOKUP($E813,$A$5:$A$8,$G$5:$G$8,"")</f>
        <v>Per pay period</v>
      </c>
      <c r="L813" s="38" t="str">
        <f aca="false">_xlfn.XLOOKUP($E813,$A$5:$A$8,$H$5:$H$8,"")</f>
        <v>Every pay period (ongoing)</v>
      </c>
      <c r="M813" s="43" t="n">
        <f aca="false" t="array" ref="M813:M813">MAX(_xlfn.XLOOKUP($A813,TRIM(SUBSTITUTE('worker file'!$A$2:$A$406,_xlfn.UNICHAR(160)," ")),'worker file'!$M$2:$M$406,0),_xlfn.XLOOKUP($B813,TRIM('pay group &amp; schedule'!$A$2:$A$6),'pay group &amp; schedule'!$D$2:$D$6,0))</f>
        <v>46299</v>
      </c>
      <c r="N813" s="43" t="str">
        <f aca="false" t="array" ref="N813:N813">_xlfn.LET(_xlpm.t,_xlfn.XLOOKUP($A813,TRIM(SUBSTITUTE('worker file'!$A$2:$A$406,_xlfn.UNICHAR(160)," ")),'worker file'!$N$2:$N$406,""),IF(N(_xlpm.t)=0,"",_xlpm.t))</f>
        <v/>
      </c>
    </row>
    <row r="814" customFormat="false" ht="15" hidden="false" customHeight="false" outlineLevel="0" collapsed="false">
      <c r="A814" s="39" t="s">
        <v>377</v>
      </c>
      <c r="B814" s="40" t="str">
        <f aca="false" t="array" ref="B814:B814">_xlfn.XLOOKUP($A814,TRIM(SUBSTITUTE('worker file'!$A$2:$A$406,_xlfn.UNICHAR(160)," ")),'worker file'!$L$2:$L$406,"Not found")</f>
        <v>US Biweekly</v>
      </c>
      <c r="C814" s="40" t="str">
        <f aca="false" t="array" ref="C814:C814">_xlfn.XLOOKUP($A814,TRIM(SUBSTITUTE('worker file'!$A$2:$A$406,_xlfn.UNICHAR(160)," ")),'worker file'!$D$2:$D$406,"Not found")</f>
        <v>TX</v>
      </c>
      <c r="D814" s="40" t="str">
        <f aca="false" t="array" ref="D814:D814">_xlfn.XLOOKUP($A814,TRIM(SUBSTITUTE('worker file'!$A$2:$A$406,_xlfn.UNICHAR(160)," ")),'worker file'!$Q$2:$Q$406,"Not found")</f>
        <v>Active</v>
      </c>
      <c r="E814" s="39" t="s">
        <v>634</v>
      </c>
      <c r="F814" s="38" t="str">
        <f aca="false">_xlfn.XLOOKUP($E814,$A$5:$A$8,$B$5:$B$8,"")</f>
        <v>Vision – Employee</v>
      </c>
      <c r="G814" s="38" t="str">
        <f aca="false">_xlfn.XLOOKUP($E814,$A$5:$A$8,$D$5:$D$8,"")</f>
        <v>Pre-tax Section 125 (exempt from FIT/SIT/FICA)</v>
      </c>
      <c r="H814" s="38" t="str">
        <f aca="false">_xlfn.XLOOKUP($E814,$A$5:$A$8,$E$5:$E$8,"")</f>
        <v>Flat</v>
      </c>
      <c r="I814" s="44" t="str">
        <f aca="false">IF($H814="Percent",_xlfn.XLOOKUP($E814,$A$5:$A$8,$F$5:$F$8,""),"")</f>
        <v/>
      </c>
      <c r="J814" s="42" t="n">
        <f aca="false">IF($H814="Flat",_xlfn.XLOOKUP($E814,$A$5:$A$8,$F$5:$F$8,""),"")</f>
        <v>30</v>
      </c>
      <c r="K814" s="38" t="str">
        <f aca="false">_xlfn.XLOOKUP($E814,$A$5:$A$8,$G$5:$G$8,"")</f>
        <v>Per pay period</v>
      </c>
      <c r="L814" s="38" t="str">
        <f aca="false">_xlfn.XLOOKUP($E814,$A$5:$A$8,$H$5:$H$8,"")</f>
        <v>Every pay period (ongoing)</v>
      </c>
      <c r="M814" s="43" t="n">
        <f aca="false" t="array" ref="M814:M814">MAX(_xlfn.XLOOKUP($A814,TRIM(SUBSTITUTE('worker file'!$A$2:$A$406,_xlfn.UNICHAR(160)," ")),'worker file'!$M$2:$M$406,0),_xlfn.XLOOKUP($B814,TRIM('pay group &amp; schedule'!$A$2:$A$6),'pay group &amp; schedule'!$D$2:$D$6,0))</f>
        <v>46299</v>
      </c>
      <c r="N814" s="43" t="str">
        <f aca="false" t="array" ref="N814:N814">_xlfn.LET(_xlpm.t,_xlfn.XLOOKUP($A814,TRIM(SUBSTITUTE('worker file'!$A$2:$A$406,_xlfn.UNICHAR(160)," ")),'worker file'!$N$2:$N$406,""),IF(N(_xlpm.t)=0,"",_xlpm.t))</f>
        <v/>
      </c>
    </row>
    <row r="815" customFormat="false" ht="15" hidden="false" customHeight="false" outlineLevel="0" collapsed="false">
      <c r="A815" s="39" t="s">
        <v>378</v>
      </c>
      <c r="B815" s="40" t="str">
        <f aca="false" t="array" ref="B815:B815">_xlfn.XLOOKUP($A815,TRIM(SUBSTITUTE('worker file'!$A$2:$A$406,_xlfn.UNICHAR(160)," ")),'worker file'!$L$2:$L$406,"Not found")</f>
        <v>US Semi-monthly</v>
      </c>
      <c r="C815" s="40" t="str">
        <f aca="false" t="array" ref="C815:C815">_xlfn.XLOOKUP($A815,TRIM(SUBSTITUTE('worker file'!$A$2:$A$406,_xlfn.UNICHAR(160)," ")),'worker file'!$D$2:$D$406,"Not found")</f>
        <v>CA</v>
      </c>
      <c r="D815" s="40" t="str">
        <f aca="false" t="array" ref="D815:D815">_xlfn.XLOOKUP($A815,TRIM(SUBSTITUTE('worker file'!$A$2:$A$406,_xlfn.UNICHAR(160)," ")),'worker file'!$Q$2:$Q$406,"Not found")</f>
        <v>Active</v>
      </c>
      <c r="E815" s="39" t="s">
        <v>618</v>
      </c>
      <c r="F815" s="38" t="str">
        <f aca="false">_xlfn.XLOOKUP($E815,$A$5:$A$8,$B$5:$B$8,"")</f>
        <v>401(k) Employee Deferral</v>
      </c>
      <c r="G815" s="38" t="str">
        <f aca="false">_xlfn.XLOOKUP($E815,$A$5:$A$8,$D$5:$D$8,"")</f>
        <v>Pre-tax (exempt from FIT/SIT; subject to FICA)</v>
      </c>
      <c r="H815" s="38" t="str">
        <f aca="false">_xlfn.XLOOKUP($E815,$A$5:$A$8,$E$5:$E$8,"")</f>
        <v>Percent</v>
      </c>
      <c r="I815" s="41" t="n">
        <v>0.01</v>
      </c>
      <c r="J815" s="42" t="str">
        <f aca="false">IF($H815="Flat",_xlfn.XLOOKUP($E815,$A$5:$A$8,$F$5:$F$8,""),"")</f>
        <v/>
      </c>
      <c r="K815" s="38" t="str">
        <f aca="false">_xlfn.XLOOKUP($E815,$A$5:$A$8,$G$5:$G$8,"")</f>
        <v>Gross pay</v>
      </c>
      <c r="L815" s="38" t="str">
        <f aca="false">_xlfn.XLOOKUP($E815,$A$5:$A$8,$H$5:$H$8,"")</f>
        <v>Every pay period (ongoing)</v>
      </c>
      <c r="M815" s="43" t="n">
        <f aca="false" t="array" ref="M815:M815">MAX(_xlfn.XLOOKUP($A815,TRIM(SUBSTITUTE('worker file'!$A$2:$A$406,_xlfn.UNICHAR(160)," ")),'worker file'!$M$2:$M$406,0),_xlfn.XLOOKUP($B815,TRIM('pay group &amp; schedule'!$A$2:$A$6),'pay group &amp; schedule'!$D$2:$D$6,0))</f>
        <v>46311</v>
      </c>
      <c r="N815" s="43" t="str">
        <f aca="false" t="array" ref="N815:N815">_xlfn.LET(_xlpm.t,_xlfn.XLOOKUP($A815,TRIM(SUBSTITUTE('worker file'!$A$2:$A$406,_xlfn.UNICHAR(160)," ")),'worker file'!$N$2:$N$406,""),IF(N(_xlpm.t)=0,"",_xlpm.t))</f>
        <v/>
      </c>
    </row>
    <row r="816" customFormat="false" ht="15" hidden="false" customHeight="false" outlineLevel="0" collapsed="false">
      <c r="A816" s="39" t="s">
        <v>378</v>
      </c>
      <c r="B816" s="40" t="str">
        <f aca="false" t="array" ref="B816:B816">_xlfn.XLOOKUP($A816,TRIM(SUBSTITUTE('worker file'!$A$2:$A$406,_xlfn.UNICHAR(160)," ")),'worker file'!$L$2:$L$406,"Not found")</f>
        <v>US Semi-monthly</v>
      </c>
      <c r="C816" s="40" t="str">
        <f aca="false" t="array" ref="C816:C816">_xlfn.XLOOKUP($A816,TRIM(SUBSTITUTE('worker file'!$A$2:$A$406,_xlfn.UNICHAR(160)," ")),'worker file'!$D$2:$D$406,"Not found")</f>
        <v>CA</v>
      </c>
      <c r="D816" s="40" t="str">
        <f aca="false" t="array" ref="D816:D816">_xlfn.XLOOKUP($A816,TRIM(SUBSTITUTE('worker file'!$A$2:$A$406,_xlfn.UNICHAR(160)," ")),'worker file'!$Q$2:$Q$406,"Not found")</f>
        <v>Active</v>
      </c>
      <c r="E816" s="39" t="s">
        <v>626</v>
      </c>
      <c r="F816" s="38" t="str">
        <f aca="false">_xlfn.XLOOKUP($E816,$A$5:$A$8,$B$5:$B$8,"")</f>
        <v>Medical (Health) – Employee</v>
      </c>
      <c r="G816" s="38" t="str">
        <f aca="false">_xlfn.XLOOKUP($E816,$A$5:$A$8,$D$5:$D$8,"")</f>
        <v>Pre-tax Section 125 (exempt from FIT/SIT/FICA)</v>
      </c>
      <c r="H816" s="38" t="str">
        <f aca="false">_xlfn.XLOOKUP($E816,$A$5:$A$8,$E$5:$E$8,"")</f>
        <v>Flat</v>
      </c>
      <c r="I816" s="44" t="str">
        <f aca="false">IF($H816="Percent",_xlfn.XLOOKUP($E816,$A$5:$A$8,$F$5:$F$8,""),"")</f>
        <v/>
      </c>
      <c r="J816" s="42" t="n">
        <f aca="false">IF($H816="Flat",_xlfn.XLOOKUP($E816,$A$5:$A$8,$F$5:$F$8,""),"")</f>
        <v>200</v>
      </c>
      <c r="K816" s="38" t="str">
        <f aca="false">_xlfn.XLOOKUP($E816,$A$5:$A$8,$G$5:$G$8,"")</f>
        <v>Per pay period</v>
      </c>
      <c r="L816" s="38" t="str">
        <f aca="false">_xlfn.XLOOKUP($E816,$A$5:$A$8,$H$5:$H$8,"")</f>
        <v>Every pay period (ongoing)</v>
      </c>
      <c r="M816" s="43" t="n">
        <f aca="false" t="array" ref="M816:M816">MAX(_xlfn.XLOOKUP($A816,TRIM(SUBSTITUTE('worker file'!$A$2:$A$406,_xlfn.UNICHAR(160)," ")),'worker file'!$M$2:$M$406,0),_xlfn.XLOOKUP($B816,TRIM('pay group &amp; schedule'!$A$2:$A$6),'pay group &amp; schedule'!$D$2:$D$6,0))</f>
        <v>46311</v>
      </c>
      <c r="N816" s="43" t="str">
        <f aca="false" t="array" ref="N816:N816">_xlfn.LET(_xlpm.t,_xlfn.XLOOKUP($A816,TRIM(SUBSTITUTE('worker file'!$A$2:$A$406,_xlfn.UNICHAR(160)," ")),'worker file'!$N$2:$N$406,""),IF(N(_xlpm.t)=0,"",_xlpm.t))</f>
        <v/>
      </c>
    </row>
    <row r="817" customFormat="false" ht="15" hidden="false" customHeight="false" outlineLevel="0" collapsed="false">
      <c r="A817" s="39" t="s">
        <v>378</v>
      </c>
      <c r="B817" s="40" t="str">
        <f aca="false" t="array" ref="B817:B817">_xlfn.XLOOKUP($A817,TRIM(SUBSTITUTE('worker file'!$A$2:$A$406,_xlfn.UNICHAR(160)," ")),'worker file'!$L$2:$L$406,"Not found")</f>
        <v>US Semi-monthly</v>
      </c>
      <c r="C817" s="40" t="str">
        <f aca="false" t="array" ref="C817:C817">_xlfn.XLOOKUP($A817,TRIM(SUBSTITUTE('worker file'!$A$2:$A$406,_xlfn.UNICHAR(160)," ")),'worker file'!$D$2:$D$406,"Not found")</f>
        <v>CA</v>
      </c>
      <c r="D817" s="40" t="str">
        <f aca="false" t="array" ref="D817:D817">_xlfn.XLOOKUP($A817,TRIM(SUBSTITUTE('worker file'!$A$2:$A$406,_xlfn.UNICHAR(160)," ")),'worker file'!$Q$2:$Q$406,"Not found")</f>
        <v>Active</v>
      </c>
      <c r="E817" s="39" t="s">
        <v>632</v>
      </c>
      <c r="F817" s="38" t="str">
        <f aca="false">_xlfn.XLOOKUP($E817,$A$5:$A$8,$B$5:$B$8,"")</f>
        <v>Dental – Employee</v>
      </c>
      <c r="G817" s="38" t="str">
        <f aca="false">_xlfn.XLOOKUP($E817,$A$5:$A$8,$D$5:$D$8,"")</f>
        <v>Pre-tax Section 125 (exempt from FIT/SIT/FICA)</v>
      </c>
      <c r="H817" s="38" t="str">
        <f aca="false">_xlfn.XLOOKUP($E817,$A$5:$A$8,$E$5:$E$8,"")</f>
        <v>Flat</v>
      </c>
      <c r="I817" s="44" t="str">
        <f aca="false">IF($H817="Percent",_xlfn.XLOOKUP($E817,$A$5:$A$8,$F$5:$F$8,""),"")</f>
        <v/>
      </c>
      <c r="J817" s="42" t="n">
        <f aca="false">IF($H817="Flat",_xlfn.XLOOKUP($E817,$A$5:$A$8,$F$5:$F$8,""),"")</f>
        <v>44</v>
      </c>
      <c r="K817" s="38" t="str">
        <f aca="false">_xlfn.XLOOKUP($E817,$A$5:$A$8,$G$5:$G$8,"")</f>
        <v>Per pay period</v>
      </c>
      <c r="L817" s="38" t="str">
        <f aca="false">_xlfn.XLOOKUP($E817,$A$5:$A$8,$H$5:$H$8,"")</f>
        <v>Every pay period (ongoing)</v>
      </c>
      <c r="M817" s="43" t="n">
        <f aca="false" t="array" ref="M817:M817">MAX(_xlfn.XLOOKUP($A817,TRIM(SUBSTITUTE('worker file'!$A$2:$A$406,_xlfn.UNICHAR(160)," ")),'worker file'!$M$2:$M$406,0),_xlfn.XLOOKUP($B817,TRIM('pay group &amp; schedule'!$A$2:$A$6),'pay group &amp; schedule'!$D$2:$D$6,0))</f>
        <v>46311</v>
      </c>
      <c r="N817" s="43" t="str">
        <f aca="false" t="array" ref="N817:N817">_xlfn.LET(_xlpm.t,_xlfn.XLOOKUP($A817,TRIM(SUBSTITUTE('worker file'!$A$2:$A$406,_xlfn.UNICHAR(160)," ")),'worker file'!$N$2:$N$406,""),IF(N(_xlpm.t)=0,"",_xlpm.t))</f>
        <v/>
      </c>
    </row>
    <row r="818" customFormat="false" ht="15" hidden="false" customHeight="false" outlineLevel="0" collapsed="false">
      <c r="A818" s="39" t="s">
        <v>378</v>
      </c>
      <c r="B818" s="40" t="str">
        <f aca="false" t="array" ref="B818:B818">_xlfn.XLOOKUP($A818,TRIM(SUBSTITUTE('worker file'!$A$2:$A$406,_xlfn.UNICHAR(160)," ")),'worker file'!$L$2:$L$406,"Not found")</f>
        <v>US Semi-monthly</v>
      </c>
      <c r="C818" s="40" t="str">
        <f aca="false" t="array" ref="C818:C818">_xlfn.XLOOKUP($A818,TRIM(SUBSTITUTE('worker file'!$A$2:$A$406,_xlfn.UNICHAR(160)," ")),'worker file'!$D$2:$D$406,"Not found")</f>
        <v>CA</v>
      </c>
      <c r="D818" s="40" t="str">
        <f aca="false" t="array" ref="D818:D818">_xlfn.XLOOKUP($A818,TRIM(SUBSTITUTE('worker file'!$A$2:$A$406,_xlfn.UNICHAR(160)," ")),'worker file'!$Q$2:$Q$406,"Not found")</f>
        <v>Active</v>
      </c>
      <c r="E818" s="39" t="s">
        <v>634</v>
      </c>
      <c r="F818" s="38" t="str">
        <f aca="false">_xlfn.XLOOKUP($E818,$A$5:$A$8,$B$5:$B$8,"")</f>
        <v>Vision – Employee</v>
      </c>
      <c r="G818" s="38" t="str">
        <f aca="false">_xlfn.XLOOKUP($E818,$A$5:$A$8,$D$5:$D$8,"")</f>
        <v>Pre-tax Section 125 (exempt from FIT/SIT/FICA)</v>
      </c>
      <c r="H818" s="38" t="str">
        <f aca="false">_xlfn.XLOOKUP($E818,$A$5:$A$8,$E$5:$E$8,"")</f>
        <v>Flat</v>
      </c>
      <c r="I818" s="44" t="str">
        <f aca="false">IF($H818="Percent",_xlfn.XLOOKUP($E818,$A$5:$A$8,$F$5:$F$8,""),"")</f>
        <v/>
      </c>
      <c r="J818" s="42" t="n">
        <f aca="false">IF($H818="Flat",_xlfn.XLOOKUP($E818,$A$5:$A$8,$F$5:$F$8,""),"")</f>
        <v>30</v>
      </c>
      <c r="K818" s="38" t="str">
        <f aca="false">_xlfn.XLOOKUP($E818,$A$5:$A$8,$G$5:$G$8,"")</f>
        <v>Per pay period</v>
      </c>
      <c r="L818" s="38" t="str">
        <f aca="false">_xlfn.XLOOKUP($E818,$A$5:$A$8,$H$5:$H$8,"")</f>
        <v>Every pay period (ongoing)</v>
      </c>
      <c r="M818" s="43" t="n">
        <f aca="false" t="array" ref="M818:M818">MAX(_xlfn.XLOOKUP($A818,TRIM(SUBSTITUTE('worker file'!$A$2:$A$406,_xlfn.UNICHAR(160)," ")),'worker file'!$M$2:$M$406,0),_xlfn.XLOOKUP($B818,TRIM('pay group &amp; schedule'!$A$2:$A$6),'pay group &amp; schedule'!$D$2:$D$6,0))</f>
        <v>46311</v>
      </c>
      <c r="N818" s="43" t="str">
        <f aca="false" t="array" ref="N818:N818">_xlfn.LET(_xlpm.t,_xlfn.XLOOKUP($A818,TRIM(SUBSTITUTE('worker file'!$A$2:$A$406,_xlfn.UNICHAR(160)," ")),'worker file'!$N$2:$N$406,""),IF(N(_xlpm.t)=0,"",_xlpm.t))</f>
        <v/>
      </c>
    </row>
    <row r="819" customFormat="false" ht="15" hidden="false" customHeight="false" outlineLevel="0" collapsed="false">
      <c r="A819" s="39" t="s">
        <v>379</v>
      </c>
      <c r="B819" s="40" t="str">
        <f aca="false" t="array" ref="B819:B819">_xlfn.XLOOKUP($A819,TRIM(SUBSTITUTE('worker file'!$A$2:$A$406,_xlfn.UNICHAR(160)," ")),'worker file'!$L$2:$L$406,"Not found")</f>
        <v>US Biweekly</v>
      </c>
      <c r="C819" s="40" t="str">
        <f aca="false" t="array" ref="C819:C819">_xlfn.XLOOKUP($A819,TRIM(SUBSTITUTE('worker file'!$A$2:$A$406,_xlfn.UNICHAR(160)," ")),'worker file'!$D$2:$D$406,"Not found")</f>
        <v>TX</v>
      </c>
      <c r="D819" s="40" t="str">
        <f aca="false" t="array" ref="D819:D819">_xlfn.XLOOKUP($A819,TRIM(SUBSTITUTE('worker file'!$A$2:$A$406,_xlfn.UNICHAR(160)," ")),'worker file'!$Q$2:$Q$406,"Not found")</f>
        <v>On Leave(paid)</v>
      </c>
      <c r="E819" s="39" t="s">
        <v>618</v>
      </c>
      <c r="F819" s="38" t="str">
        <f aca="false">_xlfn.XLOOKUP($E819,$A$5:$A$8,$B$5:$B$8,"")</f>
        <v>401(k) Employee Deferral</v>
      </c>
      <c r="G819" s="38" t="str">
        <f aca="false">_xlfn.XLOOKUP($E819,$A$5:$A$8,$D$5:$D$8,"")</f>
        <v>Pre-tax (exempt from FIT/SIT; subject to FICA)</v>
      </c>
      <c r="H819" s="38" t="str">
        <f aca="false">_xlfn.XLOOKUP($E819,$A$5:$A$8,$E$5:$E$8,"")</f>
        <v>Percent</v>
      </c>
      <c r="I819" s="41" t="n">
        <v>0.06</v>
      </c>
      <c r="J819" s="42" t="str">
        <f aca="false">IF($H819="Flat",_xlfn.XLOOKUP($E819,$A$5:$A$8,$F$5:$F$8,""),"")</f>
        <v/>
      </c>
      <c r="K819" s="38" t="str">
        <f aca="false">_xlfn.XLOOKUP($E819,$A$5:$A$8,$G$5:$G$8,"")</f>
        <v>Gross pay</v>
      </c>
      <c r="L819" s="38" t="str">
        <f aca="false">_xlfn.XLOOKUP($E819,$A$5:$A$8,$H$5:$H$8,"")</f>
        <v>Every pay period (ongoing)</v>
      </c>
      <c r="M819" s="43" t="n">
        <f aca="false" t="array" ref="M819:M819">MAX(_xlfn.XLOOKUP($A819,TRIM(SUBSTITUTE('worker file'!$A$2:$A$406,_xlfn.UNICHAR(160)," ")),'worker file'!$M$2:$M$406,0),_xlfn.XLOOKUP($B819,TRIM('pay group &amp; schedule'!$A$2:$A$6),'pay group &amp; schedule'!$D$2:$D$6,0))</f>
        <v>46299</v>
      </c>
      <c r="N819" s="43" t="str">
        <f aca="false" t="array" ref="N819:N819">_xlfn.LET(_xlpm.t,_xlfn.XLOOKUP($A819,TRIM(SUBSTITUTE('worker file'!$A$2:$A$406,_xlfn.UNICHAR(160)," ")),'worker file'!$N$2:$N$406,""),IF(N(_xlpm.t)=0,"",_xlpm.t))</f>
        <v/>
      </c>
      <c r="O819" s="0" t="s">
        <v>648</v>
      </c>
    </row>
    <row r="820" customFormat="false" ht="15" hidden="false" customHeight="false" outlineLevel="0" collapsed="false">
      <c r="A820" s="39" t="s">
        <v>379</v>
      </c>
      <c r="B820" s="40" t="str">
        <f aca="false" t="array" ref="B820:B820">_xlfn.XLOOKUP($A820,TRIM(SUBSTITUTE('worker file'!$A$2:$A$406,_xlfn.UNICHAR(160)," ")),'worker file'!$L$2:$L$406,"Not found")</f>
        <v>US Biweekly</v>
      </c>
      <c r="C820" s="40" t="str">
        <f aca="false" t="array" ref="C820:C820">_xlfn.XLOOKUP($A820,TRIM(SUBSTITUTE('worker file'!$A$2:$A$406,_xlfn.UNICHAR(160)," ")),'worker file'!$D$2:$D$406,"Not found")</f>
        <v>TX</v>
      </c>
      <c r="D820" s="40" t="str">
        <f aca="false" t="array" ref="D820:D820">_xlfn.XLOOKUP($A820,TRIM(SUBSTITUTE('worker file'!$A$2:$A$406,_xlfn.UNICHAR(160)," ")),'worker file'!$Q$2:$Q$406,"Not found")</f>
        <v>On Leave(paid)</v>
      </c>
      <c r="E820" s="39" t="s">
        <v>626</v>
      </c>
      <c r="F820" s="38" t="str">
        <f aca="false">_xlfn.XLOOKUP($E820,$A$5:$A$8,$B$5:$B$8,"")</f>
        <v>Medical (Health) – Employee</v>
      </c>
      <c r="G820" s="38" t="str">
        <f aca="false">_xlfn.XLOOKUP($E820,$A$5:$A$8,$D$5:$D$8,"")</f>
        <v>Pre-tax Section 125 (exempt from FIT/SIT/FICA)</v>
      </c>
      <c r="H820" s="38" t="str">
        <f aca="false">_xlfn.XLOOKUP($E820,$A$5:$A$8,$E$5:$E$8,"")</f>
        <v>Flat</v>
      </c>
      <c r="I820" s="44" t="str">
        <f aca="false">IF($H820="Percent",_xlfn.XLOOKUP($E820,$A$5:$A$8,$F$5:$F$8,""),"")</f>
        <v/>
      </c>
      <c r="J820" s="42" t="n">
        <f aca="false">IF($H820="Flat",_xlfn.XLOOKUP($E820,$A$5:$A$8,$F$5:$F$8,""),"")</f>
        <v>200</v>
      </c>
      <c r="K820" s="38" t="str">
        <f aca="false">_xlfn.XLOOKUP($E820,$A$5:$A$8,$G$5:$G$8,"")</f>
        <v>Per pay period</v>
      </c>
      <c r="L820" s="38" t="str">
        <f aca="false">_xlfn.XLOOKUP($E820,$A$5:$A$8,$H$5:$H$8,"")</f>
        <v>Every pay period (ongoing)</v>
      </c>
      <c r="M820" s="43" t="n">
        <f aca="false" t="array" ref="M820:M820">MAX(_xlfn.XLOOKUP($A820,TRIM(SUBSTITUTE('worker file'!$A$2:$A$406,_xlfn.UNICHAR(160)," ")),'worker file'!$M$2:$M$406,0),_xlfn.XLOOKUP($B820,TRIM('pay group &amp; schedule'!$A$2:$A$6),'pay group &amp; schedule'!$D$2:$D$6,0))</f>
        <v>46299</v>
      </c>
      <c r="N820" s="43" t="str">
        <f aca="false" t="array" ref="N820:N820">_xlfn.LET(_xlpm.t,_xlfn.XLOOKUP($A820,TRIM(SUBSTITUTE('worker file'!$A$2:$A$406,_xlfn.UNICHAR(160)," ")),'worker file'!$N$2:$N$406,""),IF(N(_xlpm.t)=0,"",_xlpm.t))</f>
        <v/>
      </c>
      <c r="O820" s="0" t="s">
        <v>648</v>
      </c>
    </row>
    <row r="821" customFormat="false" ht="15" hidden="false" customHeight="false" outlineLevel="0" collapsed="false">
      <c r="A821" s="39" t="s">
        <v>379</v>
      </c>
      <c r="B821" s="40" t="str">
        <f aca="false" t="array" ref="B821:B821">_xlfn.XLOOKUP($A821,TRIM(SUBSTITUTE('worker file'!$A$2:$A$406,_xlfn.UNICHAR(160)," ")),'worker file'!$L$2:$L$406,"Not found")</f>
        <v>US Biweekly</v>
      </c>
      <c r="C821" s="40" t="str">
        <f aca="false" t="array" ref="C821:C821">_xlfn.XLOOKUP($A821,TRIM(SUBSTITUTE('worker file'!$A$2:$A$406,_xlfn.UNICHAR(160)," ")),'worker file'!$D$2:$D$406,"Not found")</f>
        <v>TX</v>
      </c>
      <c r="D821" s="40" t="str">
        <f aca="false" t="array" ref="D821:D821">_xlfn.XLOOKUP($A821,TRIM(SUBSTITUTE('worker file'!$A$2:$A$406,_xlfn.UNICHAR(160)," ")),'worker file'!$Q$2:$Q$406,"Not found")</f>
        <v>On Leave(paid)</v>
      </c>
      <c r="E821" s="39" t="s">
        <v>632</v>
      </c>
      <c r="F821" s="38" t="str">
        <f aca="false">_xlfn.XLOOKUP($E821,$A$5:$A$8,$B$5:$B$8,"")</f>
        <v>Dental – Employee</v>
      </c>
      <c r="G821" s="38" t="str">
        <f aca="false">_xlfn.XLOOKUP($E821,$A$5:$A$8,$D$5:$D$8,"")</f>
        <v>Pre-tax Section 125 (exempt from FIT/SIT/FICA)</v>
      </c>
      <c r="H821" s="38" t="str">
        <f aca="false">_xlfn.XLOOKUP($E821,$A$5:$A$8,$E$5:$E$8,"")</f>
        <v>Flat</v>
      </c>
      <c r="I821" s="44" t="str">
        <f aca="false">IF($H821="Percent",_xlfn.XLOOKUP($E821,$A$5:$A$8,$F$5:$F$8,""),"")</f>
        <v/>
      </c>
      <c r="J821" s="42" t="n">
        <f aca="false">IF($H821="Flat",_xlfn.XLOOKUP($E821,$A$5:$A$8,$F$5:$F$8,""),"")</f>
        <v>44</v>
      </c>
      <c r="K821" s="38" t="str">
        <f aca="false">_xlfn.XLOOKUP($E821,$A$5:$A$8,$G$5:$G$8,"")</f>
        <v>Per pay period</v>
      </c>
      <c r="L821" s="38" t="str">
        <f aca="false">_xlfn.XLOOKUP($E821,$A$5:$A$8,$H$5:$H$8,"")</f>
        <v>Every pay period (ongoing)</v>
      </c>
      <c r="M821" s="43" t="n">
        <f aca="false" t="array" ref="M821:M821">MAX(_xlfn.XLOOKUP($A821,TRIM(SUBSTITUTE('worker file'!$A$2:$A$406,_xlfn.UNICHAR(160)," ")),'worker file'!$M$2:$M$406,0),_xlfn.XLOOKUP($B821,TRIM('pay group &amp; schedule'!$A$2:$A$6),'pay group &amp; schedule'!$D$2:$D$6,0))</f>
        <v>46299</v>
      </c>
      <c r="N821" s="43" t="str">
        <f aca="false" t="array" ref="N821:N821">_xlfn.LET(_xlpm.t,_xlfn.XLOOKUP($A821,TRIM(SUBSTITUTE('worker file'!$A$2:$A$406,_xlfn.UNICHAR(160)," ")),'worker file'!$N$2:$N$406,""),IF(N(_xlpm.t)=0,"",_xlpm.t))</f>
        <v/>
      </c>
      <c r="O821" s="0" t="s">
        <v>648</v>
      </c>
    </row>
    <row r="822" customFormat="false" ht="15" hidden="false" customHeight="false" outlineLevel="0" collapsed="false">
      <c r="A822" s="39" t="s">
        <v>379</v>
      </c>
      <c r="B822" s="40" t="str">
        <f aca="false" t="array" ref="B822:B822">_xlfn.XLOOKUP($A822,TRIM(SUBSTITUTE('worker file'!$A$2:$A$406,_xlfn.UNICHAR(160)," ")),'worker file'!$L$2:$L$406,"Not found")</f>
        <v>US Biweekly</v>
      </c>
      <c r="C822" s="40" t="str">
        <f aca="false" t="array" ref="C822:C822">_xlfn.XLOOKUP($A822,TRIM(SUBSTITUTE('worker file'!$A$2:$A$406,_xlfn.UNICHAR(160)," ")),'worker file'!$D$2:$D$406,"Not found")</f>
        <v>TX</v>
      </c>
      <c r="D822" s="40" t="str">
        <f aca="false" t="array" ref="D822:D822">_xlfn.XLOOKUP($A822,TRIM(SUBSTITUTE('worker file'!$A$2:$A$406,_xlfn.UNICHAR(160)," ")),'worker file'!$Q$2:$Q$406,"Not found")</f>
        <v>On Leave(paid)</v>
      </c>
      <c r="E822" s="39" t="s">
        <v>634</v>
      </c>
      <c r="F822" s="38" t="str">
        <f aca="false">_xlfn.XLOOKUP($E822,$A$5:$A$8,$B$5:$B$8,"")</f>
        <v>Vision – Employee</v>
      </c>
      <c r="G822" s="38" t="str">
        <f aca="false">_xlfn.XLOOKUP($E822,$A$5:$A$8,$D$5:$D$8,"")</f>
        <v>Pre-tax Section 125 (exempt from FIT/SIT/FICA)</v>
      </c>
      <c r="H822" s="38" t="str">
        <f aca="false">_xlfn.XLOOKUP($E822,$A$5:$A$8,$E$5:$E$8,"")</f>
        <v>Flat</v>
      </c>
      <c r="I822" s="44" t="str">
        <f aca="false">IF($H822="Percent",_xlfn.XLOOKUP($E822,$A$5:$A$8,$F$5:$F$8,""),"")</f>
        <v/>
      </c>
      <c r="J822" s="42" t="n">
        <f aca="false">IF($H822="Flat",_xlfn.XLOOKUP($E822,$A$5:$A$8,$F$5:$F$8,""),"")</f>
        <v>30</v>
      </c>
      <c r="K822" s="38" t="str">
        <f aca="false">_xlfn.XLOOKUP($E822,$A$5:$A$8,$G$5:$G$8,"")</f>
        <v>Per pay period</v>
      </c>
      <c r="L822" s="38" t="str">
        <f aca="false">_xlfn.XLOOKUP($E822,$A$5:$A$8,$H$5:$H$8,"")</f>
        <v>Every pay period (ongoing)</v>
      </c>
      <c r="M822" s="43" t="n">
        <f aca="false" t="array" ref="M822:M822">MAX(_xlfn.XLOOKUP($A822,TRIM(SUBSTITUTE('worker file'!$A$2:$A$406,_xlfn.UNICHAR(160)," ")),'worker file'!$M$2:$M$406,0),_xlfn.XLOOKUP($B822,TRIM('pay group &amp; schedule'!$A$2:$A$6),'pay group &amp; schedule'!$D$2:$D$6,0))</f>
        <v>46299</v>
      </c>
      <c r="N822" s="43" t="str">
        <f aca="false" t="array" ref="N822:N822">_xlfn.LET(_xlpm.t,_xlfn.XLOOKUP($A822,TRIM(SUBSTITUTE('worker file'!$A$2:$A$406,_xlfn.UNICHAR(160)," ")),'worker file'!$N$2:$N$406,""),IF(N(_xlpm.t)=0,"",_xlpm.t))</f>
        <v/>
      </c>
      <c r="O822" s="0" t="s">
        <v>648</v>
      </c>
    </row>
    <row r="823" customFormat="false" ht="15" hidden="false" customHeight="false" outlineLevel="0" collapsed="false">
      <c r="A823" s="39" t="s">
        <v>382</v>
      </c>
      <c r="B823" s="40" t="str">
        <f aca="false" t="array" ref="B823:B823">_xlfn.XLOOKUP($A823,TRIM(SUBSTITUTE('worker file'!$A$2:$A$406,_xlfn.UNICHAR(160)," ")),'worker file'!$L$2:$L$406,"Not found")</f>
        <v>US Semi-monthly</v>
      </c>
      <c r="C823" s="40" t="str">
        <f aca="false" t="array" ref="C823:C823">_xlfn.XLOOKUP($A823,TRIM(SUBSTITUTE('worker file'!$A$2:$A$406,_xlfn.UNICHAR(160)," ")),'worker file'!$D$2:$D$406,"Not found")</f>
        <v>MA</v>
      </c>
      <c r="D823" s="40" t="str">
        <f aca="false" t="array" ref="D823:D823">_xlfn.XLOOKUP($A823,TRIM(SUBSTITUTE('worker file'!$A$2:$A$406,_xlfn.UNICHAR(160)," ")),'worker file'!$Q$2:$Q$406,"Not found")</f>
        <v>Active</v>
      </c>
      <c r="E823" s="39" t="s">
        <v>618</v>
      </c>
      <c r="F823" s="38" t="str">
        <f aca="false">_xlfn.XLOOKUP($E823,$A$5:$A$8,$B$5:$B$8,"")</f>
        <v>401(k) Employee Deferral</v>
      </c>
      <c r="G823" s="38" t="str">
        <f aca="false">_xlfn.XLOOKUP($E823,$A$5:$A$8,$D$5:$D$8,"")</f>
        <v>Pre-tax (exempt from FIT/SIT; subject to FICA)</v>
      </c>
      <c r="H823" s="38" t="str">
        <f aca="false">_xlfn.XLOOKUP($E823,$A$5:$A$8,$E$5:$E$8,"")</f>
        <v>Percent</v>
      </c>
      <c r="I823" s="41" t="n">
        <v>0.03</v>
      </c>
      <c r="J823" s="42" t="str">
        <f aca="false">IF($H823="Flat",_xlfn.XLOOKUP($E823,$A$5:$A$8,$F$5:$F$8,""),"")</f>
        <v/>
      </c>
      <c r="K823" s="38" t="str">
        <f aca="false">_xlfn.XLOOKUP($E823,$A$5:$A$8,$G$5:$G$8,"")</f>
        <v>Gross pay</v>
      </c>
      <c r="L823" s="38" t="str">
        <f aca="false">_xlfn.XLOOKUP($E823,$A$5:$A$8,$H$5:$H$8,"")</f>
        <v>Every pay period (ongoing)</v>
      </c>
      <c r="M823" s="43" t="n">
        <f aca="false" t="array" ref="M823:M823">MAX(_xlfn.XLOOKUP($A823,TRIM(SUBSTITUTE('worker file'!$A$2:$A$406,_xlfn.UNICHAR(160)," ")),'worker file'!$M$2:$M$406,0),_xlfn.XLOOKUP($B823,TRIM('pay group &amp; schedule'!$A$2:$A$6),'pay group &amp; schedule'!$D$2:$D$6,0))</f>
        <v>46311</v>
      </c>
      <c r="N823" s="43" t="str">
        <f aca="false" t="array" ref="N823:N823">_xlfn.LET(_xlpm.t,_xlfn.XLOOKUP($A823,TRIM(SUBSTITUTE('worker file'!$A$2:$A$406,_xlfn.UNICHAR(160)," ")),'worker file'!$N$2:$N$406,""),IF(N(_xlpm.t)=0,"",_xlpm.t))</f>
        <v/>
      </c>
    </row>
    <row r="824" customFormat="false" ht="15" hidden="false" customHeight="false" outlineLevel="0" collapsed="false">
      <c r="A824" s="39" t="s">
        <v>382</v>
      </c>
      <c r="B824" s="40" t="str">
        <f aca="false" t="array" ref="B824:B824">_xlfn.XLOOKUP($A824,TRIM(SUBSTITUTE('worker file'!$A$2:$A$406,_xlfn.UNICHAR(160)," ")),'worker file'!$L$2:$L$406,"Not found")</f>
        <v>US Semi-monthly</v>
      </c>
      <c r="C824" s="40" t="str">
        <f aca="false" t="array" ref="C824:C824">_xlfn.XLOOKUP($A824,TRIM(SUBSTITUTE('worker file'!$A$2:$A$406,_xlfn.UNICHAR(160)," ")),'worker file'!$D$2:$D$406,"Not found")</f>
        <v>MA</v>
      </c>
      <c r="D824" s="40" t="str">
        <f aca="false" t="array" ref="D824:D824">_xlfn.XLOOKUP($A824,TRIM(SUBSTITUTE('worker file'!$A$2:$A$406,_xlfn.UNICHAR(160)," ")),'worker file'!$Q$2:$Q$406,"Not found")</f>
        <v>Active</v>
      </c>
      <c r="E824" s="39" t="s">
        <v>626</v>
      </c>
      <c r="F824" s="38" t="str">
        <f aca="false">_xlfn.XLOOKUP($E824,$A$5:$A$8,$B$5:$B$8,"")</f>
        <v>Medical (Health) – Employee</v>
      </c>
      <c r="G824" s="38" t="str">
        <f aca="false">_xlfn.XLOOKUP($E824,$A$5:$A$8,$D$5:$D$8,"")</f>
        <v>Pre-tax Section 125 (exempt from FIT/SIT/FICA)</v>
      </c>
      <c r="H824" s="38" t="str">
        <f aca="false">_xlfn.XLOOKUP($E824,$A$5:$A$8,$E$5:$E$8,"")</f>
        <v>Flat</v>
      </c>
      <c r="I824" s="44" t="str">
        <f aca="false">IF($H824="Percent",_xlfn.XLOOKUP($E824,$A$5:$A$8,$F$5:$F$8,""),"")</f>
        <v/>
      </c>
      <c r="J824" s="42" t="n">
        <f aca="false">IF($H824="Flat",_xlfn.XLOOKUP($E824,$A$5:$A$8,$F$5:$F$8,""),"")</f>
        <v>200</v>
      </c>
      <c r="K824" s="38" t="str">
        <f aca="false">_xlfn.XLOOKUP($E824,$A$5:$A$8,$G$5:$G$8,"")</f>
        <v>Per pay period</v>
      </c>
      <c r="L824" s="38" t="str">
        <f aca="false">_xlfn.XLOOKUP($E824,$A$5:$A$8,$H$5:$H$8,"")</f>
        <v>Every pay period (ongoing)</v>
      </c>
      <c r="M824" s="43" t="n">
        <f aca="false" t="array" ref="M824:M824">MAX(_xlfn.XLOOKUP($A824,TRIM(SUBSTITUTE('worker file'!$A$2:$A$406,_xlfn.UNICHAR(160)," ")),'worker file'!$M$2:$M$406,0),_xlfn.XLOOKUP($B824,TRIM('pay group &amp; schedule'!$A$2:$A$6),'pay group &amp; schedule'!$D$2:$D$6,0))</f>
        <v>46311</v>
      </c>
      <c r="N824" s="43" t="str">
        <f aca="false" t="array" ref="N824:N824">_xlfn.LET(_xlpm.t,_xlfn.XLOOKUP($A824,TRIM(SUBSTITUTE('worker file'!$A$2:$A$406,_xlfn.UNICHAR(160)," ")),'worker file'!$N$2:$N$406,""),IF(N(_xlpm.t)=0,"",_xlpm.t))</f>
        <v/>
      </c>
    </row>
    <row r="825" customFormat="false" ht="15" hidden="false" customHeight="false" outlineLevel="0" collapsed="false">
      <c r="A825" s="39" t="s">
        <v>382</v>
      </c>
      <c r="B825" s="40" t="str">
        <f aca="false" t="array" ref="B825:B825">_xlfn.XLOOKUP($A825,TRIM(SUBSTITUTE('worker file'!$A$2:$A$406,_xlfn.UNICHAR(160)," ")),'worker file'!$L$2:$L$406,"Not found")</f>
        <v>US Semi-monthly</v>
      </c>
      <c r="C825" s="40" t="str">
        <f aca="false" t="array" ref="C825:C825">_xlfn.XLOOKUP($A825,TRIM(SUBSTITUTE('worker file'!$A$2:$A$406,_xlfn.UNICHAR(160)," ")),'worker file'!$D$2:$D$406,"Not found")</f>
        <v>MA</v>
      </c>
      <c r="D825" s="40" t="str">
        <f aca="false" t="array" ref="D825:D825">_xlfn.XLOOKUP($A825,TRIM(SUBSTITUTE('worker file'!$A$2:$A$406,_xlfn.UNICHAR(160)," ")),'worker file'!$Q$2:$Q$406,"Not found")</f>
        <v>Active</v>
      </c>
      <c r="E825" s="39" t="s">
        <v>632</v>
      </c>
      <c r="F825" s="38" t="str">
        <f aca="false">_xlfn.XLOOKUP($E825,$A$5:$A$8,$B$5:$B$8,"")</f>
        <v>Dental – Employee</v>
      </c>
      <c r="G825" s="38" t="str">
        <f aca="false">_xlfn.XLOOKUP($E825,$A$5:$A$8,$D$5:$D$8,"")</f>
        <v>Pre-tax Section 125 (exempt from FIT/SIT/FICA)</v>
      </c>
      <c r="H825" s="38" t="str">
        <f aca="false">_xlfn.XLOOKUP($E825,$A$5:$A$8,$E$5:$E$8,"")</f>
        <v>Flat</v>
      </c>
      <c r="I825" s="44" t="str">
        <f aca="false">IF($H825="Percent",_xlfn.XLOOKUP($E825,$A$5:$A$8,$F$5:$F$8,""),"")</f>
        <v/>
      </c>
      <c r="J825" s="42" t="n">
        <f aca="false">IF($H825="Flat",_xlfn.XLOOKUP($E825,$A$5:$A$8,$F$5:$F$8,""),"")</f>
        <v>44</v>
      </c>
      <c r="K825" s="38" t="str">
        <f aca="false">_xlfn.XLOOKUP($E825,$A$5:$A$8,$G$5:$G$8,"")</f>
        <v>Per pay period</v>
      </c>
      <c r="L825" s="38" t="str">
        <f aca="false">_xlfn.XLOOKUP($E825,$A$5:$A$8,$H$5:$H$8,"")</f>
        <v>Every pay period (ongoing)</v>
      </c>
      <c r="M825" s="43" t="n">
        <f aca="false" t="array" ref="M825:M825">MAX(_xlfn.XLOOKUP($A825,TRIM(SUBSTITUTE('worker file'!$A$2:$A$406,_xlfn.UNICHAR(160)," ")),'worker file'!$M$2:$M$406,0),_xlfn.XLOOKUP($B825,TRIM('pay group &amp; schedule'!$A$2:$A$6),'pay group &amp; schedule'!$D$2:$D$6,0))</f>
        <v>46311</v>
      </c>
      <c r="N825" s="43" t="str">
        <f aca="false" t="array" ref="N825:N825">_xlfn.LET(_xlpm.t,_xlfn.XLOOKUP($A825,TRIM(SUBSTITUTE('worker file'!$A$2:$A$406,_xlfn.UNICHAR(160)," ")),'worker file'!$N$2:$N$406,""),IF(N(_xlpm.t)=0,"",_xlpm.t))</f>
        <v/>
      </c>
    </row>
    <row r="826" customFormat="false" ht="15" hidden="false" customHeight="false" outlineLevel="0" collapsed="false">
      <c r="A826" s="39" t="s">
        <v>382</v>
      </c>
      <c r="B826" s="40" t="str">
        <f aca="false" t="array" ref="B826:B826">_xlfn.XLOOKUP($A826,TRIM(SUBSTITUTE('worker file'!$A$2:$A$406,_xlfn.UNICHAR(160)," ")),'worker file'!$L$2:$L$406,"Not found")</f>
        <v>US Semi-monthly</v>
      </c>
      <c r="C826" s="40" t="str">
        <f aca="false" t="array" ref="C826:C826">_xlfn.XLOOKUP($A826,TRIM(SUBSTITUTE('worker file'!$A$2:$A$406,_xlfn.UNICHAR(160)," ")),'worker file'!$D$2:$D$406,"Not found")</f>
        <v>MA</v>
      </c>
      <c r="D826" s="40" t="str">
        <f aca="false" t="array" ref="D826:D826">_xlfn.XLOOKUP($A826,TRIM(SUBSTITUTE('worker file'!$A$2:$A$406,_xlfn.UNICHAR(160)," ")),'worker file'!$Q$2:$Q$406,"Not found")</f>
        <v>Active</v>
      </c>
      <c r="E826" s="39" t="s">
        <v>634</v>
      </c>
      <c r="F826" s="38" t="str">
        <f aca="false">_xlfn.XLOOKUP($E826,$A$5:$A$8,$B$5:$B$8,"")</f>
        <v>Vision – Employee</v>
      </c>
      <c r="G826" s="38" t="str">
        <f aca="false">_xlfn.XLOOKUP($E826,$A$5:$A$8,$D$5:$D$8,"")</f>
        <v>Pre-tax Section 125 (exempt from FIT/SIT/FICA)</v>
      </c>
      <c r="H826" s="38" t="str">
        <f aca="false">_xlfn.XLOOKUP($E826,$A$5:$A$8,$E$5:$E$8,"")</f>
        <v>Flat</v>
      </c>
      <c r="I826" s="44" t="str">
        <f aca="false">IF($H826="Percent",_xlfn.XLOOKUP($E826,$A$5:$A$8,$F$5:$F$8,""),"")</f>
        <v/>
      </c>
      <c r="J826" s="42" t="n">
        <f aca="false">IF($H826="Flat",_xlfn.XLOOKUP($E826,$A$5:$A$8,$F$5:$F$8,""),"")</f>
        <v>30</v>
      </c>
      <c r="K826" s="38" t="str">
        <f aca="false">_xlfn.XLOOKUP($E826,$A$5:$A$8,$G$5:$G$8,"")</f>
        <v>Per pay period</v>
      </c>
      <c r="L826" s="38" t="str">
        <f aca="false">_xlfn.XLOOKUP($E826,$A$5:$A$8,$H$5:$H$8,"")</f>
        <v>Every pay period (ongoing)</v>
      </c>
      <c r="M826" s="43" t="n">
        <f aca="false" t="array" ref="M826:M826">MAX(_xlfn.XLOOKUP($A826,TRIM(SUBSTITUTE('worker file'!$A$2:$A$406,_xlfn.UNICHAR(160)," ")),'worker file'!$M$2:$M$406,0),_xlfn.XLOOKUP($B826,TRIM('pay group &amp; schedule'!$A$2:$A$6),'pay group &amp; schedule'!$D$2:$D$6,0))</f>
        <v>46311</v>
      </c>
      <c r="N826" s="43" t="str">
        <f aca="false" t="array" ref="N826:N826">_xlfn.LET(_xlpm.t,_xlfn.XLOOKUP($A826,TRIM(SUBSTITUTE('worker file'!$A$2:$A$406,_xlfn.UNICHAR(160)," ")),'worker file'!$N$2:$N$406,""),IF(N(_xlpm.t)=0,"",_xlpm.t))</f>
        <v/>
      </c>
    </row>
    <row r="827" customFormat="false" ht="15" hidden="false" customHeight="false" outlineLevel="0" collapsed="false">
      <c r="A827" s="39" t="s">
        <v>383</v>
      </c>
      <c r="B827" s="40" t="str">
        <f aca="false" t="array" ref="B827:B827">_xlfn.XLOOKUP($A827,TRIM(SUBSTITUTE('worker file'!$A$2:$A$406,_xlfn.UNICHAR(160)," ")),'worker file'!$L$2:$L$406,"Not found")</f>
        <v>US Semi-monthly</v>
      </c>
      <c r="C827" s="40" t="str">
        <f aca="false" t="array" ref="C827:C827">_xlfn.XLOOKUP($A827,TRIM(SUBSTITUTE('worker file'!$A$2:$A$406,_xlfn.UNICHAR(160)," ")),'worker file'!$D$2:$D$406,"Not found")</f>
        <v>CA</v>
      </c>
      <c r="D827" s="40" t="str">
        <f aca="false" t="array" ref="D827:D827">_xlfn.XLOOKUP($A827,TRIM(SUBSTITUTE('worker file'!$A$2:$A$406,_xlfn.UNICHAR(160)," ")),'worker file'!$Q$2:$Q$406,"Not found")</f>
        <v>Active</v>
      </c>
      <c r="E827" s="39" t="s">
        <v>618</v>
      </c>
      <c r="F827" s="38" t="str">
        <f aca="false">_xlfn.XLOOKUP($E827,$A$5:$A$8,$B$5:$B$8,"")</f>
        <v>401(k) Employee Deferral</v>
      </c>
      <c r="G827" s="38" t="str">
        <f aca="false">_xlfn.XLOOKUP($E827,$A$5:$A$8,$D$5:$D$8,"")</f>
        <v>Pre-tax (exempt from FIT/SIT; subject to FICA)</v>
      </c>
      <c r="H827" s="38" t="str">
        <f aca="false">_xlfn.XLOOKUP($E827,$A$5:$A$8,$E$5:$E$8,"")</f>
        <v>Percent</v>
      </c>
      <c r="I827" s="41" t="n">
        <v>0</v>
      </c>
      <c r="J827" s="42" t="str">
        <f aca="false">IF($H827="Flat",_xlfn.XLOOKUP($E827,$A$5:$A$8,$F$5:$F$8,""),"")</f>
        <v/>
      </c>
      <c r="K827" s="38" t="str">
        <f aca="false">_xlfn.XLOOKUP($E827,$A$5:$A$8,$G$5:$G$8,"")</f>
        <v>Gross pay</v>
      </c>
      <c r="L827" s="38" t="str">
        <f aca="false">_xlfn.XLOOKUP($E827,$A$5:$A$8,$H$5:$H$8,"")</f>
        <v>Every pay period (ongoing)</v>
      </c>
      <c r="M827" s="43" t="n">
        <f aca="false" t="array" ref="M827:M827">MAX(_xlfn.XLOOKUP($A827,TRIM(SUBSTITUTE('worker file'!$A$2:$A$406,_xlfn.UNICHAR(160)," ")),'worker file'!$M$2:$M$406,0),_xlfn.XLOOKUP($B827,TRIM('pay group &amp; schedule'!$A$2:$A$6),'pay group &amp; schedule'!$D$2:$D$6,0))</f>
        <v>46311</v>
      </c>
      <c r="N827" s="43" t="str">
        <f aca="false" t="array" ref="N827:N827">_xlfn.LET(_xlpm.t,_xlfn.XLOOKUP($A827,TRIM(SUBSTITUTE('worker file'!$A$2:$A$406,_xlfn.UNICHAR(160)," ")),'worker file'!$N$2:$N$406,""),IF(N(_xlpm.t)=0,"",_xlpm.t))</f>
        <v/>
      </c>
    </row>
    <row r="828" customFormat="false" ht="15" hidden="false" customHeight="false" outlineLevel="0" collapsed="false">
      <c r="A828" s="39" t="s">
        <v>383</v>
      </c>
      <c r="B828" s="40" t="str">
        <f aca="false" t="array" ref="B828:B828">_xlfn.XLOOKUP($A828,TRIM(SUBSTITUTE('worker file'!$A$2:$A$406,_xlfn.UNICHAR(160)," ")),'worker file'!$L$2:$L$406,"Not found")</f>
        <v>US Semi-monthly</v>
      </c>
      <c r="C828" s="40" t="str">
        <f aca="false" t="array" ref="C828:C828">_xlfn.XLOOKUP($A828,TRIM(SUBSTITUTE('worker file'!$A$2:$A$406,_xlfn.UNICHAR(160)," ")),'worker file'!$D$2:$D$406,"Not found")</f>
        <v>CA</v>
      </c>
      <c r="D828" s="40" t="str">
        <f aca="false" t="array" ref="D828:D828">_xlfn.XLOOKUP($A828,TRIM(SUBSTITUTE('worker file'!$A$2:$A$406,_xlfn.UNICHAR(160)," ")),'worker file'!$Q$2:$Q$406,"Not found")</f>
        <v>Active</v>
      </c>
      <c r="E828" s="39" t="s">
        <v>626</v>
      </c>
      <c r="F828" s="38" t="str">
        <f aca="false">_xlfn.XLOOKUP($E828,$A$5:$A$8,$B$5:$B$8,"")</f>
        <v>Medical (Health) – Employee</v>
      </c>
      <c r="G828" s="38" t="str">
        <f aca="false">_xlfn.XLOOKUP($E828,$A$5:$A$8,$D$5:$D$8,"")</f>
        <v>Pre-tax Section 125 (exempt from FIT/SIT/FICA)</v>
      </c>
      <c r="H828" s="38" t="str">
        <f aca="false">_xlfn.XLOOKUP($E828,$A$5:$A$8,$E$5:$E$8,"")</f>
        <v>Flat</v>
      </c>
      <c r="I828" s="44" t="str">
        <f aca="false">IF($H828="Percent",_xlfn.XLOOKUP($E828,$A$5:$A$8,$F$5:$F$8,""),"")</f>
        <v/>
      </c>
      <c r="J828" s="42" t="n">
        <f aca="false">IF($H828="Flat",_xlfn.XLOOKUP($E828,$A$5:$A$8,$F$5:$F$8,""),"")</f>
        <v>200</v>
      </c>
      <c r="K828" s="38" t="str">
        <f aca="false">_xlfn.XLOOKUP($E828,$A$5:$A$8,$G$5:$G$8,"")</f>
        <v>Per pay period</v>
      </c>
      <c r="L828" s="38" t="str">
        <f aca="false">_xlfn.XLOOKUP($E828,$A$5:$A$8,$H$5:$H$8,"")</f>
        <v>Every pay period (ongoing)</v>
      </c>
      <c r="M828" s="43" t="n">
        <f aca="false" t="array" ref="M828:M828">MAX(_xlfn.XLOOKUP($A828,TRIM(SUBSTITUTE('worker file'!$A$2:$A$406,_xlfn.UNICHAR(160)," ")),'worker file'!$M$2:$M$406,0),_xlfn.XLOOKUP($B828,TRIM('pay group &amp; schedule'!$A$2:$A$6),'pay group &amp; schedule'!$D$2:$D$6,0))</f>
        <v>46311</v>
      </c>
      <c r="N828" s="43" t="str">
        <f aca="false" t="array" ref="N828:N828">_xlfn.LET(_xlpm.t,_xlfn.XLOOKUP($A828,TRIM(SUBSTITUTE('worker file'!$A$2:$A$406,_xlfn.UNICHAR(160)," ")),'worker file'!$N$2:$N$406,""),IF(N(_xlpm.t)=0,"",_xlpm.t))</f>
        <v/>
      </c>
    </row>
    <row r="829" customFormat="false" ht="15" hidden="false" customHeight="false" outlineLevel="0" collapsed="false">
      <c r="A829" s="39" t="s">
        <v>383</v>
      </c>
      <c r="B829" s="40" t="str">
        <f aca="false" t="array" ref="B829:B829">_xlfn.XLOOKUP($A829,TRIM(SUBSTITUTE('worker file'!$A$2:$A$406,_xlfn.UNICHAR(160)," ")),'worker file'!$L$2:$L$406,"Not found")</f>
        <v>US Semi-monthly</v>
      </c>
      <c r="C829" s="40" t="str">
        <f aca="false" t="array" ref="C829:C829">_xlfn.XLOOKUP($A829,TRIM(SUBSTITUTE('worker file'!$A$2:$A$406,_xlfn.UNICHAR(160)," ")),'worker file'!$D$2:$D$406,"Not found")</f>
        <v>CA</v>
      </c>
      <c r="D829" s="40" t="str">
        <f aca="false" t="array" ref="D829:D829">_xlfn.XLOOKUP($A829,TRIM(SUBSTITUTE('worker file'!$A$2:$A$406,_xlfn.UNICHAR(160)," ")),'worker file'!$Q$2:$Q$406,"Not found")</f>
        <v>Active</v>
      </c>
      <c r="E829" s="39" t="s">
        <v>632</v>
      </c>
      <c r="F829" s="38" t="str">
        <f aca="false">_xlfn.XLOOKUP($E829,$A$5:$A$8,$B$5:$B$8,"")</f>
        <v>Dental – Employee</v>
      </c>
      <c r="G829" s="38" t="str">
        <f aca="false">_xlfn.XLOOKUP($E829,$A$5:$A$8,$D$5:$D$8,"")</f>
        <v>Pre-tax Section 125 (exempt from FIT/SIT/FICA)</v>
      </c>
      <c r="H829" s="38" t="str">
        <f aca="false">_xlfn.XLOOKUP($E829,$A$5:$A$8,$E$5:$E$8,"")</f>
        <v>Flat</v>
      </c>
      <c r="I829" s="44" t="str">
        <f aca="false">IF($H829="Percent",_xlfn.XLOOKUP($E829,$A$5:$A$8,$F$5:$F$8,""),"")</f>
        <v/>
      </c>
      <c r="J829" s="42" t="n">
        <f aca="false">IF($H829="Flat",_xlfn.XLOOKUP($E829,$A$5:$A$8,$F$5:$F$8,""),"")</f>
        <v>44</v>
      </c>
      <c r="K829" s="38" t="str">
        <f aca="false">_xlfn.XLOOKUP($E829,$A$5:$A$8,$G$5:$G$8,"")</f>
        <v>Per pay period</v>
      </c>
      <c r="L829" s="38" t="str">
        <f aca="false">_xlfn.XLOOKUP($E829,$A$5:$A$8,$H$5:$H$8,"")</f>
        <v>Every pay period (ongoing)</v>
      </c>
      <c r="M829" s="43" t="n">
        <f aca="false" t="array" ref="M829:M829">MAX(_xlfn.XLOOKUP($A829,TRIM(SUBSTITUTE('worker file'!$A$2:$A$406,_xlfn.UNICHAR(160)," ")),'worker file'!$M$2:$M$406,0),_xlfn.XLOOKUP($B829,TRIM('pay group &amp; schedule'!$A$2:$A$6),'pay group &amp; schedule'!$D$2:$D$6,0))</f>
        <v>46311</v>
      </c>
      <c r="N829" s="43" t="str">
        <f aca="false" t="array" ref="N829:N829">_xlfn.LET(_xlpm.t,_xlfn.XLOOKUP($A829,TRIM(SUBSTITUTE('worker file'!$A$2:$A$406,_xlfn.UNICHAR(160)," ")),'worker file'!$N$2:$N$406,""),IF(N(_xlpm.t)=0,"",_xlpm.t))</f>
        <v/>
      </c>
    </row>
    <row r="830" customFormat="false" ht="15" hidden="false" customHeight="false" outlineLevel="0" collapsed="false">
      <c r="A830" s="39" t="s">
        <v>383</v>
      </c>
      <c r="B830" s="40" t="str">
        <f aca="false" t="array" ref="B830:B830">_xlfn.XLOOKUP($A830,TRIM(SUBSTITUTE('worker file'!$A$2:$A$406,_xlfn.UNICHAR(160)," ")),'worker file'!$L$2:$L$406,"Not found")</f>
        <v>US Semi-monthly</v>
      </c>
      <c r="C830" s="40" t="str">
        <f aca="false" t="array" ref="C830:C830">_xlfn.XLOOKUP($A830,TRIM(SUBSTITUTE('worker file'!$A$2:$A$406,_xlfn.UNICHAR(160)," ")),'worker file'!$D$2:$D$406,"Not found")</f>
        <v>CA</v>
      </c>
      <c r="D830" s="40" t="str">
        <f aca="false" t="array" ref="D830:D830">_xlfn.XLOOKUP($A830,TRIM(SUBSTITUTE('worker file'!$A$2:$A$406,_xlfn.UNICHAR(160)," ")),'worker file'!$Q$2:$Q$406,"Not found")</f>
        <v>Active</v>
      </c>
      <c r="E830" s="39" t="s">
        <v>634</v>
      </c>
      <c r="F830" s="38" t="str">
        <f aca="false">_xlfn.XLOOKUP($E830,$A$5:$A$8,$B$5:$B$8,"")</f>
        <v>Vision – Employee</v>
      </c>
      <c r="G830" s="38" t="str">
        <f aca="false">_xlfn.XLOOKUP($E830,$A$5:$A$8,$D$5:$D$8,"")</f>
        <v>Pre-tax Section 125 (exempt from FIT/SIT/FICA)</v>
      </c>
      <c r="H830" s="38" t="str">
        <f aca="false">_xlfn.XLOOKUP($E830,$A$5:$A$8,$E$5:$E$8,"")</f>
        <v>Flat</v>
      </c>
      <c r="I830" s="44" t="str">
        <f aca="false">IF($H830="Percent",_xlfn.XLOOKUP($E830,$A$5:$A$8,$F$5:$F$8,""),"")</f>
        <v/>
      </c>
      <c r="J830" s="42" t="n">
        <f aca="false">IF($H830="Flat",_xlfn.XLOOKUP($E830,$A$5:$A$8,$F$5:$F$8,""),"")</f>
        <v>30</v>
      </c>
      <c r="K830" s="38" t="str">
        <f aca="false">_xlfn.XLOOKUP($E830,$A$5:$A$8,$G$5:$G$8,"")</f>
        <v>Per pay period</v>
      </c>
      <c r="L830" s="38" t="str">
        <f aca="false">_xlfn.XLOOKUP($E830,$A$5:$A$8,$H$5:$H$8,"")</f>
        <v>Every pay period (ongoing)</v>
      </c>
      <c r="M830" s="43" t="n">
        <f aca="false" t="array" ref="M830:M830">MAX(_xlfn.XLOOKUP($A830,TRIM(SUBSTITUTE('worker file'!$A$2:$A$406,_xlfn.UNICHAR(160)," ")),'worker file'!$M$2:$M$406,0),_xlfn.XLOOKUP($B830,TRIM('pay group &amp; schedule'!$A$2:$A$6),'pay group &amp; schedule'!$D$2:$D$6,0))</f>
        <v>46311</v>
      </c>
      <c r="N830" s="43" t="str">
        <f aca="false" t="array" ref="N830:N830">_xlfn.LET(_xlpm.t,_xlfn.XLOOKUP($A830,TRIM(SUBSTITUTE('worker file'!$A$2:$A$406,_xlfn.UNICHAR(160)," ")),'worker file'!$N$2:$N$406,""),IF(N(_xlpm.t)=0,"",_xlpm.t))</f>
        <v/>
      </c>
    </row>
    <row r="831" customFormat="false" ht="15" hidden="false" customHeight="false" outlineLevel="0" collapsed="false">
      <c r="A831" s="39" t="s">
        <v>384</v>
      </c>
      <c r="B831" s="40" t="str">
        <f aca="false" t="array" ref="B831:B831">_xlfn.XLOOKUP($A831,TRIM(SUBSTITUTE('worker file'!$A$2:$A$406,_xlfn.UNICHAR(160)," ")),'worker file'!$L$2:$L$406,"Not found")</f>
        <v>US Semi-monthly</v>
      </c>
      <c r="C831" s="40" t="str">
        <f aca="false" t="array" ref="C831:C831">_xlfn.XLOOKUP($A831,TRIM(SUBSTITUTE('worker file'!$A$2:$A$406,_xlfn.UNICHAR(160)," ")),'worker file'!$D$2:$D$406,"Not found")</f>
        <v>NY</v>
      </c>
      <c r="D831" s="40" t="str">
        <f aca="false" t="array" ref="D831:D831">_xlfn.XLOOKUP($A831,TRIM(SUBSTITUTE('worker file'!$A$2:$A$406,_xlfn.UNICHAR(160)," ")),'worker file'!$Q$2:$Q$406,"Not found")</f>
        <v>Active</v>
      </c>
      <c r="E831" s="39" t="s">
        <v>618</v>
      </c>
      <c r="F831" s="38" t="str">
        <f aca="false">_xlfn.XLOOKUP($E831,$A$5:$A$8,$B$5:$B$8,"")</f>
        <v>401(k) Employee Deferral</v>
      </c>
      <c r="G831" s="38" t="str">
        <f aca="false">_xlfn.XLOOKUP($E831,$A$5:$A$8,$D$5:$D$8,"")</f>
        <v>Pre-tax (exempt from FIT/SIT; subject to FICA)</v>
      </c>
      <c r="H831" s="38" t="str">
        <f aca="false">_xlfn.XLOOKUP($E831,$A$5:$A$8,$E$5:$E$8,"")</f>
        <v>Percent</v>
      </c>
      <c r="I831" s="41" t="n">
        <v>0.05</v>
      </c>
      <c r="J831" s="42" t="str">
        <f aca="false">IF($H831="Flat",_xlfn.XLOOKUP($E831,$A$5:$A$8,$F$5:$F$8,""),"")</f>
        <v/>
      </c>
      <c r="K831" s="38" t="str">
        <f aca="false">_xlfn.XLOOKUP($E831,$A$5:$A$8,$G$5:$G$8,"")</f>
        <v>Gross pay</v>
      </c>
      <c r="L831" s="38" t="str">
        <f aca="false">_xlfn.XLOOKUP($E831,$A$5:$A$8,$H$5:$H$8,"")</f>
        <v>Every pay period (ongoing)</v>
      </c>
      <c r="M831" s="43" t="n">
        <f aca="false" t="array" ref="M831:M831">MAX(_xlfn.XLOOKUP($A831,TRIM(SUBSTITUTE('worker file'!$A$2:$A$406,_xlfn.UNICHAR(160)," ")),'worker file'!$M$2:$M$406,0),_xlfn.XLOOKUP($B831,TRIM('pay group &amp; schedule'!$A$2:$A$6),'pay group &amp; schedule'!$D$2:$D$6,0))</f>
        <v>46311</v>
      </c>
      <c r="N831" s="43" t="str">
        <f aca="false" t="array" ref="N831:N831">_xlfn.LET(_xlpm.t,_xlfn.XLOOKUP($A831,TRIM(SUBSTITUTE('worker file'!$A$2:$A$406,_xlfn.UNICHAR(160)," ")),'worker file'!$N$2:$N$406,""),IF(N(_xlpm.t)=0,"",_xlpm.t))</f>
        <v/>
      </c>
    </row>
    <row r="832" customFormat="false" ht="15" hidden="false" customHeight="false" outlineLevel="0" collapsed="false">
      <c r="A832" s="39" t="s">
        <v>384</v>
      </c>
      <c r="B832" s="40" t="str">
        <f aca="false" t="array" ref="B832:B832">_xlfn.XLOOKUP($A832,TRIM(SUBSTITUTE('worker file'!$A$2:$A$406,_xlfn.UNICHAR(160)," ")),'worker file'!$L$2:$L$406,"Not found")</f>
        <v>US Semi-monthly</v>
      </c>
      <c r="C832" s="40" t="str">
        <f aca="false" t="array" ref="C832:C832">_xlfn.XLOOKUP($A832,TRIM(SUBSTITUTE('worker file'!$A$2:$A$406,_xlfn.UNICHAR(160)," ")),'worker file'!$D$2:$D$406,"Not found")</f>
        <v>NY</v>
      </c>
      <c r="D832" s="40" t="str">
        <f aca="false" t="array" ref="D832:D832">_xlfn.XLOOKUP($A832,TRIM(SUBSTITUTE('worker file'!$A$2:$A$406,_xlfn.UNICHAR(160)," ")),'worker file'!$Q$2:$Q$406,"Not found")</f>
        <v>Active</v>
      </c>
      <c r="E832" s="39" t="s">
        <v>626</v>
      </c>
      <c r="F832" s="38" t="str">
        <f aca="false">_xlfn.XLOOKUP($E832,$A$5:$A$8,$B$5:$B$8,"")</f>
        <v>Medical (Health) – Employee</v>
      </c>
      <c r="G832" s="38" t="str">
        <f aca="false">_xlfn.XLOOKUP($E832,$A$5:$A$8,$D$5:$D$8,"")</f>
        <v>Pre-tax Section 125 (exempt from FIT/SIT/FICA)</v>
      </c>
      <c r="H832" s="38" t="str">
        <f aca="false">_xlfn.XLOOKUP($E832,$A$5:$A$8,$E$5:$E$8,"")</f>
        <v>Flat</v>
      </c>
      <c r="I832" s="44" t="str">
        <f aca="false">IF($H832="Percent",_xlfn.XLOOKUP($E832,$A$5:$A$8,$F$5:$F$8,""),"")</f>
        <v/>
      </c>
      <c r="J832" s="42" t="n">
        <f aca="false">IF($H832="Flat",_xlfn.XLOOKUP($E832,$A$5:$A$8,$F$5:$F$8,""),"")</f>
        <v>200</v>
      </c>
      <c r="K832" s="38" t="str">
        <f aca="false">_xlfn.XLOOKUP($E832,$A$5:$A$8,$G$5:$G$8,"")</f>
        <v>Per pay period</v>
      </c>
      <c r="L832" s="38" t="str">
        <f aca="false">_xlfn.XLOOKUP($E832,$A$5:$A$8,$H$5:$H$8,"")</f>
        <v>Every pay period (ongoing)</v>
      </c>
      <c r="M832" s="43" t="n">
        <f aca="false" t="array" ref="M832:M832">MAX(_xlfn.XLOOKUP($A832,TRIM(SUBSTITUTE('worker file'!$A$2:$A$406,_xlfn.UNICHAR(160)," ")),'worker file'!$M$2:$M$406,0),_xlfn.XLOOKUP($B832,TRIM('pay group &amp; schedule'!$A$2:$A$6),'pay group &amp; schedule'!$D$2:$D$6,0))</f>
        <v>46311</v>
      </c>
      <c r="N832" s="43" t="str">
        <f aca="false" t="array" ref="N832:N832">_xlfn.LET(_xlpm.t,_xlfn.XLOOKUP($A832,TRIM(SUBSTITUTE('worker file'!$A$2:$A$406,_xlfn.UNICHAR(160)," ")),'worker file'!$N$2:$N$406,""),IF(N(_xlpm.t)=0,"",_xlpm.t))</f>
        <v/>
      </c>
    </row>
    <row r="833" customFormat="false" ht="15" hidden="false" customHeight="false" outlineLevel="0" collapsed="false">
      <c r="A833" s="39" t="s">
        <v>384</v>
      </c>
      <c r="B833" s="40" t="str">
        <f aca="false" t="array" ref="B833:B833">_xlfn.XLOOKUP($A833,TRIM(SUBSTITUTE('worker file'!$A$2:$A$406,_xlfn.UNICHAR(160)," ")),'worker file'!$L$2:$L$406,"Not found")</f>
        <v>US Semi-monthly</v>
      </c>
      <c r="C833" s="40" t="str">
        <f aca="false" t="array" ref="C833:C833">_xlfn.XLOOKUP($A833,TRIM(SUBSTITUTE('worker file'!$A$2:$A$406,_xlfn.UNICHAR(160)," ")),'worker file'!$D$2:$D$406,"Not found")</f>
        <v>NY</v>
      </c>
      <c r="D833" s="40" t="str">
        <f aca="false" t="array" ref="D833:D833">_xlfn.XLOOKUP($A833,TRIM(SUBSTITUTE('worker file'!$A$2:$A$406,_xlfn.UNICHAR(160)," ")),'worker file'!$Q$2:$Q$406,"Not found")</f>
        <v>Active</v>
      </c>
      <c r="E833" s="39" t="s">
        <v>632</v>
      </c>
      <c r="F833" s="38" t="str">
        <f aca="false">_xlfn.XLOOKUP($E833,$A$5:$A$8,$B$5:$B$8,"")</f>
        <v>Dental – Employee</v>
      </c>
      <c r="G833" s="38" t="str">
        <f aca="false">_xlfn.XLOOKUP($E833,$A$5:$A$8,$D$5:$D$8,"")</f>
        <v>Pre-tax Section 125 (exempt from FIT/SIT/FICA)</v>
      </c>
      <c r="H833" s="38" t="str">
        <f aca="false">_xlfn.XLOOKUP($E833,$A$5:$A$8,$E$5:$E$8,"")</f>
        <v>Flat</v>
      </c>
      <c r="I833" s="44" t="str">
        <f aca="false">IF($H833="Percent",_xlfn.XLOOKUP($E833,$A$5:$A$8,$F$5:$F$8,""),"")</f>
        <v/>
      </c>
      <c r="J833" s="42" t="n">
        <f aca="false">IF($H833="Flat",_xlfn.XLOOKUP($E833,$A$5:$A$8,$F$5:$F$8,""),"")</f>
        <v>44</v>
      </c>
      <c r="K833" s="38" t="str">
        <f aca="false">_xlfn.XLOOKUP($E833,$A$5:$A$8,$G$5:$G$8,"")</f>
        <v>Per pay period</v>
      </c>
      <c r="L833" s="38" t="str">
        <f aca="false">_xlfn.XLOOKUP($E833,$A$5:$A$8,$H$5:$H$8,"")</f>
        <v>Every pay period (ongoing)</v>
      </c>
      <c r="M833" s="43" t="n">
        <f aca="false" t="array" ref="M833:M833">MAX(_xlfn.XLOOKUP($A833,TRIM(SUBSTITUTE('worker file'!$A$2:$A$406,_xlfn.UNICHAR(160)," ")),'worker file'!$M$2:$M$406,0),_xlfn.XLOOKUP($B833,TRIM('pay group &amp; schedule'!$A$2:$A$6),'pay group &amp; schedule'!$D$2:$D$6,0))</f>
        <v>46311</v>
      </c>
      <c r="N833" s="43" t="str">
        <f aca="false" t="array" ref="N833:N833">_xlfn.LET(_xlpm.t,_xlfn.XLOOKUP($A833,TRIM(SUBSTITUTE('worker file'!$A$2:$A$406,_xlfn.UNICHAR(160)," ")),'worker file'!$N$2:$N$406,""),IF(N(_xlpm.t)=0,"",_xlpm.t))</f>
        <v/>
      </c>
    </row>
    <row r="834" customFormat="false" ht="15" hidden="false" customHeight="false" outlineLevel="0" collapsed="false">
      <c r="A834" s="39" t="s">
        <v>384</v>
      </c>
      <c r="B834" s="40" t="str">
        <f aca="false" t="array" ref="B834:B834">_xlfn.XLOOKUP($A834,TRIM(SUBSTITUTE('worker file'!$A$2:$A$406,_xlfn.UNICHAR(160)," ")),'worker file'!$L$2:$L$406,"Not found")</f>
        <v>US Semi-monthly</v>
      </c>
      <c r="C834" s="40" t="str">
        <f aca="false" t="array" ref="C834:C834">_xlfn.XLOOKUP($A834,TRIM(SUBSTITUTE('worker file'!$A$2:$A$406,_xlfn.UNICHAR(160)," ")),'worker file'!$D$2:$D$406,"Not found")</f>
        <v>NY</v>
      </c>
      <c r="D834" s="40" t="str">
        <f aca="false" t="array" ref="D834:D834">_xlfn.XLOOKUP($A834,TRIM(SUBSTITUTE('worker file'!$A$2:$A$406,_xlfn.UNICHAR(160)," ")),'worker file'!$Q$2:$Q$406,"Not found")</f>
        <v>Active</v>
      </c>
      <c r="E834" s="39" t="s">
        <v>634</v>
      </c>
      <c r="F834" s="38" t="str">
        <f aca="false">_xlfn.XLOOKUP($E834,$A$5:$A$8,$B$5:$B$8,"")</f>
        <v>Vision – Employee</v>
      </c>
      <c r="G834" s="38" t="str">
        <f aca="false">_xlfn.XLOOKUP($E834,$A$5:$A$8,$D$5:$D$8,"")</f>
        <v>Pre-tax Section 125 (exempt from FIT/SIT/FICA)</v>
      </c>
      <c r="H834" s="38" t="str">
        <f aca="false">_xlfn.XLOOKUP($E834,$A$5:$A$8,$E$5:$E$8,"")</f>
        <v>Flat</v>
      </c>
      <c r="I834" s="44" t="str">
        <f aca="false">IF($H834="Percent",_xlfn.XLOOKUP($E834,$A$5:$A$8,$F$5:$F$8,""),"")</f>
        <v/>
      </c>
      <c r="J834" s="42" t="n">
        <f aca="false">IF($H834="Flat",_xlfn.XLOOKUP($E834,$A$5:$A$8,$F$5:$F$8,""),"")</f>
        <v>30</v>
      </c>
      <c r="K834" s="38" t="str">
        <f aca="false">_xlfn.XLOOKUP($E834,$A$5:$A$8,$G$5:$G$8,"")</f>
        <v>Per pay period</v>
      </c>
      <c r="L834" s="38" t="str">
        <f aca="false">_xlfn.XLOOKUP($E834,$A$5:$A$8,$H$5:$H$8,"")</f>
        <v>Every pay period (ongoing)</v>
      </c>
      <c r="M834" s="43" t="n">
        <f aca="false" t="array" ref="M834:M834">MAX(_xlfn.XLOOKUP($A834,TRIM(SUBSTITUTE('worker file'!$A$2:$A$406,_xlfn.UNICHAR(160)," ")),'worker file'!$M$2:$M$406,0),_xlfn.XLOOKUP($B834,TRIM('pay group &amp; schedule'!$A$2:$A$6),'pay group &amp; schedule'!$D$2:$D$6,0))</f>
        <v>46311</v>
      </c>
      <c r="N834" s="43" t="str">
        <f aca="false" t="array" ref="N834:N834">_xlfn.LET(_xlpm.t,_xlfn.XLOOKUP($A834,TRIM(SUBSTITUTE('worker file'!$A$2:$A$406,_xlfn.UNICHAR(160)," ")),'worker file'!$N$2:$N$406,""),IF(N(_xlpm.t)=0,"",_xlpm.t))</f>
        <v/>
      </c>
    </row>
    <row r="835" customFormat="false" ht="15" hidden="false" customHeight="false" outlineLevel="0" collapsed="false">
      <c r="A835" s="39" t="s">
        <v>385</v>
      </c>
      <c r="B835" s="40" t="str">
        <f aca="false" t="array" ref="B835:B835">_xlfn.XLOOKUP($A835,TRIM(SUBSTITUTE('worker file'!$A$2:$A$406,_xlfn.UNICHAR(160)," ")),'worker file'!$L$2:$L$406,"Not found")</f>
        <v>US Semi-monthly</v>
      </c>
      <c r="C835" s="40" t="str">
        <f aca="false" t="array" ref="C835:C835">_xlfn.XLOOKUP($A835,TRIM(SUBSTITUTE('worker file'!$A$2:$A$406,_xlfn.UNICHAR(160)," ")),'worker file'!$D$2:$D$406,"Not found")</f>
        <v>WA</v>
      </c>
      <c r="D835" s="40" t="str">
        <f aca="false" t="array" ref="D835:D835">_xlfn.XLOOKUP($A835,TRIM(SUBSTITUTE('worker file'!$A$2:$A$406,_xlfn.UNICHAR(160)," ")),'worker file'!$Q$2:$Q$406,"Not found")</f>
        <v>Active</v>
      </c>
      <c r="E835" s="39" t="s">
        <v>626</v>
      </c>
      <c r="F835" s="38" t="str">
        <f aca="false">_xlfn.XLOOKUP($E835,$A$5:$A$8,$B$5:$B$8,"")</f>
        <v>Medical (Health) – Employee</v>
      </c>
      <c r="G835" s="38" t="str">
        <f aca="false">_xlfn.XLOOKUP($E835,$A$5:$A$8,$D$5:$D$8,"")</f>
        <v>Pre-tax Section 125 (exempt from FIT/SIT/FICA)</v>
      </c>
      <c r="H835" s="38" t="str">
        <f aca="false">_xlfn.XLOOKUP($E835,$A$5:$A$8,$E$5:$E$8,"")</f>
        <v>Flat</v>
      </c>
      <c r="I835" s="44" t="str">
        <f aca="false">IF($H835="Percent",_xlfn.XLOOKUP($E835,$A$5:$A$8,$F$5:$F$8,""),"")</f>
        <v/>
      </c>
      <c r="J835" s="42" t="n">
        <f aca="false">IF($H835="Flat",_xlfn.XLOOKUP($E835,$A$5:$A$8,$F$5:$F$8,""),"")</f>
        <v>200</v>
      </c>
      <c r="K835" s="38" t="str">
        <f aca="false">_xlfn.XLOOKUP($E835,$A$5:$A$8,$G$5:$G$8,"")</f>
        <v>Per pay period</v>
      </c>
      <c r="L835" s="38" t="str">
        <f aca="false">_xlfn.XLOOKUP($E835,$A$5:$A$8,$H$5:$H$8,"")</f>
        <v>Every pay period (ongoing)</v>
      </c>
      <c r="M835" s="43" t="n">
        <f aca="false" t="array" ref="M835:M835">MAX(_xlfn.XLOOKUP($A835,TRIM(SUBSTITUTE('worker file'!$A$2:$A$406,_xlfn.UNICHAR(160)," ")),'worker file'!$M$2:$M$406,0),_xlfn.XLOOKUP($B835,TRIM('pay group &amp; schedule'!$A$2:$A$6),'pay group &amp; schedule'!$D$2:$D$6,0))</f>
        <v>46311</v>
      </c>
      <c r="N835" s="43" t="str">
        <f aca="false" t="array" ref="N835:N835">_xlfn.LET(_xlpm.t,_xlfn.XLOOKUP($A835,TRIM(SUBSTITUTE('worker file'!$A$2:$A$406,_xlfn.UNICHAR(160)," ")),'worker file'!$N$2:$N$406,""),IF(N(_xlpm.t)=0,"",_xlpm.t))</f>
        <v/>
      </c>
    </row>
    <row r="836" customFormat="false" ht="15" hidden="false" customHeight="false" outlineLevel="0" collapsed="false">
      <c r="A836" s="39" t="s">
        <v>385</v>
      </c>
      <c r="B836" s="40" t="str">
        <f aca="false" t="array" ref="B836:B836">_xlfn.XLOOKUP($A836,TRIM(SUBSTITUTE('worker file'!$A$2:$A$406,_xlfn.UNICHAR(160)," ")),'worker file'!$L$2:$L$406,"Not found")</f>
        <v>US Semi-monthly</v>
      </c>
      <c r="C836" s="40" t="str">
        <f aca="false" t="array" ref="C836:C836">_xlfn.XLOOKUP($A836,TRIM(SUBSTITUTE('worker file'!$A$2:$A$406,_xlfn.UNICHAR(160)," ")),'worker file'!$D$2:$D$406,"Not found")</f>
        <v>WA</v>
      </c>
      <c r="D836" s="40" t="str">
        <f aca="false" t="array" ref="D836:D836">_xlfn.XLOOKUP($A836,TRIM(SUBSTITUTE('worker file'!$A$2:$A$406,_xlfn.UNICHAR(160)," ")),'worker file'!$Q$2:$Q$406,"Not found")</f>
        <v>Active</v>
      </c>
      <c r="E836" s="39" t="s">
        <v>632</v>
      </c>
      <c r="F836" s="38" t="str">
        <f aca="false">_xlfn.XLOOKUP($E836,$A$5:$A$8,$B$5:$B$8,"")</f>
        <v>Dental – Employee</v>
      </c>
      <c r="G836" s="38" t="str">
        <f aca="false">_xlfn.XLOOKUP($E836,$A$5:$A$8,$D$5:$D$8,"")</f>
        <v>Pre-tax Section 125 (exempt from FIT/SIT/FICA)</v>
      </c>
      <c r="H836" s="38" t="str">
        <f aca="false">_xlfn.XLOOKUP($E836,$A$5:$A$8,$E$5:$E$8,"")</f>
        <v>Flat</v>
      </c>
      <c r="I836" s="44" t="str">
        <f aca="false">IF($H836="Percent",_xlfn.XLOOKUP($E836,$A$5:$A$8,$F$5:$F$8,""),"")</f>
        <v/>
      </c>
      <c r="J836" s="42" t="n">
        <f aca="false">IF($H836="Flat",_xlfn.XLOOKUP($E836,$A$5:$A$8,$F$5:$F$8,""),"")</f>
        <v>44</v>
      </c>
      <c r="K836" s="38" t="str">
        <f aca="false">_xlfn.XLOOKUP($E836,$A$5:$A$8,$G$5:$G$8,"")</f>
        <v>Per pay period</v>
      </c>
      <c r="L836" s="38" t="str">
        <f aca="false">_xlfn.XLOOKUP($E836,$A$5:$A$8,$H$5:$H$8,"")</f>
        <v>Every pay period (ongoing)</v>
      </c>
      <c r="M836" s="43" t="n">
        <f aca="false" t="array" ref="M836:M836">MAX(_xlfn.XLOOKUP($A836,TRIM(SUBSTITUTE('worker file'!$A$2:$A$406,_xlfn.UNICHAR(160)," ")),'worker file'!$M$2:$M$406,0),_xlfn.XLOOKUP($B836,TRIM('pay group &amp; schedule'!$A$2:$A$6),'pay group &amp; schedule'!$D$2:$D$6,0))</f>
        <v>46311</v>
      </c>
      <c r="N836" s="43" t="str">
        <f aca="false" t="array" ref="N836:N836">_xlfn.LET(_xlpm.t,_xlfn.XLOOKUP($A836,TRIM(SUBSTITUTE('worker file'!$A$2:$A$406,_xlfn.UNICHAR(160)," ")),'worker file'!$N$2:$N$406,""),IF(N(_xlpm.t)=0,"",_xlpm.t))</f>
        <v/>
      </c>
    </row>
    <row r="837" customFormat="false" ht="15" hidden="false" customHeight="false" outlineLevel="0" collapsed="false">
      <c r="A837" s="39" t="s">
        <v>385</v>
      </c>
      <c r="B837" s="40" t="str">
        <f aca="false" t="array" ref="B837:B837">_xlfn.XLOOKUP($A837,TRIM(SUBSTITUTE('worker file'!$A$2:$A$406,_xlfn.UNICHAR(160)," ")),'worker file'!$L$2:$L$406,"Not found")</f>
        <v>US Semi-monthly</v>
      </c>
      <c r="C837" s="40" t="str">
        <f aca="false" t="array" ref="C837:C837">_xlfn.XLOOKUP($A837,TRIM(SUBSTITUTE('worker file'!$A$2:$A$406,_xlfn.UNICHAR(160)," ")),'worker file'!$D$2:$D$406,"Not found")</f>
        <v>WA</v>
      </c>
      <c r="D837" s="40" t="str">
        <f aca="false" t="array" ref="D837:D837">_xlfn.XLOOKUP($A837,TRIM(SUBSTITUTE('worker file'!$A$2:$A$406,_xlfn.UNICHAR(160)," ")),'worker file'!$Q$2:$Q$406,"Not found")</f>
        <v>Active</v>
      </c>
      <c r="E837" s="39" t="s">
        <v>634</v>
      </c>
      <c r="F837" s="38" t="str">
        <f aca="false">_xlfn.XLOOKUP($E837,$A$5:$A$8,$B$5:$B$8,"")</f>
        <v>Vision – Employee</v>
      </c>
      <c r="G837" s="38" t="str">
        <f aca="false">_xlfn.XLOOKUP($E837,$A$5:$A$8,$D$5:$D$8,"")</f>
        <v>Pre-tax Section 125 (exempt from FIT/SIT/FICA)</v>
      </c>
      <c r="H837" s="38" t="str">
        <f aca="false">_xlfn.XLOOKUP($E837,$A$5:$A$8,$E$5:$E$8,"")</f>
        <v>Flat</v>
      </c>
      <c r="I837" s="44" t="str">
        <f aca="false">IF($H837="Percent",_xlfn.XLOOKUP($E837,$A$5:$A$8,$F$5:$F$8,""),"")</f>
        <v/>
      </c>
      <c r="J837" s="42" t="n">
        <f aca="false">IF($H837="Flat",_xlfn.XLOOKUP($E837,$A$5:$A$8,$F$5:$F$8,""),"")</f>
        <v>30</v>
      </c>
      <c r="K837" s="38" t="str">
        <f aca="false">_xlfn.XLOOKUP($E837,$A$5:$A$8,$G$5:$G$8,"")</f>
        <v>Per pay period</v>
      </c>
      <c r="L837" s="38" t="str">
        <f aca="false">_xlfn.XLOOKUP($E837,$A$5:$A$8,$H$5:$H$8,"")</f>
        <v>Every pay period (ongoing)</v>
      </c>
      <c r="M837" s="43" t="n">
        <f aca="false" t="array" ref="M837:M837">MAX(_xlfn.XLOOKUP($A837,TRIM(SUBSTITUTE('worker file'!$A$2:$A$406,_xlfn.UNICHAR(160)," ")),'worker file'!$M$2:$M$406,0),_xlfn.XLOOKUP($B837,TRIM('pay group &amp; schedule'!$A$2:$A$6),'pay group &amp; schedule'!$D$2:$D$6,0))</f>
        <v>46311</v>
      </c>
      <c r="N837" s="43" t="str">
        <f aca="false" t="array" ref="N837:N837">_xlfn.LET(_xlpm.t,_xlfn.XLOOKUP($A837,TRIM(SUBSTITUTE('worker file'!$A$2:$A$406,_xlfn.UNICHAR(160)," ")),'worker file'!$N$2:$N$406,""),IF(N(_xlpm.t)=0,"",_xlpm.t))</f>
        <v/>
      </c>
    </row>
    <row r="838" customFormat="false" ht="15" hidden="false" customHeight="false" outlineLevel="0" collapsed="false">
      <c r="A838" s="39" t="s">
        <v>386</v>
      </c>
      <c r="B838" s="40" t="str">
        <f aca="false" t="array" ref="B838:B838">_xlfn.XLOOKUP($A838,TRIM(SUBSTITUTE('worker file'!$A$2:$A$406,_xlfn.UNICHAR(160)," ")),'worker file'!$L$2:$L$406,"Not found")</f>
        <v>US Semi-monthly</v>
      </c>
      <c r="C838" s="40" t="str">
        <f aca="false" t="array" ref="C838:C838">_xlfn.XLOOKUP($A838,TRIM(SUBSTITUTE('worker file'!$A$2:$A$406,_xlfn.UNICHAR(160)," ")),'worker file'!$D$2:$D$406,"Not found")</f>
        <v>CA</v>
      </c>
      <c r="D838" s="40" t="str">
        <f aca="false" t="array" ref="D838:D838">_xlfn.XLOOKUP($A838,TRIM(SUBSTITUTE('worker file'!$A$2:$A$406,_xlfn.UNICHAR(160)," ")),'worker file'!$Q$2:$Q$406,"Not found")</f>
        <v>Active</v>
      </c>
      <c r="E838" s="39" t="s">
        <v>618</v>
      </c>
      <c r="F838" s="38" t="str">
        <f aca="false">_xlfn.XLOOKUP($E838,$A$5:$A$8,$B$5:$B$8,"")</f>
        <v>401(k) Employee Deferral</v>
      </c>
      <c r="G838" s="38" t="str">
        <f aca="false">_xlfn.XLOOKUP($E838,$A$5:$A$8,$D$5:$D$8,"")</f>
        <v>Pre-tax (exempt from FIT/SIT; subject to FICA)</v>
      </c>
      <c r="H838" s="38" t="str">
        <f aca="false">_xlfn.XLOOKUP($E838,$A$5:$A$8,$E$5:$E$8,"")</f>
        <v>Percent</v>
      </c>
      <c r="I838" s="41" t="n">
        <v>0.07</v>
      </c>
      <c r="J838" s="42" t="str">
        <f aca="false">IF($H838="Flat",_xlfn.XLOOKUP($E838,$A$5:$A$8,$F$5:$F$8,""),"")</f>
        <v/>
      </c>
      <c r="K838" s="38" t="str">
        <f aca="false">_xlfn.XLOOKUP($E838,$A$5:$A$8,$G$5:$G$8,"")</f>
        <v>Gross pay</v>
      </c>
      <c r="L838" s="38" t="str">
        <f aca="false">_xlfn.XLOOKUP($E838,$A$5:$A$8,$H$5:$H$8,"")</f>
        <v>Every pay period (ongoing)</v>
      </c>
      <c r="M838" s="43" t="n">
        <f aca="false" t="array" ref="M838:M838">MAX(_xlfn.XLOOKUP($A838,TRIM(SUBSTITUTE('worker file'!$A$2:$A$406,_xlfn.UNICHAR(160)," ")),'worker file'!$M$2:$M$406,0),_xlfn.XLOOKUP($B838,TRIM('pay group &amp; schedule'!$A$2:$A$6),'pay group &amp; schedule'!$D$2:$D$6,0))</f>
        <v>46311</v>
      </c>
      <c r="N838" s="43" t="str">
        <f aca="false" t="array" ref="N838:N838">_xlfn.LET(_xlpm.t,_xlfn.XLOOKUP($A838,TRIM(SUBSTITUTE('worker file'!$A$2:$A$406,_xlfn.UNICHAR(160)," ")),'worker file'!$N$2:$N$406,""),IF(N(_xlpm.t)=0,"",_xlpm.t))</f>
        <v/>
      </c>
    </row>
    <row r="839" customFormat="false" ht="15" hidden="false" customHeight="false" outlineLevel="0" collapsed="false">
      <c r="A839" s="39" t="s">
        <v>386</v>
      </c>
      <c r="B839" s="40" t="str">
        <f aca="false" t="array" ref="B839:B839">_xlfn.XLOOKUP($A839,TRIM(SUBSTITUTE('worker file'!$A$2:$A$406,_xlfn.UNICHAR(160)," ")),'worker file'!$L$2:$L$406,"Not found")</f>
        <v>US Semi-monthly</v>
      </c>
      <c r="C839" s="40" t="str">
        <f aca="false" t="array" ref="C839:C839">_xlfn.XLOOKUP($A839,TRIM(SUBSTITUTE('worker file'!$A$2:$A$406,_xlfn.UNICHAR(160)," ")),'worker file'!$D$2:$D$406,"Not found")</f>
        <v>CA</v>
      </c>
      <c r="D839" s="40" t="str">
        <f aca="false" t="array" ref="D839:D839">_xlfn.XLOOKUP($A839,TRIM(SUBSTITUTE('worker file'!$A$2:$A$406,_xlfn.UNICHAR(160)," ")),'worker file'!$Q$2:$Q$406,"Not found")</f>
        <v>Active</v>
      </c>
      <c r="E839" s="39" t="s">
        <v>626</v>
      </c>
      <c r="F839" s="38" t="str">
        <f aca="false">_xlfn.XLOOKUP($E839,$A$5:$A$8,$B$5:$B$8,"")</f>
        <v>Medical (Health) – Employee</v>
      </c>
      <c r="G839" s="38" t="str">
        <f aca="false">_xlfn.XLOOKUP($E839,$A$5:$A$8,$D$5:$D$8,"")</f>
        <v>Pre-tax Section 125 (exempt from FIT/SIT/FICA)</v>
      </c>
      <c r="H839" s="38" t="str">
        <f aca="false">_xlfn.XLOOKUP($E839,$A$5:$A$8,$E$5:$E$8,"")</f>
        <v>Flat</v>
      </c>
      <c r="I839" s="44" t="str">
        <f aca="false">IF($H839="Percent",_xlfn.XLOOKUP($E839,$A$5:$A$8,$F$5:$F$8,""),"")</f>
        <v/>
      </c>
      <c r="J839" s="42" t="n">
        <f aca="false">IF($H839="Flat",_xlfn.XLOOKUP($E839,$A$5:$A$8,$F$5:$F$8,""),"")</f>
        <v>200</v>
      </c>
      <c r="K839" s="38" t="str">
        <f aca="false">_xlfn.XLOOKUP($E839,$A$5:$A$8,$G$5:$G$8,"")</f>
        <v>Per pay period</v>
      </c>
      <c r="L839" s="38" t="str">
        <f aca="false">_xlfn.XLOOKUP($E839,$A$5:$A$8,$H$5:$H$8,"")</f>
        <v>Every pay period (ongoing)</v>
      </c>
      <c r="M839" s="43" t="n">
        <f aca="false" t="array" ref="M839:M839">MAX(_xlfn.XLOOKUP($A839,TRIM(SUBSTITUTE('worker file'!$A$2:$A$406,_xlfn.UNICHAR(160)," ")),'worker file'!$M$2:$M$406,0),_xlfn.XLOOKUP($B839,TRIM('pay group &amp; schedule'!$A$2:$A$6),'pay group &amp; schedule'!$D$2:$D$6,0))</f>
        <v>46311</v>
      </c>
      <c r="N839" s="43" t="str">
        <f aca="false" t="array" ref="N839:N839">_xlfn.LET(_xlpm.t,_xlfn.XLOOKUP($A839,TRIM(SUBSTITUTE('worker file'!$A$2:$A$406,_xlfn.UNICHAR(160)," ")),'worker file'!$N$2:$N$406,""),IF(N(_xlpm.t)=0,"",_xlpm.t))</f>
        <v/>
      </c>
    </row>
    <row r="840" customFormat="false" ht="15" hidden="false" customHeight="false" outlineLevel="0" collapsed="false">
      <c r="A840" s="39" t="s">
        <v>386</v>
      </c>
      <c r="B840" s="40" t="str">
        <f aca="false" t="array" ref="B840:B840">_xlfn.XLOOKUP($A840,TRIM(SUBSTITUTE('worker file'!$A$2:$A$406,_xlfn.UNICHAR(160)," ")),'worker file'!$L$2:$L$406,"Not found")</f>
        <v>US Semi-monthly</v>
      </c>
      <c r="C840" s="40" t="str">
        <f aca="false" t="array" ref="C840:C840">_xlfn.XLOOKUP($A840,TRIM(SUBSTITUTE('worker file'!$A$2:$A$406,_xlfn.UNICHAR(160)," ")),'worker file'!$D$2:$D$406,"Not found")</f>
        <v>CA</v>
      </c>
      <c r="D840" s="40" t="str">
        <f aca="false" t="array" ref="D840:D840">_xlfn.XLOOKUP($A840,TRIM(SUBSTITUTE('worker file'!$A$2:$A$406,_xlfn.UNICHAR(160)," ")),'worker file'!$Q$2:$Q$406,"Not found")</f>
        <v>Active</v>
      </c>
      <c r="E840" s="39" t="s">
        <v>632</v>
      </c>
      <c r="F840" s="38" t="str">
        <f aca="false">_xlfn.XLOOKUP($E840,$A$5:$A$8,$B$5:$B$8,"")</f>
        <v>Dental – Employee</v>
      </c>
      <c r="G840" s="38" t="str">
        <f aca="false">_xlfn.XLOOKUP($E840,$A$5:$A$8,$D$5:$D$8,"")</f>
        <v>Pre-tax Section 125 (exempt from FIT/SIT/FICA)</v>
      </c>
      <c r="H840" s="38" t="str">
        <f aca="false">_xlfn.XLOOKUP($E840,$A$5:$A$8,$E$5:$E$8,"")</f>
        <v>Flat</v>
      </c>
      <c r="I840" s="44" t="str">
        <f aca="false">IF($H840="Percent",_xlfn.XLOOKUP($E840,$A$5:$A$8,$F$5:$F$8,""),"")</f>
        <v/>
      </c>
      <c r="J840" s="42" t="n">
        <f aca="false">IF($H840="Flat",_xlfn.XLOOKUP($E840,$A$5:$A$8,$F$5:$F$8,""),"")</f>
        <v>44</v>
      </c>
      <c r="K840" s="38" t="str">
        <f aca="false">_xlfn.XLOOKUP($E840,$A$5:$A$8,$G$5:$G$8,"")</f>
        <v>Per pay period</v>
      </c>
      <c r="L840" s="38" t="str">
        <f aca="false">_xlfn.XLOOKUP($E840,$A$5:$A$8,$H$5:$H$8,"")</f>
        <v>Every pay period (ongoing)</v>
      </c>
      <c r="M840" s="43" t="n">
        <f aca="false" t="array" ref="M840:M840">MAX(_xlfn.XLOOKUP($A840,TRIM(SUBSTITUTE('worker file'!$A$2:$A$406,_xlfn.UNICHAR(160)," ")),'worker file'!$M$2:$M$406,0),_xlfn.XLOOKUP($B840,TRIM('pay group &amp; schedule'!$A$2:$A$6),'pay group &amp; schedule'!$D$2:$D$6,0))</f>
        <v>46311</v>
      </c>
      <c r="N840" s="43" t="str">
        <f aca="false" t="array" ref="N840:N840">_xlfn.LET(_xlpm.t,_xlfn.XLOOKUP($A840,TRIM(SUBSTITUTE('worker file'!$A$2:$A$406,_xlfn.UNICHAR(160)," ")),'worker file'!$N$2:$N$406,""),IF(N(_xlpm.t)=0,"",_xlpm.t))</f>
        <v/>
      </c>
    </row>
    <row r="841" customFormat="false" ht="15" hidden="false" customHeight="false" outlineLevel="0" collapsed="false">
      <c r="A841" s="39" t="s">
        <v>386</v>
      </c>
      <c r="B841" s="40" t="str">
        <f aca="false" t="array" ref="B841:B841">_xlfn.XLOOKUP($A841,TRIM(SUBSTITUTE('worker file'!$A$2:$A$406,_xlfn.UNICHAR(160)," ")),'worker file'!$L$2:$L$406,"Not found")</f>
        <v>US Semi-monthly</v>
      </c>
      <c r="C841" s="40" t="str">
        <f aca="false" t="array" ref="C841:C841">_xlfn.XLOOKUP($A841,TRIM(SUBSTITUTE('worker file'!$A$2:$A$406,_xlfn.UNICHAR(160)," ")),'worker file'!$D$2:$D$406,"Not found")</f>
        <v>CA</v>
      </c>
      <c r="D841" s="40" t="str">
        <f aca="false" t="array" ref="D841:D841">_xlfn.XLOOKUP($A841,TRIM(SUBSTITUTE('worker file'!$A$2:$A$406,_xlfn.UNICHAR(160)," ")),'worker file'!$Q$2:$Q$406,"Not found")</f>
        <v>Active</v>
      </c>
      <c r="E841" s="39" t="s">
        <v>634</v>
      </c>
      <c r="F841" s="38" t="str">
        <f aca="false">_xlfn.XLOOKUP($E841,$A$5:$A$8,$B$5:$B$8,"")</f>
        <v>Vision – Employee</v>
      </c>
      <c r="G841" s="38" t="str">
        <f aca="false">_xlfn.XLOOKUP($E841,$A$5:$A$8,$D$5:$D$8,"")</f>
        <v>Pre-tax Section 125 (exempt from FIT/SIT/FICA)</v>
      </c>
      <c r="H841" s="38" t="str">
        <f aca="false">_xlfn.XLOOKUP($E841,$A$5:$A$8,$E$5:$E$8,"")</f>
        <v>Flat</v>
      </c>
      <c r="I841" s="44" t="str">
        <f aca="false">IF($H841="Percent",_xlfn.XLOOKUP($E841,$A$5:$A$8,$F$5:$F$8,""),"")</f>
        <v/>
      </c>
      <c r="J841" s="42" t="n">
        <f aca="false">IF($H841="Flat",_xlfn.XLOOKUP($E841,$A$5:$A$8,$F$5:$F$8,""),"")</f>
        <v>30</v>
      </c>
      <c r="K841" s="38" t="str">
        <f aca="false">_xlfn.XLOOKUP($E841,$A$5:$A$8,$G$5:$G$8,"")</f>
        <v>Per pay period</v>
      </c>
      <c r="L841" s="38" t="str">
        <f aca="false">_xlfn.XLOOKUP($E841,$A$5:$A$8,$H$5:$H$8,"")</f>
        <v>Every pay period (ongoing)</v>
      </c>
      <c r="M841" s="43" t="n">
        <f aca="false" t="array" ref="M841:M841">MAX(_xlfn.XLOOKUP($A841,TRIM(SUBSTITUTE('worker file'!$A$2:$A$406,_xlfn.UNICHAR(160)," ")),'worker file'!$M$2:$M$406,0),_xlfn.XLOOKUP($B841,TRIM('pay group &amp; schedule'!$A$2:$A$6),'pay group &amp; schedule'!$D$2:$D$6,0))</f>
        <v>46311</v>
      </c>
      <c r="N841" s="43" t="str">
        <f aca="false" t="array" ref="N841:N841">_xlfn.LET(_xlpm.t,_xlfn.XLOOKUP($A841,TRIM(SUBSTITUTE('worker file'!$A$2:$A$406,_xlfn.UNICHAR(160)," ")),'worker file'!$N$2:$N$406,""),IF(N(_xlpm.t)=0,"",_xlpm.t))</f>
        <v/>
      </c>
    </row>
    <row r="842" customFormat="false" ht="15" hidden="false" customHeight="false" outlineLevel="0" collapsed="false">
      <c r="A842" s="39" t="s">
        <v>387</v>
      </c>
      <c r="B842" s="40" t="str">
        <f aca="false" t="array" ref="B842:B842">_xlfn.XLOOKUP($A842,TRIM(SUBSTITUTE('worker file'!$A$2:$A$406,_xlfn.UNICHAR(160)," ")),'worker file'!$L$2:$L$406,"Not found")</f>
        <v>US Semi-monthly</v>
      </c>
      <c r="C842" s="40" t="str">
        <f aca="false" t="array" ref="C842:C842">_xlfn.XLOOKUP($A842,TRIM(SUBSTITUTE('worker file'!$A$2:$A$406,_xlfn.UNICHAR(160)," ")),'worker file'!$D$2:$D$406,"Not found")</f>
        <v>TX</v>
      </c>
      <c r="D842" s="40" t="str">
        <f aca="false" t="array" ref="D842:D842">_xlfn.XLOOKUP($A842,TRIM(SUBSTITUTE('worker file'!$A$2:$A$406,_xlfn.UNICHAR(160)," ")),'worker file'!$Q$2:$Q$406,"Not found")</f>
        <v>Active</v>
      </c>
      <c r="E842" s="39" t="s">
        <v>618</v>
      </c>
      <c r="F842" s="38" t="str">
        <f aca="false">_xlfn.XLOOKUP($E842,$A$5:$A$8,$B$5:$B$8,"")</f>
        <v>401(k) Employee Deferral</v>
      </c>
      <c r="G842" s="38" t="str">
        <f aca="false">_xlfn.XLOOKUP($E842,$A$5:$A$8,$D$5:$D$8,"")</f>
        <v>Pre-tax (exempt from FIT/SIT; subject to FICA)</v>
      </c>
      <c r="H842" s="38" t="str">
        <f aca="false">_xlfn.XLOOKUP($E842,$A$5:$A$8,$E$5:$E$8,"")</f>
        <v>Percent</v>
      </c>
      <c r="I842" s="41" t="n">
        <v>0.04</v>
      </c>
      <c r="J842" s="42" t="str">
        <f aca="false">IF($H842="Flat",_xlfn.XLOOKUP($E842,$A$5:$A$8,$F$5:$F$8,""),"")</f>
        <v/>
      </c>
      <c r="K842" s="38" t="str">
        <f aca="false">_xlfn.XLOOKUP($E842,$A$5:$A$8,$G$5:$G$8,"")</f>
        <v>Gross pay</v>
      </c>
      <c r="L842" s="38" t="str">
        <f aca="false">_xlfn.XLOOKUP($E842,$A$5:$A$8,$H$5:$H$8,"")</f>
        <v>Every pay period (ongoing)</v>
      </c>
      <c r="M842" s="43" t="n">
        <f aca="false" t="array" ref="M842:M842">MAX(_xlfn.XLOOKUP($A842,TRIM(SUBSTITUTE('worker file'!$A$2:$A$406,_xlfn.UNICHAR(160)," ")),'worker file'!$M$2:$M$406,0),_xlfn.XLOOKUP($B842,TRIM('pay group &amp; schedule'!$A$2:$A$6),'pay group &amp; schedule'!$D$2:$D$6,0))</f>
        <v>46311</v>
      </c>
      <c r="N842" s="43" t="str">
        <f aca="false" t="array" ref="N842:N842">_xlfn.LET(_xlpm.t,_xlfn.XLOOKUP($A842,TRIM(SUBSTITUTE('worker file'!$A$2:$A$406,_xlfn.UNICHAR(160)," ")),'worker file'!$N$2:$N$406,""),IF(N(_xlpm.t)=0,"",_xlpm.t))</f>
        <v/>
      </c>
    </row>
    <row r="843" customFormat="false" ht="15" hidden="false" customHeight="false" outlineLevel="0" collapsed="false">
      <c r="A843" s="39" t="s">
        <v>387</v>
      </c>
      <c r="B843" s="40" t="str">
        <f aca="false" t="array" ref="B843:B843">_xlfn.XLOOKUP($A843,TRIM(SUBSTITUTE('worker file'!$A$2:$A$406,_xlfn.UNICHAR(160)," ")),'worker file'!$L$2:$L$406,"Not found")</f>
        <v>US Semi-monthly</v>
      </c>
      <c r="C843" s="40" t="str">
        <f aca="false" t="array" ref="C843:C843">_xlfn.XLOOKUP($A843,TRIM(SUBSTITUTE('worker file'!$A$2:$A$406,_xlfn.UNICHAR(160)," ")),'worker file'!$D$2:$D$406,"Not found")</f>
        <v>TX</v>
      </c>
      <c r="D843" s="40" t="str">
        <f aca="false" t="array" ref="D843:D843">_xlfn.XLOOKUP($A843,TRIM(SUBSTITUTE('worker file'!$A$2:$A$406,_xlfn.UNICHAR(160)," ")),'worker file'!$Q$2:$Q$406,"Not found")</f>
        <v>Active</v>
      </c>
      <c r="E843" s="39" t="s">
        <v>626</v>
      </c>
      <c r="F843" s="38" t="str">
        <f aca="false">_xlfn.XLOOKUP($E843,$A$5:$A$8,$B$5:$B$8,"")</f>
        <v>Medical (Health) – Employee</v>
      </c>
      <c r="G843" s="38" t="str">
        <f aca="false">_xlfn.XLOOKUP($E843,$A$5:$A$8,$D$5:$D$8,"")</f>
        <v>Pre-tax Section 125 (exempt from FIT/SIT/FICA)</v>
      </c>
      <c r="H843" s="38" t="str">
        <f aca="false">_xlfn.XLOOKUP($E843,$A$5:$A$8,$E$5:$E$8,"")</f>
        <v>Flat</v>
      </c>
      <c r="I843" s="44" t="str">
        <f aca="false">IF($H843="Percent",_xlfn.XLOOKUP($E843,$A$5:$A$8,$F$5:$F$8,""),"")</f>
        <v/>
      </c>
      <c r="J843" s="42" t="n">
        <f aca="false">IF($H843="Flat",_xlfn.XLOOKUP($E843,$A$5:$A$8,$F$5:$F$8,""),"")</f>
        <v>200</v>
      </c>
      <c r="K843" s="38" t="str">
        <f aca="false">_xlfn.XLOOKUP($E843,$A$5:$A$8,$G$5:$G$8,"")</f>
        <v>Per pay period</v>
      </c>
      <c r="L843" s="38" t="str">
        <f aca="false">_xlfn.XLOOKUP($E843,$A$5:$A$8,$H$5:$H$8,"")</f>
        <v>Every pay period (ongoing)</v>
      </c>
      <c r="M843" s="43" t="n">
        <f aca="false" t="array" ref="M843:M843">MAX(_xlfn.XLOOKUP($A843,TRIM(SUBSTITUTE('worker file'!$A$2:$A$406,_xlfn.UNICHAR(160)," ")),'worker file'!$M$2:$M$406,0),_xlfn.XLOOKUP($B843,TRIM('pay group &amp; schedule'!$A$2:$A$6),'pay group &amp; schedule'!$D$2:$D$6,0))</f>
        <v>46311</v>
      </c>
      <c r="N843" s="43" t="str">
        <f aca="false" t="array" ref="N843:N843">_xlfn.LET(_xlpm.t,_xlfn.XLOOKUP($A843,TRIM(SUBSTITUTE('worker file'!$A$2:$A$406,_xlfn.UNICHAR(160)," ")),'worker file'!$N$2:$N$406,""),IF(N(_xlpm.t)=0,"",_xlpm.t))</f>
        <v/>
      </c>
    </row>
    <row r="844" customFormat="false" ht="15" hidden="false" customHeight="false" outlineLevel="0" collapsed="false">
      <c r="A844" s="39" t="s">
        <v>387</v>
      </c>
      <c r="B844" s="40" t="str">
        <f aca="false" t="array" ref="B844:B844">_xlfn.XLOOKUP($A844,TRIM(SUBSTITUTE('worker file'!$A$2:$A$406,_xlfn.UNICHAR(160)," ")),'worker file'!$L$2:$L$406,"Not found")</f>
        <v>US Semi-monthly</v>
      </c>
      <c r="C844" s="40" t="str">
        <f aca="false" t="array" ref="C844:C844">_xlfn.XLOOKUP($A844,TRIM(SUBSTITUTE('worker file'!$A$2:$A$406,_xlfn.UNICHAR(160)," ")),'worker file'!$D$2:$D$406,"Not found")</f>
        <v>TX</v>
      </c>
      <c r="D844" s="40" t="str">
        <f aca="false" t="array" ref="D844:D844">_xlfn.XLOOKUP($A844,TRIM(SUBSTITUTE('worker file'!$A$2:$A$406,_xlfn.UNICHAR(160)," ")),'worker file'!$Q$2:$Q$406,"Not found")</f>
        <v>Active</v>
      </c>
      <c r="E844" s="39" t="s">
        <v>632</v>
      </c>
      <c r="F844" s="38" t="str">
        <f aca="false">_xlfn.XLOOKUP($E844,$A$5:$A$8,$B$5:$B$8,"")</f>
        <v>Dental – Employee</v>
      </c>
      <c r="G844" s="38" t="str">
        <f aca="false">_xlfn.XLOOKUP($E844,$A$5:$A$8,$D$5:$D$8,"")</f>
        <v>Pre-tax Section 125 (exempt from FIT/SIT/FICA)</v>
      </c>
      <c r="H844" s="38" t="str">
        <f aca="false">_xlfn.XLOOKUP($E844,$A$5:$A$8,$E$5:$E$8,"")</f>
        <v>Flat</v>
      </c>
      <c r="I844" s="44" t="str">
        <f aca="false">IF($H844="Percent",_xlfn.XLOOKUP($E844,$A$5:$A$8,$F$5:$F$8,""),"")</f>
        <v/>
      </c>
      <c r="J844" s="42" t="n">
        <f aca="false">IF($H844="Flat",_xlfn.XLOOKUP($E844,$A$5:$A$8,$F$5:$F$8,""),"")</f>
        <v>44</v>
      </c>
      <c r="K844" s="38" t="str">
        <f aca="false">_xlfn.XLOOKUP($E844,$A$5:$A$8,$G$5:$G$8,"")</f>
        <v>Per pay period</v>
      </c>
      <c r="L844" s="38" t="str">
        <f aca="false">_xlfn.XLOOKUP($E844,$A$5:$A$8,$H$5:$H$8,"")</f>
        <v>Every pay period (ongoing)</v>
      </c>
      <c r="M844" s="43" t="n">
        <f aca="false" t="array" ref="M844:M844">MAX(_xlfn.XLOOKUP($A844,TRIM(SUBSTITUTE('worker file'!$A$2:$A$406,_xlfn.UNICHAR(160)," ")),'worker file'!$M$2:$M$406,0),_xlfn.XLOOKUP($B844,TRIM('pay group &amp; schedule'!$A$2:$A$6),'pay group &amp; schedule'!$D$2:$D$6,0))</f>
        <v>46311</v>
      </c>
      <c r="N844" s="43" t="str">
        <f aca="false" t="array" ref="N844:N844">_xlfn.LET(_xlpm.t,_xlfn.XLOOKUP($A844,TRIM(SUBSTITUTE('worker file'!$A$2:$A$406,_xlfn.UNICHAR(160)," ")),'worker file'!$N$2:$N$406,""),IF(N(_xlpm.t)=0,"",_xlpm.t))</f>
        <v/>
      </c>
    </row>
    <row r="845" customFormat="false" ht="15" hidden="false" customHeight="false" outlineLevel="0" collapsed="false">
      <c r="A845" s="39" t="s">
        <v>387</v>
      </c>
      <c r="B845" s="40" t="str">
        <f aca="false" t="array" ref="B845:B845">_xlfn.XLOOKUP($A845,TRIM(SUBSTITUTE('worker file'!$A$2:$A$406,_xlfn.UNICHAR(160)," ")),'worker file'!$L$2:$L$406,"Not found")</f>
        <v>US Semi-monthly</v>
      </c>
      <c r="C845" s="40" t="str">
        <f aca="false" t="array" ref="C845:C845">_xlfn.XLOOKUP($A845,TRIM(SUBSTITUTE('worker file'!$A$2:$A$406,_xlfn.UNICHAR(160)," ")),'worker file'!$D$2:$D$406,"Not found")</f>
        <v>TX</v>
      </c>
      <c r="D845" s="40" t="str">
        <f aca="false" t="array" ref="D845:D845">_xlfn.XLOOKUP($A845,TRIM(SUBSTITUTE('worker file'!$A$2:$A$406,_xlfn.UNICHAR(160)," ")),'worker file'!$Q$2:$Q$406,"Not found")</f>
        <v>Active</v>
      </c>
      <c r="E845" s="39" t="s">
        <v>634</v>
      </c>
      <c r="F845" s="38" t="str">
        <f aca="false">_xlfn.XLOOKUP($E845,$A$5:$A$8,$B$5:$B$8,"")</f>
        <v>Vision – Employee</v>
      </c>
      <c r="G845" s="38" t="str">
        <f aca="false">_xlfn.XLOOKUP($E845,$A$5:$A$8,$D$5:$D$8,"")</f>
        <v>Pre-tax Section 125 (exempt from FIT/SIT/FICA)</v>
      </c>
      <c r="H845" s="38" t="str">
        <f aca="false">_xlfn.XLOOKUP($E845,$A$5:$A$8,$E$5:$E$8,"")</f>
        <v>Flat</v>
      </c>
      <c r="I845" s="44" t="str">
        <f aca="false">IF($H845="Percent",_xlfn.XLOOKUP($E845,$A$5:$A$8,$F$5:$F$8,""),"")</f>
        <v/>
      </c>
      <c r="J845" s="42" t="n">
        <f aca="false">IF($H845="Flat",_xlfn.XLOOKUP($E845,$A$5:$A$8,$F$5:$F$8,""),"")</f>
        <v>30</v>
      </c>
      <c r="K845" s="38" t="str">
        <f aca="false">_xlfn.XLOOKUP($E845,$A$5:$A$8,$G$5:$G$8,"")</f>
        <v>Per pay period</v>
      </c>
      <c r="L845" s="38" t="str">
        <f aca="false">_xlfn.XLOOKUP($E845,$A$5:$A$8,$H$5:$H$8,"")</f>
        <v>Every pay period (ongoing)</v>
      </c>
      <c r="M845" s="43" t="n">
        <f aca="false" t="array" ref="M845:M845">MAX(_xlfn.XLOOKUP($A845,TRIM(SUBSTITUTE('worker file'!$A$2:$A$406,_xlfn.UNICHAR(160)," ")),'worker file'!$M$2:$M$406,0),_xlfn.XLOOKUP($B845,TRIM('pay group &amp; schedule'!$A$2:$A$6),'pay group &amp; schedule'!$D$2:$D$6,0))</f>
        <v>46311</v>
      </c>
      <c r="N845" s="43" t="str">
        <f aca="false" t="array" ref="N845:N845">_xlfn.LET(_xlpm.t,_xlfn.XLOOKUP($A845,TRIM(SUBSTITUTE('worker file'!$A$2:$A$406,_xlfn.UNICHAR(160)," ")),'worker file'!$N$2:$N$406,""),IF(N(_xlpm.t)=0,"",_xlpm.t))</f>
        <v/>
      </c>
    </row>
    <row r="846" customFormat="false" ht="15" hidden="false" customHeight="false" outlineLevel="0" collapsed="false">
      <c r="A846" s="39" t="s">
        <v>388</v>
      </c>
      <c r="B846" s="40" t="str">
        <f aca="false" t="array" ref="B846:B846">_xlfn.XLOOKUP($A846,TRIM(SUBSTITUTE('worker file'!$A$2:$A$406,_xlfn.UNICHAR(160)," ")),'worker file'!$L$2:$L$406,"Not found")</f>
        <v>US Semi-monthly</v>
      </c>
      <c r="C846" s="40" t="str">
        <f aca="false" t="array" ref="C846:C846">_xlfn.XLOOKUP($A846,TRIM(SUBSTITUTE('worker file'!$A$2:$A$406,_xlfn.UNICHAR(160)," ")),'worker file'!$D$2:$D$406,"Not found")</f>
        <v>CA</v>
      </c>
      <c r="D846" s="40" t="str">
        <f aca="false" t="array" ref="D846:D846">_xlfn.XLOOKUP($A846,TRIM(SUBSTITUTE('worker file'!$A$2:$A$406,_xlfn.UNICHAR(160)," ")),'worker file'!$Q$2:$Q$406,"Not found")</f>
        <v>Active</v>
      </c>
      <c r="E846" s="39" t="s">
        <v>618</v>
      </c>
      <c r="F846" s="38" t="str">
        <f aca="false">_xlfn.XLOOKUP($E846,$A$5:$A$8,$B$5:$B$8,"")</f>
        <v>401(k) Employee Deferral</v>
      </c>
      <c r="G846" s="38" t="str">
        <f aca="false">_xlfn.XLOOKUP($E846,$A$5:$A$8,$D$5:$D$8,"")</f>
        <v>Pre-tax (exempt from FIT/SIT; subject to FICA)</v>
      </c>
      <c r="H846" s="38" t="str">
        <f aca="false">_xlfn.XLOOKUP($E846,$A$5:$A$8,$E$5:$E$8,"")</f>
        <v>Percent</v>
      </c>
      <c r="I846" s="41" t="n">
        <v>0.01</v>
      </c>
      <c r="J846" s="42" t="str">
        <f aca="false">IF($H846="Flat",_xlfn.XLOOKUP($E846,$A$5:$A$8,$F$5:$F$8,""),"")</f>
        <v/>
      </c>
      <c r="K846" s="38" t="str">
        <f aca="false">_xlfn.XLOOKUP($E846,$A$5:$A$8,$G$5:$G$8,"")</f>
        <v>Gross pay</v>
      </c>
      <c r="L846" s="38" t="str">
        <f aca="false">_xlfn.XLOOKUP($E846,$A$5:$A$8,$H$5:$H$8,"")</f>
        <v>Every pay period (ongoing)</v>
      </c>
      <c r="M846" s="43" t="n">
        <f aca="false" t="array" ref="M846:M846">MAX(_xlfn.XLOOKUP($A846,TRIM(SUBSTITUTE('worker file'!$A$2:$A$406,_xlfn.UNICHAR(160)," ")),'worker file'!$M$2:$M$406,0),_xlfn.XLOOKUP($B846,TRIM('pay group &amp; schedule'!$A$2:$A$6),'pay group &amp; schedule'!$D$2:$D$6,0))</f>
        <v>46311</v>
      </c>
      <c r="N846" s="43" t="str">
        <f aca="false" t="array" ref="N846:N846">_xlfn.LET(_xlpm.t,_xlfn.XLOOKUP($A846,TRIM(SUBSTITUTE('worker file'!$A$2:$A$406,_xlfn.UNICHAR(160)," ")),'worker file'!$N$2:$N$406,""),IF(N(_xlpm.t)=0,"",_xlpm.t))</f>
        <v/>
      </c>
    </row>
    <row r="847" customFormat="false" ht="15" hidden="false" customHeight="false" outlineLevel="0" collapsed="false">
      <c r="A847" s="39" t="s">
        <v>388</v>
      </c>
      <c r="B847" s="40" t="str">
        <f aca="false" t="array" ref="B847:B847">_xlfn.XLOOKUP($A847,TRIM(SUBSTITUTE('worker file'!$A$2:$A$406,_xlfn.UNICHAR(160)," ")),'worker file'!$L$2:$L$406,"Not found")</f>
        <v>US Semi-monthly</v>
      </c>
      <c r="C847" s="40" t="str">
        <f aca="false" t="array" ref="C847:C847">_xlfn.XLOOKUP($A847,TRIM(SUBSTITUTE('worker file'!$A$2:$A$406,_xlfn.UNICHAR(160)," ")),'worker file'!$D$2:$D$406,"Not found")</f>
        <v>CA</v>
      </c>
      <c r="D847" s="40" t="str">
        <f aca="false" t="array" ref="D847:D847">_xlfn.XLOOKUP($A847,TRIM(SUBSTITUTE('worker file'!$A$2:$A$406,_xlfn.UNICHAR(160)," ")),'worker file'!$Q$2:$Q$406,"Not found")</f>
        <v>Active</v>
      </c>
      <c r="E847" s="39" t="s">
        <v>626</v>
      </c>
      <c r="F847" s="38" t="str">
        <f aca="false">_xlfn.XLOOKUP($E847,$A$5:$A$8,$B$5:$B$8,"")</f>
        <v>Medical (Health) – Employee</v>
      </c>
      <c r="G847" s="38" t="str">
        <f aca="false">_xlfn.XLOOKUP($E847,$A$5:$A$8,$D$5:$D$8,"")</f>
        <v>Pre-tax Section 125 (exempt from FIT/SIT/FICA)</v>
      </c>
      <c r="H847" s="38" t="str">
        <f aca="false">_xlfn.XLOOKUP($E847,$A$5:$A$8,$E$5:$E$8,"")</f>
        <v>Flat</v>
      </c>
      <c r="I847" s="44" t="str">
        <f aca="false">IF($H847="Percent",_xlfn.XLOOKUP($E847,$A$5:$A$8,$F$5:$F$8,""),"")</f>
        <v/>
      </c>
      <c r="J847" s="42" t="n">
        <f aca="false">IF($H847="Flat",_xlfn.XLOOKUP($E847,$A$5:$A$8,$F$5:$F$8,""),"")</f>
        <v>200</v>
      </c>
      <c r="K847" s="38" t="str">
        <f aca="false">_xlfn.XLOOKUP($E847,$A$5:$A$8,$G$5:$G$8,"")</f>
        <v>Per pay period</v>
      </c>
      <c r="L847" s="38" t="str">
        <f aca="false">_xlfn.XLOOKUP($E847,$A$5:$A$8,$H$5:$H$8,"")</f>
        <v>Every pay period (ongoing)</v>
      </c>
      <c r="M847" s="43" t="n">
        <f aca="false" t="array" ref="M847:M847">MAX(_xlfn.XLOOKUP($A847,TRIM(SUBSTITUTE('worker file'!$A$2:$A$406,_xlfn.UNICHAR(160)," ")),'worker file'!$M$2:$M$406,0),_xlfn.XLOOKUP($B847,TRIM('pay group &amp; schedule'!$A$2:$A$6),'pay group &amp; schedule'!$D$2:$D$6,0))</f>
        <v>46311</v>
      </c>
      <c r="N847" s="43" t="str">
        <f aca="false" t="array" ref="N847:N847">_xlfn.LET(_xlpm.t,_xlfn.XLOOKUP($A847,TRIM(SUBSTITUTE('worker file'!$A$2:$A$406,_xlfn.UNICHAR(160)," ")),'worker file'!$N$2:$N$406,""),IF(N(_xlpm.t)=0,"",_xlpm.t))</f>
        <v/>
      </c>
    </row>
    <row r="848" customFormat="false" ht="15" hidden="false" customHeight="false" outlineLevel="0" collapsed="false">
      <c r="A848" s="39" t="s">
        <v>388</v>
      </c>
      <c r="B848" s="40" t="str">
        <f aca="false" t="array" ref="B848:B848">_xlfn.XLOOKUP($A848,TRIM(SUBSTITUTE('worker file'!$A$2:$A$406,_xlfn.UNICHAR(160)," ")),'worker file'!$L$2:$L$406,"Not found")</f>
        <v>US Semi-monthly</v>
      </c>
      <c r="C848" s="40" t="str">
        <f aca="false" t="array" ref="C848:C848">_xlfn.XLOOKUP($A848,TRIM(SUBSTITUTE('worker file'!$A$2:$A$406,_xlfn.UNICHAR(160)," ")),'worker file'!$D$2:$D$406,"Not found")</f>
        <v>CA</v>
      </c>
      <c r="D848" s="40" t="str">
        <f aca="false" t="array" ref="D848:D848">_xlfn.XLOOKUP($A848,TRIM(SUBSTITUTE('worker file'!$A$2:$A$406,_xlfn.UNICHAR(160)," ")),'worker file'!$Q$2:$Q$406,"Not found")</f>
        <v>Active</v>
      </c>
      <c r="E848" s="39" t="s">
        <v>632</v>
      </c>
      <c r="F848" s="38" t="str">
        <f aca="false">_xlfn.XLOOKUP($E848,$A$5:$A$8,$B$5:$B$8,"")</f>
        <v>Dental – Employee</v>
      </c>
      <c r="G848" s="38" t="str">
        <f aca="false">_xlfn.XLOOKUP($E848,$A$5:$A$8,$D$5:$D$8,"")</f>
        <v>Pre-tax Section 125 (exempt from FIT/SIT/FICA)</v>
      </c>
      <c r="H848" s="38" t="str">
        <f aca="false">_xlfn.XLOOKUP($E848,$A$5:$A$8,$E$5:$E$8,"")</f>
        <v>Flat</v>
      </c>
      <c r="I848" s="44" t="str">
        <f aca="false">IF($H848="Percent",_xlfn.XLOOKUP($E848,$A$5:$A$8,$F$5:$F$8,""),"")</f>
        <v/>
      </c>
      <c r="J848" s="42" t="n">
        <f aca="false">IF($H848="Flat",_xlfn.XLOOKUP($E848,$A$5:$A$8,$F$5:$F$8,""),"")</f>
        <v>44</v>
      </c>
      <c r="K848" s="38" t="str">
        <f aca="false">_xlfn.XLOOKUP($E848,$A$5:$A$8,$G$5:$G$8,"")</f>
        <v>Per pay period</v>
      </c>
      <c r="L848" s="38" t="str">
        <f aca="false">_xlfn.XLOOKUP($E848,$A$5:$A$8,$H$5:$H$8,"")</f>
        <v>Every pay period (ongoing)</v>
      </c>
      <c r="M848" s="43" t="n">
        <f aca="false" t="array" ref="M848:M848">MAX(_xlfn.XLOOKUP($A848,TRIM(SUBSTITUTE('worker file'!$A$2:$A$406,_xlfn.UNICHAR(160)," ")),'worker file'!$M$2:$M$406,0),_xlfn.XLOOKUP($B848,TRIM('pay group &amp; schedule'!$A$2:$A$6),'pay group &amp; schedule'!$D$2:$D$6,0))</f>
        <v>46311</v>
      </c>
      <c r="N848" s="43" t="str">
        <f aca="false" t="array" ref="N848:N848">_xlfn.LET(_xlpm.t,_xlfn.XLOOKUP($A848,TRIM(SUBSTITUTE('worker file'!$A$2:$A$406,_xlfn.UNICHAR(160)," ")),'worker file'!$N$2:$N$406,""),IF(N(_xlpm.t)=0,"",_xlpm.t))</f>
        <v/>
      </c>
    </row>
    <row r="849" customFormat="false" ht="15" hidden="false" customHeight="false" outlineLevel="0" collapsed="false">
      <c r="A849" s="39" t="s">
        <v>388</v>
      </c>
      <c r="B849" s="40" t="str">
        <f aca="false" t="array" ref="B849:B849">_xlfn.XLOOKUP($A849,TRIM(SUBSTITUTE('worker file'!$A$2:$A$406,_xlfn.UNICHAR(160)," ")),'worker file'!$L$2:$L$406,"Not found")</f>
        <v>US Semi-monthly</v>
      </c>
      <c r="C849" s="40" t="str">
        <f aca="false" t="array" ref="C849:C849">_xlfn.XLOOKUP($A849,TRIM(SUBSTITUTE('worker file'!$A$2:$A$406,_xlfn.UNICHAR(160)," ")),'worker file'!$D$2:$D$406,"Not found")</f>
        <v>CA</v>
      </c>
      <c r="D849" s="40" t="str">
        <f aca="false" t="array" ref="D849:D849">_xlfn.XLOOKUP($A849,TRIM(SUBSTITUTE('worker file'!$A$2:$A$406,_xlfn.UNICHAR(160)," ")),'worker file'!$Q$2:$Q$406,"Not found")</f>
        <v>Active</v>
      </c>
      <c r="E849" s="39" t="s">
        <v>634</v>
      </c>
      <c r="F849" s="38" t="str">
        <f aca="false">_xlfn.XLOOKUP($E849,$A$5:$A$8,$B$5:$B$8,"")</f>
        <v>Vision – Employee</v>
      </c>
      <c r="G849" s="38" t="str">
        <f aca="false">_xlfn.XLOOKUP($E849,$A$5:$A$8,$D$5:$D$8,"")</f>
        <v>Pre-tax Section 125 (exempt from FIT/SIT/FICA)</v>
      </c>
      <c r="H849" s="38" t="str">
        <f aca="false">_xlfn.XLOOKUP($E849,$A$5:$A$8,$E$5:$E$8,"")</f>
        <v>Flat</v>
      </c>
      <c r="I849" s="44" t="str">
        <f aca="false">IF($H849="Percent",_xlfn.XLOOKUP($E849,$A$5:$A$8,$F$5:$F$8,""),"")</f>
        <v/>
      </c>
      <c r="J849" s="42" t="n">
        <f aca="false">IF($H849="Flat",_xlfn.XLOOKUP($E849,$A$5:$A$8,$F$5:$F$8,""),"")</f>
        <v>30</v>
      </c>
      <c r="K849" s="38" t="str">
        <f aca="false">_xlfn.XLOOKUP($E849,$A$5:$A$8,$G$5:$G$8,"")</f>
        <v>Per pay period</v>
      </c>
      <c r="L849" s="38" t="str">
        <f aca="false">_xlfn.XLOOKUP($E849,$A$5:$A$8,$H$5:$H$8,"")</f>
        <v>Every pay period (ongoing)</v>
      </c>
      <c r="M849" s="43" t="n">
        <f aca="false" t="array" ref="M849:M849">MAX(_xlfn.XLOOKUP($A849,TRIM(SUBSTITUTE('worker file'!$A$2:$A$406,_xlfn.UNICHAR(160)," ")),'worker file'!$M$2:$M$406,0),_xlfn.XLOOKUP($B849,TRIM('pay group &amp; schedule'!$A$2:$A$6),'pay group &amp; schedule'!$D$2:$D$6,0))</f>
        <v>46311</v>
      </c>
      <c r="N849" s="43" t="str">
        <f aca="false" t="array" ref="N849:N849">_xlfn.LET(_xlpm.t,_xlfn.XLOOKUP($A849,TRIM(SUBSTITUTE('worker file'!$A$2:$A$406,_xlfn.UNICHAR(160)," ")),'worker file'!$N$2:$N$406,""),IF(N(_xlpm.t)=0,"",_xlpm.t))</f>
        <v/>
      </c>
    </row>
    <row r="850" customFormat="false" ht="15" hidden="false" customHeight="false" outlineLevel="0" collapsed="false">
      <c r="A850" s="39" t="s">
        <v>389</v>
      </c>
      <c r="B850" s="40" t="str">
        <f aca="false" t="array" ref="B850:B850">_xlfn.XLOOKUP($A850,TRIM(SUBSTITUTE('worker file'!$A$2:$A$406,_xlfn.UNICHAR(160)," ")),'worker file'!$L$2:$L$406,"Not found")</f>
        <v>US Semi-monthly</v>
      </c>
      <c r="C850" s="40" t="str">
        <f aca="false" t="array" ref="C850:C850">_xlfn.XLOOKUP($A850,TRIM(SUBSTITUTE('worker file'!$A$2:$A$406,_xlfn.UNICHAR(160)," ")),'worker file'!$D$2:$D$406,"Not found")</f>
        <v>CA</v>
      </c>
      <c r="D850" s="40" t="str">
        <f aca="false" t="array" ref="D850:D850">_xlfn.XLOOKUP($A850,TRIM(SUBSTITUTE('worker file'!$A$2:$A$406,_xlfn.UNICHAR(160)," ")),'worker file'!$Q$2:$Q$406,"Not found")</f>
        <v>Active</v>
      </c>
      <c r="E850" s="39" t="s">
        <v>618</v>
      </c>
      <c r="F850" s="38" t="str">
        <f aca="false">_xlfn.XLOOKUP($E850,$A$5:$A$8,$B$5:$B$8,"")</f>
        <v>401(k) Employee Deferral</v>
      </c>
      <c r="G850" s="38" t="str">
        <f aca="false">_xlfn.XLOOKUP($E850,$A$5:$A$8,$D$5:$D$8,"")</f>
        <v>Pre-tax (exempt from FIT/SIT; subject to FICA)</v>
      </c>
      <c r="H850" s="38" t="str">
        <f aca="false">_xlfn.XLOOKUP($E850,$A$5:$A$8,$E$5:$E$8,"")</f>
        <v>Percent</v>
      </c>
      <c r="I850" s="41" t="n">
        <v>0.06</v>
      </c>
      <c r="J850" s="42" t="str">
        <f aca="false">IF($H850="Flat",_xlfn.XLOOKUP($E850,$A$5:$A$8,$F$5:$F$8,""),"")</f>
        <v/>
      </c>
      <c r="K850" s="38" t="str">
        <f aca="false">_xlfn.XLOOKUP($E850,$A$5:$A$8,$G$5:$G$8,"")</f>
        <v>Gross pay</v>
      </c>
      <c r="L850" s="38" t="str">
        <f aca="false">_xlfn.XLOOKUP($E850,$A$5:$A$8,$H$5:$H$8,"")</f>
        <v>Every pay period (ongoing)</v>
      </c>
      <c r="M850" s="43" t="n">
        <f aca="false" t="array" ref="M850:M850">MAX(_xlfn.XLOOKUP($A850,TRIM(SUBSTITUTE('worker file'!$A$2:$A$406,_xlfn.UNICHAR(160)," ")),'worker file'!$M$2:$M$406,0),_xlfn.XLOOKUP($B850,TRIM('pay group &amp; schedule'!$A$2:$A$6),'pay group &amp; schedule'!$D$2:$D$6,0))</f>
        <v>46311</v>
      </c>
      <c r="N850" s="43" t="str">
        <f aca="false" t="array" ref="N850:N850">_xlfn.LET(_xlpm.t,_xlfn.XLOOKUP($A850,TRIM(SUBSTITUTE('worker file'!$A$2:$A$406,_xlfn.UNICHAR(160)," ")),'worker file'!$N$2:$N$406,""),IF(N(_xlpm.t)=0,"",_xlpm.t))</f>
        <v/>
      </c>
    </row>
    <row r="851" customFormat="false" ht="15" hidden="false" customHeight="false" outlineLevel="0" collapsed="false">
      <c r="A851" s="39" t="s">
        <v>389</v>
      </c>
      <c r="B851" s="40" t="str">
        <f aca="false" t="array" ref="B851:B851">_xlfn.XLOOKUP($A851,TRIM(SUBSTITUTE('worker file'!$A$2:$A$406,_xlfn.UNICHAR(160)," ")),'worker file'!$L$2:$L$406,"Not found")</f>
        <v>US Semi-monthly</v>
      </c>
      <c r="C851" s="40" t="str">
        <f aca="false" t="array" ref="C851:C851">_xlfn.XLOOKUP($A851,TRIM(SUBSTITUTE('worker file'!$A$2:$A$406,_xlfn.UNICHAR(160)," ")),'worker file'!$D$2:$D$406,"Not found")</f>
        <v>CA</v>
      </c>
      <c r="D851" s="40" t="str">
        <f aca="false" t="array" ref="D851:D851">_xlfn.XLOOKUP($A851,TRIM(SUBSTITUTE('worker file'!$A$2:$A$406,_xlfn.UNICHAR(160)," ")),'worker file'!$Q$2:$Q$406,"Not found")</f>
        <v>Active</v>
      </c>
      <c r="E851" s="39" t="s">
        <v>626</v>
      </c>
      <c r="F851" s="38" t="str">
        <f aca="false">_xlfn.XLOOKUP($E851,$A$5:$A$8,$B$5:$B$8,"")</f>
        <v>Medical (Health) – Employee</v>
      </c>
      <c r="G851" s="38" t="str">
        <f aca="false">_xlfn.XLOOKUP($E851,$A$5:$A$8,$D$5:$D$8,"")</f>
        <v>Pre-tax Section 125 (exempt from FIT/SIT/FICA)</v>
      </c>
      <c r="H851" s="38" t="str">
        <f aca="false">_xlfn.XLOOKUP($E851,$A$5:$A$8,$E$5:$E$8,"")</f>
        <v>Flat</v>
      </c>
      <c r="I851" s="44" t="str">
        <f aca="false">IF($H851="Percent",_xlfn.XLOOKUP($E851,$A$5:$A$8,$F$5:$F$8,""),"")</f>
        <v/>
      </c>
      <c r="J851" s="42" t="n">
        <f aca="false">IF($H851="Flat",_xlfn.XLOOKUP($E851,$A$5:$A$8,$F$5:$F$8,""),"")</f>
        <v>200</v>
      </c>
      <c r="K851" s="38" t="str">
        <f aca="false">_xlfn.XLOOKUP($E851,$A$5:$A$8,$G$5:$G$8,"")</f>
        <v>Per pay period</v>
      </c>
      <c r="L851" s="38" t="str">
        <f aca="false">_xlfn.XLOOKUP($E851,$A$5:$A$8,$H$5:$H$8,"")</f>
        <v>Every pay period (ongoing)</v>
      </c>
      <c r="M851" s="43" t="n">
        <f aca="false" t="array" ref="M851:M851">MAX(_xlfn.XLOOKUP($A851,TRIM(SUBSTITUTE('worker file'!$A$2:$A$406,_xlfn.UNICHAR(160)," ")),'worker file'!$M$2:$M$406,0),_xlfn.XLOOKUP($B851,TRIM('pay group &amp; schedule'!$A$2:$A$6),'pay group &amp; schedule'!$D$2:$D$6,0))</f>
        <v>46311</v>
      </c>
      <c r="N851" s="43" t="str">
        <f aca="false" t="array" ref="N851:N851">_xlfn.LET(_xlpm.t,_xlfn.XLOOKUP($A851,TRIM(SUBSTITUTE('worker file'!$A$2:$A$406,_xlfn.UNICHAR(160)," ")),'worker file'!$N$2:$N$406,""),IF(N(_xlpm.t)=0,"",_xlpm.t))</f>
        <v/>
      </c>
    </row>
    <row r="852" customFormat="false" ht="15" hidden="false" customHeight="false" outlineLevel="0" collapsed="false">
      <c r="A852" s="39" t="s">
        <v>389</v>
      </c>
      <c r="B852" s="40" t="str">
        <f aca="false" t="array" ref="B852:B852">_xlfn.XLOOKUP($A852,TRIM(SUBSTITUTE('worker file'!$A$2:$A$406,_xlfn.UNICHAR(160)," ")),'worker file'!$L$2:$L$406,"Not found")</f>
        <v>US Semi-monthly</v>
      </c>
      <c r="C852" s="40" t="str">
        <f aca="false" t="array" ref="C852:C852">_xlfn.XLOOKUP($A852,TRIM(SUBSTITUTE('worker file'!$A$2:$A$406,_xlfn.UNICHAR(160)," ")),'worker file'!$D$2:$D$406,"Not found")</f>
        <v>CA</v>
      </c>
      <c r="D852" s="40" t="str">
        <f aca="false" t="array" ref="D852:D852">_xlfn.XLOOKUP($A852,TRIM(SUBSTITUTE('worker file'!$A$2:$A$406,_xlfn.UNICHAR(160)," ")),'worker file'!$Q$2:$Q$406,"Not found")</f>
        <v>Active</v>
      </c>
      <c r="E852" s="39" t="s">
        <v>632</v>
      </c>
      <c r="F852" s="38" t="str">
        <f aca="false">_xlfn.XLOOKUP($E852,$A$5:$A$8,$B$5:$B$8,"")</f>
        <v>Dental – Employee</v>
      </c>
      <c r="G852" s="38" t="str">
        <f aca="false">_xlfn.XLOOKUP($E852,$A$5:$A$8,$D$5:$D$8,"")</f>
        <v>Pre-tax Section 125 (exempt from FIT/SIT/FICA)</v>
      </c>
      <c r="H852" s="38" t="str">
        <f aca="false">_xlfn.XLOOKUP($E852,$A$5:$A$8,$E$5:$E$8,"")</f>
        <v>Flat</v>
      </c>
      <c r="I852" s="44" t="str">
        <f aca="false">IF($H852="Percent",_xlfn.XLOOKUP($E852,$A$5:$A$8,$F$5:$F$8,""),"")</f>
        <v/>
      </c>
      <c r="J852" s="42" t="n">
        <f aca="false">IF($H852="Flat",_xlfn.XLOOKUP($E852,$A$5:$A$8,$F$5:$F$8,""),"")</f>
        <v>44</v>
      </c>
      <c r="K852" s="38" t="str">
        <f aca="false">_xlfn.XLOOKUP($E852,$A$5:$A$8,$G$5:$G$8,"")</f>
        <v>Per pay period</v>
      </c>
      <c r="L852" s="38" t="str">
        <f aca="false">_xlfn.XLOOKUP($E852,$A$5:$A$8,$H$5:$H$8,"")</f>
        <v>Every pay period (ongoing)</v>
      </c>
      <c r="M852" s="43" t="n">
        <f aca="false" t="array" ref="M852:M852">MAX(_xlfn.XLOOKUP($A852,TRIM(SUBSTITUTE('worker file'!$A$2:$A$406,_xlfn.UNICHAR(160)," ")),'worker file'!$M$2:$M$406,0),_xlfn.XLOOKUP($B852,TRIM('pay group &amp; schedule'!$A$2:$A$6),'pay group &amp; schedule'!$D$2:$D$6,0))</f>
        <v>46311</v>
      </c>
      <c r="N852" s="43" t="str">
        <f aca="false" t="array" ref="N852:N852">_xlfn.LET(_xlpm.t,_xlfn.XLOOKUP($A852,TRIM(SUBSTITUTE('worker file'!$A$2:$A$406,_xlfn.UNICHAR(160)," ")),'worker file'!$N$2:$N$406,""),IF(N(_xlpm.t)=0,"",_xlpm.t))</f>
        <v/>
      </c>
    </row>
    <row r="853" customFormat="false" ht="15" hidden="false" customHeight="false" outlineLevel="0" collapsed="false">
      <c r="A853" s="39" t="s">
        <v>389</v>
      </c>
      <c r="B853" s="40" t="str">
        <f aca="false" t="array" ref="B853:B853">_xlfn.XLOOKUP($A853,TRIM(SUBSTITUTE('worker file'!$A$2:$A$406,_xlfn.UNICHAR(160)," ")),'worker file'!$L$2:$L$406,"Not found")</f>
        <v>US Semi-monthly</v>
      </c>
      <c r="C853" s="40" t="str">
        <f aca="false" t="array" ref="C853:C853">_xlfn.XLOOKUP($A853,TRIM(SUBSTITUTE('worker file'!$A$2:$A$406,_xlfn.UNICHAR(160)," ")),'worker file'!$D$2:$D$406,"Not found")</f>
        <v>CA</v>
      </c>
      <c r="D853" s="40" t="str">
        <f aca="false" t="array" ref="D853:D853">_xlfn.XLOOKUP($A853,TRIM(SUBSTITUTE('worker file'!$A$2:$A$406,_xlfn.UNICHAR(160)," ")),'worker file'!$Q$2:$Q$406,"Not found")</f>
        <v>Active</v>
      </c>
      <c r="E853" s="39" t="s">
        <v>634</v>
      </c>
      <c r="F853" s="38" t="str">
        <f aca="false">_xlfn.XLOOKUP($E853,$A$5:$A$8,$B$5:$B$8,"")</f>
        <v>Vision – Employee</v>
      </c>
      <c r="G853" s="38" t="str">
        <f aca="false">_xlfn.XLOOKUP($E853,$A$5:$A$8,$D$5:$D$8,"")</f>
        <v>Pre-tax Section 125 (exempt from FIT/SIT/FICA)</v>
      </c>
      <c r="H853" s="38" t="str">
        <f aca="false">_xlfn.XLOOKUP($E853,$A$5:$A$8,$E$5:$E$8,"")</f>
        <v>Flat</v>
      </c>
      <c r="I853" s="44" t="str">
        <f aca="false">IF($H853="Percent",_xlfn.XLOOKUP($E853,$A$5:$A$8,$F$5:$F$8,""),"")</f>
        <v/>
      </c>
      <c r="J853" s="42" t="n">
        <f aca="false">IF($H853="Flat",_xlfn.XLOOKUP($E853,$A$5:$A$8,$F$5:$F$8,""),"")</f>
        <v>30</v>
      </c>
      <c r="K853" s="38" t="str">
        <f aca="false">_xlfn.XLOOKUP($E853,$A$5:$A$8,$G$5:$G$8,"")</f>
        <v>Per pay period</v>
      </c>
      <c r="L853" s="38" t="str">
        <f aca="false">_xlfn.XLOOKUP($E853,$A$5:$A$8,$H$5:$H$8,"")</f>
        <v>Every pay period (ongoing)</v>
      </c>
      <c r="M853" s="43" t="n">
        <f aca="false" t="array" ref="M853:M853">MAX(_xlfn.XLOOKUP($A853,TRIM(SUBSTITUTE('worker file'!$A$2:$A$406,_xlfn.UNICHAR(160)," ")),'worker file'!$M$2:$M$406,0),_xlfn.XLOOKUP($B853,TRIM('pay group &amp; schedule'!$A$2:$A$6),'pay group &amp; schedule'!$D$2:$D$6,0))</f>
        <v>46311</v>
      </c>
      <c r="N853" s="43" t="str">
        <f aca="false" t="array" ref="N853:N853">_xlfn.LET(_xlpm.t,_xlfn.XLOOKUP($A853,TRIM(SUBSTITUTE('worker file'!$A$2:$A$406,_xlfn.UNICHAR(160)," ")),'worker file'!$N$2:$N$406,""),IF(N(_xlpm.t)=0,"",_xlpm.t))</f>
        <v/>
      </c>
    </row>
    <row r="854" customFormat="false" ht="15" hidden="false" customHeight="false" outlineLevel="0" collapsed="false">
      <c r="A854" s="39" t="s">
        <v>390</v>
      </c>
      <c r="B854" s="40" t="str">
        <f aca="false" t="array" ref="B854:B854">_xlfn.XLOOKUP($A854,TRIM(SUBSTITUTE('worker file'!$A$2:$A$406,_xlfn.UNICHAR(160)," ")),'worker file'!$L$2:$L$406,"Not found")</f>
        <v>US Semi-monthly</v>
      </c>
      <c r="C854" s="40" t="str">
        <f aca="false" t="array" ref="C854:C854">_xlfn.XLOOKUP($A854,TRIM(SUBSTITUTE('worker file'!$A$2:$A$406,_xlfn.UNICHAR(160)," ")),'worker file'!$D$2:$D$406,"Not found")</f>
        <v>CA</v>
      </c>
      <c r="D854" s="40" t="str">
        <f aca="false" t="array" ref="D854:D854">_xlfn.XLOOKUP($A854,TRIM(SUBSTITUTE('worker file'!$A$2:$A$406,_xlfn.UNICHAR(160)," ")),'worker file'!$Q$2:$Q$406,"Not found")</f>
        <v>Active</v>
      </c>
      <c r="E854" s="39" t="s">
        <v>618</v>
      </c>
      <c r="F854" s="38" t="str">
        <f aca="false">_xlfn.XLOOKUP($E854,$A$5:$A$8,$B$5:$B$8,"")</f>
        <v>401(k) Employee Deferral</v>
      </c>
      <c r="G854" s="38" t="str">
        <f aca="false">_xlfn.XLOOKUP($E854,$A$5:$A$8,$D$5:$D$8,"")</f>
        <v>Pre-tax (exempt from FIT/SIT; subject to FICA)</v>
      </c>
      <c r="H854" s="38" t="str">
        <f aca="false">_xlfn.XLOOKUP($E854,$A$5:$A$8,$E$5:$E$8,"")</f>
        <v>Percent</v>
      </c>
      <c r="I854" s="41" t="n">
        <v>0.03</v>
      </c>
      <c r="J854" s="42" t="str">
        <f aca="false">IF($H854="Flat",_xlfn.XLOOKUP($E854,$A$5:$A$8,$F$5:$F$8,""),"")</f>
        <v/>
      </c>
      <c r="K854" s="38" t="str">
        <f aca="false">_xlfn.XLOOKUP($E854,$A$5:$A$8,$G$5:$G$8,"")</f>
        <v>Gross pay</v>
      </c>
      <c r="L854" s="38" t="str">
        <f aca="false">_xlfn.XLOOKUP($E854,$A$5:$A$8,$H$5:$H$8,"")</f>
        <v>Every pay period (ongoing)</v>
      </c>
      <c r="M854" s="43" t="n">
        <f aca="false" t="array" ref="M854:M854">MAX(_xlfn.XLOOKUP($A854,TRIM(SUBSTITUTE('worker file'!$A$2:$A$406,_xlfn.UNICHAR(160)," ")),'worker file'!$M$2:$M$406,0),_xlfn.XLOOKUP($B854,TRIM('pay group &amp; schedule'!$A$2:$A$6),'pay group &amp; schedule'!$D$2:$D$6,0))</f>
        <v>46311</v>
      </c>
      <c r="N854" s="43" t="str">
        <f aca="false" t="array" ref="N854:N854">_xlfn.LET(_xlpm.t,_xlfn.XLOOKUP($A854,TRIM(SUBSTITUTE('worker file'!$A$2:$A$406,_xlfn.UNICHAR(160)," ")),'worker file'!$N$2:$N$406,""),IF(N(_xlpm.t)=0,"",_xlpm.t))</f>
        <v/>
      </c>
    </row>
    <row r="855" customFormat="false" ht="15" hidden="false" customHeight="false" outlineLevel="0" collapsed="false">
      <c r="A855" s="39" t="s">
        <v>390</v>
      </c>
      <c r="B855" s="40" t="str">
        <f aca="false" t="array" ref="B855:B855">_xlfn.XLOOKUP($A855,TRIM(SUBSTITUTE('worker file'!$A$2:$A$406,_xlfn.UNICHAR(160)," ")),'worker file'!$L$2:$L$406,"Not found")</f>
        <v>US Semi-monthly</v>
      </c>
      <c r="C855" s="40" t="str">
        <f aca="false" t="array" ref="C855:C855">_xlfn.XLOOKUP($A855,TRIM(SUBSTITUTE('worker file'!$A$2:$A$406,_xlfn.UNICHAR(160)," ")),'worker file'!$D$2:$D$406,"Not found")</f>
        <v>CA</v>
      </c>
      <c r="D855" s="40" t="str">
        <f aca="false" t="array" ref="D855:D855">_xlfn.XLOOKUP($A855,TRIM(SUBSTITUTE('worker file'!$A$2:$A$406,_xlfn.UNICHAR(160)," ")),'worker file'!$Q$2:$Q$406,"Not found")</f>
        <v>Active</v>
      </c>
      <c r="E855" s="39" t="s">
        <v>626</v>
      </c>
      <c r="F855" s="38" t="str">
        <f aca="false">_xlfn.XLOOKUP($E855,$A$5:$A$8,$B$5:$B$8,"")</f>
        <v>Medical (Health) – Employee</v>
      </c>
      <c r="G855" s="38" t="str">
        <f aca="false">_xlfn.XLOOKUP($E855,$A$5:$A$8,$D$5:$D$8,"")</f>
        <v>Pre-tax Section 125 (exempt from FIT/SIT/FICA)</v>
      </c>
      <c r="H855" s="38" t="str">
        <f aca="false">_xlfn.XLOOKUP($E855,$A$5:$A$8,$E$5:$E$8,"")</f>
        <v>Flat</v>
      </c>
      <c r="I855" s="44" t="str">
        <f aca="false">IF($H855="Percent",_xlfn.XLOOKUP($E855,$A$5:$A$8,$F$5:$F$8,""),"")</f>
        <v/>
      </c>
      <c r="J855" s="42" t="n">
        <f aca="false">IF($H855="Flat",_xlfn.XLOOKUP($E855,$A$5:$A$8,$F$5:$F$8,""),"")</f>
        <v>200</v>
      </c>
      <c r="K855" s="38" t="str">
        <f aca="false">_xlfn.XLOOKUP($E855,$A$5:$A$8,$G$5:$G$8,"")</f>
        <v>Per pay period</v>
      </c>
      <c r="L855" s="38" t="str">
        <f aca="false">_xlfn.XLOOKUP($E855,$A$5:$A$8,$H$5:$H$8,"")</f>
        <v>Every pay period (ongoing)</v>
      </c>
      <c r="M855" s="43" t="n">
        <f aca="false" t="array" ref="M855:M855">MAX(_xlfn.XLOOKUP($A855,TRIM(SUBSTITUTE('worker file'!$A$2:$A$406,_xlfn.UNICHAR(160)," ")),'worker file'!$M$2:$M$406,0),_xlfn.XLOOKUP($B855,TRIM('pay group &amp; schedule'!$A$2:$A$6),'pay group &amp; schedule'!$D$2:$D$6,0))</f>
        <v>46311</v>
      </c>
      <c r="N855" s="43" t="str">
        <f aca="false" t="array" ref="N855:N855">_xlfn.LET(_xlpm.t,_xlfn.XLOOKUP($A855,TRIM(SUBSTITUTE('worker file'!$A$2:$A$406,_xlfn.UNICHAR(160)," ")),'worker file'!$N$2:$N$406,""),IF(N(_xlpm.t)=0,"",_xlpm.t))</f>
        <v/>
      </c>
    </row>
    <row r="856" customFormat="false" ht="15" hidden="false" customHeight="false" outlineLevel="0" collapsed="false">
      <c r="A856" s="39" t="s">
        <v>390</v>
      </c>
      <c r="B856" s="40" t="str">
        <f aca="false" t="array" ref="B856:B856">_xlfn.XLOOKUP($A856,TRIM(SUBSTITUTE('worker file'!$A$2:$A$406,_xlfn.UNICHAR(160)," ")),'worker file'!$L$2:$L$406,"Not found")</f>
        <v>US Semi-monthly</v>
      </c>
      <c r="C856" s="40" t="str">
        <f aca="false" t="array" ref="C856:C856">_xlfn.XLOOKUP($A856,TRIM(SUBSTITUTE('worker file'!$A$2:$A$406,_xlfn.UNICHAR(160)," ")),'worker file'!$D$2:$D$406,"Not found")</f>
        <v>CA</v>
      </c>
      <c r="D856" s="40" t="str">
        <f aca="false" t="array" ref="D856:D856">_xlfn.XLOOKUP($A856,TRIM(SUBSTITUTE('worker file'!$A$2:$A$406,_xlfn.UNICHAR(160)," ")),'worker file'!$Q$2:$Q$406,"Not found")</f>
        <v>Active</v>
      </c>
      <c r="E856" s="39" t="s">
        <v>632</v>
      </c>
      <c r="F856" s="38" t="str">
        <f aca="false">_xlfn.XLOOKUP($E856,$A$5:$A$8,$B$5:$B$8,"")</f>
        <v>Dental – Employee</v>
      </c>
      <c r="G856" s="38" t="str">
        <f aca="false">_xlfn.XLOOKUP($E856,$A$5:$A$8,$D$5:$D$8,"")</f>
        <v>Pre-tax Section 125 (exempt from FIT/SIT/FICA)</v>
      </c>
      <c r="H856" s="38" t="str">
        <f aca="false">_xlfn.XLOOKUP($E856,$A$5:$A$8,$E$5:$E$8,"")</f>
        <v>Flat</v>
      </c>
      <c r="I856" s="44" t="str">
        <f aca="false">IF($H856="Percent",_xlfn.XLOOKUP($E856,$A$5:$A$8,$F$5:$F$8,""),"")</f>
        <v/>
      </c>
      <c r="J856" s="42" t="n">
        <f aca="false">IF($H856="Flat",_xlfn.XLOOKUP($E856,$A$5:$A$8,$F$5:$F$8,""),"")</f>
        <v>44</v>
      </c>
      <c r="K856" s="38" t="str">
        <f aca="false">_xlfn.XLOOKUP($E856,$A$5:$A$8,$G$5:$G$8,"")</f>
        <v>Per pay period</v>
      </c>
      <c r="L856" s="38" t="str">
        <f aca="false">_xlfn.XLOOKUP($E856,$A$5:$A$8,$H$5:$H$8,"")</f>
        <v>Every pay period (ongoing)</v>
      </c>
      <c r="M856" s="43" t="n">
        <f aca="false" t="array" ref="M856:M856">MAX(_xlfn.XLOOKUP($A856,TRIM(SUBSTITUTE('worker file'!$A$2:$A$406,_xlfn.UNICHAR(160)," ")),'worker file'!$M$2:$M$406,0),_xlfn.XLOOKUP($B856,TRIM('pay group &amp; schedule'!$A$2:$A$6),'pay group &amp; schedule'!$D$2:$D$6,0))</f>
        <v>46311</v>
      </c>
      <c r="N856" s="43" t="str">
        <f aca="false" t="array" ref="N856:N856">_xlfn.LET(_xlpm.t,_xlfn.XLOOKUP($A856,TRIM(SUBSTITUTE('worker file'!$A$2:$A$406,_xlfn.UNICHAR(160)," ")),'worker file'!$N$2:$N$406,""),IF(N(_xlpm.t)=0,"",_xlpm.t))</f>
        <v/>
      </c>
    </row>
    <row r="857" customFormat="false" ht="15" hidden="false" customHeight="false" outlineLevel="0" collapsed="false">
      <c r="A857" s="39" t="s">
        <v>390</v>
      </c>
      <c r="B857" s="40" t="str">
        <f aca="false" t="array" ref="B857:B857">_xlfn.XLOOKUP($A857,TRIM(SUBSTITUTE('worker file'!$A$2:$A$406,_xlfn.UNICHAR(160)," ")),'worker file'!$L$2:$L$406,"Not found")</f>
        <v>US Semi-monthly</v>
      </c>
      <c r="C857" s="40" t="str">
        <f aca="false" t="array" ref="C857:C857">_xlfn.XLOOKUP($A857,TRIM(SUBSTITUTE('worker file'!$A$2:$A$406,_xlfn.UNICHAR(160)," ")),'worker file'!$D$2:$D$406,"Not found")</f>
        <v>CA</v>
      </c>
      <c r="D857" s="40" t="str">
        <f aca="false" t="array" ref="D857:D857">_xlfn.XLOOKUP($A857,TRIM(SUBSTITUTE('worker file'!$A$2:$A$406,_xlfn.UNICHAR(160)," ")),'worker file'!$Q$2:$Q$406,"Not found")</f>
        <v>Active</v>
      </c>
      <c r="E857" s="39" t="s">
        <v>634</v>
      </c>
      <c r="F857" s="38" t="str">
        <f aca="false">_xlfn.XLOOKUP($E857,$A$5:$A$8,$B$5:$B$8,"")</f>
        <v>Vision – Employee</v>
      </c>
      <c r="G857" s="38" t="str">
        <f aca="false">_xlfn.XLOOKUP($E857,$A$5:$A$8,$D$5:$D$8,"")</f>
        <v>Pre-tax Section 125 (exempt from FIT/SIT/FICA)</v>
      </c>
      <c r="H857" s="38" t="str">
        <f aca="false">_xlfn.XLOOKUP($E857,$A$5:$A$8,$E$5:$E$8,"")</f>
        <v>Flat</v>
      </c>
      <c r="I857" s="44" t="str">
        <f aca="false">IF($H857="Percent",_xlfn.XLOOKUP($E857,$A$5:$A$8,$F$5:$F$8,""),"")</f>
        <v/>
      </c>
      <c r="J857" s="42" t="n">
        <f aca="false">IF($H857="Flat",_xlfn.XLOOKUP($E857,$A$5:$A$8,$F$5:$F$8,""),"")</f>
        <v>30</v>
      </c>
      <c r="K857" s="38" t="str">
        <f aca="false">_xlfn.XLOOKUP($E857,$A$5:$A$8,$G$5:$G$8,"")</f>
        <v>Per pay period</v>
      </c>
      <c r="L857" s="38" t="str">
        <f aca="false">_xlfn.XLOOKUP($E857,$A$5:$A$8,$H$5:$H$8,"")</f>
        <v>Every pay period (ongoing)</v>
      </c>
      <c r="M857" s="43" t="n">
        <f aca="false" t="array" ref="M857:M857">MAX(_xlfn.XLOOKUP($A857,TRIM(SUBSTITUTE('worker file'!$A$2:$A$406,_xlfn.UNICHAR(160)," ")),'worker file'!$M$2:$M$406,0),_xlfn.XLOOKUP($B857,TRIM('pay group &amp; schedule'!$A$2:$A$6),'pay group &amp; schedule'!$D$2:$D$6,0))</f>
        <v>46311</v>
      </c>
      <c r="N857" s="43" t="str">
        <f aca="false" t="array" ref="N857:N857">_xlfn.LET(_xlpm.t,_xlfn.XLOOKUP($A857,TRIM(SUBSTITUTE('worker file'!$A$2:$A$406,_xlfn.UNICHAR(160)," ")),'worker file'!$N$2:$N$406,""),IF(N(_xlpm.t)=0,"",_xlpm.t))</f>
        <v/>
      </c>
    </row>
    <row r="858" customFormat="false" ht="15" hidden="false" customHeight="false" outlineLevel="0" collapsed="false">
      <c r="A858" s="39" t="s">
        <v>392</v>
      </c>
      <c r="B858" s="40" t="str">
        <f aca="false" t="array" ref="B858:B858">_xlfn.XLOOKUP($A858,TRIM(SUBSTITUTE('worker file'!$A$2:$A$406,_xlfn.UNICHAR(160)," ")),'worker file'!$L$2:$L$406,"Not found")</f>
        <v>US Semi-monthly</v>
      </c>
      <c r="C858" s="40" t="str">
        <f aca="false" t="array" ref="C858:C858">_xlfn.XLOOKUP($A858,TRIM(SUBSTITUTE('worker file'!$A$2:$A$406,_xlfn.UNICHAR(160)," ")),'worker file'!$D$2:$D$406,"Not found")</f>
        <v>TX</v>
      </c>
      <c r="D858" s="40" t="str">
        <f aca="false" t="array" ref="D858:D858">_xlfn.XLOOKUP($A858,TRIM(SUBSTITUTE('worker file'!$A$2:$A$406,_xlfn.UNICHAR(160)," ")),'worker file'!$Q$2:$Q$406,"Not found")</f>
        <v>Active</v>
      </c>
      <c r="E858" s="39" t="s">
        <v>618</v>
      </c>
      <c r="F858" s="38" t="str">
        <f aca="false">_xlfn.XLOOKUP($E858,$A$5:$A$8,$B$5:$B$8,"")</f>
        <v>401(k) Employee Deferral</v>
      </c>
      <c r="G858" s="38" t="str">
        <f aca="false">_xlfn.XLOOKUP($E858,$A$5:$A$8,$D$5:$D$8,"")</f>
        <v>Pre-tax (exempt from FIT/SIT; subject to FICA)</v>
      </c>
      <c r="H858" s="38" t="str">
        <f aca="false">_xlfn.XLOOKUP($E858,$A$5:$A$8,$E$5:$E$8,"")</f>
        <v>Percent</v>
      </c>
      <c r="I858" s="41" t="n">
        <v>0</v>
      </c>
      <c r="J858" s="42" t="str">
        <f aca="false">IF($H858="Flat",_xlfn.XLOOKUP($E858,$A$5:$A$8,$F$5:$F$8,""),"")</f>
        <v/>
      </c>
      <c r="K858" s="38" t="str">
        <f aca="false">_xlfn.XLOOKUP($E858,$A$5:$A$8,$G$5:$G$8,"")</f>
        <v>Gross pay</v>
      </c>
      <c r="L858" s="38" t="str">
        <f aca="false">_xlfn.XLOOKUP($E858,$A$5:$A$8,$H$5:$H$8,"")</f>
        <v>Every pay period (ongoing)</v>
      </c>
      <c r="M858" s="43" t="n">
        <f aca="false" t="array" ref="M858:M858">MAX(_xlfn.XLOOKUP($A858,TRIM(SUBSTITUTE('worker file'!$A$2:$A$406,_xlfn.UNICHAR(160)," ")),'worker file'!$M$2:$M$406,0),_xlfn.XLOOKUP($B858,TRIM('pay group &amp; schedule'!$A$2:$A$6),'pay group &amp; schedule'!$D$2:$D$6,0))</f>
        <v>46311</v>
      </c>
      <c r="N858" s="43" t="str">
        <f aca="false" t="array" ref="N858:N858">_xlfn.LET(_xlpm.t,_xlfn.XLOOKUP($A858,TRIM(SUBSTITUTE('worker file'!$A$2:$A$406,_xlfn.UNICHAR(160)," ")),'worker file'!$N$2:$N$406,""),IF(N(_xlpm.t)=0,"",_xlpm.t))</f>
        <v/>
      </c>
    </row>
    <row r="859" customFormat="false" ht="15" hidden="false" customHeight="false" outlineLevel="0" collapsed="false">
      <c r="A859" s="39" t="s">
        <v>392</v>
      </c>
      <c r="B859" s="40" t="str">
        <f aca="false" t="array" ref="B859:B859">_xlfn.XLOOKUP($A859,TRIM(SUBSTITUTE('worker file'!$A$2:$A$406,_xlfn.UNICHAR(160)," ")),'worker file'!$L$2:$L$406,"Not found")</f>
        <v>US Semi-monthly</v>
      </c>
      <c r="C859" s="40" t="str">
        <f aca="false" t="array" ref="C859:C859">_xlfn.XLOOKUP($A859,TRIM(SUBSTITUTE('worker file'!$A$2:$A$406,_xlfn.UNICHAR(160)," ")),'worker file'!$D$2:$D$406,"Not found")</f>
        <v>TX</v>
      </c>
      <c r="D859" s="40" t="str">
        <f aca="false" t="array" ref="D859:D859">_xlfn.XLOOKUP($A859,TRIM(SUBSTITUTE('worker file'!$A$2:$A$406,_xlfn.UNICHAR(160)," ")),'worker file'!$Q$2:$Q$406,"Not found")</f>
        <v>Active</v>
      </c>
      <c r="E859" s="39" t="s">
        <v>626</v>
      </c>
      <c r="F859" s="38" t="str">
        <f aca="false">_xlfn.XLOOKUP($E859,$A$5:$A$8,$B$5:$B$8,"")</f>
        <v>Medical (Health) – Employee</v>
      </c>
      <c r="G859" s="38" t="str">
        <f aca="false">_xlfn.XLOOKUP($E859,$A$5:$A$8,$D$5:$D$8,"")</f>
        <v>Pre-tax Section 125 (exempt from FIT/SIT/FICA)</v>
      </c>
      <c r="H859" s="38" t="str">
        <f aca="false">_xlfn.XLOOKUP($E859,$A$5:$A$8,$E$5:$E$8,"")</f>
        <v>Flat</v>
      </c>
      <c r="I859" s="44" t="str">
        <f aca="false">IF($H859="Percent",_xlfn.XLOOKUP($E859,$A$5:$A$8,$F$5:$F$8,""),"")</f>
        <v/>
      </c>
      <c r="J859" s="42" t="n">
        <f aca="false">IF($H859="Flat",_xlfn.XLOOKUP($E859,$A$5:$A$8,$F$5:$F$8,""),"")</f>
        <v>200</v>
      </c>
      <c r="K859" s="38" t="str">
        <f aca="false">_xlfn.XLOOKUP($E859,$A$5:$A$8,$G$5:$G$8,"")</f>
        <v>Per pay period</v>
      </c>
      <c r="L859" s="38" t="str">
        <f aca="false">_xlfn.XLOOKUP($E859,$A$5:$A$8,$H$5:$H$8,"")</f>
        <v>Every pay period (ongoing)</v>
      </c>
      <c r="M859" s="43" t="n">
        <f aca="false" t="array" ref="M859:M859">MAX(_xlfn.XLOOKUP($A859,TRIM(SUBSTITUTE('worker file'!$A$2:$A$406,_xlfn.UNICHAR(160)," ")),'worker file'!$M$2:$M$406,0),_xlfn.XLOOKUP($B859,TRIM('pay group &amp; schedule'!$A$2:$A$6),'pay group &amp; schedule'!$D$2:$D$6,0))</f>
        <v>46311</v>
      </c>
      <c r="N859" s="43" t="str">
        <f aca="false" t="array" ref="N859:N859">_xlfn.LET(_xlpm.t,_xlfn.XLOOKUP($A859,TRIM(SUBSTITUTE('worker file'!$A$2:$A$406,_xlfn.UNICHAR(160)," ")),'worker file'!$N$2:$N$406,""),IF(N(_xlpm.t)=0,"",_xlpm.t))</f>
        <v/>
      </c>
    </row>
    <row r="860" customFormat="false" ht="15" hidden="false" customHeight="false" outlineLevel="0" collapsed="false">
      <c r="A860" s="39" t="s">
        <v>392</v>
      </c>
      <c r="B860" s="40" t="str">
        <f aca="false" t="array" ref="B860:B860">_xlfn.XLOOKUP($A860,TRIM(SUBSTITUTE('worker file'!$A$2:$A$406,_xlfn.UNICHAR(160)," ")),'worker file'!$L$2:$L$406,"Not found")</f>
        <v>US Semi-monthly</v>
      </c>
      <c r="C860" s="40" t="str">
        <f aca="false" t="array" ref="C860:C860">_xlfn.XLOOKUP($A860,TRIM(SUBSTITUTE('worker file'!$A$2:$A$406,_xlfn.UNICHAR(160)," ")),'worker file'!$D$2:$D$406,"Not found")</f>
        <v>TX</v>
      </c>
      <c r="D860" s="40" t="str">
        <f aca="false" t="array" ref="D860:D860">_xlfn.XLOOKUP($A860,TRIM(SUBSTITUTE('worker file'!$A$2:$A$406,_xlfn.UNICHAR(160)," ")),'worker file'!$Q$2:$Q$406,"Not found")</f>
        <v>Active</v>
      </c>
      <c r="E860" s="39" t="s">
        <v>632</v>
      </c>
      <c r="F860" s="38" t="str">
        <f aca="false">_xlfn.XLOOKUP($E860,$A$5:$A$8,$B$5:$B$8,"")</f>
        <v>Dental – Employee</v>
      </c>
      <c r="G860" s="38" t="str">
        <f aca="false">_xlfn.XLOOKUP($E860,$A$5:$A$8,$D$5:$D$8,"")</f>
        <v>Pre-tax Section 125 (exempt from FIT/SIT/FICA)</v>
      </c>
      <c r="H860" s="38" t="str">
        <f aca="false">_xlfn.XLOOKUP($E860,$A$5:$A$8,$E$5:$E$8,"")</f>
        <v>Flat</v>
      </c>
      <c r="I860" s="44" t="str">
        <f aca="false">IF($H860="Percent",_xlfn.XLOOKUP($E860,$A$5:$A$8,$F$5:$F$8,""),"")</f>
        <v/>
      </c>
      <c r="J860" s="42" t="n">
        <f aca="false">IF($H860="Flat",_xlfn.XLOOKUP($E860,$A$5:$A$8,$F$5:$F$8,""),"")</f>
        <v>44</v>
      </c>
      <c r="K860" s="38" t="str">
        <f aca="false">_xlfn.XLOOKUP($E860,$A$5:$A$8,$G$5:$G$8,"")</f>
        <v>Per pay period</v>
      </c>
      <c r="L860" s="38" t="str">
        <f aca="false">_xlfn.XLOOKUP($E860,$A$5:$A$8,$H$5:$H$8,"")</f>
        <v>Every pay period (ongoing)</v>
      </c>
      <c r="M860" s="43" t="n">
        <f aca="false" t="array" ref="M860:M860">MAX(_xlfn.XLOOKUP($A860,TRIM(SUBSTITUTE('worker file'!$A$2:$A$406,_xlfn.UNICHAR(160)," ")),'worker file'!$M$2:$M$406,0),_xlfn.XLOOKUP($B860,TRIM('pay group &amp; schedule'!$A$2:$A$6),'pay group &amp; schedule'!$D$2:$D$6,0))</f>
        <v>46311</v>
      </c>
      <c r="N860" s="43" t="str">
        <f aca="false" t="array" ref="N860:N860">_xlfn.LET(_xlpm.t,_xlfn.XLOOKUP($A860,TRIM(SUBSTITUTE('worker file'!$A$2:$A$406,_xlfn.UNICHAR(160)," ")),'worker file'!$N$2:$N$406,""),IF(N(_xlpm.t)=0,"",_xlpm.t))</f>
        <v/>
      </c>
    </row>
    <row r="861" customFormat="false" ht="15" hidden="false" customHeight="false" outlineLevel="0" collapsed="false">
      <c r="A861" s="39" t="s">
        <v>392</v>
      </c>
      <c r="B861" s="40" t="str">
        <f aca="false" t="array" ref="B861:B861">_xlfn.XLOOKUP($A861,TRIM(SUBSTITUTE('worker file'!$A$2:$A$406,_xlfn.UNICHAR(160)," ")),'worker file'!$L$2:$L$406,"Not found")</f>
        <v>US Semi-monthly</v>
      </c>
      <c r="C861" s="40" t="str">
        <f aca="false" t="array" ref="C861:C861">_xlfn.XLOOKUP($A861,TRIM(SUBSTITUTE('worker file'!$A$2:$A$406,_xlfn.UNICHAR(160)," ")),'worker file'!$D$2:$D$406,"Not found")</f>
        <v>TX</v>
      </c>
      <c r="D861" s="40" t="str">
        <f aca="false" t="array" ref="D861:D861">_xlfn.XLOOKUP($A861,TRIM(SUBSTITUTE('worker file'!$A$2:$A$406,_xlfn.UNICHAR(160)," ")),'worker file'!$Q$2:$Q$406,"Not found")</f>
        <v>Active</v>
      </c>
      <c r="E861" s="39" t="s">
        <v>634</v>
      </c>
      <c r="F861" s="38" t="str">
        <f aca="false">_xlfn.XLOOKUP($E861,$A$5:$A$8,$B$5:$B$8,"")</f>
        <v>Vision – Employee</v>
      </c>
      <c r="G861" s="38" t="str">
        <f aca="false">_xlfn.XLOOKUP($E861,$A$5:$A$8,$D$5:$D$8,"")</f>
        <v>Pre-tax Section 125 (exempt from FIT/SIT/FICA)</v>
      </c>
      <c r="H861" s="38" t="str">
        <f aca="false">_xlfn.XLOOKUP($E861,$A$5:$A$8,$E$5:$E$8,"")</f>
        <v>Flat</v>
      </c>
      <c r="I861" s="44" t="str">
        <f aca="false">IF($H861="Percent",_xlfn.XLOOKUP($E861,$A$5:$A$8,$F$5:$F$8,""),"")</f>
        <v/>
      </c>
      <c r="J861" s="42" t="n">
        <f aca="false">IF($H861="Flat",_xlfn.XLOOKUP($E861,$A$5:$A$8,$F$5:$F$8,""),"")</f>
        <v>30</v>
      </c>
      <c r="K861" s="38" t="str">
        <f aca="false">_xlfn.XLOOKUP($E861,$A$5:$A$8,$G$5:$G$8,"")</f>
        <v>Per pay period</v>
      </c>
      <c r="L861" s="38" t="str">
        <f aca="false">_xlfn.XLOOKUP($E861,$A$5:$A$8,$H$5:$H$8,"")</f>
        <v>Every pay period (ongoing)</v>
      </c>
      <c r="M861" s="43" t="n">
        <f aca="false" t="array" ref="M861:M861">MAX(_xlfn.XLOOKUP($A861,TRIM(SUBSTITUTE('worker file'!$A$2:$A$406,_xlfn.UNICHAR(160)," ")),'worker file'!$M$2:$M$406,0),_xlfn.XLOOKUP($B861,TRIM('pay group &amp; schedule'!$A$2:$A$6),'pay group &amp; schedule'!$D$2:$D$6,0))</f>
        <v>46311</v>
      </c>
      <c r="N861" s="43" t="str">
        <f aca="false" t="array" ref="N861:N861">_xlfn.LET(_xlpm.t,_xlfn.XLOOKUP($A861,TRIM(SUBSTITUTE('worker file'!$A$2:$A$406,_xlfn.UNICHAR(160)," ")),'worker file'!$N$2:$N$406,""),IF(N(_xlpm.t)=0,"",_xlpm.t))</f>
        <v/>
      </c>
    </row>
    <row r="862" customFormat="false" ht="15" hidden="false" customHeight="false" outlineLevel="0" collapsed="false">
      <c r="A862" s="39" t="s">
        <v>393</v>
      </c>
      <c r="B862" s="40" t="str">
        <f aca="false" t="array" ref="B862:B862">_xlfn.XLOOKUP($A862,TRIM(SUBSTITUTE('worker file'!$A$2:$A$406,_xlfn.UNICHAR(160)," ")),'worker file'!$L$2:$L$406,"Not found")</f>
        <v>US Semi-monthly</v>
      </c>
      <c r="C862" s="40" t="str">
        <f aca="false" t="array" ref="C862:C862">_xlfn.XLOOKUP($A862,TRIM(SUBSTITUTE('worker file'!$A$2:$A$406,_xlfn.UNICHAR(160)," ")),'worker file'!$D$2:$D$406,"Not found")</f>
        <v>CA</v>
      </c>
      <c r="D862" s="40" t="str">
        <f aca="false" t="array" ref="D862:D862">_xlfn.XLOOKUP($A862,TRIM(SUBSTITUTE('worker file'!$A$2:$A$406,_xlfn.UNICHAR(160)," ")),'worker file'!$Q$2:$Q$406,"Not found")</f>
        <v>Active</v>
      </c>
      <c r="E862" s="39" t="s">
        <v>618</v>
      </c>
      <c r="F862" s="38" t="str">
        <f aca="false">_xlfn.XLOOKUP($E862,$A$5:$A$8,$B$5:$B$8,"")</f>
        <v>401(k) Employee Deferral</v>
      </c>
      <c r="G862" s="38" t="str">
        <f aca="false">_xlfn.XLOOKUP($E862,$A$5:$A$8,$D$5:$D$8,"")</f>
        <v>Pre-tax (exempt from FIT/SIT; subject to FICA)</v>
      </c>
      <c r="H862" s="38" t="str">
        <f aca="false">_xlfn.XLOOKUP($E862,$A$5:$A$8,$E$5:$E$8,"")</f>
        <v>Percent</v>
      </c>
      <c r="I862" s="41" t="n">
        <v>0.05</v>
      </c>
      <c r="J862" s="42" t="str">
        <f aca="false">IF($H862="Flat",_xlfn.XLOOKUP($E862,$A$5:$A$8,$F$5:$F$8,""),"")</f>
        <v/>
      </c>
      <c r="K862" s="38" t="str">
        <f aca="false">_xlfn.XLOOKUP($E862,$A$5:$A$8,$G$5:$G$8,"")</f>
        <v>Gross pay</v>
      </c>
      <c r="L862" s="38" t="str">
        <f aca="false">_xlfn.XLOOKUP($E862,$A$5:$A$8,$H$5:$H$8,"")</f>
        <v>Every pay period (ongoing)</v>
      </c>
      <c r="M862" s="43" t="n">
        <f aca="false" t="array" ref="M862:M862">MAX(_xlfn.XLOOKUP($A862,TRIM(SUBSTITUTE('worker file'!$A$2:$A$406,_xlfn.UNICHAR(160)," ")),'worker file'!$M$2:$M$406,0),_xlfn.XLOOKUP($B862,TRIM('pay group &amp; schedule'!$A$2:$A$6),'pay group &amp; schedule'!$D$2:$D$6,0))</f>
        <v>46311</v>
      </c>
      <c r="N862" s="43" t="str">
        <f aca="false" t="array" ref="N862:N862">_xlfn.LET(_xlpm.t,_xlfn.XLOOKUP($A862,TRIM(SUBSTITUTE('worker file'!$A$2:$A$406,_xlfn.UNICHAR(160)," ")),'worker file'!$N$2:$N$406,""),IF(N(_xlpm.t)=0,"",_xlpm.t))</f>
        <v/>
      </c>
    </row>
    <row r="863" customFormat="false" ht="15" hidden="false" customHeight="false" outlineLevel="0" collapsed="false">
      <c r="A863" s="39" t="s">
        <v>393</v>
      </c>
      <c r="B863" s="40" t="str">
        <f aca="false" t="array" ref="B863:B863">_xlfn.XLOOKUP($A863,TRIM(SUBSTITUTE('worker file'!$A$2:$A$406,_xlfn.UNICHAR(160)," ")),'worker file'!$L$2:$L$406,"Not found")</f>
        <v>US Semi-monthly</v>
      </c>
      <c r="C863" s="40" t="str">
        <f aca="false" t="array" ref="C863:C863">_xlfn.XLOOKUP($A863,TRIM(SUBSTITUTE('worker file'!$A$2:$A$406,_xlfn.UNICHAR(160)," ")),'worker file'!$D$2:$D$406,"Not found")</f>
        <v>CA</v>
      </c>
      <c r="D863" s="40" t="str">
        <f aca="false" t="array" ref="D863:D863">_xlfn.XLOOKUP($A863,TRIM(SUBSTITUTE('worker file'!$A$2:$A$406,_xlfn.UNICHAR(160)," ")),'worker file'!$Q$2:$Q$406,"Not found")</f>
        <v>Active</v>
      </c>
      <c r="E863" s="39" t="s">
        <v>626</v>
      </c>
      <c r="F863" s="38" t="str">
        <f aca="false">_xlfn.XLOOKUP($E863,$A$5:$A$8,$B$5:$B$8,"")</f>
        <v>Medical (Health) – Employee</v>
      </c>
      <c r="G863" s="38" t="str">
        <f aca="false">_xlfn.XLOOKUP($E863,$A$5:$A$8,$D$5:$D$8,"")</f>
        <v>Pre-tax Section 125 (exempt from FIT/SIT/FICA)</v>
      </c>
      <c r="H863" s="38" t="str">
        <f aca="false">_xlfn.XLOOKUP($E863,$A$5:$A$8,$E$5:$E$8,"")</f>
        <v>Flat</v>
      </c>
      <c r="I863" s="44" t="str">
        <f aca="false">IF($H863="Percent",_xlfn.XLOOKUP($E863,$A$5:$A$8,$F$5:$F$8,""),"")</f>
        <v/>
      </c>
      <c r="J863" s="42" t="n">
        <f aca="false">IF($H863="Flat",_xlfn.XLOOKUP($E863,$A$5:$A$8,$F$5:$F$8,""),"")</f>
        <v>200</v>
      </c>
      <c r="K863" s="38" t="str">
        <f aca="false">_xlfn.XLOOKUP($E863,$A$5:$A$8,$G$5:$G$8,"")</f>
        <v>Per pay period</v>
      </c>
      <c r="L863" s="38" t="str">
        <f aca="false">_xlfn.XLOOKUP($E863,$A$5:$A$8,$H$5:$H$8,"")</f>
        <v>Every pay period (ongoing)</v>
      </c>
      <c r="M863" s="43" t="n">
        <f aca="false" t="array" ref="M863:M863">MAX(_xlfn.XLOOKUP($A863,TRIM(SUBSTITUTE('worker file'!$A$2:$A$406,_xlfn.UNICHAR(160)," ")),'worker file'!$M$2:$M$406,0),_xlfn.XLOOKUP($B863,TRIM('pay group &amp; schedule'!$A$2:$A$6),'pay group &amp; schedule'!$D$2:$D$6,0))</f>
        <v>46311</v>
      </c>
      <c r="N863" s="43" t="str">
        <f aca="false" t="array" ref="N863:N863">_xlfn.LET(_xlpm.t,_xlfn.XLOOKUP($A863,TRIM(SUBSTITUTE('worker file'!$A$2:$A$406,_xlfn.UNICHAR(160)," ")),'worker file'!$N$2:$N$406,""),IF(N(_xlpm.t)=0,"",_xlpm.t))</f>
        <v/>
      </c>
    </row>
    <row r="864" customFormat="false" ht="15" hidden="false" customHeight="false" outlineLevel="0" collapsed="false">
      <c r="A864" s="39" t="s">
        <v>393</v>
      </c>
      <c r="B864" s="40" t="str">
        <f aca="false" t="array" ref="B864:B864">_xlfn.XLOOKUP($A864,TRIM(SUBSTITUTE('worker file'!$A$2:$A$406,_xlfn.UNICHAR(160)," ")),'worker file'!$L$2:$L$406,"Not found")</f>
        <v>US Semi-monthly</v>
      </c>
      <c r="C864" s="40" t="str">
        <f aca="false" t="array" ref="C864:C864">_xlfn.XLOOKUP($A864,TRIM(SUBSTITUTE('worker file'!$A$2:$A$406,_xlfn.UNICHAR(160)," ")),'worker file'!$D$2:$D$406,"Not found")</f>
        <v>CA</v>
      </c>
      <c r="D864" s="40" t="str">
        <f aca="false" t="array" ref="D864:D864">_xlfn.XLOOKUP($A864,TRIM(SUBSTITUTE('worker file'!$A$2:$A$406,_xlfn.UNICHAR(160)," ")),'worker file'!$Q$2:$Q$406,"Not found")</f>
        <v>Active</v>
      </c>
      <c r="E864" s="39" t="s">
        <v>632</v>
      </c>
      <c r="F864" s="38" t="str">
        <f aca="false">_xlfn.XLOOKUP($E864,$A$5:$A$8,$B$5:$B$8,"")</f>
        <v>Dental – Employee</v>
      </c>
      <c r="G864" s="38" t="str">
        <f aca="false">_xlfn.XLOOKUP($E864,$A$5:$A$8,$D$5:$D$8,"")</f>
        <v>Pre-tax Section 125 (exempt from FIT/SIT/FICA)</v>
      </c>
      <c r="H864" s="38" t="str">
        <f aca="false">_xlfn.XLOOKUP($E864,$A$5:$A$8,$E$5:$E$8,"")</f>
        <v>Flat</v>
      </c>
      <c r="I864" s="44" t="str">
        <f aca="false">IF($H864="Percent",_xlfn.XLOOKUP($E864,$A$5:$A$8,$F$5:$F$8,""),"")</f>
        <v/>
      </c>
      <c r="J864" s="42" t="n">
        <f aca="false">IF($H864="Flat",_xlfn.XLOOKUP($E864,$A$5:$A$8,$F$5:$F$8,""),"")</f>
        <v>44</v>
      </c>
      <c r="K864" s="38" t="str">
        <f aca="false">_xlfn.XLOOKUP($E864,$A$5:$A$8,$G$5:$G$8,"")</f>
        <v>Per pay period</v>
      </c>
      <c r="L864" s="38" t="str">
        <f aca="false">_xlfn.XLOOKUP($E864,$A$5:$A$8,$H$5:$H$8,"")</f>
        <v>Every pay period (ongoing)</v>
      </c>
      <c r="M864" s="43" t="n">
        <f aca="false" t="array" ref="M864:M864">MAX(_xlfn.XLOOKUP($A864,TRIM(SUBSTITUTE('worker file'!$A$2:$A$406,_xlfn.UNICHAR(160)," ")),'worker file'!$M$2:$M$406,0),_xlfn.XLOOKUP($B864,TRIM('pay group &amp; schedule'!$A$2:$A$6),'pay group &amp; schedule'!$D$2:$D$6,0))</f>
        <v>46311</v>
      </c>
      <c r="N864" s="43" t="str">
        <f aca="false" t="array" ref="N864:N864">_xlfn.LET(_xlpm.t,_xlfn.XLOOKUP($A864,TRIM(SUBSTITUTE('worker file'!$A$2:$A$406,_xlfn.UNICHAR(160)," ")),'worker file'!$N$2:$N$406,""),IF(N(_xlpm.t)=0,"",_xlpm.t))</f>
        <v/>
      </c>
    </row>
    <row r="865" customFormat="false" ht="15" hidden="false" customHeight="false" outlineLevel="0" collapsed="false">
      <c r="A865" s="39" t="s">
        <v>393</v>
      </c>
      <c r="B865" s="40" t="str">
        <f aca="false" t="array" ref="B865:B865">_xlfn.XLOOKUP($A865,TRIM(SUBSTITUTE('worker file'!$A$2:$A$406,_xlfn.UNICHAR(160)," ")),'worker file'!$L$2:$L$406,"Not found")</f>
        <v>US Semi-monthly</v>
      </c>
      <c r="C865" s="40" t="str">
        <f aca="false" t="array" ref="C865:C865">_xlfn.XLOOKUP($A865,TRIM(SUBSTITUTE('worker file'!$A$2:$A$406,_xlfn.UNICHAR(160)," ")),'worker file'!$D$2:$D$406,"Not found")</f>
        <v>CA</v>
      </c>
      <c r="D865" s="40" t="str">
        <f aca="false" t="array" ref="D865:D865">_xlfn.XLOOKUP($A865,TRIM(SUBSTITUTE('worker file'!$A$2:$A$406,_xlfn.UNICHAR(160)," ")),'worker file'!$Q$2:$Q$406,"Not found")</f>
        <v>Active</v>
      </c>
      <c r="E865" s="39" t="s">
        <v>634</v>
      </c>
      <c r="F865" s="38" t="str">
        <f aca="false">_xlfn.XLOOKUP($E865,$A$5:$A$8,$B$5:$B$8,"")</f>
        <v>Vision – Employee</v>
      </c>
      <c r="G865" s="38" t="str">
        <f aca="false">_xlfn.XLOOKUP($E865,$A$5:$A$8,$D$5:$D$8,"")</f>
        <v>Pre-tax Section 125 (exempt from FIT/SIT/FICA)</v>
      </c>
      <c r="H865" s="38" t="str">
        <f aca="false">_xlfn.XLOOKUP($E865,$A$5:$A$8,$E$5:$E$8,"")</f>
        <v>Flat</v>
      </c>
      <c r="I865" s="44" t="str">
        <f aca="false">IF($H865="Percent",_xlfn.XLOOKUP($E865,$A$5:$A$8,$F$5:$F$8,""),"")</f>
        <v/>
      </c>
      <c r="J865" s="42" t="n">
        <f aca="false">IF($H865="Flat",_xlfn.XLOOKUP($E865,$A$5:$A$8,$F$5:$F$8,""),"")</f>
        <v>30</v>
      </c>
      <c r="K865" s="38" t="str">
        <f aca="false">_xlfn.XLOOKUP($E865,$A$5:$A$8,$G$5:$G$8,"")</f>
        <v>Per pay period</v>
      </c>
      <c r="L865" s="38" t="str">
        <f aca="false">_xlfn.XLOOKUP($E865,$A$5:$A$8,$H$5:$H$8,"")</f>
        <v>Every pay period (ongoing)</v>
      </c>
      <c r="M865" s="43" t="n">
        <f aca="false" t="array" ref="M865:M865">MAX(_xlfn.XLOOKUP($A865,TRIM(SUBSTITUTE('worker file'!$A$2:$A$406,_xlfn.UNICHAR(160)," ")),'worker file'!$M$2:$M$406,0),_xlfn.XLOOKUP($B865,TRIM('pay group &amp; schedule'!$A$2:$A$6),'pay group &amp; schedule'!$D$2:$D$6,0))</f>
        <v>46311</v>
      </c>
      <c r="N865" s="43" t="str">
        <f aca="false" t="array" ref="N865:N865">_xlfn.LET(_xlpm.t,_xlfn.XLOOKUP($A865,TRIM(SUBSTITUTE('worker file'!$A$2:$A$406,_xlfn.UNICHAR(160)," ")),'worker file'!$N$2:$N$406,""),IF(N(_xlpm.t)=0,"",_xlpm.t))</f>
        <v/>
      </c>
    </row>
    <row r="866" customFormat="false" ht="15" hidden="false" customHeight="false" outlineLevel="0" collapsed="false">
      <c r="A866" s="39" t="s">
        <v>394</v>
      </c>
      <c r="B866" s="40" t="str">
        <f aca="false" t="array" ref="B866:B866">_xlfn.XLOOKUP($A866,TRIM(SUBSTITUTE('worker file'!$A$2:$A$406,_xlfn.UNICHAR(160)," ")),'worker file'!$L$2:$L$406,"Not found")</f>
        <v>US Semi-monthly</v>
      </c>
      <c r="C866" s="40" t="str">
        <f aca="false" t="array" ref="C866:C866">_xlfn.XLOOKUP($A866,TRIM(SUBSTITUTE('worker file'!$A$2:$A$406,_xlfn.UNICHAR(160)," ")),'worker file'!$D$2:$D$406,"Not found")</f>
        <v>CA</v>
      </c>
      <c r="D866" s="40" t="str">
        <f aca="false" t="array" ref="D866:D866">_xlfn.XLOOKUP($A866,TRIM(SUBSTITUTE('worker file'!$A$2:$A$406,_xlfn.UNICHAR(160)," ")),'worker file'!$Q$2:$Q$406,"Not found")</f>
        <v>Active</v>
      </c>
      <c r="E866" s="39" t="s">
        <v>618</v>
      </c>
      <c r="F866" s="38" t="str">
        <f aca="false">_xlfn.XLOOKUP($E866,$A$5:$A$8,$B$5:$B$8,"")</f>
        <v>401(k) Employee Deferral</v>
      </c>
      <c r="G866" s="38" t="str">
        <f aca="false">_xlfn.XLOOKUP($E866,$A$5:$A$8,$D$5:$D$8,"")</f>
        <v>Pre-tax (exempt from FIT/SIT; subject to FICA)</v>
      </c>
      <c r="H866" s="38" t="str">
        <f aca="false">_xlfn.XLOOKUP($E866,$A$5:$A$8,$E$5:$E$8,"")</f>
        <v>Percent</v>
      </c>
      <c r="I866" s="41" t="n">
        <v>0.02</v>
      </c>
      <c r="J866" s="42" t="str">
        <f aca="false">IF($H866="Flat",_xlfn.XLOOKUP($E866,$A$5:$A$8,$F$5:$F$8,""),"")</f>
        <v/>
      </c>
      <c r="K866" s="38" t="str">
        <f aca="false">_xlfn.XLOOKUP($E866,$A$5:$A$8,$G$5:$G$8,"")</f>
        <v>Gross pay</v>
      </c>
      <c r="L866" s="38" t="str">
        <f aca="false">_xlfn.XLOOKUP($E866,$A$5:$A$8,$H$5:$H$8,"")</f>
        <v>Every pay period (ongoing)</v>
      </c>
      <c r="M866" s="43" t="n">
        <f aca="false" t="array" ref="M866:M866">MAX(_xlfn.XLOOKUP($A866,TRIM(SUBSTITUTE('worker file'!$A$2:$A$406,_xlfn.UNICHAR(160)," ")),'worker file'!$M$2:$M$406,0),_xlfn.XLOOKUP($B866,TRIM('pay group &amp; schedule'!$A$2:$A$6),'pay group &amp; schedule'!$D$2:$D$6,0))</f>
        <v>46311</v>
      </c>
      <c r="N866" s="43" t="str">
        <f aca="false" t="array" ref="N866:N866">_xlfn.LET(_xlpm.t,_xlfn.XLOOKUP($A866,TRIM(SUBSTITUTE('worker file'!$A$2:$A$406,_xlfn.UNICHAR(160)," ")),'worker file'!$N$2:$N$406,""),IF(N(_xlpm.t)=0,"",_xlpm.t))</f>
        <v/>
      </c>
    </row>
    <row r="867" customFormat="false" ht="15" hidden="false" customHeight="false" outlineLevel="0" collapsed="false">
      <c r="A867" s="39" t="s">
        <v>394</v>
      </c>
      <c r="B867" s="40" t="str">
        <f aca="false" t="array" ref="B867:B867">_xlfn.XLOOKUP($A867,TRIM(SUBSTITUTE('worker file'!$A$2:$A$406,_xlfn.UNICHAR(160)," ")),'worker file'!$L$2:$L$406,"Not found")</f>
        <v>US Semi-monthly</v>
      </c>
      <c r="C867" s="40" t="str">
        <f aca="false" t="array" ref="C867:C867">_xlfn.XLOOKUP($A867,TRIM(SUBSTITUTE('worker file'!$A$2:$A$406,_xlfn.UNICHAR(160)," ")),'worker file'!$D$2:$D$406,"Not found")</f>
        <v>CA</v>
      </c>
      <c r="D867" s="40" t="str">
        <f aca="false" t="array" ref="D867:D867">_xlfn.XLOOKUP($A867,TRIM(SUBSTITUTE('worker file'!$A$2:$A$406,_xlfn.UNICHAR(160)," ")),'worker file'!$Q$2:$Q$406,"Not found")</f>
        <v>Active</v>
      </c>
      <c r="E867" s="39" t="s">
        <v>626</v>
      </c>
      <c r="F867" s="38" t="str">
        <f aca="false">_xlfn.XLOOKUP($E867,$A$5:$A$8,$B$5:$B$8,"")</f>
        <v>Medical (Health) – Employee</v>
      </c>
      <c r="G867" s="38" t="str">
        <f aca="false">_xlfn.XLOOKUP($E867,$A$5:$A$8,$D$5:$D$8,"")</f>
        <v>Pre-tax Section 125 (exempt from FIT/SIT/FICA)</v>
      </c>
      <c r="H867" s="38" t="str">
        <f aca="false">_xlfn.XLOOKUP($E867,$A$5:$A$8,$E$5:$E$8,"")</f>
        <v>Flat</v>
      </c>
      <c r="I867" s="44" t="str">
        <f aca="false">IF($H867="Percent",_xlfn.XLOOKUP($E867,$A$5:$A$8,$F$5:$F$8,""),"")</f>
        <v/>
      </c>
      <c r="J867" s="42" t="n">
        <f aca="false">IF($H867="Flat",_xlfn.XLOOKUP($E867,$A$5:$A$8,$F$5:$F$8,""),"")</f>
        <v>200</v>
      </c>
      <c r="K867" s="38" t="str">
        <f aca="false">_xlfn.XLOOKUP($E867,$A$5:$A$8,$G$5:$G$8,"")</f>
        <v>Per pay period</v>
      </c>
      <c r="L867" s="38" t="str">
        <f aca="false">_xlfn.XLOOKUP($E867,$A$5:$A$8,$H$5:$H$8,"")</f>
        <v>Every pay period (ongoing)</v>
      </c>
      <c r="M867" s="43" t="n">
        <f aca="false" t="array" ref="M867:M867">MAX(_xlfn.XLOOKUP($A867,TRIM(SUBSTITUTE('worker file'!$A$2:$A$406,_xlfn.UNICHAR(160)," ")),'worker file'!$M$2:$M$406,0),_xlfn.XLOOKUP($B867,TRIM('pay group &amp; schedule'!$A$2:$A$6),'pay group &amp; schedule'!$D$2:$D$6,0))</f>
        <v>46311</v>
      </c>
      <c r="N867" s="43" t="str">
        <f aca="false" t="array" ref="N867:N867">_xlfn.LET(_xlpm.t,_xlfn.XLOOKUP($A867,TRIM(SUBSTITUTE('worker file'!$A$2:$A$406,_xlfn.UNICHAR(160)," ")),'worker file'!$N$2:$N$406,""),IF(N(_xlpm.t)=0,"",_xlpm.t))</f>
        <v/>
      </c>
    </row>
    <row r="868" customFormat="false" ht="15" hidden="false" customHeight="false" outlineLevel="0" collapsed="false">
      <c r="A868" s="39" t="s">
        <v>394</v>
      </c>
      <c r="B868" s="40" t="str">
        <f aca="false" t="array" ref="B868:B868">_xlfn.XLOOKUP($A868,TRIM(SUBSTITUTE('worker file'!$A$2:$A$406,_xlfn.UNICHAR(160)," ")),'worker file'!$L$2:$L$406,"Not found")</f>
        <v>US Semi-monthly</v>
      </c>
      <c r="C868" s="40" t="str">
        <f aca="false" t="array" ref="C868:C868">_xlfn.XLOOKUP($A868,TRIM(SUBSTITUTE('worker file'!$A$2:$A$406,_xlfn.UNICHAR(160)," ")),'worker file'!$D$2:$D$406,"Not found")</f>
        <v>CA</v>
      </c>
      <c r="D868" s="40" t="str">
        <f aca="false" t="array" ref="D868:D868">_xlfn.XLOOKUP($A868,TRIM(SUBSTITUTE('worker file'!$A$2:$A$406,_xlfn.UNICHAR(160)," ")),'worker file'!$Q$2:$Q$406,"Not found")</f>
        <v>Active</v>
      </c>
      <c r="E868" s="39" t="s">
        <v>632</v>
      </c>
      <c r="F868" s="38" t="str">
        <f aca="false">_xlfn.XLOOKUP($E868,$A$5:$A$8,$B$5:$B$8,"")</f>
        <v>Dental – Employee</v>
      </c>
      <c r="G868" s="38" t="str">
        <f aca="false">_xlfn.XLOOKUP($E868,$A$5:$A$8,$D$5:$D$8,"")</f>
        <v>Pre-tax Section 125 (exempt from FIT/SIT/FICA)</v>
      </c>
      <c r="H868" s="38" t="str">
        <f aca="false">_xlfn.XLOOKUP($E868,$A$5:$A$8,$E$5:$E$8,"")</f>
        <v>Flat</v>
      </c>
      <c r="I868" s="44" t="str">
        <f aca="false">IF($H868="Percent",_xlfn.XLOOKUP($E868,$A$5:$A$8,$F$5:$F$8,""),"")</f>
        <v/>
      </c>
      <c r="J868" s="42" t="n">
        <f aca="false">IF($H868="Flat",_xlfn.XLOOKUP($E868,$A$5:$A$8,$F$5:$F$8,""),"")</f>
        <v>44</v>
      </c>
      <c r="K868" s="38" t="str">
        <f aca="false">_xlfn.XLOOKUP($E868,$A$5:$A$8,$G$5:$G$8,"")</f>
        <v>Per pay period</v>
      </c>
      <c r="L868" s="38" t="str">
        <f aca="false">_xlfn.XLOOKUP($E868,$A$5:$A$8,$H$5:$H$8,"")</f>
        <v>Every pay period (ongoing)</v>
      </c>
      <c r="M868" s="43" t="n">
        <f aca="false" t="array" ref="M868:M868">MAX(_xlfn.XLOOKUP($A868,TRIM(SUBSTITUTE('worker file'!$A$2:$A$406,_xlfn.UNICHAR(160)," ")),'worker file'!$M$2:$M$406,0),_xlfn.XLOOKUP($B868,TRIM('pay group &amp; schedule'!$A$2:$A$6),'pay group &amp; schedule'!$D$2:$D$6,0))</f>
        <v>46311</v>
      </c>
      <c r="N868" s="43" t="str">
        <f aca="false" t="array" ref="N868:N868">_xlfn.LET(_xlpm.t,_xlfn.XLOOKUP($A868,TRIM(SUBSTITUTE('worker file'!$A$2:$A$406,_xlfn.UNICHAR(160)," ")),'worker file'!$N$2:$N$406,""),IF(N(_xlpm.t)=0,"",_xlpm.t))</f>
        <v/>
      </c>
    </row>
    <row r="869" customFormat="false" ht="15" hidden="false" customHeight="false" outlineLevel="0" collapsed="false">
      <c r="A869" s="39" t="s">
        <v>394</v>
      </c>
      <c r="B869" s="40" t="str">
        <f aca="false" t="array" ref="B869:B869">_xlfn.XLOOKUP($A869,TRIM(SUBSTITUTE('worker file'!$A$2:$A$406,_xlfn.UNICHAR(160)," ")),'worker file'!$L$2:$L$406,"Not found")</f>
        <v>US Semi-monthly</v>
      </c>
      <c r="C869" s="40" t="str">
        <f aca="false" t="array" ref="C869:C869">_xlfn.XLOOKUP($A869,TRIM(SUBSTITUTE('worker file'!$A$2:$A$406,_xlfn.UNICHAR(160)," ")),'worker file'!$D$2:$D$406,"Not found")</f>
        <v>CA</v>
      </c>
      <c r="D869" s="40" t="str">
        <f aca="false" t="array" ref="D869:D869">_xlfn.XLOOKUP($A869,TRIM(SUBSTITUTE('worker file'!$A$2:$A$406,_xlfn.UNICHAR(160)," ")),'worker file'!$Q$2:$Q$406,"Not found")</f>
        <v>Active</v>
      </c>
      <c r="E869" s="39" t="s">
        <v>634</v>
      </c>
      <c r="F869" s="38" t="str">
        <f aca="false">_xlfn.XLOOKUP($E869,$A$5:$A$8,$B$5:$B$8,"")</f>
        <v>Vision – Employee</v>
      </c>
      <c r="G869" s="38" t="str">
        <f aca="false">_xlfn.XLOOKUP($E869,$A$5:$A$8,$D$5:$D$8,"")</f>
        <v>Pre-tax Section 125 (exempt from FIT/SIT/FICA)</v>
      </c>
      <c r="H869" s="38" t="str">
        <f aca="false">_xlfn.XLOOKUP($E869,$A$5:$A$8,$E$5:$E$8,"")</f>
        <v>Flat</v>
      </c>
      <c r="I869" s="44" t="str">
        <f aca="false">IF($H869="Percent",_xlfn.XLOOKUP($E869,$A$5:$A$8,$F$5:$F$8,""),"")</f>
        <v/>
      </c>
      <c r="J869" s="42" t="n">
        <f aca="false">IF($H869="Flat",_xlfn.XLOOKUP($E869,$A$5:$A$8,$F$5:$F$8,""),"")</f>
        <v>30</v>
      </c>
      <c r="K869" s="38" t="str">
        <f aca="false">_xlfn.XLOOKUP($E869,$A$5:$A$8,$G$5:$G$8,"")</f>
        <v>Per pay period</v>
      </c>
      <c r="L869" s="38" t="str">
        <f aca="false">_xlfn.XLOOKUP($E869,$A$5:$A$8,$H$5:$H$8,"")</f>
        <v>Every pay period (ongoing)</v>
      </c>
      <c r="M869" s="43" t="n">
        <f aca="false" t="array" ref="M869:M869">MAX(_xlfn.XLOOKUP($A869,TRIM(SUBSTITUTE('worker file'!$A$2:$A$406,_xlfn.UNICHAR(160)," ")),'worker file'!$M$2:$M$406,0),_xlfn.XLOOKUP($B869,TRIM('pay group &amp; schedule'!$A$2:$A$6),'pay group &amp; schedule'!$D$2:$D$6,0))</f>
        <v>46311</v>
      </c>
      <c r="N869" s="43" t="str">
        <f aca="false" t="array" ref="N869:N869">_xlfn.LET(_xlpm.t,_xlfn.XLOOKUP($A869,TRIM(SUBSTITUTE('worker file'!$A$2:$A$406,_xlfn.UNICHAR(160)," ")),'worker file'!$N$2:$N$406,""),IF(N(_xlpm.t)=0,"",_xlpm.t))</f>
        <v/>
      </c>
    </row>
    <row r="870" customFormat="false" ht="15" hidden="false" customHeight="false" outlineLevel="0" collapsed="false">
      <c r="A870" s="39" t="s">
        <v>396</v>
      </c>
      <c r="B870" s="40" t="str">
        <f aca="false" t="array" ref="B870:B870">_xlfn.XLOOKUP($A870,TRIM(SUBSTITUTE('worker file'!$A$2:$A$406,_xlfn.UNICHAR(160)," ")),'worker file'!$L$2:$L$406,"Not found")</f>
        <v>US Semi-monthly</v>
      </c>
      <c r="C870" s="40" t="str">
        <f aca="false" t="array" ref="C870:C870">_xlfn.XLOOKUP($A870,TRIM(SUBSTITUTE('worker file'!$A$2:$A$406,_xlfn.UNICHAR(160)," ")),'worker file'!$D$2:$D$406,"Not found")</f>
        <v>WA</v>
      </c>
      <c r="D870" s="40" t="str">
        <f aca="false" t="array" ref="D870:D870">_xlfn.XLOOKUP($A870,TRIM(SUBSTITUTE('worker file'!$A$2:$A$406,_xlfn.UNICHAR(160)," ")),'worker file'!$Q$2:$Q$406,"Not found")</f>
        <v>Active</v>
      </c>
      <c r="E870" s="39" t="s">
        <v>618</v>
      </c>
      <c r="F870" s="38" t="str">
        <f aca="false">_xlfn.XLOOKUP($E870,$A$5:$A$8,$B$5:$B$8,"")</f>
        <v>401(k) Employee Deferral</v>
      </c>
      <c r="G870" s="38" t="str">
        <f aca="false">_xlfn.XLOOKUP($E870,$A$5:$A$8,$D$5:$D$8,"")</f>
        <v>Pre-tax (exempt from FIT/SIT; subject to FICA)</v>
      </c>
      <c r="H870" s="38" t="str">
        <f aca="false">_xlfn.XLOOKUP($E870,$A$5:$A$8,$E$5:$E$8,"")</f>
        <v>Percent</v>
      </c>
      <c r="I870" s="41" t="n">
        <v>0.07</v>
      </c>
      <c r="J870" s="42" t="str">
        <f aca="false">IF($H870="Flat",_xlfn.XLOOKUP($E870,$A$5:$A$8,$F$5:$F$8,""),"")</f>
        <v/>
      </c>
      <c r="K870" s="38" t="str">
        <f aca="false">_xlfn.XLOOKUP($E870,$A$5:$A$8,$G$5:$G$8,"")</f>
        <v>Gross pay</v>
      </c>
      <c r="L870" s="38" t="str">
        <f aca="false">_xlfn.XLOOKUP($E870,$A$5:$A$8,$H$5:$H$8,"")</f>
        <v>Every pay period (ongoing)</v>
      </c>
      <c r="M870" s="43" t="n">
        <f aca="false" t="array" ref="M870:M870">MAX(_xlfn.XLOOKUP($A870,TRIM(SUBSTITUTE('worker file'!$A$2:$A$406,_xlfn.UNICHAR(160)," ")),'worker file'!$M$2:$M$406,0),_xlfn.XLOOKUP($B870,TRIM('pay group &amp; schedule'!$A$2:$A$6),'pay group &amp; schedule'!$D$2:$D$6,0))</f>
        <v>46311</v>
      </c>
      <c r="N870" s="43" t="str">
        <f aca="false" t="array" ref="N870:N870">_xlfn.LET(_xlpm.t,_xlfn.XLOOKUP($A870,TRIM(SUBSTITUTE('worker file'!$A$2:$A$406,_xlfn.UNICHAR(160)," ")),'worker file'!$N$2:$N$406,""),IF(N(_xlpm.t)=0,"",_xlpm.t))</f>
        <v/>
      </c>
    </row>
    <row r="871" customFormat="false" ht="15" hidden="false" customHeight="false" outlineLevel="0" collapsed="false">
      <c r="A871" s="39" t="s">
        <v>396</v>
      </c>
      <c r="B871" s="40" t="str">
        <f aca="false" t="array" ref="B871:B871">_xlfn.XLOOKUP($A871,TRIM(SUBSTITUTE('worker file'!$A$2:$A$406,_xlfn.UNICHAR(160)," ")),'worker file'!$L$2:$L$406,"Not found")</f>
        <v>US Semi-monthly</v>
      </c>
      <c r="C871" s="40" t="str">
        <f aca="false" t="array" ref="C871:C871">_xlfn.XLOOKUP($A871,TRIM(SUBSTITUTE('worker file'!$A$2:$A$406,_xlfn.UNICHAR(160)," ")),'worker file'!$D$2:$D$406,"Not found")</f>
        <v>WA</v>
      </c>
      <c r="D871" s="40" t="str">
        <f aca="false" t="array" ref="D871:D871">_xlfn.XLOOKUP($A871,TRIM(SUBSTITUTE('worker file'!$A$2:$A$406,_xlfn.UNICHAR(160)," ")),'worker file'!$Q$2:$Q$406,"Not found")</f>
        <v>Active</v>
      </c>
      <c r="E871" s="39" t="s">
        <v>626</v>
      </c>
      <c r="F871" s="38" t="str">
        <f aca="false">_xlfn.XLOOKUP($E871,$A$5:$A$8,$B$5:$B$8,"")</f>
        <v>Medical (Health) – Employee</v>
      </c>
      <c r="G871" s="38" t="str">
        <f aca="false">_xlfn.XLOOKUP($E871,$A$5:$A$8,$D$5:$D$8,"")</f>
        <v>Pre-tax Section 125 (exempt from FIT/SIT/FICA)</v>
      </c>
      <c r="H871" s="38" t="str">
        <f aca="false">_xlfn.XLOOKUP($E871,$A$5:$A$8,$E$5:$E$8,"")</f>
        <v>Flat</v>
      </c>
      <c r="I871" s="44" t="str">
        <f aca="false">IF($H871="Percent",_xlfn.XLOOKUP($E871,$A$5:$A$8,$F$5:$F$8,""),"")</f>
        <v/>
      </c>
      <c r="J871" s="42" t="n">
        <f aca="false">IF($H871="Flat",_xlfn.XLOOKUP($E871,$A$5:$A$8,$F$5:$F$8,""),"")</f>
        <v>200</v>
      </c>
      <c r="K871" s="38" t="str">
        <f aca="false">_xlfn.XLOOKUP($E871,$A$5:$A$8,$G$5:$G$8,"")</f>
        <v>Per pay period</v>
      </c>
      <c r="L871" s="38" t="str">
        <f aca="false">_xlfn.XLOOKUP($E871,$A$5:$A$8,$H$5:$H$8,"")</f>
        <v>Every pay period (ongoing)</v>
      </c>
      <c r="M871" s="43" t="n">
        <f aca="false" t="array" ref="M871:M871">MAX(_xlfn.XLOOKUP($A871,TRIM(SUBSTITUTE('worker file'!$A$2:$A$406,_xlfn.UNICHAR(160)," ")),'worker file'!$M$2:$M$406,0),_xlfn.XLOOKUP($B871,TRIM('pay group &amp; schedule'!$A$2:$A$6),'pay group &amp; schedule'!$D$2:$D$6,0))</f>
        <v>46311</v>
      </c>
      <c r="N871" s="43" t="str">
        <f aca="false" t="array" ref="N871:N871">_xlfn.LET(_xlpm.t,_xlfn.XLOOKUP($A871,TRIM(SUBSTITUTE('worker file'!$A$2:$A$406,_xlfn.UNICHAR(160)," ")),'worker file'!$N$2:$N$406,""),IF(N(_xlpm.t)=0,"",_xlpm.t))</f>
        <v/>
      </c>
    </row>
    <row r="872" customFormat="false" ht="15" hidden="false" customHeight="false" outlineLevel="0" collapsed="false">
      <c r="A872" s="39" t="s">
        <v>396</v>
      </c>
      <c r="B872" s="40" t="str">
        <f aca="false" t="array" ref="B872:B872">_xlfn.XLOOKUP($A872,TRIM(SUBSTITUTE('worker file'!$A$2:$A$406,_xlfn.UNICHAR(160)," ")),'worker file'!$L$2:$L$406,"Not found")</f>
        <v>US Semi-monthly</v>
      </c>
      <c r="C872" s="40" t="str">
        <f aca="false" t="array" ref="C872:C872">_xlfn.XLOOKUP($A872,TRIM(SUBSTITUTE('worker file'!$A$2:$A$406,_xlfn.UNICHAR(160)," ")),'worker file'!$D$2:$D$406,"Not found")</f>
        <v>WA</v>
      </c>
      <c r="D872" s="40" t="str">
        <f aca="false" t="array" ref="D872:D872">_xlfn.XLOOKUP($A872,TRIM(SUBSTITUTE('worker file'!$A$2:$A$406,_xlfn.UNICHAR(160)," ")),'worker file'!$Q$2:$Q$406,"Not found")</f>
        <v>Active</v>
      </c>
      <c r="E872" s="39" t="s">
        <v>632</v>
      </c>
      <c r="F872" s="38" t="str">
        <f aca="false">_xlfn.XLOOKUP($E872,$A$5:$A$8,$B$5:$B$8,"")</f>
        <v>Dental – Employee</v>
      </c>
      <c r="G872" s="38" t="str">
        <f aca="false">_xlfn.XLOOKUP($E872,$A$5:$A$8,$D$5:$D$8,"")</f>
        <v>Pre-tax Section 125 (exempt from FIT/SIT/FICA)</v>
      </c>
      <c r="H872" s="38" t="str">
        <f aca="false">_xlfn.XLOOKUP($E872,$A$5:$A$8,$E$5:$E$8,"")</f>
        <v>Flat</v>
      </c>
      <c r="I872" s="44" t="str">
        <f aca="false">IF($H872="Percent",_xlfn.XLOOKUP($E872,$A$5:$A$8,$F$5:$F$8,""),"")</f>
        <v/>
      </c>
      <c r="J872" s="42" t="n">
        <f aca="false">IF($H872="Flat",_xlfn.XLOOKUP($E872,$A$5:$A$8,$F$5:$F$8,""),"")</f>
        <v>44</v>
      </c>
      <c r="K872" s="38" t="str">
        <f aca="false">_xlfn.XLOOKUP($E872,$A$5:$A$8,$G$5:$G$8,"")</f>
        <v>Per pay period</v>
      </c>
      <c r="L872" s="38" t="str">
        <f aca="false">_xlfn.XLOOKUP($E872,$A$5:$A$8,$H$5:$H$8,"")</f>
        <v>Every pay period (ongoing)</v>
      </c>
      <c r="M872" s="43" t="n">
        <f aca="false" t="array" ref="M872:M872">MAX(_xlfn.XLOOKUP($A872,TRIM(SUBSTITUTE('worker file'!$A$2:$A$406,_xlfn.UNICHAR(160)," ")),'worker file'!$M$2:$M$406,0),_xlfn.XLOOKUP($B872,TRIM('pay group &amp; schedule'!$A$2:$A$6),'pay group &amp; schedule'!$D$2:$D$6,0))</f>
        <v>46311</v>
      </c>
      <c r="N872" s="43" t="str">
        <f aca="false" t="array" ref="N872:N872">_xlfn.LET(_xlpm.t,_xlfn.XLOOKUP($A872,TRIM(SUBSTITUTE('worker file'!$A$2:$A$406,_xlfn.UNICHAR(160)," ")),'worker file'!$N$2:$N$406,""),IF(N(_xlpm.t)=0,"",_xlpm.t))</f>
        <v/>
      </c>
    </row>
    <row r="873" customFormat="false" ht="15" hidden="false" customHeight="false" outlineLevel="0" collapsed="false">
      <c r="A873" s="39" t="s">
        <v>396</v>
      </c>
      <c r="B873" s="40" t="str">
        <f aca="false" t="array" ref="B873:B873">_xlfn.XLOOKUP($A873,TRIM(SUBSTITUTE('worker file'!$A$2:$A$406,_xlfn.UNICHAR(160)," ")),'worker file'!$L$2:$L$406,"Not found")</f>
        <v>US Semi-monthly</v>
      </c>
      <c r="C873" s="40" t="str">
        <f aca="false" t="array" ref="C873:C873">_xlfn.XLOOKUP($A873,TRIM(SUBSTITUTE('worker file'!$A$2:$A$406,_xlfn.UNICHAR(160)," ")),'worker file'!$D$2:$D$406,"Not found")</f>
        <v>WA</v>
      </c>
      <c r="D873" s="40" t="str">
        <f aca="false" t="array" ref="D873:D873">_xlfn.XLOOKUP($A873,TRIM(SUBSTITUTE('worker file'!$A$2:$A$406,_xlfn.UNICHAR(160)," ")),'worker file'!$Q$2:$Q$406,"Not found")</f>
        <v>Active</v>
      </c>
      <c r="E873" s="39" t="s">
        <v>634</v>
      </c>
      <c r="F873" s="38" t="str">
        <f aca="false">_xlfn.XLOOKUP($E873,$A$5:$A$8,$B$5:$B$8,"")</f>
        <v>Vision – Employee</v>
      </c>
      <c r="G873" s="38" t="str">
        <f aca="false">_xlfn.XLOOKUP($E873,$A$5:$A$8,$D$5:$D$8,"")</f>
        <v>Pre-tax Section 125 (exempt from FIT/SIT/FICA)</v>
      </c>
      <c r="H873" s="38" t="str">
        <f aca="false">_xlfn.XLOOKUP($E873,$A$5:$A$8,$E$5:$E$8,"")</f>
        <v>Flat</v>
      </c>
      <c r="I873" s="44" t="str">
        <f aca="false">IF($H873="Percent",_xlfn.XLOOKUP($E873,$A$5:$A$8,$F$5:$F$8,""),"")</f>
        <v/>
      </c>
      <c r="J873" s="42" t="n">
        <f aca="false">IF($H873="Flat",_xlfn.XLOOKUP($E873,$A$5:$A$8,$F$5:$F$8,""),"")</f>
        <v>30</v>
      </c>
      <c r="K873" s="38" t="str">
        <f aca="false">_xlfn.XLOOKUP($E873,$A$5:$A$8,$G$5:$G$8,"")</f>
        <v>Per pay period</v>
      </c>
      <c r="L873" s="38" t="str">
        <f aca="false">_xlfn.XLOOKUP($E873,$A$5:$A$8,$H$5:$H$8,"")</f>
        <v>Every pay period (ongoing)</v>
      </c>
      <c r="M873" s="43" t="n">
        <f aca="false" t="array" ref="M873:M873">MAX(_xlfn.XLOOKUP($A873,TRIM(SUBSTITUTE('worker file'!$A$2:$A$406,_xlfn.UNICHAR(160)," ")),'worker file'!$M$2:$M$406,0),_xlfn.XLOOKUP($B873,TRIM('pay group &amp; schedule'!$A$2:$A$6),'pay group &amp; schedule'!$D$2:$D$6,0))</f>
        <v>46311</v>
      </c>
      <c r="N873" s="43" t="str">
        <f aca="false" t="array" ref="N873:N873">_xlfn.LET(_xlpm.t,_xlfn.XLOOKUP($A873,TRIM(SUBSTITUTE('worker file'!$A$2:$A$406,_xlfn.UNICHAR(160)," ")),'worker file'!$N$2:$N$406,""),IF(N(_xlpm.t)=0,"",_xlpm.t))</f>
        <v/>
      </c>
    </row>
    <row r="874" customFormat="false" ht="15" hidden="false" customHeight="false" outlineLevel="0" collapsed="false">
      <c r="A874" s="39" t="s">
        <v>397</v>
      </c>
      <c r="B874" s="40" t="str">
        <f aca="false" t="array" ref="B874:B874">_xlfn.XLOOKUP($A874,TRIM(SUBSTITUTE('worker file'!$A$2:$A$406,_xlfn.UNICHAR(160)," ")),'worker file'!$L$2:$L$406,"Not found")</f>
        <v>US Semi-monthly</v>
      </c>
      <c r="C874" s="40" t="str">
        <f aca="false" t="array" ref="C874:C874">_xlfn.XLOOKUP($A874,TRIM(SUBSTITUTE('worker file'!$A$2:$A$406,_xlfn.UNICHAR(160)," ")),'worker file'!$D$2:$D$406,"Not found")</f>
        <v>CA</v>
      </c>
      <c r="D874" s="40" t="str">
        <f aca="false" t="array" ref="D874:D874">_xlfn.XLOOKUP($A874,TRIM(SUBSTITUTE('worker file'!$A$2:$A$406,_xlfn.UNICHAR(160)," ")),'worker file'!$Q$2:$Q$406,"Not found")</f>
        <v>Active</v>
      </c>
      <c r="E874" s="39" t="s">
        <v>626</v>
      </c>
      <c r="F874" s="38" t="str">
        <f aca="false">_xlfn.XLOOKUP($E874,$A$5:$A$8,$B$5:$B$8,"")</f>
        <v>Medical (Health) – Employee</v>
      </c>
      <c r="G874" s="38" t="str">
        <f aca="false">_xlfn.XLOOKUP($E874,$A$5:$A$8,$D$5:$D$8,"")</f>
        <v>Pre-tax Section 125 (exempt from FIT/SIT/FICA)</v>
      </c>
      <c r="H874" s="38" t="str">
        <f aca="false">_xlfn.XLOOKUP($E874,$A$5:$A$8,$E$5:$E$8,"")</f>
        <v>Flat</v>
      </c>
      <c r="I874" s="44" t="str">
        <f aca="false">IF($H874="Percent",_xlfn.XLOOKUP($E874,$A$5:$A$8,$F$5:$F$8,""),"")</f>
        <v/>
      </c>
      <c r="J874" s="42" t="n">
        <f aca="false">IF($H874="Flat",_xlfn.XLOOKUP($E874,$A$5:$A$8,$F$5:$F$8,""),"")</f>
        <v>200</v>
      </c>
      <c r="K874" s="38" t="str">
        <f aca="false">_xlfn.XLOOKUP($E874,$A$5:$A$8,$G$5:$G$8,"")</f>
        <v>Per pay period</v>
      </c>
      <c r="L874" s="38" t="str">
        <f aca="false">_xlfn.XLOOKUP($E874,$A$5:$A$8,$H$5:$H$8,"")</f>
        <v>Every pay period (ongoing)</v>
      </c>
      <c r="M874" s="43" t="n">
        <f aca="false" t="array" ref="M874:M874">MAX(_xlfn.XLOOKUP($A874,TRIM(SUBSTITUTE('worker file'!$A$2:$A$406,_xlfn.UNICHAR(160)," ")),'worker file'!$M$2:$M$406,0),_xlfn.XLOOKUP($B874,TRIM('pay group &amp; schedule'!$A$2:$A$6),'pay group &amp; schedule'!$D$2:$D$6,0))</f>
        <v>46311</v>
      </c>
      <c r="N874" s="43" t="str">
        <f aca="false" t="array" ref="N874:N874">_xlfn.LET(_xlpm.t,_xlfn.XLOOKUP($A874,TRIM(SUBSTITUTE('worker file'!$A$2:$A$406,_xlfn.UNICHAR(160)," ")),'worker file'!$N$2:$N$406,""),IF(N(_xlpm.t)=0,"",_xlpm.t))</f>
        <v/>
      </c>
    </row>
    <row r="875" customFormat="false" ht="15" hidden="false" customHeight="false" outlineLevel="0" collapsed="false">
      <c r="A875" s="39" t="s">
        <v>397</v>
      </c>
      <c r="B875" s="40" t="str">
        <f aca="false" t="array" ref="B875:B875">_xlfn.XLOOKUP($A875,TRIM(SUBSTITUTE('worker file'!$A$2:$A$406,_xlfn.UNICHAR(160)," ")),'worker file'!$L$2:$L$406,"Not found")</f>
        <v>US Semi-monthly</v>
      </c>
      <c r="C875" s="40" t="str">
        <f aca="false" t="array" ref="C875:C875">_xlfn.XLOOKUP($A875,TRIM(SUBSTITUTE('worker file'!$A$2:$A$406,_xlfn.UNICHAR(160)," ")),'worker file'!$D$2:$D$406,"Not found")</f>
        <v>CA</v>
      </c>
      <c r="D875" s="40" t="str">
        <f aca="false" t="array" ref="D875:D875">_xlfn.XLOOKUP($A875,TRIM(SUBSTITUTE('worker file'!$A$2:$A$406,_xlfn.UNICHAR(160)," ")),'worker file'!$Q$2:$Q$406,"Not found")</f>
        <v>Active</v>
      </c>
      <c r="E875" s="39" t="s">
        <v>632</v>
      </c>
      <c r="F875" s="38" t="str">
        <f aca="false">_xlfn.XLOOKUP($E875,$A$5:$A$8,$B$5:$B$8,"")</f>
        <v>Dental – Employee</v>
      </c>
      <c r="G875" s="38" t="str">
        <f aca="false">_xlfn.XLOOKUP($E875,$A$5:$A$8,$D$5:$D$8,"")</f>
        <v>Pre-tax Section 125 (exempt from FIT/SIT/FICA)</v>
      </c>
      <c r="H875" s="38" t="str">
        <f aca="false">_xlfn.XLOOKUP($E875,$A$5:$A$8,$E$5:$E$8,"")</f>
        <v>Flat</v>
      </c>
      <c r="I875" s="44" t="str">
        <f aca="false">IF($H875="Percent",_xlfn.XLOOKUP($E875,$A$5:$A$8,$F$5:$F$8,""),"")</f>
        <v/>
      </c>
      <c r="J875" s="42" t="n">
        <f aca="false">IF($H875="Flat",_xlfn.XLOOKUP($E875,$A$5:$A$8,$F$5:$F$8,""),"")</f>
        <v>44</v>
      </c>
      <c r="K875" s="38" t="str">
        <f aca="false">_xlfn.XLOOKUP($E875,$A$5:$A$8,$G$5:$G$8,"")</f>
        <v>Per pay period</v>
      </c>
      <c r="L875" s="38" t="str">
        <f aca="false">_xlfn.XLOOKUP($E875,$A$5:$A$8,$H$5:$H$8,"")</f>
        <v>Every pay period (ongoing)</v>
      </c>
      <c r="M875" s="43" t="n">
        <f aca="false" t="array" ref="M875:M875">MAX(_xlfn.XLOOKUP($A875,TRIM(SUBSTITUTE('worker file'!$A$2:$A$406,_xlfn.UNICHAR(160)," ")),'worker file'!$M$2:$M$406,0),_xlfn.XLOOKUP($B875,TRIM('pay group &amp; schedule'!$A$2:$A$6),'pay group &amp; schedule'!$D$2:$D$6,0))</f>
        <v>46311</v>
      </c>
      <c r="N875" s="43" t="str">
        <f aca="false" t="array" ref="N875:N875">_xlfn.LET(_xlpm.t,_xlfn.XLOOKUP($A875,TRIM(SUBSTITUTE('worker file'!$A$2:$A$406,_xlfn.UNICHAR(160)," ")),'worker file'!$N$2:$N$406,""),IF(N(_xlpm.t)=0,"",_xlpm.t))</f>
        <v/>
      </c>
    </row>
    <row r="876" customFormat="false" ht="15" hidden="false" customHeight="false" outlineLevel="0" collapsed="false">
      <c r="A876" s="39" t="s">
        <v>397</v>
      </c>
      <c r="B876" s="40" t="str">
        <f aca="false" t="array" ref="B876:B876">_xlfn.XLOOKUP($A876,TRIM(SUBSTITUTE('worker file'!$A$2:$A$406,_xlfn.UNICHAR(160)," ")),'worker file'!$L$2:$L$406,"Not found")</f>
        <v>US Semi-monthly</v>
      </c>
      <c r="C876" s="40" t="str">
        <f aca="false" t="array" ref="C876:C876">_xlfn.XLOOKUP($A876,TRIM(SUBSTITUTE('worker file'!$A$2:$A$406,_xlfn.UNICHAR(160)," ")),'worker file'!$D$2:$D$406,"Not found")</f>
        <v>CA</v>
      </c>
      <c r="D876" s="40" t="str">
        <f aca="false" t="array" ref="D876:D876">_xlfn.XLOOKUP($A876,TRIM(SUBSTITUTE('worker file'!$A$2:$A$406,_xlfn.UNICHAR(160)," ")),'worker file'!$Q$2:$Q$406,"Not found")</f>
        <v>Active</v>
      </c>
      <c r="E876" s="39" t="s">
        <v>634</v>
      </c>
      <c r="F876" s="38" t="str">
        <f aca="false">_xlfn.XLOOKUP($E876,$A$5:$A$8,$B$5:$B$8,"")</f>
        <v>Vision – Employee</v>
      </c>
      <c r="G876" s="38" t="str">
        <f aca="false">_xlfn.XLOOKUP($E876,$A$5:$A$8,$D$5:$D$8,"")</f>
        <v>Pre-tax Section 125 (exempt from FIT/SIT/FICA)</v>
      </c>
      <c r="H876" s="38" t="str">
        <f aca="false">_xlfn.XLOOKUP($E876,$A$5:$A$8,$E$5:$E$8,"")</f>
        <v>Flat</v>
      </c>
      <c r="I876" s="44" t="str">
        <f aca="false">IF($H876="Percent",_xlfn.XLOOKUP($E876,$A$5:$A$8,$F$5:$F$8,""),"")</f>
        <v/>
      </c>
      <c r="J876" s="42" t="n">
        <f aca="false">IF($H876="Flat",_xlfn.XLOOKUP($E876,$A$5:$A$8,$F$5:$F$8,""),"")</f>
        <v>30</v>
      </c>
      <c r="K876" s="38" t="str">
        <f aca="false">_xlfn.XLOOKUP($E876,$A$5:$A$8,$G$5:$G$8,"")</f>
        <v>Per pay period</v>
      </c>
      <c r="L876" s="38" t="str">
        <f aca="false">_xlfn.XLOOKUP($E876,$A$5:$A$8,$H$5:$H$8,"")</f>
        <v>Every pay period (ongoing)</v>
      </c>
      <c r="M876" s="43" t="n">
        <f aca="false" t="array" ref="M876:M876">MAX(_xlfn.XLOOKUP($A876,TRIM(SUBSTITUTE('worker file'!$A$2:$A$406,_xlfn.UNICHAR(160)," ")),'worker file'!$M$2:$M$406,0),_xlfn.XLOOKUP($B876,TRIM('pay group &amp; schedule'!$A$2:$A$6),'pay group &amp; schedule'!$D$2:$D$6,0))</f>
        <v>46311</v>
      </c>
      <c r="N876" s="43" t="str">
        <f aca="false" t="array" ref="N876:N876">_xlfn.LET(_xlpm.t,_xlfn.XLOOKUP($A876,TRIM(SUBSTITUTE('worker file'!$A$2:$A$406,_xlfn.UNICHAR(160)," ")),'worker file'!$N$2:$N$406,""),IF(N(_xlpm.t)=0,"",_xlpm.t))</f>
        <v/>
      </c>
    </row>
    <row r="877" customFormat="false" ht="15" hidden="false" customHeight="false" outlineLevel="0" collapsed="false">
      <c r="A877" s="39" t="s">
        <v>400</v>
      </c>
      <c r="B877" s="40" t="str">
        <f aca="false" t="array" ref="B877:B877">_xlfn.XLOOKUP($A877,TRIM(SUBSTITUTE('worker file'!$A$2:$A$406,_xlfn.UNICHAR(160)," ")),'worker file'!$L$2:$L$406,"Not found")</f>
        <v>US Semi-monthly</v>
      </c>
      <c r="C877" s="40" t="str">
        <f aca="false" t="array" ref="C877:C877">_xlfn.XLOOKUP($A877,TRIM(SUBSTITUTE('worker file'!$A$2:$A$406,_xlfn.UNICHAR(160)," ")),'worker file'!$D$2:$D$406,"Not found")</f>
        <v>WA</v>
      </c>
      <c r="D877" s="40" t="str">
        <f aca="false" t="array" ref="D877:D877">_xlfn.XLOOKUP($A877,TRIM(SUBSTITUTE('worker file'!$A$2:$A$406,_xlfn.UNICHAR(160)," ")),'worker file'!$Q$2:$Q$406,"Not found")</f>
        <v>Active</v>
      </c>
      <c r="E877" s="39" t="s">
        <v>618</v>
      </c>
      <c r="F877" s="38" t="str">
        <f aca="false">_xlfn.XLOOKUP($E877,$A$5:$A$8,$B$5:$B$8,"")</f>
        <v>401(k) Employee Deferral</v>
      </c>
      <c r="G877" s="38" t="str">
        <f aca="false">_xlfn.XLOOKUP($E877,$A$5:$A$8,$D$5:$D$8,"")</f>
        <v>Pre-tax (exempt from FIT/SIT; subject to FICA)</v>
      </c>
      <c r="H877" s="38" t="str">
        <f aca="false">_xlfn.XLOOKUP($E877,$A$5:$A$8,$E$5:$E$8,"")</f>
        <v>Percent</v>
      </c>
      <c r="I877" s="41" t="n">
        <v>0.01</v>
      </c>
      <c r="J877" s="42" t="str">
        <f aca="false">IF($H877="Flat",_xlfn.XLOOKUP($E877,$A$5:$A$8,$F$5:$F$8,""),"")</f>
        <v/>
      </c>
      <c r="K877" s="38" t="str">
        <f aca="false">_xlfn.XLOOKUP($E877,$A$5:$A$8,$G$5:$G$8,"")</f>
        <v>Gross pay</v>
      </c>
      <c r="L877" s="38" t="str">
        <f aca="false">_xlfn.XLOOKUP($E877,$A$5:$A$8,$H$5:$H$8,"")</f>
        <v>Every pay period (ongoing)</v>
      </c>
      <c r="M877" s="43" t="n">
        <f aca="false" t="array" ref="M877:M877">MAX(_xlfn.XLOOKUP($A877,TRIM(SUBSTITUTE('worker file'!$A$2:$A$406,_xlfn.UNICHAR(160)," ")),'worker file'!$M$2:$M$406,0),_xlfn.XLOOKUP($B877,TRIM('pay group &amp; schedule'!$A$2:$A$6),'pay group &amp; schedule'!$D$2:$D$6,0))</f>
        <v>46311</v>
      </c>
      <c r="N877" s="43" t="str">
        <f aca="false" t="array" ref="N877:N877">_xlfn.LET(_xlpm.t,_xlfn.XLOOKUP($A877,TRIM(SUBSTITUTE('worker file'!$A$2:$A$406,_xlfn.UNICHAR(160)," ")),'worker file'!$N$2:$N$406,""),IF(N(_xlpm.t)=0,"",_xlpm.t))</f>
        <v/>
      </c>
    </row>
    <row r="878" customFormat="false" ht="15" hidden="false" customHeight="false" outlineLevel="0" collapsed="false">
      <c r="A878" s="39" t="s">
        <v>400</v>
      </c>
      <c r="B878" s="40" t="str">
        <f aca="false" t="array" ref="B878:B878">_xlfn.XLOOKUP($A878,TRIM(SUBSTITUTE('worker file'!$A$2:$A$406,_xlfn.UNICHAR(160)," ")),'worker file'!$L$2:$L$406,"Not found")</f>
        <v>US Semi-monthly</v>
      </c>
      <c r="C878" s="40" t="str">
        <f aca="false" t="array" ref="C878:C878">_xlfn.XLOOKUP($A878,TRIM(SUBSTITUTE('worker file'!$A$2:$A$406,_xlfn.UNICHAR(160)," ")),'worker file'!$D$2:$D$406,"Not found")</f>
        <v>WA</v>
      </c>
      <c r="D878" s="40" t="str">
        <f aca="false" t="array" ref="D878:D878">_xlfn.XLOOKUP($A878,TRIM(SUBSTITUTE('worker file'!$A$2:$A$406,_xlfn.UNICHAR(160)," ")),'worker file'!$Q$2:$Q$406,"Not found")</f>
        <v>Active</v>
      </c>
      <c r="E878" s="39" t="s">
        <v>626</v>
      </c>
      <c r="F878" s="38" t="str">
        <f aca="false">_xlfn.XLOOKUP($E878,$A$5:$A$8,$B$5:$B$8,"")</f>
        <v>Medical (Health) – Employee</v>
      </c>
      <c r="G878" s="38" t="str">
        <f aca="false">_xlfn.XLOOKUP($E878,$A$5:$A$8,$D$5:$D$8,"")</f>
        <v>Pre-tax Section 125 (exempt from FIT/SIT/FICA)</v>
      </c>
      <c r="H878" s="38" t="str">
        <f aca="false">_xlfn.XLOOKUP($E878,$A$5:$A$8,$E$5:$E$8,"")</f>
        <v>Flat</v>
      </c>
      <c r="I878" s="44" t="str">
        <f aca="false">IF($H878="Percent",_xlfn.XLOOKUP($E878,$A$5:$A$8,$F$5:$F$8,""),"")</f>
        <v/>
      </c>
      <c r="J878" s="42" t="n">
        <f aca="false">IF($H878="Flat",_xlfn.XLOOKUP($E878,$A$5:$A$8,$F$5:$F$8,""),"")</f>
        <v>200</v>
      </c>
      <c r="K878" s="38" t="str">
        <f aca="false">_xlfn.XLOOKUP($E878,$A$5:$A$8,$G$5:$G$8,"")</f>
        <v>Per pay period</v>
      </c>
      <c r="L878" s="38" t="str">
        <f aca="false">_xlfn.XLOOKUP($E878,$A$5:$A$8,$H$5:$H$8,"")</f>
        <v>Every pay period (ongoing)</v>
      </c>
      <c r="M878" s="43" t="n">
        <f aca="false" t="array" ref="M878:M878">MAX(_xlfn.XLOOKUP($A878,TRIM(SUBSTITUTE('worker file'!$A$2:$A$406,_xlfn.UNICHAR(160)," ")),'worker file'!$M$2:$M$406,0),_xlfn.XLOOKUP($B878,TRIM('pay group &amp; schedule'!$A$2:$A$6),'pay group &amp; schedule'!$D$2:$D$6,0))</f>
        <v>46311</v>
      </c>
      <c r="N878" s="43" t="str">
        <f aca="false" t="array" ref="N878:N878">_xlfn.LET(_xlpm.t,_xlfn.XLOOKUP($A878,TRIM(SUBSTITUTE('worker file'!$A$2:$A$406,_xlfn.UNICHAR(160)," ")),'worker file'!$N$2:$N$406,""),IF(N(_xlpm.t)=0,"",_xlpm.t))</f>
        <v/>
      </c>
    </row>
    <row r="879" customFormat="false" ht="15" hidden="false" customHeight="false" outlineLevel="0" collapsed="false">
      <c r="A879" s="39" t="s">
        <v>400</v>
      </c>
      <c r="B879" s="40" t="str">
        <f aca="false" t="array" ref="B879:B879">_xlfn.XLOOKUP($A879,TRIM(SUBSTITUTE('worker file'!$A$2:$A$406,_xlfn.UNICHAR(160)," ")),'worker file'!$L$2:$L$406,"Not found")</f>
        <v>US Semi-monthly</v>
      </c>
      <c r="C879" s="40" t="str">
        <f aca="false" t="array" ref="C879:C879">_xlfn.XLOOKUP($A879,TRIM(SUBSTITUTE('worker file'!$A$2:$A$406,_xlfn.UNICHAR(160)," ")),'worker file'!$D$2:$D$406,"Not found")</f>
        <v>WA</v>
      </c>
      <c r="D879" s="40" t="str">
        <f aca="false" t="array" ref="D879:D879">_xlfn.XLOOKUP($A879,TRIM(SUBSTITUTE('worker file'!$A$2:$A$406,_xlfn.UNICHAR(160)," ")),'worker file'!$Q$2:$Q$406,"Not found")</f>
        <v>Active</v>
      </c>
      <c r="E879" s="39" t="s">
        <v>632</v>
      </c>
      <c r="F879" s="38" t="str">
        <f aca="false">_xlfn.XLOOKUP($E879,$A$5:$A$8,$B$5:$B$8,"")</f>
        <v>Dental – Employee</v>
      </c>
      <c r="G879" s="38" t="str">
        <f aca="false">_xlfn.XLOOKUP($E879,$A$5:$A$8,$D$5:$D$8,"")</f>
        <v>Pre-tax Section 125 (exempt from FIT/SIT/FICA)</v>
      </c>
      <c r="H879" s="38" t="str">
        <f aca="false">_xlfn.XLOOKUP($E879,$A$5:$A$8,$E$5:$E$8,"")</f>
        <v>Flat</v>
      </c>
      <c r="I879" s="44" t="str">
        <f aca="false">IF($H879="Percent",_xlfn.XLOOKUP($E879,$A$5:$A$8,$F$5:$F$8,""),"")</f>
        <v/>
      </c>
      <c r="J879" s="42" t="n">
        <f aca="false">IF($H879="Flat",_xlfn.XLOOKUP($E879,$A$5:$A$8,$F$5:$F$8,""),"")</f>
        <v>44</v>
      </c>
      <c r="K879" s="38" t="str">
        <f aca="false">_xlfn.XLOOKUP($E879,$A$5:$A$8,$G$5:$G$8,"")</f>
        <v>Per pay period</v>
      </c>
      <c r="L879" s="38" t="str">
        <f aca="false">_xlfn.XLOOKUP($E879,$A$5:$A$8,$H$5:$H$8,"")</f>
        <v>Every pay period (ongoing)</v>
      </c>
      <c r="M879" s="43" t="n">
        <f aca="false" t="array" ref="M879:M879">MAX(_xlfn.XLOOKUP($A879,TRIM(SUBSTITUTE('worker file'!$A$2:$A$406,_xlfn.UNICHAR(160)," ")),'worker file'!$M$2:$M$406,0),_xlfn.XLOOKUP($B879,TRIM('pay group &amp; schedule'!$A$2:$A$6),'pay group &amp; schedule'!$D$2:$D$6,0))</f>
        <v>46311</v>
      </c>
      <c r="N879" s="43" t="str">
        <f aca="false" t="array" ref="N879:N879">_xlfn.LET(_xlpm.t,_xlfn.XLOOKUP($A879,TRIM(SUBSTITUTE('worker file'!$A$2:$A$406,_xlfn.UNICHAR(160)," ")),'worker file'!$N$2:$N$406,""),IF(N(_xlpm.t)=0,"",_xlpm.t))</f>
        <v/>
      </c>
    </row>
    <row r="880" customFormat="false" ht="15" hidden="false" customHeight="false" outlineLevel="0" collapsed="false">
      <c r="A880" s="39" t="s">
        <v>400</v>
      </c>
      <c r="B880" s="40" t="str">
        <f aca="false" t="array" ref="B880:B880">_xlfn.XLOOKUP($A880,TRIM(SUBSTITUTE('worker file'!$A$2:$A$406,_xlfn.UNICHAR(160)," ")),'worker file'!$L$2:$L$406,"Not found")</f>
        <v>US Semi-monthly</v>
      </c>
      <c r="C880" s="40" t="str">
        <f aca="false" t="array" ref="C880:C880">_xlfn.XLOOKUP($A880,TRIM(SUBSTITUTE('worker file'!$A$2:$A$406,_xlfn.UNICHAR(160)," ")),'worker file'!$D$2:$D$406,"Not found")</f>
        <v>WA</v>
      </c>
      <c r="D880" s="40" t="str">
        <f aca="false" t="array" ref="D880:D880">_xlfn.XLOOKUP($A880,TRIM(SUBSTITUTE('worker file'!$A$2:$A$406,_xlfn.UNICHAR(160)," ")),'worker file'!$Q$2:$Q$406,"Not found")</f>
        <v>Active</v>
      </c>
      <c r="E880" s="39" t="s">
        <v>634</v>
      </c>
      <c r="F880" s="38" t="str">
        <f aca="false">_xlfn.XLOOKUP($E880,$A$5:$A$8,$B$5:$B$8,"")</f>
        <v>Vision – Employee</v>
      </c>
      <c r="G880" s="38" t="str">
        <f aca="false">_xlfn.XLOOKUP($E880,$A$5:$A$8,$D$5:$D$8,"")</f>
        <v>Pre-tax Section 125 (exempt from FIT/SIT/FICA)</v>
      </c>
      <c r="H880" s="38" t="str">
        <f aca="false">_xlfn.XLOOKUP($E880,$A$5:$A$8,$E$5:$E$8,"")</f>
        <v>Flat</v>
      </c>
      <c r="I880" s="44" t="str">
        <f aca="false">IF($H880="Percent",_xlfn.XLOOKUP($E880,$A$5:$A$8,$F$5:$F$8,""),"")</f>
        <v/>
      </c>
      <c r="J880" s="42" t="n">
        <f aca="false">IF($H880="Flat",_xlfn.XLOOKUP($E880,$A$5:$A$8,$F$5:$F$8,""),"")</f>
        <v>30</v>
      </c>
      <c r="K880" s="38" t="str">
        <f aca="false">_xlfn.XLOOKUP($E880,$A$5:$A$8,$G$5:$G$8,"")</f>
        <v>Per pay period</v>
      </c>
      <c r="L880" s="38" t="str">
        <f aca="false">_xlfn.XLOOKUP($E880,$A$5:$A$8,$H$5:$H$8,"")</f>
        <v>Every pay period (ongoing)</v>
      </c>
      <c r="M880" s="43" t="n">
        <f aca="false" t="array" ref="M880:M880">MAX(_xlfn.XLOOKUP($A880,TRIM(SUBSTITUTE('worker file'!$A$2:$A$406,_xlfn.UNICHAR(160)," ")),'worker file'!$M$2:$M$406,0),_xlfn.XLOOKUP($B880,TRIM('pay group &amp; schedule'!$A$2:$A$6),'pay group &amp; schedule'!$D$2:$D$6,0))</f>
        <v>46311</v>
      </c>
      <c r="N880" s="43" t="str">
        <f aca="false" t="array" ref="N880:N880">_xlfn.LET(_xlpm.t,_xlfn.XLOOKUP($A880,TRIM(SUBSTITUTE('worker file'!$A$2:$A$406,_xlfn.UNICHAR(160)," ")),'worker file'!$N$2:$N$406,""),IF(N(_xlpm.t)=0,"",_xlpm.t))</f>
        <v/>
      </c>
    </row>
    <row r="881" customFormat="false" ht="15" hidden="false" customHeight="false" outlineLevel="0" collapsed="false">
      <c r="A881" s="39" t="s">
        <v>401</v>
      </c>
      <c r="B881" s="40" t="str">
        <f aca="false" t="array" ref="B881:B881">_xlfn.XLOOKUP($A881,TRIM(SUBSTITUTE('worker file'!$A$2:$A$406,_xlfn.UNICHAR(160)," ")),'worker file'!$L$2:$L$406,"Not found")</f>
        <v>US Semi-monthly</v>
      </c>
      <c r="C881" s="40" t="str">
        <f aca="false" t="array" ref="C881:C881">_xlfn.XLOOKUP($A881,TRIM(SUBSTITUTE('worker file'!$A$2:$A$406,_xlfn.UNICHAR(160)," ")),'worker file'!$D$2:$D$406,"Not found")</f>
        <v>CA</v>
      </c>
      <c r="D881" s="40" t="str">
        <f aca="false" t="array" ref="D881:D881">_xlfn.XLOOKUP($A881,TRIM(SUBSTITUTE('worker file'!$A$2:$A$406,_xlfn.UNICHAR(160)," ")),'worker file'!$Q$2:$Q$406,"Not found")</f>
        <v>Active</v>
      </c>
      <c r="E881" s="39" t="s">
        <v>618</v>
      </c>
      <c r="F881" s="38" t="str">
        <f aca="false">_xlfn.XLOOKUP($E881,$A$5:$A$8,$B$5:$B$8,"")</f>
        <v>401(k) Employee Deferral</v>
      </c>
      <c r="G881" s="38" t="str">
        <f aca="false">_xlfn.XLOOKUP($E881,$A$5:$A$8,$D$5:$D$8,"")</f>
        <v>Pre-tax (exempt from FIT/SIT; subject to FICA)</v>
      </c>
      <c r="H881" s="38" t="str">
        <f aca="false">_xlfn.XLOOKUP($E881,$A$5:$A$8,$E$5:$E$8,"")</f>
        <v>Percent</v>
      </c>
      <c r="I881" s="41" t="n">
        <v>0.06</v>
      </c>
      <c r="J881" s="42" t="str">
        <f aca="false">IF($H881="Flat",_xlfn.XLOOKUP($E881,$A$5:$A$8,$F$5:$F$8,""),"")</f>
        <v/>
      </c>
      <c r="K881" s="38" t="str">
        <f aca="false">_xlfn.XLOOKUP($E881,$A$5:$A$8,$G$5:$G$8,"")</f>
        <v>Gross pay</v>
      </c>
      <c r="L881" s="38" t="str">
        <f aca="false">_xlfn.XLOOKUP($E881,$A$5:$A$8,$H$5:$H$8,"")</f>
        <v>Every pay period (ongoing)</v>
      </c>
      <c r="M881" s="43" t="n">
        <f aca="false" t="array" ref="M881:M881">MAX(_xlfn.XLOOKUP($A881,TRIM(SUBSTITUTE('worker file'!$A$2:$A$406,_xlfn.UNICHAR(160)," ")),'worker file'!$M$2:$M$406,0),_xlfn.XLOOKUP($B881,TRIM('pay group &amp; schedule'!$A$2:$A$6),'pay group &amp; schedule'!$D$2:$D$6,0))</f>
        <v>46311</v>
      </c>
      <c r="N881" s="43" t="str">
        <f aca="false" t="array" ref="N881:N881">_xlfn.LET(_xlpm.t,_xlfn.XLOOKUP($A881,TRIM(SUBSTITUTE('worker file'!$A$2:$A$406,_xlfn.UNICHAR(160)," ")),'worker file'!$N$2:$N$406,""),IF(N(_xlpm.t)=0,"",_xlpm.t))</f>
        <v/>
      </c>
    </row>
    <row r="882" customFormat="false" ht="15" hidden="false" customHeight="false" outlineLevel="0" collapsed="false">
      <c r="A882" s="39" t="s">
        <v>401</v>
      </c>
      <c r="B882" s="40" t="str">
        <f aca="false" t="array" ref="B882:B882">_xlfn.XLOOKUP($A882,TRIM(SUBSTITUTE('worker file'!$A$2:$A$406,_xlfn.UNICHAR(160)," ")),'worker file'!$L$2:$L$406,"Not found")</f>
        <v>US Semi-monthly</v>
      </c>
      <c r="C882" s="40" t="str">
        <f aca="false" t="array" ref="C882:C882">_xlfn.XLOOKUP($A882,TRIM(SUBSTITUTE('worker file'!$A$2:$A$406,_xlfn.UNICHAR(160)," ")),'worker file'!$D$2:$D$406,"Not found")</f>
        <v>CA</v>
      </c>
      <c r="D882" s="40" t="str">
        <f aca="false" t="array" ref="D882:D882">_xlfn.XLOOKUP($A882,TRIM(SUBSTITUTE('worker file'!$A$2:$A$406,_xlfn.UNICHAR(160)," ")),'worker file'!$Q$2:$Q$406,"Not found")</f>
        <v>Active</v>
      </c>
      <c r="E882" s="39" t="s">
        <v>626</v>
      </c>
      <c r="F882" s="38" t="str">
        <f aca="false">_xlfn.XLOOKUP($E882,$A$5:$A$8,$B$5:$B$8,"")</f>
        <v>Medical (Health) – Employee</v>
      </c>
      <c r="G882" s="38" t="str">
        <f aca="false">_xlfn.XLOOKUP($E882,$A$5:$A$8,$D$5:$D$8,"")</f>
        <v>Pre-tax Section 125 (exempt from FIT/SIT/FICA)</v>
      </c>
      <c r="H882" s="38" t="str">
        <f aca="false">_xlfn.XLOOKUP($E882,$A$5:$A$8,$E$5:$E$8,"")</f>
        <v>Flat</v>
      </c>
      <c r="I882" s="44" t="str">
        <f aca="false">IF($H882="Percent",_xlfn.XLOOKUP($E882,$A$5:$A$8,$F$5:$F$8,""),"")</f>
        <v/>
      </c>
      <c r="J882" s="42" t="n">
        <f aca="false">IF($H882="Flat",_xlfn.XLOOKUP($E882,$A$5:$A$8,$F$5:$F$8,""),"")</f>
        <v>200</v>
      </c>
      <c r="K882" s="38" t="str">
        <f aca="false">_xlfn.XLOOKUP($E882,$A$5:$A$8,$G$5:$G$8,"")</f>
        <v>Per pay period</v>
      </c>
      <c r="L882" s="38" t="str">
        <f aca="false">_xlfn.XLOOKUP($E882,$A$5:$A$8,$H$5:$H$8,"")</f>
        <v>Every pay period (ongoing)</v>
      </c>
      <c r="M882" s="43" t="n">
        <f aca="false" t="array" ref="M882:M882">MAX(_xlfn.XLOOKUP($A882,TRIM(SUBSTITUTE('worker file'!$A$2:$A$406,_xlfn.UNICHAR(160)," ")),'worker file'!$M$2:$M$406,0),_xlfn.XLOOKUP($B882,TRIM('pay group &amp; schedule'!$A$2:$A$6),'pay group &amp; schedule'!$D$2:$D$6,0))</f>
        <v>46311</v>
      </c>
      <c r="N882" s="43" t="str">
        <f aca="false" t="array" ref="N882:N882">_xlfn.LET(_xlpm.t,_xlfn.XLOOKUP($A882,TRIM(SUBSTITUTE('worker file'!$A$2:$A$406,_xlfn.UNICHAR(160)," ")),'worker file'!$N$2:$N$406,""),IF(N(_xlpm.t)=0,"",_xlpm.t))</f>
        <v/>
      </c>
    </row>
    <row r="883" customFormat="false" ht="15" hidden="false" customHeight="false" outlineLevel="0" collapsed="false">
      <c r="A883" s="39" t="s">
        <v>401</v>
      </c>
      <c r="B883" s="40" t="str">
        <f aca="false" t="array" ref="B883:B883">_xlfn.XLOOKUP($A883,TRIM(SUBSTITUTE('worker file'!$A$2:$A$406,_xlfn.UNICHAR(160)," ")),'worker file'!$L$2:$L$406,"Not found")</f>
        <v>US Semi-monthly</v>
      </c>
      <c r="C883" s="40" t="str">
        <f aca="false" t="array" ref="C883:C883">_xlfn.XLOOKUP($A883,TRIM(SUBSTITUTE('worker file'!$A$2:$A$406,_xlfn.UNICHAR(160)," ")),'worker file'!$D$2:$D$406,"Not found")</f>
        <v>CA</v>
      </c>
      <c r="D883" s="40" t="str">
        <f aca="false" t="array" ref="D883:D883">_xlfn.XLOOKUP($A883,TRIM(SUBSTITUTE('worker file'!$A$2:$A$406,_xlfn.UNICHAR(160)," ")),'worker file'!$Q$2:$Q$406,"Not found")</f>
        <v>Active</v>
      </c>
      <c r="E883" s="39" t="s">
        <v>632</v>
      </c>
      <c r="F883" s="38" t="str">
        <f aca="false">_xlfn.XLOOKUP($E883,$A$5:$A$8,$B$5:$B$8,"")</f>
        <v>Dental – Employee</v>
      </c>
      <c r="G883" s="38" t="str">
        <f aca="false">_xlfn.XLOOKUP($E883,$A$5:$A$8,$D$5:$D$8,"")</f>
        <v>Pre-tax Section 125 (exempt from FIT/SIT/FICA)</v>
      </c>
      <c r="H883" s="38" t="str">
        <f aca="false">_xlfn.XLOOKUP($E883,$A$5:$A$8,$E$5:$E$8,"")</f>
        <v>Flat</v>
      </c>
      <c r="I883" s="44" t="str">
        <f aca="false">IF($H883="Percent",_xlfn.XLOOKUP($E883,$A$5:$A$8,$F$5:$F$8,""),"")</f>
        <v/>
      </c>
      <c r="J883" s="42" t="n">
        <f aca="false">IF($H883="Flat",_xlfn.XLOOKUP($E883,$A$5:$A$8,$F$5:$F$8,""),"")</f>
        <v>44</v>
      </c>
      <c r="K883" s="38" t="str">
        <f aca="false">_xlfn.XLOOKUP($E883,$A$5:$A$8,$G$5:$G$8,"")</f>
        <v>Per pay period</v>
      </c>
      <c r="L883" s="38" t="str">
        <f aca="false">_xlfn.XLOOKUP($E883,$A$5:$A$8,$H$5:$H$8,"")</f>
        <v>Every pay period (ongoing)</v>
      </c>
      <c r="M883" s="43" t="n">
        <f aca="false" t="array" ref="M883:M883">MAX(_xlfn.XLOOKUP($A883,TRIM(SUBSTITUTE('worker file'!$A$2:$A$406,_xlfn.UNICHAR(160)," ")),'worker file'!$M$2:$M$406,0),_xlfn.XLOOKUP($B883,TRIM('pay group &amp; schedule'!$A$2:$A$6),'pay group &amp; schedule'!$D$2:$D$6,0))</f>
        <v>46311</v>
      </c>
      <c r="N883" s="43" t="str">
        <f aca="false" t="array" ref="N883:N883">_xlfn.LET(_xlpm.t,_xlfn.XLOOKUP($A883,TRIM(SUBSTITUTE('worker file'!$A$2:$A$406,_xlfn.UNICHAR(160)," ")),'worker file'!$N$2:$N$406,""),IF(N(_xlpm.t)=0,"",_xlpm.t))</f>
        <v/>
      </c>
    </row>
    <row r="884" customFormat="false" ht="15" hidden="false" customHeight="false" outlineLevel="0" collapsed="false">
      <c r="A884" s="39" t="s">
        <v>401</v>
      </c>
      <c r="B884" s="40" t="str">
        <f aca="false" t="array" ref="B884:B884">_xlfn.XLOOKUP($A884,TRIM(SUBSTITUTE('worker file'!$A$2:$A$406,_xlfn.UNICHAR(160)," ")),'worker file'!$L$2:$L$406,"Not found")</f>
        <v>US Semi-monthly</v>
      </c>
      <c r="C884" s="40" t="str">
        <f aca="false" t="array" ref="C884:C884">_xlfn.XLOOKUP($A884,TRIM(SUBSTITUTE('worker file'!$A$2:$A$406,_xlfn.UNICHAR(160)," ")),'worker file'!$D$2:$D$406,"Not found")</f>
        <v>CA</v>
      </c>
      <c r="D884" s="40" t="str">
        <f aca="false" t="array" ref="D884:D884">_xlfn.XLOOKUP($A884,TRIM(SUBSTITUTE('worker file'!$A$2:$A$406,_xlfn.UNICHAR(160)," ")),'worker file'!$Q$2:$Q$406,"Not found")</f>
        <v>Active</v>
      </c>
      <c r="E884" s="39" t="s">
        <v>634</v>
      </c>
      <c r="F884" s="38" t="str">
        <f aca="false">_xlfn.XLOOKUP($E884,$A$5:$A$8,$B$5:$B$8,"")</f>
        <v>Vision – Employee</v>
      </c>
      <c r="G884" s="38" t="str">
        <f aca="false">_xlfn.XLOOKUP($E884,$A$5:$A$8,$D$5:$D$8,"")</f>
        <v>Pre-tax Section 125 (exempt from FIT/SIT/FICA)</v>
      </c>
      <c r="H884" s="38" t="str">
        <f aca="false">_xlfn.XLOOKUP($E884,$A$5:$A$8,$E$5:$E$8,"")</f>
        <v>Flat</v>
      </c>
      <c r="I884" s="44" t="str">
        <f aca="false">IF($H884="Percent",_xlfn.XLOOKUP($E884,$A$5:$A$8,$F$5:$F$8,""),"")</f>
        <v/>
      </c>
      <c r="J884" s="42" t="n">
        <f aca="false">IF($H884="Flat",_xlfn.XLOOKUP($E884,$A$5:$A$8,$F$5:$F$8,""),"")</f>
        <v>30</v>
      </c>
      <c r="K884" s="38" t="str">
        <f aca="false">_xlfn.XLOOKUP($E884,$A$5:$A$8,$G$5:$G$8,"")</f>
        <v>Per pay period</v>
      </c>
      <c r="L884" s="38" t="str">
        <f aca="false">_xlfn.XLOOKUP($E884,$A$5:$A$8,$H$5:$H$8,"")</f>
        <v>Every pay period (ongoing)</v>
      </c>
      <c r="M884" s="43" t="n">
        <f aca="false" t="array" ref="M884:M884">MAX(_xlfn.XLOOKUP($A884,TRIM(SUBSTITUTE('worker file'!$A$2:$A$406,_xlfn.UNICHAR(160)," ")),'worker file'!$M$2:$M$406,0),_xlfn.XLOOKUP($B884,TRIM('pay group &amp; schedule'!$A$2:$A$6),'pay group &amp; schedule'!$D$2:$D$6,0))</f>
        <v>46311</v>
      </c>
      <c r="N884" s="43" t="str">
        <f aca="false" t="array" ref="N884:N884">_xlfn.LET(_xlpm.t,_xlfn.XLOOKUP($A884,TRIM(SUBSTITUTE('worker file'!$A$2:$A$406,_xlfn.UNICHAR(160)," ")),'worker file'!$N$2:$N$406,""),IF(N(_xlpm.t)=0,"",_xlpm.t))</f>
        <v/>
      </c>
    </row>
    <row r="885" customFormat="false" ht="15" hidden="false" customHeight="false" outlineLevel="0" collapsed="false">
      <c r="A885" s="39" t="s">
        <v>403</v>
      </c>
      <c r="B885" s="40" t="str">
        <f aca="false" t="array" ref="B885:B885">_xlfn.XLOOKUP($A885,TRIM(SUBSTITUTE('worker file'!$A$2:$A$406,_xlfn.UNICHAR(160)," ")),'worker file'!$L$2:$L$406,"Not found")</f>
        <v>US Biweekly</v>
      </c>
      <c r="C885" s="40" t="str">
        <f aca="false" t="array" ref="C885:C885">_xlfn.XLOOKUP($A885,TRIM(SUBSTITUTE('worker file'!$A$2:$A$406,_xlfn.UNICHAR(160)," ")),'worker file'!$D$2:$D$406,"Not found")</f>
        <v>CA</v>
      </c>
      <c r="D885" s="40" t="str">
        <f aca="false" t="array" ref="D885:D885">_xlfn.XLOOKUP($A885,TRIM(SUBSTITUTE('worker file'!$A$2:$A$406,_xlfn.UNICHAR(160)," ")),'worker file'!$Q$2:$Q$406,"Not found")</f>
        <v>Active</v>
      </c>
      <c r="E885" s="39" t="s">
        <v>618</v>
      </c>
      <c r="F885" s="38" t="str">
        <f aca="false">_xlfn.XLOOKUP($E885,$A$5:$A$8,$B$5:$B$8,"")</f>
        <v>401(k) Employee Deferral</v>
      </c>
      <c r="G885" s="38" t="str">
        <f aca="false">_xlfn.XLOOKUP($E885,$A$5:$A$8,$D$5:$D$8,"")</f>
        <v>Pre-tax (exempt from FIT/SIT; subject to FICA)</v>
      </c>
      <c r="H885" s="38" t="str">
        <f aca="false">_xlfn.XLOOKUP($E885,$A$5:$A$8,$E$5:$E$8,"")</f>
        <v>Percent</v>
      </c>
      <c r="I885" s="41" t="n">
        <v>0.03</v>
      </c>
      <c r="J885" s="42" t="str">
        <f aca="false">IF($H885="Flat",_xlfn.XLOOKUP($E885,$A$5:$A$8,$F$5:$F$8,""),"")</f>
        <v/>
      </c>
      <c r="K885" s="38" t="str">
        <f aca="false">_xlfn.XLOOKUP($E885,$A$5:$A$8,$G$5:$G$8,"")</f>
        <v>Gross pay</v>
      </c>
      <c r="L885" s="38" t="str">
        <f aca="false">_xlfn.XLOOKUP($E885,$A$5:$A$8,$H$5:$H$8,"")</f>
        <v>Every pay period (ongoing)</v>
      </c>
      <c r="M885" s="43" t="n">
        <f aca="false" t="array" ref="M885:M885">MAX(_xlfn.XLOOKUP($A885,TRIM(SUBSTITUTE('worker file'!$A$2:$A$406,_xlfn.UNICHAR(160)," ")),'worker file'!$M$2:$M$406,0),_xlfn.XLOOKUP($B885,TRIM('pay group &amp; schedule'!$A$2:$A$6),'pay group &amp; schedule'!$D$2:$D$6,0))</f>
        <v>46299</v>
      </c>
      <c r="N885" s="43" t="str">
        <f aca="false" t="array" ref="N885:N885">_xlfn.LET(_xlpm.t,_xlfn.XLOOKUP($A885,TRIM(SUBSTITUTE('worker file'!$A$2:$A$406,_xlfn.UNICHAR(160)," ")),'worker file'!$N$2:$N$406,""),IF(N(_xlpm.t)=0,"",_xlpm.t))</f>
        <v/>
      </c>
    </row>
    <row r="886" customFormat="false" ht="15" hidden="false" customHeight="false" outlineLevel="0" collapsed="false">
      <c r="A886" s="39" t="s">
        <v>403</v>
      </c>
      <c r="B886" s="40" t="str">
        <f aca="false" t="array" ref="B886:B886">_xlfn.XLOOKUP($A886,TRIM(SUBSTITUTE('worker file'!$A$2:$A$406,_xlfn.UNICHAR(160)," ")),'worker file'!$L$2:$L$406,"Not found")</f>
        <v>US Biweekly</v>
      </c>
      <c r="C886" s="40" t="str">
        <f aca="false" t="array" ref="C886:C886">_xlfn.XLOOKUP($A886,TRIM(SUBSTITUTE('worker file'!$A$2:$A$406,_xlfn.UNICHAR(160)," ")),'worker file'!$D$2:$D$406,"Not found")</f>
        <v>CA</v>
      </c>
      <c r="D886" s="40" t="str">
        <f aca="false" t="array" ref="D886:D886">_xlfn.XLOOKUP($A886,TRIM(SUBSTITUTE('worker file'!$A$2:$A$406,_xlfn.UNICHAR(160)," ")),'worker file'!$Q$2:$Q$406,"Not found")</f>
        <v>Active</v>
      </c>
      <c r="E886" s="39" t="s">
        <v>626</v>
      </c>
      <c r="F886" s="38" t="str">
        <f aca="false">_xlfn.XLOOKUP($E886,$A$5:$A$8,$B$5:$B$8,"")</f>
        <v>Medical (Health) – Employee</v>
      </c>
      <c r="G886" s="38" t="str">
        <f aca="false">_xlfn.XLOOKUP($E886,$A$5:$A$8,$D$5:$D$8,"")</f>
        <v>Pre-tax Section 125 (exempt from FIT/SIT/FICA)</v>
      </c>
      <c r="H886" s="38" t="str">
        <f aca="false">_xlfn.XLOOKUP($E886,$A$5:$A$8,$E$5:$E$8,"")</f>
        <v>Flat</v>
      </c>
      <c r="I886" s="44" t="str">
        <f aca="false">IF($H886="Percent",_xlfn.XLOOKUP($E886,$A$5:$A$8,$F$5:$F$8,""),"")</f>
        <v/>
      </c>
      <c r="J886" s="42" t="n">
        <f aca="false">IF($H886="Flat",_xlfn.XLOOKUP($E886,$A$5:$A$8,$F$5:$F$8,""),"")</f>
        <v>200</v>
      </c>
      <c r="K886" s="38" t="str">
        <f aca="false">_xlfn.XLOOKUP($E886,$A$5:$A$8,$G$5:$G$8,"")</f>
        <v>Per pay period</v>
      </c>
      <c r="L886" s="38" t="str">
        <f aca="false">_xlfn.XLOOKUP($E886,$A$5:$A$8,$H$5:$H$8,"")</f>
        <v>Every pay period (ongoing)</v>
      </c>
      <c r="M886" s="43" t="n">
        <f aca="false" t="array" ref="M886:M886">MAX(_xlfn.XLOOKUP($A886,TRIM(SUBSTITUTE('worker file'!$A$2:$A$406,_xlfn.UNICHAR(160)," ")),'worker file'!$M$2:$M$406,0),_xlfn.XLOOKUP($B886,TRIM('pay group &amp; schedule'!$A$2:$A$6),'pay group &amp; schedule'!$D$2:$D$6,0))</f>
        <v>46299</v>
      </c>
      <c r="N886" s="43" t="str">
        <f aca="false" t="array" ref="N886:N886">_xlfn.LET(_xlpm.t,_xlfn.XLOOKUP($A886,TRIM(SUBSTITUTE('worker file'!$A$2:$A$406,_xlfn.UNICHAR(160)," ")),'worker file'!$N$2:$N$406,""),IF(N(_xlpm.t)=0,"",_xlpm.t))</f>
        <v/>
      </c>
    </row>
    <row r="887" customFormat="false" ht="15" hidden="false" customHeight="false" outlineLevel="0" collapsed="false">
      <c r="A887" s="39" t="s">
        <v>403</v>
      </c>
      <c r="B887" s="40" t="str">
        <f aca="false" t="array" ref="B887:B887">_xlfn.XLOOKUP($A887,TRIM(SUBSTITUTE('worker file'!$A$2:$A$406,_xlfn.UNICHAR(160)," ")),'worker file'!$L$2:$L$406,"Not found")</f>
        <v>US Biweekly</v>
      </c>
      <c r="C887" s="40" t="str">
        <f aca="false" t="array" ref="C887:C887">_xlfn.XLOOKUP($A887,TRIM(SUBSTITUTE('worker file'!$A$2:$A$406,_xlfn.UNICHAR(160)," ")),'worker file'!$D$2:$D$406,"Not found")</f>
        <v>CA</v>
      </c>
      <c r="D887" s="40" t="str">
        <f aca="false" t="array" ref="D887:D887">_xlfn.XLOOKUP($A887,TRIM(SUBSTITUTE('worker file'!$A$2:$A$406,_xlfn.UNICHAR(160)," ")),'worker file'!$Q$2:$Q$406,"Not found")</f>
        <v>Active</v>
      </c>
      <c r="E887" s="39" t="s">
        <v>632</v>
      </c>
      <c r="F887" s="38" t="str">
        <f aca="false">_xlfn.XLOOKUP($E887,$A$5:$A$8,$B$5:$B$8,"")</f>
        <v>Dental – Employee</v>
      </c>
      <c r="G887" s="38" t="str">
        <f aca="false">_xlfn.XLOOKUP($E887,$A$5:$A$8,$D$5:$D$8,"")</f>
        <v>Pre-tax Section 125 (exempt from FIT/SIT/FICA)</v>
      </c>
      <c r="H887" s="38" t="str">
        <f aca="false">_xlfn.XLOOKUP($E887,$A$5:$A$8,$E$5:$E$8,"")</f>
        <v>Flat</v>
      </c>
      <c r="I887" s="44" t="str">
        <f aca="false">IF($H887="Percent",_xlfn.XLOOKUP($E887,$A$5:$A$8,$F$5:$F$8,""),"")</f>
        <v/>
      </c>
      <c r="J887" s="42" t="n">
        <f aca="false">IF($H887="Flat",_xlfn.XLOOKUP($E887,$A$5:$A$8,$F$5:$F$8,""),"")</f>
        <v>44</v>
      </c>
      <c r="K887" s="38" t="str">
        <f aca="false">_xlfn.XLOOKUP($E887,$A$5:$A$8,$G$5:$G$8,"")</f>
        <v>Per pay period</v>
      </c>
      <c r="L887" s="38" t="str">
        <f aca="false">_xlfn.XLOOKUP($E887,$A$5:$A$8,$H$5:$H$8,"")</f>
        <v>Every pay period (ongoing)</v>
      </c>
      <c r="M887" s="43" t="n">
        <f aca="false" t="array" ref="M887:M887">MAX(_xlfn.XLOOKUP($A887,TRIM(SUBSTITUTE('worker file'!$A$2:$A$406,_xlfn.UNICHAR(160)," ")),'worker file'!$M$2:$M$406,0),_xlfn.XLOOKUP($B887,TRIM('pay group &amp; schedule'!$A$2:$A$6),'pay group &amp; schedule'!$D$2:$D$6,0))</f>
        <v>46299</v>
      </c>
      <c r="N887" s="43" t="str">
        <f aca="false" t="array" ref="N887:N887">_xlfn.LET(_xlpm.t,_xlfn.XLOOKUP($A887,TRIM(SUBSTITUTE('worker file'!$A$2:$A$406,_xlfn.UNICHAR(160)," ")),'worker file'!$N$2:$N$406,""),IF(N(_xlpm.t)=0,"",_xlpm.t))</f>
        <v/>
      </c>
    </row>
    <row r="888" customFormat="false" ht="15" hidden="false" customHeight="false" outlineLevel="0" collapsed="false">
      <c r="A888" s="39" t="s">
        <v>403</v>
      </c>
      <c r="B888" s="40" t="str">
        <f aca="false" t="array" ref="B888:B888">_xlfn.XLOOKUP($A888,TRIM(SUBSTITUTE('worker file'!$A$2:$A$406,_xlfn.UNICHAR(160)," ")),'worker file'!$L$2:$L$406,"Not found")</f>
        <v>US Biweekly</v>
      </c>
      <c r="C888" s="40" t="str">
        <f aca="false" t="array" ref="C888:C888">_xlfn.XLOOKUP($A888,TRIM(SUBSTITUTE('worker file'!$A$2:$A$406,_xlfn.UNICHAR(160)," ")),'worker file'!$D$2:$D$406,"Not found")</f>
        <v>CA</v>
      </c>
      <c r="D888" s="40" t="str">
        <f aca="false" t="array" ref="D888:D888">_xlfn.XLOOKUP($A888,TRIM(SUBSTITUTE('worker file'!$A$2:$A$406,_xlfn.UNICHAR(160)," ")),'worker file'!$Q$2:$Q$406,"Not found")</f>
        <v>Active</v>
      </c>
      <c r="E888" s="39" t="s">
        <v>634</v>
      </c>
      <c r="F888" s="38" t="str">
        <f aca="false">_xlfn.XLOOKUP($E888,$A$5:$A$8,$B$5:$B$8,"")</f>
        <v>Vision – Employee</v>
      </c>
      <c r="G888" s="38" t="str">
        <f aca="false">_xlfn.XLOOKUP($E888,$A$5:$A$8,$D$5:$D$8,"")</f>
        <v>Pre-tax Section 125 (exempt from FIT/SIT/FICA)</v>
      </c>
      <c r="H888" s="38" t="str">
        <f aca="false">_xlfn.XLOOKUP($E888,$A$5:$A$8,$E$5:$E$8,"")</f>
        <v>Flat</v>
      </c>
      <c r="I888" s="44" t="str">
        <f aca="false">IF($H888="Percent",_xlfn.XLOOKUP($E888,$A$5:$A$8,$F$5:$F$8,""),"")</f>
        <v/>
      </c>
      <c r="J888" s="42" t="n">
        <f aca="false">IF($H888="Flat",_xlfn.XLOOKUP($E888,$A$5:$A$8,$F$5:$F$8,""),"")</f>
        <v>30</v>
      </c>
      <c r="K888" s="38" t="str">
        <f aca="false">_xlfn.XLOOKUP($E888,$A$5:$A$8,$G$5:$G$8,"")</f>
        <v>Per pay period</v>
      </c>
      <c r="L888" s="38" t="str">
        <f aca="false">_xlfn.XLOOKUP($E888,$A$5:$A$8,$H$5:$H$8,"")</f>
        <v>Every pay period (ongoing)</v>
      </c>
      <c r="M888" s="43" t="n">
        <f aca="false" t="array" ref="M888:M888">MAX(_xlfn.XLOOKUP($A888,TRIM(SUBSTITUTE('worker file'!$A$2:$A$406,_xlfn.UNICHAR(160)," ")),'worker file'!$M$2:$M$406,0),_xlfn.XLOOKUP($B888,TRIM('pay group &amp; schedule'!$A$2:$A$6),'pay group &amp; schedule'!$D$2:$D$6,0))</f>
        <v>46299</v>
      </c>
      <c r="N888" s="43" t="str">
        <f aca="false" t="array" ref="N888:N888">_xlfn.LET(_xlpm.t,_xlfn.XLOOKUP($A888,TRIM(SUBSTITUTE('worker file'!$A$2:$A$406,_xlfn.UNICHAR(160)," ")),'worker file'!$N$2:$N$406,""),IF(N(_xlpm.t)=0,"",_xlpm.t))</f>
        <v/>
      </c>
    </row>
    <row r="889" customFormat="false" ht="15" hidden="false" customHeight="false" outlineLevel="0" collapsed="false">
      <c r="A889" s="39" t="s">
        <v>405</v>
      </c>
      <c r="B889" s="40" t="str">
        <f aca="false" t="array" ref="B889:B889">_xlfn.XLOOKUP($A889,TRIM(SUBSTITUTE('worker file'!$A$2:$A$406,_xlfn.UNICHAR(160)," ")),'worker file'!$L$2:$L$406,"Not found")</f>
        <v>US Biweekly</v>
      </c>
      <c r="C889" s="40" t="str">
        <f aca="false" t="array" ref="C889:C889">_xlfn.XLOOKUP($A889,TRIM(SUBSTITUTE('worker file'!$A$2:$A$406,_xlfn.UNICHAR(160)," ")),'worker file'!$D$2:$D$406,"Not found")</f>
        <v>TX</v>
      </c>
      <c r="D889" s="40" t="str">
        <f aca="false" t="array" ref="D889:D889">_xlfn.XLOOKUP($A889,TRIM(SUBSTITUTE('worker file'!$A$2:$A$406,_xlfn.UNICHAR(160)," ")),'worker file'!$Q$2:$Q$406,"Not found")</f>
        <v>Active</v>
      </c>
      <c r="E889" s="39" t="s">
        <v>618</v>
      </c>
      <c r="F889" s="38" t="str">
        <f aca="false">_xlfn.XLOOKUP($E889,$A$5:$A$8,$B$5:$B$8,"")</f>
        <v>401(k) Employee Deferral</v>
      </c>
      <c r="G889" s="38" t="str">
        <f aca="false">_xlfn.XLOOKUP($E889,$A$5:$A$8,$D$5:$D$8,"")</f>
        <v>Pre-tax (exempt from FIT/SIT; subject to FICA)</v>
      </c>
      <c r="H889" s="38" t="str">
        <f aca="false">_xlfn.XLOOKUP($E889,$A$5:$A$8,$E$5:$E$8,"")</f>
        <v>Percent</v>
      </c>
      <c r="I889" s="41" t="n">
        <v>0</v>
      </c>
      <c r="J889" s="42" t="str">
        <f aca="false">IF($H889="Flat",_xlfn.XLOOKUP($E889,$A$5:$A$8,$F$5:$F$8,""),"")</f>
        <v/>
      </c>
      <c r="K889" s="38" t="str">
        <f aca="false">_xlfn.XLOOKUP($E889,$A$5:$A$8,$G$5:$G$8,"")</f>
        <v>Gross pay</v>
      </c>
      <c r="L889" s="38" t="str">
        <f aca="false">_xlfn.XLOOKUP($E889,$A$5:$A$8,$H$5:$H$8,"")</f>
        <v>Every pay period (ongoing)</v>
      </c>
      <c r="M889" s="43" t="n">
        <f aca="false" t="array" ref="M889:M889">MAX(_xlfn.XLOOKUP($A889,TRIM(SUBSTITUTE('worker file'!$A$2:$A$406,_xlfn.UNICHAR(160)," ")),'worker file'!$M$2:$M$406,0),_xlfn.XLOOKUP($B889,TRIM('pay group &amp; schedule'!$A$2:$A$6),'pay group &amp; schedule'!$D$2:$D$6,0))</f>
        <v>46299</v>
      </c>
      <c r="N889" s="43" t="str">
        <f aca="false" t="array" ref="N889:N889">_xlfn.LET(_xlpm.t,_xlfn.XLOOKUP($A889,TRIM(SUBSTITUTE('worker file'!$A$2:$A$406,_xlfn.UNICHAR(160)," ")),'worker file'!$N$2:$N$406,""),IF(N(_xlpm.t)=0,"",_xlpm.t))</f>
        <v/>
      </c>
    </row>
    <row r="890" customFormat="false" ht="15" hidden="false" customHeight="false" outlineLevel="0" collapsed="false">
      <c r="A890" s="39" t="s">
        <v>405</v>
      </c>
      <c r="B890" s="40" t="str">
        <f aca="false" t="array" ref="B890:B890">_xlfn.XLOOKUP($A890,TRIM(SUBSTITUTE('worker file'!$A$2:$A$406,_xlfn.UNICHAR(160)," ")),'worker file'!$L$2:$L$406,"Not found")</f>
        <v>US Biweekly</v>
      </c>
      <c r="C890" s="40" t="str">
        <f aca="false" t="array" ref="C890:C890">_xlfn.XLOOKUP($A890,TRIM(SUBSTITUTE('worker file'!$A$2:$A$406,_xlfn.UNICHAR(160)," ")),'worker file'!$D$2:$D$406,"Not found")</f>
        <v>TX</v>
      </c>
      <c r="D890" s="40" t="str">
        <f aca="false" t="array" ref="D890:D890">_xlfn.XLOOKUP($A890,TRIM(SUBSTITUTE('worker file'!$A$2:$A$406,_xlfn.UNICHAR(160)," ")),'worker file'!$Q$2:$Q$406,"Not found")</f>
        <v>Active</v>
      </c>
      <c r="E890" s="39" t="s">
        <v>626</v>
      </c>
      <c r="F890" s="38" t="str">
        <f aca="false">_xlfn.XLOOKUP($E890,$A$5:$A$8,$B$5:$B$8,"")</f>
        <v>Medical (Health) – Employee</v>
      </c>
      <c r="G890" s="38" t="str">
        <f aca="false">_xlfn.XLOOKUP($E890,$A$5:$A$8,$D$5:$D$8,"")</f>
        <v>Pre-tax Section 125 (exempt from FIT/SIT/FICA)</v>
      </c>
      <c r="H890" s="38" t="str">
        <f aca="false">_xlfn.XLOOKUP($E890,$A$5:$A$8,$E$5:$E$8,"")</f>
        <v>Flat</v>
      </c>
      <c r="I890" s="44" t="str">
        <f aca="false">IF($H890="Percent",_xlfn.XLOOKUP($E890,$A$5:$A$8,$F$5:$F$8,""),"")</f>
        <v/>
      </c>
      <c r="J890" s="42" t="n">
        <f aca="false">IF($H890="Flat",_xlfn.XLOOKUP($E890,$A$5:$A$8,$F$5:$F$8,""),"")</f>
        <v>200</v>
      </c>
      <c r="K890" s="38" t="str">
        <f aca="false">_xlfn.XLOOKUP($E890,$A$5:$A$8,$G$5:$G$8,"")</f>
        <v>Per pay period</v>
      </c>
      <c r="L890" s="38" t="str">
        <f aca="false">_xlfn.XLOOKUP($E890,$A$5:$A$8,$H$5:$H$8,"")</f>
        <v>Every pay period (ongoing)</v>
      </c>
      <c r="M890" s="43" t="n">
        <f aca="false" t="array" ref="M890:M890">MAX(_xlfn.XLOOKUP($A890,TRIM(SUBSTITUTE('worker file'!$A$2:$A$406,_xlfn.UNICHAR(160)," ")),'worker file'!$M$2:$M$406,0),_xlfn.XLOOKUP($B890,TRIM('pay group &amp; schedule'!$A$2:$A$6),'pay group &amp; schedule'!$D$2:$D$6,0))</f>
        <v>46299</v>
      </c>
      <c r="N890" s="43" t="str">
        <f aca="false" t="array" ref="N890:N890">_xlfn.LET(_xlpm.t,_xlfn.XLOOKUP($A890,TRIM(SUBSTITUTE('worker file'!$A$2:$A$406,_xlfn.UNICHAR(160)," ")),'worker file'!$N$2:$N$406,""),IF(N(_xlpm.t)=0,"",_xlpm.t))</f>
        <v/>
      </c>
    </row>
    <row r="891" customFormat="false" ht="15" hidden="false" customHeight="false" outlineLevel="0" collapsed="false">
      <c r="A891" s="39" t="s">
        <v>405</v>
      </c>
      <c r="B891" s="40" t="str">
        <f aca="false" t="array" ref="B891:B891">_xlfn.XLOOKUP($A891,TRIM(SUBSTITUTE('worker file'!$A$2:$A$406,_xlfn.UNICHAR(160)," ")),'worker file'!$L$2:$L$406,"Not found")</f>
        <v>US Biweekly</v>
      </c>
      <c r="C891" s="40" t="str">
        <f aca="false" t="array" ref="C891:C891">_xlfn.XLOOKUP($A891,TRIM(SUBSTITUTE('worker file'!$A$2:$A$406,_xlfn.UNICHAR(160)," ")),'worker file'!$D$2:$D$406,"Not found")</f>
        <v>TX</v>
      </c>
      <c r="D891" s="40" t="str">
        <f aca="false" t="array" ref="D891:D891">_xlfn.XLOOKUP($A891,TRIM(SUBSTITUTE('worker file'!$A$2:$A$406,_xlfn.UNICHAR(160)," ")),'worker file'!$Q$2:$Q$406,"Not found")</f>
        <v>Active</v>
      </c>
      <c r="E891" s="39" t="s">
        <v>632</v>
      </c>
      <c r="F891" s="38" t="str">
        <f aca="false">_xlfn.XLOOKUP($E891,$A$5:$A$8,$B$5:$B$8,"")</f>
        <v>Dental – Employee</v>
      </c>
      <c r="G891" s="38" t="str">
        <f aca="false">_xlfn.XLOOKUP($E891,$A$5:$A$8,$D$5:$D$8,"")</f>
        <v>Pre-tax Section 125 (exempt from FIT/SIT/FICA)</v>
      </c>
      <c r="H891" s="38" t="str">
        <f aca="false">_xlfn.XLOOKUP($E891,$A$5:$A$8,$E$5:$E$8,"")</f>
        <v>Flat</v>
      </c>
      <c r="I891" s="44" t="str">
        <f aca="false">IF($H891="Percent",_xlfn.XLOOKUP($E891,$A$5:$A$8,$F$5:$F$8,""),"")</f>
        <v/>
      </c>
      <c r="J891" s="42" t="n">
        <f aca="false">IF($H891="Flat",_xlfn.XLOOKUP($E891,$A$5:$A$8,$F$5:$F$8,""),"")</f>
        <v>44</v>
      </c>
      <c r="K891" s="38" t="str">
        <f aca="false">_xlfn.XLOOKUP($E891,$A$5:$A$8,$G$5:$G$8,"")</f>
        <v>Per pay period</v>
      </c>
      <c r="L891" s="38" t="str">
        <f aca="false">_xlfn.XLOOKUP($E891,$A$5:$A$8,$H$5:$H$8,"")</f>
        <v>Every pay period (ongoing)</v>
      </c>
      <c r="M891" s="43" t="n">
        <f aca="false" t="array" ref="M891:M891">MAX(_xlfn.XLOOKUP($A891,TRIM(SUBSTITUTE('worker file'!$A$2:$A$406,_xlfn.UNICHAR(160)," ")),'worker file'!$M$2:$M$406,0),_xlfn.XLOOKUP($B891,TRIM('pay group &amp; schedule'!$A$2:$A$6),'pay group &amp; schedule'!$D$2:$D$6,0))</f>
        <v>46299</v>
      </c>
      <c r="N891" s="43" t="str">
        <f aca="false" t="array" ref="N891:N891">_xlfn.LET(_xlpm.t,_xlfn.XLOOKUP($A891,TRIM(SUBSTITUTE('worker file'!$A$2:$A$406,_xlfn.UNICHAR(160)," ")),'worker file'!$N$2:$N$406,""),IF(N(_xlpm.t)=0,"",_xlpm.t))</f>
        <v/>
      </c>
    </row>
    <row r="892" customFormat="false" ht="15" hidden="false" customHeight="false" outlineLevel="0" collapsed="false">
      <c r="A892" s="39" t="s">
        <v>405</v>
      </c>
      <c r="B892" s="40" t="str">
        <f aca="false" t="array" ref="B892:B892">_xlfn.XLOOKUP($A892,TRIM(SUBSTITUTE('worker file'!$A$2:$A$406,_xlfn.UNICHAR(160)," ")),'worker file'!$L$2:$L$406,"Not found")</f>
        <v>US Biweekly</v>
      </c>
      <c r="C892" s="40" t="str">
        <f aca="false" t="array" ref="C892:C892">_xlfn.XLOOKUP($A892,TRIM(SUBSTITUTE('worker file'!$A$2:$A$406,_xlfn.UNICHAR(160)," ")),'worker file'!$D$2:$D$406,"Not found")</f>
        <v>TX</v>
      </c>
      <c r="D892" s="40" t="str">
        <f aca="false" t="array" ref="D892:D892">_xlfn.XLOOKUP($A892,TRIM(SUBSTITUTE('worker file'!$A$2:$A$406,_xlfn.UNICHAR(160)," ")),'worker file'!$Q$2:$Q$406,"Not found")</f>
        <v>Active</v>
      </c>
      <c r="E892" s="39" t="s">
        <v>634</v>
      </c>
      <c r="F892" s="38" t="str">
        <f aca="false">_xlfn.XLOOKUP($E892,$A$5:$A$8,$B$5:$B$8,"")</f>
        <v>Vision – Employee</v>
      </c>
      <c r="G892" s="38" t="str">
        <f aca="false">_xlfn.XLOOKUP($E892,$A$5:$A$8,$D$5:$D$8,"")</f>
        <v>Pre-tax Section 125 (exempt from FIT/SIT/FICA)</v>
      </c>
      <c r="H892" s="38" t="str">
        <f aca="false">_xlfn.XLOOKUP($E892,$A$5:$A$8,$E$5:$E$8,"")</f>
        <v>Flat</v>
      </c>
      <c r="I892" s="44" t="str">
        <f aca="false">IF($H892="Percent",_xlfn.XLOOKUP($E892,$A$5:$A$8,$F$5:$F$8,""),"")</f>
        <v/>
      </c>
      <c r="J892" s="42" t="n">
        <f aca="false">IF($H892="Flat",_xlfn.XLOOKUP($E892,$A$5:$A$8,$F$5:$F$8,""),"")</f>
        <v>30</v>
      </c>
      <c r="K892" s="38" t="str">
        <f aca="false">_xlfn.XLOOKUP($E892,$A$5:$A$8,$G$5:$G$8,"")</f>
        <v>Per pay period</v>
      </c>
      <c r="L892" s="38" t="str">
        <f aca="false">_xlfn.XLOOKUP($E892,$A$5:$A$8,$H$5:$H$8,"")</f>
        <v>Every pay period (ongoing)</v>
      </c>
      <c r="M892" s="43" t="n">
        <f aca="false" t="array" ref="M892:M892">MAX(_xlfn.XLOOKUP($A892,TRIM(SUBSTITUTE('worker file'!$A$2:$A$406,_xlfn.UNICHAR(160)," ")),'worker file'!$M$2:$M$406,0),_xlfn.XLOOKUP($B892,TRIM('pay group &amp; schedule'!$A$2:$A$6),'pay group &amp; schedule'!$D$2:$D$6,0))</f>
        <v>46299</v>
      </c>
      <c r="N892" s="43" t="str">
        <f aca="false" t="array" ref="N892:N892">_xlfn.LET(_xlpm.t,_xlfn.XLOOKUP($A892,TRIM(SUBSTITUTE('worker file'!$A$2:$A$406,_xlfn.UNICHAR(160)," ")),'worker file'!$N$2:$N$406,""),IF(N(_xlpm.t)=0,"",_xlpm.t))</f>
        <v/>
      </c>
    </row>
    <row r="893" customFormat="false" ht="15" hidden="false" customHeight="false" outlineLevel="0" collapsed="false">
      <c r="A893" s="39" t="s">
        <v>407</v>
      </c>
      <c r="B893" s="40" t="str">
        <f aca="false" t="array" ref="B893:B893">_xlfn.XLOOKUP($A893,TRIM(SUBSTITUTE('worker file'!$A$2:$A$406,_xlfn.UNICHAR(160)," ")),'worker file'!$L$2:$L$406,"Not found")</f>
        <v>US Semi-monthly</v>
      </c>
      <c r="C893" s="40" t="str">
        <f aca="false" t="array" ref="C893:C893">_xlfn.XLOOKUP($A893,TRIM(SUBSTITUTE('worker file'!$A$2:$A$406,_xlfn.UNICHAR(160)," ")),'worker file'!$D$2:$D$406,"Not found")</f>
        <v>MA</v>
      </c>
      <c r="D893" s="40" t="str">
        <f aca="false" t="array" ref="D893:D893">_xlfn.XLOOKUP($A893,TRIM(SUBSTITUTE('worker file'!$A$2:$A$406,_xlfn.UNICHAR(160)," ")),'worker file'!$Q$2:$Q$406,"Not found")</f>
        <v>Active</v>
      </c>
      <c r="E893" s="39" t="s">
        <v>618</v>
      </c>
      <c r="F893" s="38" t="str">
        <f aca="false">_xlfn.XLOOKUP($E893,$A$5:$A$8,$B$5:$B$8,"")</f>
        <v>401(k) Employee Deferral</v>
      </c>
      <c r="G893" s="38" t="str">
        <f aca="false">_xlfn.XLOOKUP($E893,$A$5:$A$8,$D$5:$D$8,"")</f>
        <v>Pre-tax (exempt from FIT/SIT; subject to FICA)</v>
      </c>
      <c r="H893" s="38" t="str">
        <f aca="false">_xlfn.XLOOKUP($E893,$A$5:$A$8,$E$5:$E$8,"")</f>
        <v>Percent</v>
      </c>
      <c r="I893" s="41" t="n">
        <v>0.05</v>
      </c>
      <c r="J893" s="42" t="str">
        <f aca="false">IF($H893="Flat",_xlfn.XLOOKUP($E893,$A$5:$A$8,$F$5:$F$8,""),"")</f>
        <v/>
      </c>
      <c r="K893" s="38" t="str">
        <f aca="false">_xlfn.XLOOKUP($E893,$A$5:$A$8,$G$5:$G$8,"")</f>
        <v>Gross pay</v>
      </c>
      <c r="L893" s="38" t="str">
        <f aca="false">_xlfn.XLOOKUP($E893,$A$5:$A$8,$H$5:$H$8,"")</f>
        <v>Every pay period (ongoing)</v>
      </c>
      <c r="M893" s="43" t="n">
        <f aca="false" t="array" ref="M893:M893">MAX(_xlfn.XLOOKUP($A893,TRIM(SUBSTITUTE('worker file'!$A$2:$A$406,_xlfn.UNICHAR(160)," ")),'worker file'!$M$2:$M$406,0),_xlfn.XLOOKUP($B893,TRIM('pay group &amp; schedule'!$A$2:$A$6),'pay group &amp; schedule'!$D$2:$D$6,0))</f>
        <v>46311</v>
      </c>
      <c r="N893" s="43" t="str">
        <f aca="false" t="array" ref="N893:N893">_xlfn.LET(_xlpm.t,_xlfn.XLOOKUP($A893,TRIM(SUBSTITUTE('worker file'!$A$2:$A$406,_xlfn.UNICHAR(160)," ")),'worker file'!$N$2:$N$406,""),IF(N(_xlpm.t)=0,"",_xlpm.t))</f>
        <v/>
      </c>
    </row>
    <row r="894" customFormat="false" ht="15" hidden="false" customHeight="false" outlineLevel="0" collapsed="false">
      <c r="A894" s="39" t="s">
        <v>407</v>
      </c>
      <c r="B894" s="40" t="str">
        <f aca="false" t="array" ref="B894:B894">_xlfn.XLOOKUP($A894,TRIM(SUBSTITUTE('worker file'!$A$2:$A$406,_xlfn.UNICHAR(160)," ")),'worker file'!$L$2:$L$406,"Not found")</f>
        <v>US Semi-monthly</v>
      </c>
      <c r="C894" s="40" t="str">
        <f aca="false" t="array" ref="C894:C894">_xlfn.XLOOKUP($A894,TRIM(SUBSTITUTE('worker file'!$A$2:$A$406,_xlfn.UNICHAR(160)," ")),'worker file'!$D$2:$D$406,"Not found")</f>
        <v>MA</v>
      </c>
      <c r="D894" s="40" t="str">
        <f aca="false" t="array" ref="D894:D894">_xlfn.XLOOKUP($A894,TRIM(SUBSTITUTE('worker file'!$A$2:$A$406,_xlfn.UNICHAR(160)," ")),'worker file'!$Q$2:$Q$406,"Not found")</f>
        <v>Active</v>
      </c>
      <c r="E894" s="39" t="s">
        <v>626</v>
      </c>
      <c r="F894" s="38" t="str">
        <f aca="false">_xlfn.XLOOKUP($E894,$A$5:$A$8,$B$5:$B$8,"")</f>
        <v>Medical (Health) – Employee</v>
      </c>
      <c r="G894" s="38" t="str">
        <f aca="false">_xlfn.XLOOKUP($E894,$A$5:$A$8,$D$5:$D$8,"")</f>
        <v>Pre-tax Section 125 (exempt from FIT/SIT/FICA)</v>
      </c>
      <c r="H894" s="38" t="str">
        <f aca="false">_xlfn.XLOOKUP($E894,$A$5:$A$8,$E$5:$E$8,"")</f>
        <v>Flat</v>
      </c>
      <c r="I894" s="44" t="str">
        <f aca="false">IF($H894="Percent",_xlfn.XLOOKUP($E894,$A$5:$A$8,$F$5:$F$8,""),"")</f>
        <v/>
      </c>
      <c r="J894" s="42" t="n">
        <f aca="false">IF($H894="Flat",_xlfn.XLOOKUP($E894,$A$5:$A$8,$F$5:$F$8,""),"")</f>
        <v>200</v>
      </c>
      <c r="K894" s="38" t="str">
        <f aca="false">_xlfn.XLOOKUP($E894,$A$5:$A$8,$G$5:$G$8,"")</f>
        <v>Per pay period</v>
      </c>
      <c r="L894" s="38" t="str">
        <f aca="false">_xlfn.XLOOKUP($E894,$A$5:$A$8,$H$5:$H$8,"")</f>
        <v>Every pay period (ongoing)</v>
      </c>
      <c r="M894" s="43" t="n">
        <f aca="false" t="array" ref="M894:M894">MAX(_xlfn.XLOOKUP($A894,TRIM(SUBSTITUTE('worker file'!$A$2:$A$406,_xlfn.UNICHAR(160)," ")),'worker file'!$M$2:$M$406,0),_xlfn.XLOOKUP($B894,TRIM('pay group &amp; schedule'!$A$2:$A$6),'pay group &amp; schedule'!$D$2:$D$6,0))</f>
        <v>46311</v>
      </c>
      <c r="N894" s="43" t="str">
        <f aca="false" t="array" ref="N894:N894">_xlfn.LET(_xlpm.t,_xlfn.XLOOKUP($A894,TRIM(SUBSTITUTE('worker file'!$A$2:$A$406,_xlfn.UNICHAR(160)," ")),'worker file'!$N$2:$N$406,""),IF(N(_xlpm.t)=0,"",_xlpm.t))</f>
        <v/>
      </c>
    </row>
    <row r="895" customFormat="false" ht="15" hidden="false" customHeight="false" outlineLevel="0" collapsed="false">
      <c r="A895" s="39" t="s">
        <v>407</v>
      </c>
      <c r="B895" s="40" t="str">
        <f aca="false" t="array" ref="B895:B895">_xlfn.XLOOKUP($A895,TRIM(SUBSTITUTE('worker file'!$A$2:$A$406,_xlfn.UNICHAR(160)," ")),'worker file'!$L$2:$L$406,"Not found")</f>
        <v>US Semi-monthly</v>
      </c>
      <c r="C895" s="40" t="str">
        <f aca="false" t="array" ref="C895:C895">_xlfn.XLOOKUP($A895,TRIM(SUBSTITUTE('worker file'!$A$2:$A$406,_xlfn.UNICHAR(160)," ")),'worker file'!$D$2:$D$406,"Not found")</f>
        <v>MA</v>
      </c>
      <c r="D895" s="40" t="str">
        <f aca="false" t="array" ref="D895:D895">_xlfn.XLOOKUP($A895,TRIM(SUBSTITUTE('worker file'!$A$2:$A$406,_xlfn.UNICHAR(160)," ")),'worker file'!$Q$2:$Q$406,"Not found")</f>
        <v>Active</v>
      </c>
      <c r="E895" s="39" t="s">
        <v>632</v>
      </c>
      <c r="F895" s="38" t="str">
        <f aca="false">_xlfn.XLOOKUP($E895,$A$5:$A$8,$B$5:$B$8,"")</f>
        <v>Dental – Employee</v>
      </c>
      <c r="G895" s="38" t="str">
        <f aca="false">_xlfn.XLOOKUP($E895,$A$5:$A$8,$D$5:$D$8,"")</f>
        <v>Pre-tax Section 125 (exempt from FIT/SIT/FICA)</v>
      </c>
      <c r="H895" s="38" t="str">
        <f aca="false">_xlfn.XLOOKUP($E895,$A$5:$A$8,$E$5:$E$8,"")</f>
        <v>Flat</v>
      </c>
      <c r="I895" s="44" t="str">
        <f aca="false">IF($H895="Percent",_xlfn.XLOOKUP($E895,$A$5:$A$8,$F$5:$F$8,""),"")</f>
        <v/>
      </c>
      <c r="J895" s="42" t="n">
        <f aca="false">IF($H895="Flat",_xlfn.XLOOKUP($E895,$A$5:$A$8,$F$5:$F$8,""),"")</f>
        <v>44</v>
      </c>
      <c r="K895" s="38" t="str">
        <f aca="false">_xlfn.XLOOKUP($E895,$A$5:$A$8,$G$5:$G$8,"")</f>
        <v>Per pay period</v>
      </c>
      <c r="L895" s="38" t="str">
        <f aca="false">_xlfn.XLOOKUP($E895,$A$5:$A$8,$H$5:$H$8,"")</f>
        <v>Every pay period (ongoing)</v>
      </c>
      <c r="M895" s="43" t="n">
        <f aca="false" t="array" ref="M895:M895">MAX(_xlfn.XLOOKUP($A895,TRIM(SUBSTITUTE('worker file'!$A$2:$A$406,_xlfn.UNICHAR(160)," ")),'worker file'!$M$2:$M$406,0),_xlfn.XLOOKUP($B895,TRIM('pay group &amp; schedule'!$A$2:$A$6),'pay group &amp; schedule'!$D$2:$D$6,0))</f>
        <v>46311</v>
      </c>
      <c r="N895" s="43" t="str">
        <f aca="false" t="array" ref="N895:N895">_xlfn.LET(_xlpm.t,_xlfn.XLOOKUP($A895,TRIM(SUBSTITUTE('worker file'!$A$2:$A$406,_xlfn.UNICHAR(160)," ")),'worker file'!$N$2:$N$406,""),IF(N(_xlpm.t)=0,"",_xlpm.t))</f>
        <v/>
      </c>
    </row>
    <row r="896" customFormat="false" ht="15" hidden="false" customHeight="false" outlineLevel="0" collapsed="false">
      <c r="A896" s="39" t="s">
        <v>407</v>
      </c>
      <c r="B896" s="40" t="str">
        <f aca="false" t="array" ref="B896:B896">_xlfn.XLOOKUP($A896,TRIM(SUBSTITUTE('worker file'!$A$2:$A$406,_xlfn.UNICHAR(160)," ")),'worker file'!$L$2:$L$406,"Not found")</f>
        <v>US Semi-monthly</v>
      </c>
      <c r="C896" s="40" t="str">
        <f aca="false" t="array" ref="C896:C896">_xlfn.XLOOKUP($A896,TRIM(SUBSTITUTE('worker file'!$A$2:$A$406,_xlfn.UNICHAR(160)," ")),'worker file'!$D$2:$D$406,"Not found")</f>
        <v>MA</v>
      </c>
      <c r="D896" s="40" t="str">
        <f aca="false" t="array" ref="D896:D896">_xlfn.XLOOKUP($A896,TRIM(SUBSTITUTE('worker file'!$A$2:$A$406,_xlfn.UNICHAR(160)," ")),'worker file'!$Q$2:$Q$406,"Not found")</f>
        <v>Active</v>
      </c>
      <c r="E896" s="39" t="s">
        <v>634</v>
      </c>
      <c r="F896" s="38" t="str">
        <f aca="false">_xlfn.XLOOKUP($E896,$A$5:$A$8,$B$5:$B$8,"")</f>
        <v>Vision – Employee</v>
      </c>
      <c r="G896" s="38" t="str">
        <f aca="false">_xlfn.XLOOKUP($E896,$A$5:$A$8,$D$5:$D$8,"")</f>
        <v>Pre-tax Section 125 (exempt from FIT/SIT/FICA)</v>
      </c>
      <c r="H896" s="38" t="str">
        <f aca="false">_xlfn.XLOOKUP($E896,$A$5:$A$8,$E$5:$E$8,"")</f>
        <v>Flat</v>
      </c>
      <c r="I896" s="44" t="str">
        <f aca="false">IF($H896="Percent",_xlfn.XLOOKUP($E896,$A$5:$A$8,$F$5:$F$8,""),"")</f>
        <v/>
      </c>
      <c r="J896" s="42" t="n">
        <f aca="false">IF($H896="Flat",_xlfn.XLOOKUP($E896,$A$5:$A$8,$F$5:$F$8,""),"")</f>
        <v>30</v>
      </c>
      <c r="K896" s="38" t="str">
        <f aca="false">_xlfn.XLOOKUP($E896,$A$5:$A$8,$G$5:$G$8,"")</f>
        <v>Per pay period</v>
      </c>
      <c r="L896" s="38" t="str">
        <f aca="false">_xlfn.XLOOKUP($E896,$A$5:$A$8,$H$5:$H$8,"")</f>
        <v>Every pay period (ongoing)</v>
      </c>
      <c r="M896" s="43" t="n">
        <f aca="false" t="array" ref="M896:M896">MAX(_xlfn.XLOOKUP($A896,TRIM(SUBSTITUTE('worker file'!$A$2:$A$406,_xlfn.UNICHAR(160)," ")),'worker file'!$M$2:$M$406,0),_xlfn.XLOOKUP($B896,TRIM('pay group &amp; schedule'!$A$2:$A$6),'pay group &amp; schedule'!$D$2:$D$6,0))</f>
        <v>46311</v>
      </c>
      <c r="N896" s="43" t="str">
        <f aca="false" t="array" ref="N896:N896">_xlfn.LET(_xlpm.t,_xlfn.XLOOKUP($A896,TRIM(SUBSTITUTE('worker file'!$A$2:$A$406,_xlfn.UNICHAR(160)," ")),'worker file'!$N$2:$N$406,""),IF(N(_xlpm.t)=0,"",_xlpm.t))</f>
        <v/>
      </c>
    </row>
    <row r="897" customFormat="false" ht="15" hidden="false" customHeight="false" outlineLevel="0" collapsed="false">
      <c r="A897" s="39" t="s">
        <v>408</v>
      </c>
      <c r="B897" s="40" t="str">
        <f aca="false" t="array" ref="B897:B897">_xlfn.XLOOKUP($A897,TRIM(SUBSTITUTE('worker file'!$A$2:$A$406,_xlfn.UNICHAR(160)," ")),'worker file'!$L$2:$L$406,"Not found")</f>
        <v>US Semi-monthly</v>
      </c>
      <c r="C897" s="40" t="str">
        <f aca="false" t="array" ref="C897:C897">_xlfn.XLOOKUP($A897,TRIM(SUBSTITUTE('worker file'!$A$2:$A$406,_xlfn.UNICHAR(160)," ")),'worker file'!$D$2:$D$406,"Not found")</f>
        <v>WA</v>
      </c>
      <c r="D897" s="40" t="str">
        <f aca="false" t="array" ref="D897:D897">_xlfn.XLOOKUP($A897,TRIM(SUBSTITUTE('worker file'!$A$2:$A$406,_xlfn.UNICHAR(160)," ")),'worker file'!$Q$2:$Q$406,"Not found")</f>
        <v>Active</v>
      </c>
      <c r="E897" s="39" t="s">
        <v>618</v>
      </c>
      <c r="F897" s="38" t="str">
        <f aca="false">_xlfn.XLOOKUP($E897,$A$5:$A$8,$B$5:$B$8,"")</f>
        <v>401(k) Employee Deferral</v>
      </c>
      <c r="G897" s="38" t="str">
        <f aca="false">_xlfn.XLOOKUP($E897,$A$5:$A$8,$D$5:$D$8,"")</f>
        <v>Pre-tax (exempt from FIT/SIT; subject to FICA)</v>
      </c>
      <c r="H897" s="38" t="str">
        <f aca="false">_xlfn.XLOOKUP($E897,$A$5:$A$8,$E$5:$E$8,"")</f>
        <v>Percent</v>
      </c>
      <c r="I897" s="41" t="n">
        <v>0.02</v>
      </c>
      <c r="J897" s="42" t="str">
        <f aca="false">IF($H897="Flat",_xlfn.XLOOKUP($E897,$A$5:$A$8,$F$5:$F$8,""),"")</f>
        <v/>
      </c>
      <c r="K897" s="38" t="str">
        <f aca="false">_xlfn.XLOOKUP($E897,$A$5:$A$8,$G$5:$G$8,"")</f>
        <v>Gross pay</v>
      </c>
      <c r="L897" s="38" t="str">
        <f aca="false">_xlfn.XLOOKUP($E897,$A$5:$A$8,$H$5:$H$8,"")</f>
        <v>Every pay period (ongoing)</v>
      </c>
      <c r="M897" s="43" t="n">
        <f aca="false" t="array" ref="M897:M897">MAX(_xlfn.XLOOKUP($A897,TRIM(SUBSTITUTE('worker file'!$A$2:$A$406,_xlfn.UNICHAR(160)," ")),'worker file'!$M$2:$M$406,0),_xlfn.XLOOKUP($B897,TRIM('pay group &amp; schedule'!$A$2:$A$6),'pay group &amp; schedule'!$D$2:$D$6,0))</f>
        <v>46311</v>
      </c>
      <c r="N897" s="43" t="str">
        <f aca="false" t="array" ref="N897:N897">_xlfn.LET(_xlpm.t,_xlfn.XLOOKUP($A897,TRIM(SUBSTITUTE('worker file'!$A$2:$A$406,_xlfn.UNICHAR(160)," ")),'worker file'!$N$2:$N$406,""),IF(N(_xlpm.t)=0,"",_xlpm.t))</f>
        <v/>
      </c>
    </row>
    <row r="898" customFormat="false" ht="15" hidden="false" customHeight="false" outlineLevel="0" collapsed="false">
      <c r="A898" s="39" t="s">
        <v>408</v>
      </c>
      <c r="B898" s="40" t="str">
        <f aca="false" t="array" ref="B898:B898">_xlfn.XLOOKUP($A898,TRIM(SUBSTITUTE('worker file'!$A$2:$A$406,_xlfn.UNICHAR(160)," ")),'worker file'!$L$2:$L$406,"Not found")</f>
        <v>US Semi-monthly</v>
      </c>
      <c r="C898" s="40" t="str">
        <f aca="false" t="array" ref="C898:C898">_xlfn.XLOOKUP($A898,TRIM(SUBSTITUTE('worker file'!$A$2:$A$406,_xlfn.UNICHAR(160)," ")),'worker file'!$D$2:$D$406,"Not found")</f>
        <v>WA</v>
      </c>
      <c r="D898" s="40" t="str">
        <f aca="false" t="array" ref="D898:D898">_xlfn.XLOOKUP($A898,TRIM(SUBSTITUTE('worker file'!$A$2:$A$406,_xlfn.UNICHAR(160)," ")),'worker file'!$Q$2:$Q$406,"Not found")</f>
        <v>Active</v>
      </c>
      <c r="E898" s="39" t="s">
        <v>626</v>
      </c>
      <c r="F898" s="38" t="str">
        <f aca="false">_xlfn.XLOOKUP($E898,$A$5:$A$8,$B$5:$B$8,"")</f>
        <v>Medical (Health) – Employee</v>
      </c>
      <c r="G898" s="38" t="str">
        <f aca="false">_xlfn.XLOOKUP($E898,$A$5:$A$8,$D$5:$D$8,"")</f>
        <v>Pre-tax Section 125 (exempt from FIT/SIT/FICA)</v>
      </c>
      <c r="H898" s="38" t="str">
        <f aca="false">_xlfn.XLOOKUP($E898,$A$5:$A$8,$E$5:$E$8,"")</f>
        <v>Flat</v>
      </c>
      <c r="I898" s="44" t="str">
        <f aca="false">IF($H898="Percent",_xlfn.XLOOKUP($E898,$A$5:$A$8,$F$5:$F$8,""),"")</f>
        <v/>
      </c>
      <c r="J898" s="42" t="n">
        <f aca="false">IF($H898="Flat",_xlfn.XLOOKUP($E898,$A$5:$A$8,$F$5:$F$8,""),"")</f>
        <v>200</v>
      </c>
      <c r="K898" s="38" t="str">
        <f aca="false">_xlfn.XLOOKUP($E898,$A$5:$A$8,$G$5:$G$8,"")</f>
        <v>Per pay period</v>
      </c>
      <c r="L898" s="38" t="str">
        <f aca="false">_xlfn.XLOOKUP($E898,$A$5:$A$8,$H$5:$H$8,"")</f>
        <v>Every pay period (ongoing)</v>
      </c>
      <c r="M898" s="43" t="n">
        <f aca="false" t="array" ref="M898:M898">MAX(_xlfn.XLOOKUP($A898,TRIM(SUBSTITUTE('worker file'!$A$2:$A$406,_xlfn.UNICHAR(160)," ")),'worker file'!$M$2:$M$406,0),_xlfn.XLOOKUP($B898,TRIM('pay group &amp; schedule'!$A$2:$A$6),'pay group &amp; schedule'!$D$2:$D$6,0))</f>
        <v>46311</v>
      </c>
      <c r="N898" s="43" t="str">
        <f aca="false" t="array" ref="N898:N898">_xlfn.LET(_xlpm.t,_xlfn.XLOOKUP($A898,TRIM(SUBSTITUTE('worker file'!$A$2:$A$406,_xlfn.UNICHAR(160)," ")),'worker file'!$N$2:$N$406,""),IF(N(_xlpm.t)=0,"",_xlpm.t))</f>
        <v/>
      </c>
    </row>
    <row r="899" customFormat="false" ht="15" hidden="false" customHeight="false" outlineLevel="0" collapsed="false">
      <c r="A899" s="39" t="s">
        <v>408</v>
      </c>
      <c r="B899" s="40" t="str">
        <f aca="false" t="array" ref="B899:B899">_xlfn.XLOOKUP($A899,TRIM(SUBSTITUTE('worker file'!$A$2:$A$406,_xlfn.UNICHAR(160)," ")),'worker file'!$L$2:$L$406,"Not found")</f>
        <v>US Semi-monthly</v>
      </c>
      <c r="C899" s="40" t="str">
        <f aca="false" t="array" ref="C899:C899">_xlfn.XLOOKUP($A899,TRIM(SUBSTITUTE('worker file'!$A$2:$A$406,_xlfn.UNICHAR(160)," ")),'worker file'!$D$2:$D$406,"Not found")</f>
        <v>WA</v>
      </c>
      <c r="D899" s="40" t="str">
        <f aca="false" t="array" ref="D899:D899">_xlfn.XLOOKUP($A899,TRIM(SUBSTITUTE('worker file'!$A$2:$A$406,_xlfn.UNICHAR(160)," ")),'worker file'!$Q$2:$Q$406,"Not found")</f>
        <v>Active</v>
      </c>
      <c r="E899" s="39" t="s">
        <v>632</v>
      </c>
      <c r="F899" s="38" t="str">
        <f aca="false">_xlfn.XLOOKUP($E899,$A$5:$A$8,$B$5:$B$8,"")</f>
        <v>Dental – Employee</v>
      </c>
      <c r="G899" s="38" t="str">
        <f aca="false">_xlfn.XLOOKUP($E899,$A$5:$A$8,$D$5:$D$8,"")</f>
        <v>Pre-tax Section 125 (exempt from FIT/SIT/FICA)</v>
      </c>
      <c r="H899" s="38" t="str">
        <f aca="false">_xlfn.XLOOKUP($E899,$A$5:$A$8,$E$5:$E$8,"")</f>
        <v>Flat</v>
      </c>
      <c r="I899" s="44" t="str">
        <f aca="false">IF($H899="Percent",_xlfn.XLOOKUP($E899,$A$5:$A$8,$F$5:$F$8,""),"")</f>
        <v/>
      </c>
      <c r="J899" s="42" t="n">
        <f aca="false">IF($H899="Flat",_xlfn.XLOOKUP($E899,$A$5:$A$8,$F$5:$F$8,""),"")</f>
        <v>44</v>
      </c>
      <c r="K899" s="38" t="str">
        <f aca="false">_xlfn.XLOOKUP($E899,$A$5:$A$8,$G$5:$G$8,"")</f>
        <v>Per pay period</v>
      </c>
      <c r="L899" s="38" t="str">
        <f aca="false">_xlfn.XLOOKUP($E899,$A$5:$A$8,$H$5:$H$8,"")</f>
        <v>Every pay period (ongoing)</v>
      </c>
      <c r="M899" s="43" t="n">
        <f aca="false" t="array" ref="M899:M899">MAX(_xlfn.XLOOKUP($A899,TRIM(SUBSTITUTE('worker file'!$A$2:$A$406,_xlfn.UNICHAR(160)," ")),'worker file'!$M$2:$M$406,0),_xlfn.XLOOKUP($B899,TRIM('pay group &amp; schedule'!$A$2:$A$6),'pay group &amp; schedule'!$D$2:$D$6,0))</f>
        <v>46311</v>
      </c>
      <c r="N899" s="43" t="str">
        <f aca="false" t="array" ref="N899:N899">_xlfn.LET(_xlpm.t,_xlfn.XLOOKUP($A899,TRIM(SUBSTITUTE('worker file'!$A$2:$A$406,_xlfn.UNICHAR(160)," ")),'worker file'!$N$2:$N$406,""),IF(N(_xlpm.t)=0,"",_xlpm.t))</f>
        <v/>
      </c>
    </row>
    <row r="900" customFormat="false" ht="15" hidden="false" customHeight="false" outlineLevel="0" collapsed="false">
      <c r="A900" s="39" t="s">
        <v>408</v>
      </c>
      <c r="B900" s="40" t="str">
        <f aca="false" t="array" ref="B900:B900">_xlfn.XLOOKUP($A900,TRIM(SUBSTITUTE('worker file'!$A$2:$A$406,_xlfn.UNICHAR(160)," ")),'worker file'!$L$2:$L$406,"Not found")</f>
        <v>US Semi-monthly</v>
      </c>
      <c r="C900" s="40" t="str">
        <f aca="false" t="array" ref="C900:C900">_xlfn.XLOOKUP($A900,TRIM(SUBSTITUTE('worker file'!$A$2:$A$406,_xlfn.UNICHAR(160)," ")),'worker file'!$D$2:$D$406,"Not found")</f>
        <v>WA</v>
      </c>
      <c r="D900" s="40" t="str">
        <f aca="false" t="array" ref="D900:D900">_xlfn.XLOOKUP($A900,TRIM(SUBSTITUTE('worker file'!$A$2:$A$406,_xlfn.UNICHAR(160)," ")),'worker file'!$Q$2:$Q$406,"Not found")</f>
        <v>Active</v>
      </c>
      <c r="E900" s="39" t="s">
        <v>634</v>
      </c>
      <c r="F900" s="38" t="str">
        <f aca="false">_xlfn.XLOOKUP($E900,$A$5:$A$8,$B$5:$B$8,"")</f>
        <v>Vision – Employee</v>
      </c>
      <c r="G900" s="38" t="str">
        <f aca="false">_xlfn.XLOOKUP($E900,$A$5:$A$8,$D$5:$D$8,"")</f>
        <v>Pre-tax Section 125 (exempt from FIT/SIT/FICA)</v>
      </c>
      <c r="H900" s="38" t="str">
        <f aca="false">_xlfn.XLOOKUP($E900,$A$5:$A$8,$E$5:$E$8,"")</f>
        <v>Flat</v>
      </c>
      <c r="I900" s="44" t="str">
        <f aca="false">IF($H900="Percent",_xlfn.XLOOKUP($E900,$A$5:$A$8,$F$5:$F$8,""),"")</f>
        <v/>
      </c>
      <c r="J900" s="42" t="n">
        <f aca="false">IF($H900="Flat",_xlfn.XLOOKUP($E900,$A$5:$A$8,$F$5:$F$8,""),"")</f>
        <v>30</v>
      </c>
      <c r="K900" s="38" t="str">
        <f aca="false">_xlfn.XLOOKUP($E900,$A$5:$A$8,$G$5:$G$8,"")</f>
        <v>Per pay period</v>
      </c>
      <c r="L900" s="38" t="str">
        <f aca="false">_xlfn.XLOOKUP($E900,$A$5:$A$8,$H$5:$H$8,"")</f>
        <v>Every pay period (ongoing)</v>
      </c>
      <c r="M900" s="43" t="n">
        <f aca="false" t="array" ref="M900:M900">MAX(_xlfn.XLOOKUP($A900,TRIM(SUBSTITUTE('worker file'!$A$2:$A$406,_xlfn.UNICHAR(160)," ")),'worker file'!$M$2:$M$406,0),_xlfn.XLOOKUP($B900,TRIM('pay group &amp; schedule'!$A$2:$A$6),'pay group &amp; schedule'!$D$2:$D$6,0))</f>
        <v>46311</v>
      </c>
      <c r="N900" s="43" t="str">
        <f aca="false" t="array" ref="N900:N900">_xlfn.LET(_xlpm.t,_xlfn.XLOOKUP($A900,TRIM(SUBSTITUTE('worker file'!$A$2:$A$406,_xlfn.UNICHAR(160)," ")),'worker file'!$N$2:$N$406,""),IF(N(_xlpm.t)=0,"",_xlpm.t))</f>
        <v/>
      </c>
    </row>
    <row r="901" customFormat="false" ht="15" hidden="false" customHeight="false" outlineLevel="0" collapsed="false">
      <c r="A901" s="39" t="s">
        <v>409</v>
      </c>
      <c r="B901" s="40" t="str">
        <f aca="false" t="array" ref="B901:B901">_xlfn.XLOOKUP($A901,TRIM(SUBSTITUTE('worker file'!$A$2:$A$406,_xlfn.UNICHAR(160)," ")),'worker file'!$L$2:$L$406,"Not found")</f>
        <v>US Semi-monthly</v>
      </c>
      <c r="C901" s="40" t="str">
        <f aca="false" t="array" ref="C901:C901">_xlfn.XLOOKUP($A901,TRIM(SUBSTITUTE('worker file'!$A$2:$A$406,_xlfn.UNICHAR(160)," ")),'worker file'!$D$2:$D$406,"Not found")</f>
        <v>CA</v>
      </c>
      <c r="D901" s="40" t="str">
        <f aca="false" t="array" ref="D901:D901">_xlfn.XLOOKUP($A901,TRIM(SUBSTITUTE('worker file'!$A$2:$A$406,_xlfn.UNICHAR(160)," ")),'worker file'!$Q$2:$Q$406,"Not found")</f>
        <v>On Leave(unpaid)</v>
      </c>
      <c r="E901" s="39" t="s">
        <v>618</v>
      </c>
      <c r="F901" s="38" t="str">
        <f aca="false">_xlfn.XLOOKUP($E901,$A$5:$A$8,$B$5:$B$8,"")</f>
        <v>401(k) Employee Deferral</v>
      </c>
      <c r="G901" s="38" t="str">
        <f aca="false">_xlfn.XLOOKUP($E901,$A$5:$A$8,$D$5:$D$8,"")</f>
        <v>Pre-tax (exempt from FIT/SIT; subject to FICA)</v>
      </c>
      <c r="H901" s="38" t="str">
        <f aca="false">_xlfn.XLOOKUP($E901,$A$5:$A$8,$E$5:$E$8,"")</f>
        <v>Percent</v>
      </c>
      <c r="I901" s="41" t="n">
        <v>0.07</v>
      </c>
      <c r="J901" s="42" t="str">
        <f aca="false">IF($H901="Flat",_xlfn.XLOOKUP($E901,$A$5:$A$8,$F$5:$F$8,""),"")</f>
        <v/>
      </c>
      <c r="K901" s="38" t="str">
        <f aca="false">_xlfn.XLOOKUP($E901,$A$5:$A$8,$G$5:$G$8,"")</f>
        <v>Gross pay</v>
      </c>
      <c r="L901" s="38" t="str">
        <f aca="false">_xlfn.XLOOKUP($E901,$A$5:$A$8,$H$5:$H$8,"")</f>
        <v>Every pay period (ongoing)</v>
      </c>
      <c r="M901" s="43" t="n">
        <f aca="false" t="array" ref="M901:M901">MAX(_xlfn.XLOOKUP($A901,TRIM(SUBSTITUTE('worker file'!$A$2:$A$406,_xlfn.UNICHAR(160)," ")),'worker file'!$M$2:$M$406,0),_xlfn.XLOOKUP($B901,TRIM('pay group &amp; schedule'!$A$2:$A$6),'pay group &amp; schedule'!$D$2:$D$6,0))</f>
        <v>46311</v>
      </c>
      <c r="N901" s="43" t="str">
        <f aca="false" t="array" ref="N901:N901">_xlfn.LET(_xlpm.t,_xlfn.XLOOKUP($A901,TRIM(SUBSTITUTE('worker file'!$A$2:$A$406,_xlfn.UNICHAR(160)," ")),'worker file'!$N$2:$N$406,""),IF(N(_xlpm.t)=0,"",_xlpm.t))</f>
        <v/>
      </c>
      <c r="O901" s="0" t="s">
        <v>646</v>
      </c>
    </row>
    <row r="902" customFormat="false" ht="15" hidden="false" customHeight="false" outlineLevel="0" collapsed="false">
      <c r="A902" s="39" t="s">
        <v>409</v>
      </c>
      <c r="B902" s="40" t="str">
        <f aca="false" t="array" ref="B902:B902">_xlfn.XLOOKUP($A902,TRIM(SUBSTITUTE('worker file'!$A$2:$A$406,_xlfn.UNICHAR(160)," ")),'worker file'!$L$2:$L$406,"Not found")</f>
        <v>US Semi-monthly</v>
      </c>
      <c r="C902" s="40" t="str">
        <f aca="false" t="array" ref="C902:C902">_xlfn.XLOOKUP($A902,TRIM(SUBSTITUTE('worker file'!$A$2:$A$406,_xlfn.UNICHAR(160)," ")),'worker file'!$D$2:$D$406,"Not found")</f>
        <v>CA</v>
      </c>
      <c r="D902" s="40" t="str">
        <f aca="false" t="array" ref="D902:D902">_xlfn.XLOOKUP($A902,TRIM(SUBSTITUTE('worker file'!$A$2:$A$406,_xlfn.UNICHAR(160)," ")),'worker file'!$Q$2:$Q$406,"Not found")</f>
        <v>On Leave(unpaid)</v>
      </c>
      <c r="E902" s="39" t="s">
        <v>626</v>
      </c>
      <c r="F902" s="38" t="str">
        <f aca="false">_xlfn.XLOOKUP($E902,$A$5:$A$8,$B$5:$B$8,"")</f>
        <v>Medical (Health) – Employee</v>
      </c>
      <c r="G902" s="38" t="str">
        <f aca="false">_xlfn.XLOOKUP($E902,$A$5:$A$8,$D$5:$D$8,"")</f>
        <v>Pre-tax Section 125 (exempt from FIT/SIT/FICA)</v>
      </c>
      <c r="H902" s="38" t="str">
        <f aca="false">_xlfn.XLOOKUP($E902,$A$5:$A$8,$E$5:$E$8,"")</f>
        <v>Flat</v>
      </c>
      <c r="I902" s="44" t="str">
        <f aca="false">IF($H902="Percent",_xlfn.XLOOKUP($E902,$A$5:$A$8,$F$5:$F$8,""),"")</f>
        <v/>
      </c>
      <c r="J902" s="42" t="n">
        <f aca="false">IF($H902="Flat",_xlfn.XLOOKUP($E902,$A$5:$A$8,$F$5:$F$8,""),"")</f>
        <v>200</v>
      </c>
      <c r="K902" s="38" t="str">
        <f aca="false">_xlfn.XLOOKUP($E902,$A$5:$A$8,$G$5:$G$8,"")</f>
        <v>Per pay period</v>
      </c>
      <c r="L902" s="38" t="str">
        <f aca="false">_xlfn.XLOOKUP($E902,$A$5:$A$8,$H$5:$H$8,"")</f>
        <v>Every pay period (ongoing)</v>
      </c>
      <c r="M902" s="43" t="n">
        <f aca="false" t="array" ref="M902:M902">MAX(_xlfn.XLOOKUP($A902,TRIM(SUBSTITUTE('worker file'!$A$2:$A$406,_xlfn.UNICHAR(160)," ")),'worker file'!$M$2:$M$406,0),_xlfn.XLOOKUP($B902,TRIM('pay group &amp; schedule'!$A$2:$A$6),'pay group &amp; schedule'!$D$2:$D$6,0))</f>
        <v>46311</v>
      </c>
      <c r="N902" s="43" t="str">
        <f aca="false" t="array" ref="N902:N902">_xlfn.LET(_xlpm.t,_xlfn.XLOOKUP($A902,TRIM(SUBSTITUTE('worker file'!$A$2:$A$406,_xlfn.UNICHAR(160)," ")),'worker file'!$N$2:$N$406,""),IF(N(_xlpm.t)=0,"",_xlpm.t))</f>
        <v/>
      </c>
      <c r="O902" s="0" t="s">
        <v>646</v>
      </c>
    </row>
    <row r="903" customFormat="false" ht="15" hidden="false" customHeight="false" outlineLevel="0" collapsed="false">
      <c r="A903" s="39" t="s">
        <v>409</v>
      </c>
      <c r="B903" s="40" t="str">
        <f aca="false" t="array" ref="B903:B903">_xlfn.XLOOKUP($A903,TRIM(SUBSTITUTE('worker file'!$A$2:$A$406,_xlfn.UNICHAR(160)," ")),'worker file'!$L$2:$L$406,"Not found")</f>
        <v>US Semi-monthly</v>
      </c>
      <c r="C903" s="40" t="str">
        <f aca="false" t="array" ref="C903:C903">_xlfn.XLOOKUP($A903,TRIM(SUBSTITUTE('worker file'!$A$2:$A$406,_xlfn.UNICHAR(160)," ")),'worker file'!$D$2:$D$406,"Not found")</f>
        <v>CA</v>
      </c>
      <c r="D903" s="40" t="str">
        <f aca="false" t="array" ref="D903:D903">_xlfn.XLOOKUP($A903,TRIM(SUBSTITUTE('worker file'!$A$2:$A$406,_xlfn.UNICHAR(160)," ")),'worker file'!$Q$2:$Q$406,"Not found")</f>
        <v>On Leave(unpaid)</v>
      </c>
      <c r="E903" s="39" t="s">
        <v>632</v>
      </c>
      <c r="F903" s="38" t="str">
        <f aca="false">_xlfn.XLOOKUP($E903,$A$5:$A$8,$B$5:$B$8,"")</f>
        <v>Dental – Employee</v>
      </c>
      <c r="G903" s="38" t="str">
        <f aca="false">_xlfn.XLOOKUP($E903,$A$5:$A$8,$D$5:$D$8,"")</f>
        <v>Pre-tax Section 125 (exempt from FIT/SIT/FICA)</v>
      </c>
      <c r="H903" s="38" t="str">
        <f aca="false">_xlfn.XLOOKUP($E903,$A$5:$A$8,$E$5:$E$8,"")</f>
        <v>Flat</v>
      </c>
      <c r="I903" s="44" t="str">
        <f aca="false">IF($H903="Percent",_xlfn.XLOOKUP($E903,$A$5:$A$8,$F$5:$F$8,""),"")</f>
        <v/>
      </c>
      <c r="J903" s="42" t="n">
        <f aca="false">IF($H903="Flat",_xlfn.XLOOKUP($E903,$A$5:$A$8,$F$5:$F$8,""),"")</f>
        <v>44</v>
      </c>
      <c r="K903" s="38" t="str">
        <f aca="false">_xlfn.XLOOKUP($E903,$A$5:$A$8,$G$5:$G$8,"")</f>
        <v>Per pay period</v>
      </c>
      <c r="L903" s="38" t="str">
        <f aca="false">_xlfn.XLOOKUP($E903,$A$5:$A$8,$H$5:$H$8,"")</f>
        <v>Every pay period (ongoing)</v>
      </c>
      <c r="M903" s="43" t="n">
        <f aca="false" t="array" ref="M903:M903">MAX(_xlfn.XLOOKUP($A903,TRIM(SUBSTITUTE('worker file'!$A$2:$A$406,_xlfn.UNICHAR(160)," ")),'worker file'!$M$2:$M$406,0),_xlfn.XLOOKUP($B903,TRIM('pay group &amp; schedule'!$A$2:$A$6),'pay group &amp; schedule'!$D$2:$D$6,0))</f>
        <v>46311</v>
      </c>
      <c r="N903" s="43" t="str">
        <f aca="false" t="array" ref="N903:N903">_xlfn.LET(_xlpm.t,_xlfn.XLOOKUP($A903,TRIM(SUBSTITUTE('worker file'!$A$2:$A$406,_xlfn.UNICHAR(160)," ")),'worker file'!$N$2:$N$406,""),IF(N(_xlpm.t)=0,"",_xlpm.t))</f>
        <v/>
      </c>
      <c r="O903" s="0" t="s">
        <v>646</v>
      </c>
    </row>
    <row r="904" customFormat="false" ht="15" hidden="false" customHeight="false" outlineLevel="0" collapsed="false">
      <c r="A904" s="39" t="s">
        <v>409</v>
      </c>
      <c r="B904" s="40" t="str">
        <f aca="false" t="array" ref="B904:B904">_xlfn.XLOOKUP($A904,TRIM(SUBSTITUTE('worker file'!$A$2:$A$406,_xlfn.UNICHAR(160)," ")),'worker file'!$L$2:$L$406,"Not found")</f>
        <v>US Semi-monthly</v>
      </c>
      <c r="C904" s="40" t="str">
        <f aca="false" t="array" ref="C904:C904">_xlfn.XLOOKUP($A904,TRIM(SUBSTITUTE('worker file'!$A$2:$A$406,_xlfn.UNICHAR(160)," ")),'worker file'!$D$2:$D$406,"Not found")</f>
        <v>CA</v>
      </c>
      <c r="D904" s="40" t="str">
        <f aca="false" t="array" ref="D904:D904">_xlfn.XLOOKUP($A904,TRIM(SUBSTITUTE('worker file'!$A$2:$A$406,_xlfn.UNICHAR(160)," ")),'worker file'!$Q$2:$Q$406,"Not found")</f>
        <v>On Leave(unpaid)</v>
      </c>
      <c r="E904" s="39" t="s">
        <v>634</v>
      </c>
      <c r="F904" s="38" t="str">
        <f aca="false">_xlfn.XLOOKUP($E904,$A$5:$A$8,$B$5:$B$8,"")</f>
        <v>Vision – Employee</v>
      </c>
      <c r="G904" s="38" t="str">
        <f aca="false">_xlfn.XLOOKUP($E904,$A$5:$A$8,$D$5:$D$8,"")</f>
        <v>Pre-tax Section 125 (exempt from FIT/SIT/FICA)</v>
      </c>
      <c r="H904" s="38" t="str">
        <f aca="false">_xlfn.XLOOKUP($E904,$A$5:$A$8,$E$5:$E$8,"")</f>
        <v>Flat</v>
      </c>
      <c r="I904" s="44" t="str">
        <f aca="false">IF($H904="Percent",_xlfn.XLOOKUP($E904,$A$5:$A$8,$F$5:$F$8,""),"")</f>
        <v/>
      </c>
      <c r="J904" s="42" t="n">
        <f aca="false">IF($H904="Flat",_xlfn.XLOOKUP($E904,$A$5:$A$8,$F$5:$F$8,""),"")</f>
        <v>30</v>
      </c>
      <c r="K904" s="38" t="str">
        <f aca="false">_xlfn.XLOOKUP($E904,$A$5:$A$8,$G$5:$G$8,"")</f>
        <v>Per pay period</v>
      </c>
      <c r="L904" s="38" t="str">
        <f aca="false">_xlfn.XLOOKUP($E904,$A$5:$A$8,$H$5:$H$8,"")</f>
        <v>Every pay period (ongoing)</v>
      </c>
      <c r="M904" s="43" t="n">
        <f aca="false" t="array" ref="M904:M904">MAX(_xlfn.XLOOKUP($A904,TRIM(SUBSTITUTE('worker file'!$A$2:$A$406,_xlfn.UNICHAR(160)," ")),'worker file'!$M$2:$M$406,0),_xlfn.XLOOKUP($B904,TRIM('pay group &amp; schedule'!$A$2:$A$6),'pay group &amp; schedule'!$D$2:$D$6,0))</f>
        <v>46311</v>
      </c>
      <c r="N904" s="43" t="str">
        <f aca="false" t="array" ref="N904:N904">_xlfn.LET(_xlpm.t,_xlfn.XLOOKUP($A904,TRIM(SUBSTITUTE('worker file'!$A$2:$A$406,_xlfn.UNICHAR(160)," ")),'worker file'!$N$2:$N$406,""),IF(N(_xlpm.t)=0,"",_xlpm.t))</f>
        <v/>
      </c>
      <c r="O904" s="0" t="s">
        <v>646</v>
      </c>
    </row>
    <row r="905" customFormat="false" ht="15" hidden="false" customHeight="false" outlineLevel="0" collapsed="false">
      <c r="A905" s="39" t="s">
        <v>410</v>
      </c>
      <c r="B905" s="40" t="str">
        <f aca="false" t="array" ref="B905:B905">_xlfn.XLOOKUP($A905,TRIM(SUBSTITUTE('worker file'!$A$2:$A$406,_xlfn.UNICHAR(160)," ")),'worker file'!$L$2:$L$406,"Not found")</f>
        <v>US Semi-monthly</v>
      </c>
      <c r="C905" s="40" t="str">
        <f aca="false" t="array" ref="C905:C905">_xlfn.XLOOKUP($A905,TRIM(SUBSTITUTE('worker file'!$A$2:$A$406,_xlfn.UNICHAR(160)," ")),'worker file'!$D$2:$D$406,"Not found")</f>
        <v>IL</v>
      </c>
      <c r="D905" s="40" t="str">
        <f aca="false" t="array" ref="D905:D905">_xlfn.XLOOKUP($A905,TRIM(SUBSTITUTE('worker file'!$A$2:$A$406,_xlfn.UNICHAR(160)," ")),'worker file'!$Q$2:$Q$406,"Not found")</f>
        <v>Active</v>
      </c>
      <c r="E905" s="39" t="s">
        <v>618</v>
      </c>
      <c r="F905" s="38" t="str">
        <f aca="false">_xlfn.XLOOKUP($E905,$A$5:$A$8,$B$5:$B$8,"")</f>
        <v>401(k) Employee Deferral</v>
      </c>
      <c r="G905" s="38" t="str">
        <f aca="false">_xlfn.XLOOKUP($E905,$A$5:$A$8,$D$5:$D$8,"")</f>
        <v>Pre-tax (exempt from FIT/SIT; subject to FICA)</v>
      </c>
      <c r="H905" s="38" t="str">
        <f aca="false">_xlfn.XLOOKUP($E905,$A$5:$A$8,$E$5:$E$8,"")</f>
        <v>Percent</v>
      </c>
      <c r="I905" s="41" t="n">
        <v>0.04</v>
      </c>
      <c r="J905" s="42" t="str">
        <f aca="false">IF($H905="Flat",_xlfn.XLOOKUP($E905,$A$5:$A$8,$F$5:$F$8,""),"")</f>
        <v/>
      </c>
      <c r="K905" s="38" t="str">
        <f aca="false">_xlfn.XLOOKUP($E905,$A$5:$A$8,$G$5:$G$8,"")</f>
        <v>Gross pay</v>
      </c>
      <c r="L905" s="38" t="str">
        <f aca="false">_xlfn.XLOOKUP($E905,$A$5:$A$8,$H$5:$H$8,"")</f>
        <v>Every pay period (ongoing)</v>
      </c>
      <c r="M905" s="43" t="n">
        <f aca="false" t="array" ref="M905:M905">MAX(_xlfn.XLOOKUP($A905,TRIM(SUBSTITUTE('worker file'!$A$2:$A$406,_xlfn.UNICHAR(160)," ")),'worker file'!$M$2:$M$406,0),_xlfn.XLOOKUP($B905,TRIM('pay group &amp; schedule'!$A$2:$A$6),'pay group &amp; schedule'!$D$2:$D$6,0))</f>
        <v>46311</v>
      </c>
      <c r="N905" s="43" t="str">
        <f aca="false" t="array" ref="N905:N905">_xlfn.LET(_xlpm.t,_xlfn.XLOOKUP($A905,TRIM(SUBSTITUTE('worker file'!$A$2:$A$406,_xlfn.UNICHAR(160)," ")),'worker file'!$N$2:$N$406,""),IF(N(_xlpm.t)=0,"",_xlpm.t))</f>
        <v/>
      </c>
    </row>
    <row r="906" customFormat="false" ht="15" hidden="false" customHeight="false" outlineLevel="0" collapsed="false">
      <c r="A906" s="39" t="s">
        <v>410</v>
      </c>
      <c r="B906" s="40" t="str">
        <f aca="false" t="array" ref="B906:B906">_xlfn.XLOOKUP($A906,TRIM(SUBSTITUTE('worker file'!$A$2:$A$406,_xlfn.UNICHAR(160)," ")),'worker file'!$L$2:$L$406,"Not found")</f>
        <v>US Semi-monthly</v>
      </c>
      <c r="C906" s="40" t="str">
        <f aca="false" t="array" ref="C906:C906">_xlfn.XLOOKUP($A906,TRIM(SUBSTITUTE('worker file'!$A$2:$A$406,_xlfn.UNICHAR(160)," ")),'worker file'!$D$2:$D$406,"Not found")</f>
        <v>IL</v>
      </c>
      <c r="D906" s="40" t="str">
        <f aca="false" t="array" ref="D906:D906">_xlfn.XLOOKUP($A906,TRIM(SUBSTITUTE('worker file'!$A$2:$A$406,_xlfn.UNICHAR(160)," ")),'worker file'!$Q$2:$Q$406,"Not found")</f>
        <v>Active</v>
      </c>
      <c r="E906" s="39" t="s">
        <v>626</v>
      </c>
      <c r="F906" s="38" t="str">
        <f aca="false">_xlfn.XLOOKUP($E906,$A$5:$A$8,$B$5:$B$8,"")</f>
        <v>Medical (Health) – Employee</v>
      </c>
      <c r="G906" s="38" t="str">
        <f aca="false">_xlfn.XLOOKUP($E906,$A$5:$A$8,$D$5:$D$8,"")</f>
        <v>Pre-tax Section 125 (exempt from FIT/SIT/FICA)</v>
      </c>
      <c r="H906" s="38" t="str">
        <f aca="false">_xlfn.XLOOKUP($E906,$A$5:$A$8,$E$5:$E$8,"")</f>
        <v>Flat</v>
      </c>
      <c r="I906" s="44" t="str">
        <f aca="false">IF($H906="Percent",_xlfn.XLOOKUP($E906,$A$5:$A$8,$F$5:$F$8,""),"")</f>
        <v/>
      </c>
      <c r="J906" s="42" t="n">
        <f aca="false">IF($H906="Flat",_xlfn.XLOOKUP($E906,$A$5:$A$8,$F$5:$F$8,""),"")</f>
        <v>200</v>
      </c>
      <c r="K906" s="38" t="str">
        <f aca="false">_xlfn.XLOOKUP($E906,$A$5:$A$8,$G$5:$G$8,"")</f>
        <v>Per pay period</v>
      </c>
      <c r="L906" s="38" t="str">
        <f aca="false">_xlfn.XLOOKUP($E906,$A$5:$A$8,$H$5:$H$8,"")</f>
        <v>Every pay period (ongoing)</v>
      </c>
      <c r="M906" s="43" t="n">
        <f aca="false" t="array" ref="M906:M906">MAX(_xlfn.XLOOKUP($A906,TRIM(SUBSTITUTE('worker file'!$A$2:$A$406,_xlfn.UNICHAR(160)," ")),'worker file'!$M$2:$M$406,0),_xlfn.XLOOKUP($B906,TRIM('pay group &amp; schedule'!$A$2:$A$6),'pay group &amp; schedule'!$D$2:$D$6,0))</f>
        <v>46311</v>
      </c>
      <c r="N906" s="43" t="str">
        <f aca="false" t="array" ref="N906:N906">_xlfn.LET(_xlpm.t,_xlfn.XLOOKUP($A906,TRIM(SUBSTITUTE('worker file'!$A$2:$A$406,_xlfn.UNICHAR(160)," ")),'worker file'!$N$2:$N$406,""),IF(N(_xlpm.t)=0,"",_xlpm.t))</f>
        <v/>
      </c>
    </row>
    <row r="907" customFormat="false" ht="15" hidden="false" customHeight="false" outlineLevel="0" collapsed="false">
      <c r="A907" s="39" t="s">
        <v>410</v>
      </c>
      <c r="B907" s="40" t="str">
        <f aca="false" t="array" ref="B907:B907">_xlfn.XLOOKUP($A907,TRIM(SUBSTITUTE('worker file'!$A$2:$A$406,_xlfn.UNICHAR(160)," ")),'worker file'!$L$2:$L$406,"Not found")</f>
        <v>US Semi-monthly</v>
      </c>
      <c r="C907" s="40" t="str">
        <f aca="false" t="array" ref="C907:C907">_xlfn.XLOOKUP($A907,TRIM(SUBSTITUTE('worker file'!$A$2:$A$406,_xlfn.UNICHAR(160)," ")),'worker file'!$D$2:$D$406,"Not found")</f>
        <v>IL</v>
      </c>
      <c r="D907" s="40" t="str">
        <f aca="false" t="array" ref="D907:D907">_xlfn.XLOOKUP($A907,TRIM(SUBSTITUTE('worker file'!$A$2:$A$406,_xlfn.UNICHAR(160)," ")),'worker file'!$Q$2:$Q$406,"Not found")</f>
        <v>Active</v>
      </c>
      <c r="E907" s="39" t="s">
        <v>632</v>
      </c>
      <c r="F907" s="38" t="str">
        <f aca="false">_xlfn.XLOOKUP($E907,$A$5:$A$8,$B$5:$B$8,"")</f>
        <v>Dental – Employee</v>
      </c>
      <c r="G907" s="38" t="str">
        <f aca="false">_xlfn.XLOOKUP($E907,$A$5:$A$8,$D$5:$D$8,"")</f>
        <v>Pre-tax Section 125 (exempt from FIT/SIT/FICA)</v>
      </c>
      <c r="H907" s="38" t="str">
        <f aca="false">_xlfn.XLOOKUP($E907,$A$5:$A$8,$E$5:$E$8,"")</f>
        <v>Flat</v>
      </c>
      <c r="I907" s="44" t="str">
        <f aca="false">IF($H907="Percent",_xlfn.XLOOKUP($E907,$A$5:$A$8,$F$5:$F$8,""),"")</f>
        <v/>
      </c>
      <c r="J907" s="42" t="n">
        <f aca="false">IF($H907="Flat",_xlfn.XLOOKUP($E907,$A$5:$A$8,$F$5:$F$8,""),"")</f>
        <v>44</v>
      </c>
      <c r="K907" s="38" t="str">
        <f aca="false">_xlfn.XLOOKUP($E907,$A$5:$A$8,$G$5:$G$8,"")</f>
        <v>Per pay period</v>
      </c>
      <c r="L907" s="38" t="str">
        <f aca="false">_xlfn.XLOOKUP($E907,$A$5:$A$8,$H$5:$H$8,"")</f>
        <v>Every pay period (ongoing)</v>
      </c>
      <c r="M907" s="43" t="n">
        <f aca="false" t="array" ref="M907:M907">MAX(_xlfn.XLOOKUP($A907,TRIM(SUBSTITUTE('worker file'!$A$2:$A$406,_xlfn.UNICHAR(160)," ")),'worker file'!$M$2:$M$406,0),_xlfn.XLOOKUP($B907,TRIM('pay group &amp; schedule'!$A$2:$A$6),'pay group &amp; schedule'!$D$2:$D$6,0))</f>
        <v>46311</v>
      </c>
      <c r="N907" s="43" t="str">
        <f aca="false" t="array" ref="N907:N907">_xlfn.LET(_xlpm.t,_xlfn.XLOOKUP($A907,TRIM(SUBSTITUTE('worker file'!$A$2:$A$406,_xlfn.UNICHAR(160)," ")),'worker file'!$N$2:$N$406,""),IF(N(_xlpm.t)=0,"",_xlpm.t))</f>
        <v/>
      </c>
    </row>
    <row r="908" customFormat="false" ht="15" hidden="false" customHeight="false" outlineLevel="0" collapsed="false">
      <c r="A908" s="39" t="s">
        <v>410</v>
      </c>
      <c r="B908" s="40" t="str">
        <f aca="false" t="array" ref="B908:B908">_xlfn.XLOOKUP($A908,TRIM(SUBSTITUTE('worker file'!$A$2:$A$406,_xlfn.UNICHAR(160)," ")),'worker file'!$L$2:$L$406,"Not found")</f>
        <v>US Semi-monthly</v>
      </c>
      <c r="C908" s="40" t="str">
        <f aca="false" t="array" ref="C908:C908">_xlfn.XLOOKUP($A908,TRIM(SUBSTITUTE('worker file'!$A$2:$A$406,_xlfn.UNICHAR(160)," ")),'worker file'!$D$2:$D$406,"Not found")</f>
        <v>IL</v>
      </c>
      <c r="D908" s="40" t="str">
        <f aca="false" t="array" ref="D908:D908">_xlfn.XLOOKUP($A908,TRIM(SUBSTITUTE('worker file'!$A$2:$A$406,_xlfn.UNICHAR(160)," ")),'worker file'!$Q$2:$Q$406,"Not found")</f>
        <v>Active</v>
      </c>
      <c r="E908" s="39" t="s">
        <v>634</v>
      </c>
      <c r="F908" s="38" t="str">
        <f aca="false">_xlfn.XLOOKUP($E908,$A$5:$A$8,$B$5:$B$8,"")</f>
        <v>Vision – Employee</v>
      </c>
      <c r="G908" s="38" t="str">
        <f aca="false">_xlfn.XLOOKUP($E908,$A$5:$A$8,$D$5:$D$8,"")</f>
        <v>Pre-tax Section 125 (exempt from FIT/SIT/FICA)</v>
      </c>
      <c r="H908" s="38" t="str">
        <f aca="false">_xlfn.XLOOKUP($E908,$A$5:$A$8,$E$5:$E$8,"")</f>
        <v>Flat</v>
      </c>
      <c r="I908" s="44" t="str">
        <f aca="false">IF($H908="Percent",_xlfn.XLOOKUP($E908,$A$5:$A$8,$F$5:$F$8,""),"")</f>
        <v/>
      </c>
      <c r="J908" s="42" t="n">
        <f aca="false">IF($H908="Flat",_xlfn.XLOOKUP($E908,$A$5:$A$8,$F$5:$F$8,""),"")</f>
        <v>30</v>
      </c>
      <c r="K908" s="38" t="str">
        <f aca="false">_xlfn.XLOOKUP($E908,$A$5:$A$8,$G$5:$G$8,"")</f>
        <v>Per pay period</v>
      </c>
      <c r="L908" s="38" t="str">
        <f aca="false">_xlfn.XLOOKUP($E908,$A$5:$A$8,$H$5:$H$8,"")</f>
        <v>Every pay period (ongoing)</v>
      </c>
      <c r="M908" s="43" t="n">
        <f aca="false" t="array" ref="M908:M908">MAX(_xlfn.XLOOKUP($A908,TRIM(SUBSTITUTE('worker file'!$A$2:$A$406,_xlfn.UNICHAR(160)," ")),'worker file'!$M$2:$M$406,0),_xlfn.XLOOKUP($B908,TRIM('pay group &amp; schedule'!$A$2:$A$6),'pay group &amp; schedule'!$D$2:$D$6,0))</f>
        <v>46311</v>
      </c>
      <c r="N908" s="43" t="str">
        <f aca="false" t="array" ref="N908:N908">_xlfn.LET(_xlpm.t,_xlfn.XLOOKUP($A908,TRIM(SUBSTITUTE('worker file'!$A$2:$A$406,_xlfn.UNICHAR(160)," ")),'worker file'!$N$2:$N$406,""),IF(N(_xlpm.t)=0,"",_xlpm.t))</f>
        <v/>
      </c>
    </row>
    <row r="909" customFormat="false" ht="15" hidden="false" customHeight="false" outlineLevel="0" collapsed="false">
      <c r="A909" s="39" t="s">
        <v>411</v>
      </c>
      <c r="B909" s="40" t="str">
        <f aca="false" t="array" ref="B909:B909">_xlfn.XLOOKUP($A909,TRIM(SUBSTITUTE('worker file'!$A$2:$A$406,_xlfn.UNICHAR(160)," ")),'worker file'!$L$2:$L$406,"Not found")</f>
        <v>US Semi-monthly</v>
      </c>
      <c r="C909" s="40" t="str">
        <f aca="false" t="array" ref="C909:C909">_xlfn.XLOOKUP($A909,TRIM(SUBSTITUTE('worker file'!$A$2:$A$406,_xlfn.UNICHAR(160)," ")),'worker file'!$D$2:$D$406,"Not found")</f>
        <v>CA</v>
      </c>
      <c r="D909" s="40" t="str">
        <f aca="false" t="array" ref="D909:D909">_xlfn.XLOOKUP($A909,TRIM(SUBSTITUTE('worker file'!$A$2:$A$406,_xlfn.UNICHAR(160)," ")),'worker file'!$Q$2:$Q$406,"Not found")</f>
        <v>Active</v>
      </c>
      <c r="E909" s="39" t="s">
        <v>618</v>
      </c>
      <c r="F909" s="38" t="str">
        <f aca="false">_xlfn.XLOOKUP($E909,$A$5:$A$8,$B$5:$B$8,"")</f>
        <v>401(k) Employee Deferral</v>
      </c>
      <c r="G909" s="38" t="str">
        <f aca="false">_xlfn.XLOOKUP($E909,$A$5:$A$8,$D$5:$D$8,"")</f>
        <v>Pre-tax (exempt from FIT/SIT; subject to FICA)</v>
      </c>
      <c r="H909" s="38" t="str">
        <f aca="false">_xlfn.XLOOKUP($E909,$A$5:$A$8,$E$5:$E$8,"")</f>
        <v>Percent</v>
      </c>
      <c r="I909" s="41" t="n">
        <v>0.01</v>
      </c>
      <c r="J909" s="42" t="str">
        <f aca="false">IF($H909="Flat",_xlfn.XLOOKUP($E909,$A$5:$A$8,$F$5:$F$8,""),"")</f>
        <v/>
      </c>
      <c r="K909" s="38" t="str">
        <f aca="false">_xlfn.XLOOKUP($E909,$A$5:$A$8,$G$5:$G$8,"")</f>
        <v>Gross pay</v>
      </c>
      <c r="L909" s="38" t="str">
        <f aca="false">_xlfn.XLOOKUP($E909,$A$5:$A$8,$H$5:$H$8,"")</f>
        <v>Every pay period (ongoing)</v>
      </c>
      <c r="M909" s="43" t="n">
        <f aca="false" t="array" ref="M909:M909">MAX(_xlfn.XLOOKUP($A909,TRIM(SUBSTITUTE('worker file'!$A$2:$A$406,_xlfn.UNICHAR(160)," ")),'worker file'!$M$2:$M$406,0),_xlfn.XLOOKUP($B909,TRIM('pay group &amp; schedule'!$A$2:$A$6),'pay group &amp; schedule'!$D$2:$D$6,0))</f>
        <v>46311</v>
      </c>
      <c r="N909" s="43" t="str">
        <f aca="false" t="array" ref="N909:N909">_xlfn.LET(_xlpm.t,_xlfn.XLOOKUP($A909,TRIM(SUBSTITUTE('worker file'!$A$2:$A$406,_xlfn.UNICHAR(160)," ")),'worker file'!$N$2:$N$406,""),IF(N(_xlpm.t)=0,"",_xlpm.t))</f>
        <v/>
      </c>
    </row>
    <row r="910" customFormat="false" ht="15" hidden="false" customHeight="false" outlineLevel="0" collapsed="false">
      <c r="A910" s="39" t="s">
        <v>411</v>
      </c>
      <c r="B910" s="40" t="str">
        <f aca="false" t="array" ref="B910:B910">_xlfn.XLOOKUP($A910,TRIM(SUBSTITUTE('worker file'!$A$2:$A$406,_xlfn.UNICHAR(160)," ")),'worker file'!$L$2:$L$406,"Not found")</f>
        <v>US Semi-monthly</v>
      </c>
      <c r="C910" s="40" t="str">
        <f aca="false" t="array" ref="C910:C910">_xlfn.XLOOKUP($A910,TRIM(SUBSTITUTE('worker file'!$A$2:$A$406,_xlfn.UNICHAR(160)," ")),'worker file'!$D$2:$D$406,"Not found")</f>
        <v>CA</v>
      </c>
      <c r="D910" s="40" t="str">
        <f aca="false" t="array" ref="D910:D910">_xlfn.XLOOKUP($A910,TRIM(SUBSTITUTE('worker file'!$A$2:$A$406,_xlfn.UNICHAR(160)," ")),'worker file'!$Q$2:$Q$406,"Not found")</f>
        <v>Active</v>
      </c>
      <c r="E910" s="39" t="s">
        <v>626</v>
      </c>
      <c r="F910" s="38" t="str">
        <f aca="false">_xlfn.XLOOKUP($E910,$A$5:$A$8,$B$5:$B$8,"")</f>
        <v>Medical (Health) – Employee</v>
      </c>
      <c r="G910" s="38" t="str">
        <f aca="false">_xlfn.XLOOKUP($E910,$A$5:$A$8,$D$5:$D$8,"")</f>
        <v>Pre-tax Section 125 (exempt from FIT/SIT/FICA)</v>
      </c>
      <c r="H910" s="38" t="str">
        <f aca="false">_xlfn.XLOOKUP($E910,$A$5:$A$8,$E$5:$E$8,"")</f>
        <v>Flat</v>
      </c>
      <c r="I910" s="44" t="str">
        <f aca="false">IF($H910="Percent",_xlfn.XLOOKUP($E910,$A$5:$A$8,$F$5:$F$8,""),"")</f>
        <v/>
      </c>
      <c r="J910" s="42" t="n">
        <f aca="false">IF($H910="Flat",_xlfn.XLOOKUP($E910,$A$5:$A$8,$F$5:$F$8,""),"")</f>
        <v>200</v>
      </c>
      <c r="K910" s="38" t="str">
        <f aca="false">_xlfn.XLOOKUP($E910,$A$5:$A$8,$G$5:$G$8,"")</f>
        <v>Per pay period</v>
      </c>
      <c r="L910" s="38" t="str">
        <f aca="false">_xlfn.XLOOKUP($E910,$A$5:$A$8,$H$5:$H$8,"")</f>
        <v>Every pay period (ongoing)</v>
      </c>
      <c r="M910" s="43" t="n">
        <f aca="false" t="array" ref="M910:M910">MAX(_xlfn.XLOOKUP($A910,TRIM(SUBSTITUTE('worker file'!$A$2:$A$406,_xlfn.UNICHAR(160)," ")),'worker file'!$M$2:$M$406,0),_xlfn.XLOOKUP($B910,TRIM('pay group &amp; schedule'!$A$2:$A$6),'pay group &amp; schedule'!$D$2:$D$6,0))</f>
        <v>46311</v>
      </c>
      <c r="N910" s="43" t="str">
        <f aca="false" t="array" ref="N910:N910">_xlfn.LET(_xlpm.t,_xlfn.XLOOKUP($A910,TRIM(SUBSTITUTE('worker file'!$A$2:$A$406,_xlfn.UNICHAR(160)," ")),'worker file'!$N$2:$N$406,""),IF(N(_xlpm.t)=0,"",_xlpm.t))</f>
        <v/>
      </c>
    </row>
    <row r="911" customFormat="false" ht="15" hidden="false" customHeight="false" outlineLevel="0" collapsed="false">
      <c r="A911" s="39" t="s">
        <v>411</v>
      </c>
      <c r="B911" s="40" t="str">
        <f aca="false" t="array" ref="B911:B911">_xlfn.XLOOKUP($A911,TRIM(SUBSTITUTE('worker file'!$A$2:$A$406,_xlfn.UNICHAR(160)," ")),'worker file'!$L$2:$L$406,"Not found")</f>
        <v>US Semi-monthly</v>
      </c>
      <c r="C911" s="40" t="str">
        <f aca="false" t="array" ref="C911:C911">_xlfn.XLOOKUP($A911,TRIM(SUBSTITUTE('worker file'!$A$2:$A$406,_xlfn.UNICHAR(160)," ")),'worker file'!$D$2:$D$406,"Not found")</f>
        <v>CA</v>
      </c>
      <c r="D911" s="40" t="str">
        <f aca="false" t="array" ref="D911:D911">_xlfn.XLOOKUP($A911,TRIM(SUBSTITUTE('worker file'!$A$2:$A$406,_xlfn.UNICHAR(160)," ")),'worker file'!$Q$2:$Q$406,"Not found")</f>
        <v>Active</v>
      </c>
      <c r="E911" s="39" t="s">
        <v>632</v>
      </c>
      <c r="F911" s="38" t="str">
        <f aca="false">_xlfn.XLOOKUP($E911,$A$5:$A$8,$B$5:$B$8,"")</f>
        <v>Dental – Employee</v>
      </c>
      <c r="G911" s="38" t="str">
        <f aca="false">_xlfn.XLOOKUP($E911,$A$5:$A$8,$D$5:$D$8,"")</f>
        <v>Pre-tax Section 125 (exempt from FIT/SIT/FICA)</v>
      </c>
      <c r="H911" s="38" t="str">
        <f aca="false">_xlfn.XLOOKUP($E911,$A$5:$A$8,$E$5:$E$8,"")</f>
        <v>Flat</v>
      </c>
      <c r="I911" s="44" t="str">
        <f aca="false">IF($H911="Percent",_xlfn.XLOOKUP($E911,$A$5:$A$8,$F$5:$F$8,""),"")</f>
        <v/>
      </c>
      <c r="J911" s="42" t="n">
        <f aca="false">IF($H911="Flat",_xlfn.XLOOKUP($E911,$A$5:$A$8,$F$5:$F$8,""),"")</f>
        <v>44</v>
      </c>
      <c r="K911" s="38" t="str">
        <f aca="false">_xlfn.XLOOKUP($E911,$A$5:$A$8,$G$5:$G$8,"")</f>
        <v>Per pay period</v>
      </c>
      <c r="L911" s="38" t="str">
        <f aca="false">_xlfn.XLOOKUP($E911,$A$5:$A$8,$H$5:$H$8,"")</f>
        <v>Every pay period (ongoing)</v>
      </c>
      <c r="M911" s="43" t="n">
        <f aca="false" t="array" ref="M911:M911">MAX(_xlfn.XLOOKUP($A911,TRIM(SUBSTITUTE('worker file'!$A$2:$A$406,_xlfn.UNICHAR(160)," ")),'worker file'!$M$2:$M$406,0),_xlfn.XLOOKUP($B911,TRIM('pay group &amp; schedule'!$A$2:$A$6),'pay group &amp; schedule'!$D$2:$D$6,0))</f>
        <v>46311</v>
      </c>
      <c r="N911" s="43" t="str">
        <f aca="false" t="array" ref="N911:N911">_xlfn.LET(_xlpm.t,_xlfn.XLOOKUP($A911,TRIM(SUBSTITUTE('worker file'!$A$2:$A$406,_xlfn.UNICHAR(160)," ")),'worker file'!$N$2:$N$406,""),IF(N(_xlpm.t)=0,"",_xlpm.t))</f>
        <v/>
      </c>
    </row>
    <row r="912" customFormat="false" ht="15" hidden="false" customHeight="false" outlineLevel="0" collapsed="false">
      <c r="A912" s="39" t="s">
        <v>411</v>
      </c>
      <c r="B912" s="40" t="str">
        <f aca="false" t="array" ref="B912:B912">_xlfn.XLOOKUP($A912,TRIM(SUBSTITUTE('worker file'!$A$2:$A$406,_xlfn.UNICHAR(160)," ")),'worker file'!$L$2:$L$406,"Not found")</f>
        <v>US Semi-monthly</v>
      </c>
      <c r="C912" s="40" t="str">
        <f aca="false" t="array" ref="C912:C912">_xlfn.XLOOKUP($A912,TRIM(SUBSTITUTE('worker file'!$A$2:$A$406,_xlfn.UNICHAR(160)," ")),'worker file'!$D$2:$D$406,"Not found")</f>
        <v>CA</v>
      </c>
      <c r="D912" s="40" t="str">
        <f aca="false" t="array" ref="D912:D912">_xlfn.XLOOKUP($A912,TRIM(SUBSTITUTE('worker file'!$A$2:$A$406,_xlfn.UNICHAR(160)," ")),'worker file'!$Q$2:$Q$406,"Not found")</f>
        <v>Active</v>
      </c>
      <c r="E912" s="39" t="s">
        <v>634</v>
      </c>
      <c r="F912" s="38" t="str">
        <f aca="false">_xlfn.XLOOKUP($E912,$A$5:$A$8,$B$5:$B$8,"")</f>
        <v>Vision – Employee</v>
      </c>
      <c r="G912" s="38" t="str">
        <f aca="false">_xlfn.XLOOKUP($E912,$A$5:$A$8,$D$5:$D$8,"")</f>
        <v>Pre-tax Section 125 (exempt from FIT/SIT/FICA)</v>
      </c>
      <c r="H912" s="38" t="str">
        <f aca="false">_xlfn.XLOOKUP($E912,$A$5:$A$8,$E$5:$E$8,"")</f>
        <v>Flat</v>
      </c>
      <c r="I912" s="44" t="str">
        <f aca="false">IF($H912="Percent",_xlfn.XLOOKUP($E912,$A$5:$A$8,$F$5:$F$8,""),"")</f>
        <v/>
      </c>
      <c r="J912" s="42" t="n">
        <f aca="false">IF($H912="Flat",_xlfn.XLOOKUP($E912,$A$5:$A$8,$F$5:$F$8,""),"")</f>
        <v>30</v>
      </c>
      <c r="K912" s="38" t="str">
        <f aca="false">_xlfn.XLOOKUP($E912,$A$5:$A$8,$G$5:$G$8,"")</f>
        <v>Per pay period</v>
      </c>
      <c r="L912" s="38" t="str">
        <f aca="false">_xlfn.XLOOKUP($E912,$A$5:$A$8,$H$5:$H$8,"")</f>
        <v>Every pay period (ongoing)</v>
      </c>
      <c r="M912" s="43" t="n">
        <f aca="false" t="array" ref="M912:M912">MAX(_xlfn.XLOOKUP($A912,TRIM(SUBSTITUTE('worker file'!$A$2:$A$406,_xlfn.UNICHAR(160)," ")),'worker file'!$M$2:$M$406,0),_xlfn.XLOOKUP($B912,TRIM('pay group &amp; schedule'!$A$2:$A$6),'pay group &amp; schedule'!$D$2:$D$6,0))</f>
        <v>46311</v>
      </c>
      <c r="N912" s="43" t="str">
        <f aca="false" t="array" ref="N912:N912">_xlfn.LET(_xlpm.t,_xlfn.XLOOKUP($A912,TRIM(SUBSTITUTE('worker file'!$A$2:$A$406,_xlfn.UNICHAR(160)," ")),'worker file'!$N$2:$N$406,""),IF(N(_xlpm.t)=0,"",_xlpm.t))</f>
        <v/>
      </c>
    </row>
    <row r="913" customFormat="false" ht="15" hidden="false" customHeight="false" outlineLevel="0" collapsed="false">
      <c r="A913" s="39" t="s">
        <v>412</v>
      </c>
      <c r="B913" s="40" t="str">
        <f aca="false" t="array" ref="B913:B913">_xlfn.XLOOKUP($A913,TRIM(SUBSTITUTE('worker file'!$A$2:$A$406,_xlfn.UNICHAR(160)," ")),'worker file'!$L$2:$L$406,"Not found")</f>
        <v>US Semi-monthly</v>
      </c>
      <c r="C913" s="40" t="str">
        <f aca="false" t="array" ref="C913:C913">_xlfn.XLOOKUP($A913,TRIM(SUBSTITUTE('worker file'!$A$2:$A$406,_xlfn.UNICHAR(160)," ")),'worker file'!$D$2:$D$406,"Not found")</f>
        <v>WA</v>
      </c>
      <c r="D913" s="40" t="str">
        <f aca="false" t="array" ref="D913:D913">_xlfn.XLOOKUP($A913,TRIM(SUBSTITUTE('worker file'!$A$2:$A$406,_xlfn.UNICHAR(160)," ")),'worker file'!$Q$2:$Q$406,"Not found")</f>
        <v>Active</v>
      </c>
      <c r="E913" s="39" t="s">
        <v>626</v>
      </c>
      <c r="F913" s="38" t="str">
        <f aca="false">_xlfn.XLOOKUP($E913,$A$5:$A$8,$B$5:$B$8,"")</f>
        <v>Medical (Health) – Employee</v>
      </c>
      <c r="G913" s="38" t="str">
        <f aca="false">_xlfn.XLOOKUP($E913,$A$5:$A$8,$D$5:$D$8,"")</f>
        <v>Pre-tax Section 125 (exempt from FIT/SIT/FICA)</v>
      </c>
      <c r="H913" s="38" t="str">
        <f aca="false">_xlfn.XLOOKUP($E913,$A$5:$A$8,$E$5:$E$8,"")</f>
        <v>Flat</v>
      </c>
      <c r="I913" s="44" t="str">
        <f aca="false">IF($H913="Percent",_xlfn.XLOOKUP($E913,$A$5:$A$8,$F$5:$F$8,""),"")</f>
        <v/>
      </c>
      <c r="J913" s="42" t="n">
        <f aca="false">IF($H913="Flat",_xlfn.XLOOKUP($E913,$A$5:$A$8,$F$5:$F$8,""),"")</f>
        <v>200</v>
      </c>
      <c r="K913" s="38" t="str">
        <f aca="false">_xlfn.XLOOKUP($E913,$A$5:$A$8,$G$5:$G$8,"")</f>
        <v>Per pay period</v>
      </c>
      <c r="L913" s="38" t="str">
        <f aca="false">_xlfn.XLOOKUP($E913,$A$5:$A$8,$H$5:$H$8,"")</f>
        <v>Every pay period (ongoing)</v>
      </c>
      <c r="M913" s="43" t="n">
        <f aca="false" t="array" ref="M913:M913">MAX(_xlfn.XLOOKUP($A913,TRIM(SUBSTITUTE('worker file'!$A$2:$A$406,_xlfn.UNICHAR(160)," ")),'worker file'!$M$2:$M$406,0),_xlfn.XLOOKUP($B913,TRIM('pay group &amp; schedule'!$A$2:$A$6),'pay group &amp; schedule'!$D$2:$D$6,0))</f>
        <v>46311</v>
      </c>
      <c r="N913" s="43" t="str">
        <f aca="false" t="array" ref="N913:N913">_xlfn.LET(_xlpm.t,_xlfn.XLOOKUP($A913,TRIM(SUBSTITUTE('worker file'!$A$2:$A$406,_xlfn.UNICHAR(160)," ")),'worker file'!$N$2:$N$406,""),IF(N(_xlpm.t)=0,"",_xlpm.t))</f>
        <v/>
      </c>
    </row>
    <row r="914" customFormat="false" ht="15" hidden="false" customHeight="false" outlineLevel="0" collapsed="false">
      <c r="A914" s="39" t="s">
        <v>412</v>
      </c>
      <c r="B914" s="40" t="str">
        <f aca="false" t="array" ref="B914:B914">_xlfn.XLOOKUP($A914,TRIM(SUBSTITUTE('worker file'!$A$2:$A$406,_xlfn.UNICHAR(160)," ")),'worker file'!$L$2:$L$406,"Not found")</f>
        <v>US Semi-monthly</v>
      </c>
      <c r="C914" s="40" t="str">
        <f aca="false" t="array" ref="C914:C914">_xlfn.XLOOKUP($A914,TRIM(SUBSTITUTE('worker file'!$A$2:$A$406,_xlfn.UNICHAR(160)," ")),'worker file'!$D$2:$D$406,"Not found")</f>
        <v>WA</v>
      </c>
      <c r="D914" s="40" t="str">
        <f aca="false" t="array" ref="D914:D914">_xlfn.XLOOKUP($A914,TRIM(SUBSTITUTE('worker file'!$A$2:$A$406,_xlfn.UNICHAR(160)," ")),'worker file'!$Q$2:$Q$406,"Not found")</f>
        <v>Active</v>
      </c>
      <c r="E914" s="39" t="s">
        <v>632</v>
      </c>
      <c r="F914" s="38" t="str">
        <f aca="false">_xlfn.XLOOKUP($E914,$A$5:$A$8,$B$5:$B$8,"")</f>
        <v>Dental – Employee</v>
      </c>
      <c r="G914" s="38" t="str">
        <f aca="false">_xlfn.XLOOKUP($E914,$A$5:$A$8,$D$5:$D$8,"")</f>
        <v>Pre-tax Section 125 (exempt from FIT/SIT/FICA)</v>
      </c>
      <c r="H914" s="38" t="str">
        <f aca="false">_xlfn.XLOOKUP($E914,$A$5:$A$8,$E$5:$E$8,"")</f>
        <v>Flat</v>
      </c>
      <c r="I914" s="44" t="str">
        <f aca="false">IF($H914="Percent",_xlfn.XLOOKUP($E914,$A$5:$A$8,$F$5:$F$8,""),"")</f>
        <v/>
      </c>
      <c r="J914" s="42" t="n">
        <f aca="false">IF($H914="Flat",_xlfn.XLOOKUP($E914,$A$5:$A$8,$F$5:$F$8,""),"")</f>
        <v>44</v>
      </c>
      <c r="K914" s="38" t="str">
        <f aca="false">_xlfn.XLOOKUP($E914,$A$5:$A$8,$G$5:$G$8,"")</f>
        <v>Per pay period</v>
      </c>
      <c r="L914" s="38" t="str">
        <f aca="false">_xlfn.XLOOKUP($E914,$A$5:$A$8,$H$5:$H$8,"")</f>
        <v>Every pay period (ongoing)</v>
      </c>
      <c r="M914" s="43" t="n">
        <f aca="false" t="array" ref="M914:M914">MAX(_xlfn.XLOOKUP($A914,TRIM(SUBSTITUTE('worker file'!$A$2:$A$406,_xlfn.UNICHAR(160)," ")),'worker file'!$M$2:$M$406,0),_xlfn.XLOOKUP($B914,TRIM('pay group &amp; schedule'!$A$2:$A$6),'pay group &amp; schedule'!$D$2:$D$6,0))</f>
        <v>46311</v>
      </c>
      <c r="N914" s="43" t="str">
        <f aca="false" t="array" ref="N914:N914">_xlfn.LET(_xlpm.t,_xlfn.XLOOKUP($A914,TRIM(SUBSTITUTE('worker file'!$A$2:$A$406,_xlfn.UNICHAR(160)," ")),'worker file'!$N$2:$N$406,""),IF(N(_xlpm.t)=0,"",_xlpm.t))</f>
        <v/>
      </c>
    </row>
    <row r="915" customFormat="false" ht="15" hidden="false" customHeight="false" outlineLevel="0" collapsed="false">
      <c r="A915" s="39" t="s">
        <v>412</v>
      </c>
      <c r="B915" s="40" t="str">
        <f aca="false" t="array" ref="B915:B915">_xlfn.XLOOKUP($A915,TRIM(SUBSTITUTE('worker file'!$A$2:$A$406,_xlfn.UNICHAR(160)," ")),'worker file'!$L$2:$L$406,"Not found")</f>
        <v>US Semi-monthly</v>
      </c>
      <c r="C915" s="40" t="str">
        <f aca="false" t="array" ref="C915:C915">_xlfn.XLOOKUP($A915,TRIM(SUBSTITUTE('worker file'!$A$2:$A$406,_xlfn.UNICHAR(160)," ")),'worker file'!$D$2:$D$406,"Not found")</f>
        <v>WA</v>
      </c>
      <c r="D915" s="40" t="str">
        <f aca="false" t="array" ref="D915:D915">_xlfn.XLOOKUP($A915,TRIM(SUBSTITUTE('worker file'!$A$2:$A$406,_xlfn.UNICHAR(160)," ")),'worker file'!$Q$2:$Q$406,"Not found")</f>
        <v>Active</v>
      </c>
      <c r="E915" s="39" t="s">
        <v>634</v>
      </c>
      <c r="F915" s="38" t="str">
        <f aca="false">_xlfn.XLOOKUP($E915,$A$5:$A$8,$B$5:$B$8,"")</f>
        <v>Vision – Employee</v>
      </c>
      <c r="G915" s="38" t="str">
        <f aca="false">_xlfn.XLOOKUP($E915,$A$5:$A$8,$D$5:$D$8,"")</f>
        <v>Pre-tax Section 125 (exempt from FIT/SIT/FICA)</v>
      </c>
      <c r="H915" s="38" t="str">
        <f aca="false">_xlfn.XLOOKUP($E915,$A$5:$A$8,$E$5:$E$8,"")</f>
        <v>Flat</v>
      </c>
      <c r="I915" s="44" t="str">
        <f aca="false">IF($H915="Percent",_xlfn.XLOOKUP($E915,$A$5:$A$8,$F$5:$F$8,""),"")</f>
        <v/>
      </c>
      <c r="J915" s="42" t="n">
        <f aca="false">IF($H915="Flat",_xlfn.XLOOKUP($E915,$A$5:$A$8,$F$5:$F$8,""),"")</f>
        <v>30</v>
      </c>
      <c r="K915" s="38" t="str">
        <f aca="false">_xlfn.XLOOKUP($E915,$A$5:$A$8,$G$5:$G$8,"")</f>
        <v>Per pay period</v>
      </c>
      <c r="L915" s="38" t="str">
        <f aca="false">_xlfn.XLOOKUP($E915,$A$5:$A$8,$H$5:$H$8,"")</f>
        <v>Every pay period (ongoing)</v>
      </c>
      <c r="M915" s="43" t="n">
        <f aca="false" t="array" ref="M915:M915">MAX(_xlfn.XLOOKUP($A915,TRIM(SUBSTITUTE('worker file'!$A$2:$A$406,_xlfn.UNICHAR(160)," ")),'worker file'!$M$2:$M$406,0),_xlfn.XLOOKUP($B915,TRIM('pay group &amp; schedule'!$A$2:$A$6),'pay group &amp; schedule'!$D$2:$D$6,0))</f>
        <v>46311</v>
      </c>
      <c r="N915" s="43" t="str">
        <f aca="false" t="array" ref="N915:N915">_xlfn.LET(_xlpm.t,_xlfn.XLOOKUP($A915,TRIM(SUBSTITUTE('worker file'!$A$2:$A$406,_xlfn.UNICHAR(160)," ")),'worker file'!$N$2:$N$406,""),IF(N(_xlpm.t)=0,"",_xlpm.t))</f>
        <v/>
      </c>
    </row>
    <row r="916" customFormat="false" ht="15" hidden="false" customHeight="false" outlineLevel="0" collapsed="false">
      <c r="A916" s="39" t="s">
        <v>413</v>
      </c>
      <c r="B916" s="40" t="str">
        <f aca="false" t="array" ref="B916:B916">_xlfn.XLOOKUP($A916,TRIM(SUBSTITUTE('worker file'!$A$2:$A$406,_xlfn.UNICHAR(160)," ")),'worker file'!$L$2:$L$406,"Not found")</f>
        <v>US Semi-monthly</v>
      </c>
      <c r="C916" s="40" t="str">
        <f aca="false" t="array" ref="C916:C916">_xlfn.XLOOKUP($A916,TRIM(SUBSTITUTE('worker file'!$A$2:$A$406,_xlfn.UNICHAR(160)," ")),'worker file'!$D$2:$D$406,"Not found")</f>
        <v>CA</v>
      </c>
      <c r="D916" s="40" t="str">
        <f aca="false" t="array" ref="D916:D916">_xlfn.XLOOKUP($A916,TRIM(SUBSTITUTE('worker file'!$A$2:$A$406,_xlfn.UNICHAR(160)," ")),'worker file'!$Q$2:$Q$406,"Not found")</f>
        <v>Active</v>
      </c>
      <c r="E916" s="39" t="s">
        <v>618</v>
      </c>
      <c r="F916" s="38" t="str">
        <f aca="false">_xlfn.XLOOKUP($E916,$A$5:$A$8,$B$5:$B$8,"")</f>
        <v>401(k) Employee Deferral</v>
      </c>
      <c r="G916" s="38" t="str">
        <f aca="false">_xlfn.XLOOKUP($E916,$A$5:$A$8,$D$5:$D$8,"")</f>
        <v>Pre-tax (exempt from FIT/SIT; subject to FICA)</v>
      </c>
      <c r="H916" s="38" t="str">
        <f aca="false">_xlfn.XLOOKUP($E916,$A$5:$A$8,$E$5:$E$8,"")</f>
        <v>Percent</v>
      </c>
      <c r="I916" s="41" t="n">
        <v>0.03</v>
      </c>
      <c r="J916" s="42" t="str">
        <f aca="false">IF($H916="Flat",_xlfn.XLOOKUP($E916,$A$5:$A$8,$F$5:$F$8,""),"")</f>
        <v/>
      </c>
      <c r="K916" s="38" t="str">
        <f aca="false">_xlfn.XLOOKUP($E916,$A$5:$A$8,$G$5:$G$8,"")</f>
        <v>Gross pay</v>
      </c>
      <c r="L916" s="38" t="str">
        <f aca="false">_xlfn.XLOOKUP($E916,$A$5:$A$8,$H$5:$H$8,"")</f>
        <v>Every pay period (ongoing)</v>
      </c>
      <c r="M916" s="43" t="n">
        <f aca="false" t="array" ref="M916:M916">MAX(_xlfn.XLOOKUP($A916,TRIM(SUBSTITUTE('worker file'!$A$2:$A$406,_xlfn.UNICHAR(160)," ")),'worker file'!$M$2:$M$406,0),_xlfn.XLOOKUP($B916,TRIM('pay group &amp; schedule'!$A$2:$A$6),'pay group &amp; schedule'!$D$2:$D$6,0))</f>
        <v>46311</v>
      </c>
      <c r="N916" s="43" t="str">
        <f aca="false" t="array" ref="N916:N916">_xlfn.LET(_xlpm.t,_xlfn.XLOOKUP($A916,TRIM(SUBSTITUTE('worker file'!$A$2:$A$406,_xlfn.UNICHAR(160)," ")),'worker file'!$N$2:$N$406,""),IF(N(_xlpm.t)=0,"",_xlpm.t))</f>
        <v/>
      </c>
    </row>
    <row r="917" customFormat="false" ht="15" hidden="false" customHeight="false" outlineLevel="0" collapsed="false">
      <c r="A917" s="39" t="s">
        <v>413</v>
      </c>
      <c r="B917" s="40" t="str">
        <f aca="false" t="array" ref="B917:B917">_xlfn.XLOOKUP($A917,TRIM(SUBSTITUTE('worker file'!$A$2:$A$406,_xlfn.UNICHAR(160)," ")),'worker file'!$L$2:$L$406,"Not found")</f>
        <v>US Semi-monthly</v>
      </c>
      <c r="C917" s="40" t="str">
        <f aca="false" t="array" ref="C917:C917">_xlfn.XLOOKUP($A917,TRIM(SUBSTITUTE('worker file'!$A$2:$A$406,_xlfn.UNICHAR(160)," ")),'worker file'!$D$2:$D$406,"Not found")</f>
        <v>CA</v>
      </c>
      <c r="D917" s="40" t="str">
        <f aca="false" t="array" ref="D917:D917">_xlfn.XLOOKUP($A917,TRIM(SUBSTITUTE('worker file'!$A$2:$A$406,_xlfn.UNICHAR(160)," ")),'worker file'!$Q$2:$Q$406,"Not found")</f>
        <v>Active</v>
      </c>
      <c r="E917" s="39" t="s">
        <v>626</v>
      </c>
      <c r="F917" s="38" t="str">
        <f aca="false">_xlfn.XLOOKUP($E917,$A$5:$A$8,$B$5:$B$8,"")</f>
        <v>Medical (Health) – Employee</v>
      </c>
      <c r="G917" s="38" t="str">
        <f aca="false">_xlfn.XLOOKUP($E917,$A$5:$A$8,$D$5:$D$8,"")</f>
        <v>Pre-tax Section 125 (exempt from FIT/SIT/FICA)</v>
      </c>
      <c r="H917" s="38" t="str">
        <f aca="false">_xlfn.XLOOKUP($E917,$A$5:$A$8,$E$5:$E$8,"")</f>
        <v>Flat</v>
      </c>
      <c r="I917" s="44" t="str">
        <f aca="false">IF($H917="Percent",_xlfn.XLOOKUP($E917,$A$5:$A$8,$F$5:$F$8,""),"")</f>
        <v/>
      </c>
      <c r="J917" s="42" t="n">
        <f aca="false">IF($H917="Flat",_xlfn.XLOOKUP($E917,$A$5:$A$8,$F$5:$F$8,""),"")</f>
        <v>200</v>
      </c>
      <c r="K917" s="38" t="str">
        <f aca="false">_xlfn.XLOOKUP($E917,$A$5:$A$8,$G$5:$G$8,"")</f>
        <v>Per pay period</v>
      </c>
      <c r="L917" s="38" t="str">
        <f aca="false">_xlfn.XLOOKUP($E917,$A$5:$A$8,$H$5:$H$8,"")</f>
        <v>Every pay period (ongoing)</v>
      </c>
      <c r="M917" s="43" t="n">
        <f aca="false" t="array" ref="M917:M917">MAX(_xlfn.XLOOKUP($A917,TRIM(SUBSTITUTE('worker file'!$A$2:$A$406,_xlfn.UNICHAR(160)," ")),'worker file'!$M$2:$M$406,0),_xlfn.XLOOKUP($B917,TRIM('pay group &amp; schedule'!$A$2:$A$6),'pay group &amp; schedule'!$D$2:$D$6,0))</f>
        <v>46311</v>
      </c>
      <c r="N917" s="43" t="str">
        <f aca="false" t="array" ref="N917:N917">_xlfn.LET(_xlpm.t,_xlfn.XLOOKUP($A917,TRIM(SUBSTITUTE('worker file'!$A$2:$A$406,_xlfn.UNICHAR(160)," ")),'worker file'!$N$2:$N$406,""),IF(N(_xlpm.t)=0,"",_xlpm.t))</f>
        <v/>
      </c>
    </row>
    <row r="918" customFormat="false" ht="15" hidden="false" customHeight="false" outlineLevel="0" collapsed="false">
      <c r="A918" s="39" t="s">
        <v>413</v>
      </c>
      <c r="B918" s="40" t="str">
        <f aca="false" t="array" ref="B918:B918">_xlfn.XLOOKUP($A918,TRIM(SUBSTITUTE('worker file'!$A$2:$A$406,_xlfn.UNICHAR(160)," ")),'worker file'!$L$2:$L$406,"Not found")</f>
        <v>US Semi-monthly</v>
      </c>
      <c r="C918" s="40" t="str">
        <f aca="false" t="array" ref="C918:C918">_xlfn.XLOOKUP($A918,TRIM(SUBSTITUTE('worker file'!$A$2:$A$406,_xlfn.UNICHAR(160)," ")),'worker file'!$D$2:$D$406,"Not found")</f>
        <v>CA</v>
      </c>
      <c r="D918" s="40" t="str">
        <f aca="false" t="array" ref="D918:D918">_xlfn.XLOOKUP($A918,TRIM(SUBSTITUTE('worker file'!$A$2:$A$406,_xlfn.UNICHAR(160)," ")),'worker file'!$Q$2:$Q$406,"Not found")</f>
        <v>Active</v>
      </c>
      <c r="E918" s="39" t="s">
        <v>632</v>
      </c>
      <c r="F918" s="38" t="str">
        <f aca="false">_xlfn.XLOOKUP($E918,$A$5:$A$8,$B$5:$B$8,"")</f>
        <v>Dental – Employee</v>
      </c>
      <c r="G918" s="38" t="str">
        <f aca="false">_xlfn.XLOOKUP($E918,$A$5:$A$8,$D$5:$D$8,"")</f>
        <v>Pre-tax Section 125 (exempt from FIT/SIT/FICA)</v>
      </c>
      <c r="H918" s="38" t="str">
        <f aca="false">_xlfn.XLOOKUP($E918,$A$5:$A$8,$E$5:$E$8,"")</f>
        <v>Flat</v>
      </c>
      <c r="I918" s="44" t="str">
        <f aca="false">IF($H918="Percent",_xlfn.XLOOKUP($E918,$A$5:$A$8,$F$5:$F$8,""),"")</f>
        <v/>
      </c>
      <c r="J918" s="42" t="n">
        <f aca="false">IF($H918="Flat",_xlfn.XLOOKUP($E918,$A$5:$A$8,$F$5:$F$8,""),"")</f>
        <v>44</v>
      </c>
      <c r="K918" s="38" t="str">
        <f aca="false">_xlfn.XLOOKUP($E918,$A$5:$A$8,$G$5:$G$8,"")</f>
        <v>Per pay period</v>
      </c>
      <c r="L918" s="38" t="str">
        <f aca="false">_xlfn.XLOOKUP($E918,$A$5:$A$8,$H$5:$H$8,"")</f>
        <v>Every pay period (ongoing)</v>
      </c>
      <c r="M918" s="43" t="n">
        <f aca="false" t="array" ref="M918:M918">MAX(_xlfn.XLOOKUP($A918,TRIM(SUBSTITUTE('worker file'!$A$2:$A$406,_xlfn.UNICHAR(160)," ")),'worker file'!$M$2:$M$406,0),_xlfn.XLOOKUP($B918,TRIM('pay group &amp; schedule'!$A$2:$A$6),'pay group &amp; schedule'!$D$2:$D$6,0))</f>
        <v>46311</v>
      </c>
      <c r="N918" s="43" t="str">
        <f aca="false" t="array" ref="N918:N918">_xlfn.LET(_xlpm.t,_xlfn.XLOOKUP($A918,TRIM(SUBSTITUTE('worker file'!$A$2:$A$406,_xlfn.UNICHAR(160)," ")),'worker file'!$N$2:$N$406,""),IF(N(_xlpm.t)=0,"",_xlpm.t))</f>
        <v/>
      </c>
    </row>
    <row r="919" customFormat="false" ht="15" hidden="false" customHeight="false" outlineLevel="0" collapsed="false">
      <c r="A919" s="39" t="s">
        <v>413</v>
      </c>
      <c r="B919" s="40" t="str">
        <f aca="false" t="array" ref="B919:B919">_xlfn.XLOOKUP($A919,TRIM(SUBSTITUTE('worker file'!$A$2:$A$406,_xlfn.UNICHAR(160)," ")),'worker file'!$L$2:$L$406,"Not found")</f>
        <v>US Semi-monthly</v>
      </c>
      <c r="C919" s="40" t="str">
        <f aca="false" t="array" ref="C919:C919">_xlfn.XLOOKUP($A919,TRIM(SUBSTITUTE('worker file'!$A$2:$A$406,_xlfn.UNICHAR(160)," ")),'worker file'!$D$2:$D$406,"Not found")</f>
        <v>CA</v>
      </c>
      <c r="D919" s="40" t="str">
        <f aca="false" t="array" ref="D919:D919">_xlfn.XLOOKUP($A919,TRIM(SUBSTITUTE('worker file'!$A$2:$A$406,_xlfn.UNICHAR(160)," ")),'worker file'!$Q$2:$Q$406,"Not found")</f>
        <v>Active</v>
      </c>
      <c r="E919" s="39" t="s">
        <v>634</v>
      </c>
      <c r="F919" s="38" t="str">
        <f aca="false">_xlfn.XLOOKUP($E919,$A$5:$A$8,$B$5:$B$8,"")</f>
        <v>Vision – Employee</v>
      </c>
      <c r="G919" s="38" t="str">
        <f aca="false">_xlfn.XLOOKUP($E919,$A$5:$A$8,$D$5:$D$8,"")</f>
        <v>Pre-tax Section 125 (exempt from FIT/SIT/FICA)</v>
      </c>
      <c r="H919" s="38" t="str">
        <f aca="false">_xlfn.XLOOKUP($E919,$A$5:$A$8,$E$5:$E$8,"")</f>
        <v>Flat</v>
      </c>
      <c r="I919" s="44" t="str">
        <f aca="false">IF($H919="Percent",_xlfn.XLOOKUP($E919,$A$5:$A$8,$F$5:$F$8,""),"")</f>
        <v/>
      </c>
      <c r="J919" s="42" t="n">
        <f aca="false">IF($H919="Flat",_xlfn.XLOOKUP($E919,$A$5:$A$8,$F$5:$F$8,""),"")</f>
        <v>30</v>
      </c>
      <c r="K919" s="38" t="str">
        <f aca="false">_xlfn.XLOOKUP($E919,$A$5:$A$8,$G$5:$G$8,"")</f>
        <v>Per pay period</v>
      </c>
      <c r="L919" s="38" t="str">
        <f aca="false">_xlfn.XLOOKUP($E919,$A$5:$A$8,$H$5:$H$8,"")</f>
        <v>Every pay period (ongoing)</v>
      </c>
      <c r="M919" s="43" t="n">
        <f aca="false" t="array" ref="M919:M919">MAX(_xlfn.XLOOKUP($A919,TRIM(SUBSTITUTE('worker file'!$A$2:$A$406,_xlfn.UNICHAR(160)," ")),'worker file'!$M$2:$M$406,0),_xlfn.XLOOKUP($B919,TRIM('pay group &amp; schedule'!$A$2:$A$6),'pay group &amp; schedule'!$D$2:$D$6,0))</f>
        <v>46311</v>
      </c>
      <c r="N919" s="43" t="str">
        <f aca="false" t="array" ref="N919:N919">_xlfn.LET(_xlpm.t,_xlfn.XLOOKUP($A919,TRIM(SUBSTITUTE('worker file'!$A$2:$A$406,_xlfn.UNICHAR(160)," ")),'worker file'!$N$2:$N$406,""),IF(N(_xlpm.t)=0,"",_xlpm.t))</f>
        <v/>
      </c>
    </row>
    <row r="920" customFormat="false" ht="15" hidden="false" customHeight="false" outlineLevel="0" collapsed="false">
      <c r="A920" s="39" t="s">
        <v>414</v>
      </c>
      <c r="B920" s="40" t="str">
        <f aca="false" t="array" ref="B920:B920">_xlfn.XLOOKUP($A920,TRIM(SUBSTITUTE('worker file'!$A$2:$A$406,_xlfn.UNICHAR(160)," ")),'worker file'!$L$2:$L$406,"Not found")</f>
        <v>US Semi-monthly</v>
      </c>
      <c r="C920" s="40" t="str">
        <f aca="false" t="array" ref="C920:C920">_xlfn.XLOOKUP($A920,TRIM(SUBSTITUTE('worker file'!$A$2:$A$406,_xlfn.UNICHAR(160)," ")),'worker file'!$D$2:$D$406,"Not found")</f>
        <v>CA</v>
      </c>
      <c r="D920" s="40" t="str">
        <f aca="false" t="array" ref="D920:D920">_xlfn.XLOOKUP($A920,TRIM(SUBSTITUTE('worker file'!$A$2:$A$406,_xlfn.UNICHAR(160)," ")),'worker file'!$Q$2:$Q$406,"Not found")</f>
        <v>Active</v>
      </c>
      <c r="E920" s="39" t="s">
        <v>618</v>
      </c>
      <c r="F920" s="38" t="str">
        <f aca="false">_xlfn.XLOOKUP($E920,$A$5:$A$8,$B$5:$B$8,"")</f>
        <v>401(k) Employee Deferral</v>
      </c>
      <c r="G920" s="38" t="str">
        <f aca="false">_xlfn.XLOOKUP($E920,$A$5:$A$8,$D$5:$D$8,"")</f>
        <v>Pre-tax (exempt from FIT/SIT; subject to FICA)</v>
      </c>
      <c r="H920" s="38" t="str">
        <f aca="false">_xlfn.XLOOKUP($E920,$A$5:$A$8,$E$5:$E$8,"")</f>
        <v>Percent</v>
      </c>
      <c r="I920" s="41" t="n">
        <v>0</v>
      </c>
      <c r="J920" s="42" t="str">
        <f aca="false">IF($H920="Flat",_xlfn.XLOOKUP($E920,$A$5:$A$8,$F$5:$F$8,""),"")</f>
        <v/>
      </c>
      <c r="K920" s="38" t="str">
        <f aca="false">_xlfn.XLOOKUP($E920,$A$5:$A$8,$G$5:$G$8,"")</f>
        <v>Gross pay</v>
      </c>
      <c r="L920" s="38" t="str">
        <f aca="false">_xlfn.XLOOKUP($E920,$A$5:$A$8,$H$5:$H$8,"")</f>
        <v>Every pay period (ongoing)</v>
      </c>
      <c r="M920" s="43" t="n">
        <f aca="false" t="array" ref="M920:M920">MAX(_xlfn.XLOOKUP($A920,TRIM(SUBSTITUTE('worker file'!$A$2:$A$406,_xlfn.UNICHAR(160)," ")),'worker file'!$M$2:$M$406,0),_xlfn.XLOOKUP($B920,TRIM('pay group &amp; schedule'!$A$2:$A$6),'pay group &amp; schedule'!$D$2:$D$6,0))</f>
        <v>46311</v>
      </c>
      <c r="N920" s="43" t="str">
        <f aca="false" t="array" ref="N920:N920">_xlfn.LET(_xlpm.t,_xlfn.XLOOKUP($A920,TRIM(SUBSTITUTE('worker file'!$A$2:$A$406,_xlfn.UNICHAR(160)," ")),'worker file'!$N$2:$N$406,""),IF(N(_xlpm.t)=0,"",_xlpm.t))</f>
        <v/>
      </c>
    </row>
    <row r="921" customFormat="false" ht="15" hidden="false" customHeight="false" outlineLevel="0" collapsed="false">
      <c r="A921" s="39" t="s">
        <v>414</v>
      </c>
      <c r="B921" s="40" t="str">
        <f aca="false" t="array" ref="B921:B921">_xlfn.XLOOKUP($A921,TRIM(SUBSTITUTE('worker file'!$A$2:$A$406,_xlfn.UNICHAR(160)," ")),'worker file'!$L$2:$L$406,"Not found")</f>
        <v>US Semi-monthly</v>
      </c>
      <c r="C921" s="40" t="str">
        <f aca="false" t="array" ref="C921:C921">_xlfn.XLOOKUP($A921,TRIM(SUBSTITUTE('worker file'!$A$2:$A$406,_xlfn.UNICHAR(160)," ")),'worker file'!$D$2:$D$406,"Not found")</f>
        <v>CA</v>
      </c>
      <c r="D921" s="40" t="str">
        <f aca="false" t="array" ref="D921:D921">_xlfn.XLOOKUP($A921,TRIM(SUBSTITUTE('worker file'!$A$2:$A$406,_xlfn.UNICHAR(160)," ")),'worker file'!$Q$2:$Q$406,"Not found")</f>
        <v>Active</v>
      </c>
      <c r="E921" s="39" t="s">
        <v>626</v>
      </c>
      <c r="F921" s="38" t="str">
        <f aca="false">_xlfn.XLOOKUP($E921,$A$5:$A$8,$B$5:$B$8,"")</f>
        <v>Medical (Health) – Employee</v>
      </c>
      <c r="G921" s="38" t="str">
        <f aca="false">_xlfn.XLOOKUP($E921,$A$5:$A$8,$D$5:$D$8,"")</f>
        <v>Pre-tax Section 125 (exempt from FIT/SIT/FICA)</v>
      </c>
      <c r="H921" s="38" t="str">
        <f aca="false">_xlfn.XLOOKUP($E921,$A$5:$A$8,$E$5:$E$8,"")</f>
        <v>Flat</v>
      </c>
      <c r="I921" s="44" t="str">
        <f aca="false">IF($H921="Percent",_xlfn.XLOOKUP($E921,$A$5:$A$8,$F$5:$F$8,""),"")</f>
        <v/>
      </c>
      <c r="J921" s="42" t="n">
        <f aca="false">IF($H921="Flat",_xlfn.XLOOKUP($E921,$A$5:$A$8,$F$5:$F$8,""),"")</f>
        <v>200</v>
      </c>
      <c r="K921" s="38" t="str">
        <f aca="false">_xlfn.XLOOKUP($E921,$A$5:$A$8,$G$5:$G$8,"")</f>
        <v>Per pay period</v>
      </c>
      <c r="L921" s="38" t="str">
        <f aca="false">_xlfn.XLOOKUP($E921,$A$5:$A$8,$H$5:$H$8,"")</f>
        <v>Every pay period (ongoing)</v>
      </c>
      <c r="M921" s="43" t="n">
        <f aca="false" t="array" ref="M921:M921">MAX(_xlfn.XLOOKUP($A921,TRIM(SUBSTITUTE('worker file'!$A$2:$A$406,_xlfn.UNICHAR(160)," ")),'worker file'!$M$2:$M$406,0),_xlfn.XLOOKUP($B921,TRIM('pay group &amp; schedule'!$A$2:$A$6),'pay group &amp; schedule'!$D$2:$D$6,0))</f>
        <v>46311</v>
      </c>
      <c r="N921" s="43" t="str">
        <f aca="false" t="array" ref="N921:N921">_xlfn.LET(_xlpm.t,_xlfn.XLOOKUP($A921,TRIM(SUBSTITUTE('worker file'!$A$2:$A$406,_xlfn.UNICHAR(160)," ")),'worker file'!$N$2:$N$406,""),IF(N(_xlpm.t)=0,"",_xlpm.t))</f>
        <v/>
      </c>
    </row>
    <row r="922" customFormat="false" ht="15" hidden="false" customHeight="false" outlineLevel="0" collapsed="false">
      <c r="A922" s="39" t="s">
        <v>414</v>
      </c>
      <c r="B922" s="40" t="str">
        <f aca="false" t="array" ref="B922:B922">_xlfn.XLOOKUP($A922,TRIM(SUBSTITUTE('worker file'!$A$2:$A$406,_xlfn.UNICHAR(160)," ")),'worker file'!$L$2:$L$406,"Not found")</f>
        <v>US Semi-monthly</v>
      </c>
      <c r="C922" s="40" t="str">
        <f aca="false" t="array" ref="C922:C922">_xlfn.XLOOKUP($A922,TRIM(SUBSTITUTE('worker file'!$A$2:$A$406,_xlfn.UNICHAR(160)," ")),'worker file'!$D$2:$D$406,"Not found")</f>
        <v>CA</v>
      </c>
      <c r="D922" s="40" t="str">
        <f aca="false" t="array" ref="D922:D922">_xlfn.XLOOKUP($A922,TRIM(SUBSTITUTE('worker file'!$A$2:$A$406,_xlfn.UNICHAR(160)," ")),'worker file'!$Q$2:$Q$406,"Not found")</f>
        <v>Active</v>
      </c>
      <c r="E922" s="39" t="s">
        <v>632</v>
      </c>
      <c r="F922" s="38" t="str">
        <f aca="false">_xlfn.XLOOKUP($E922,$A$5:$A$8,$B$5:$B$8,"")</f>
        <v>Dental – Employee</v>
      </c>
      <c r="G922" s="38" t="str">
        <f aca="false">_xlfn.XLOOKUP($E922,$A$5:$A$8,$D$5:$D$8,"")</f>
        <v>Pre-tax Section 125 (exempt from FIT/SIT/FICA)</v>
      </c>
      <c r="H922" s="38" t="str">
        <f aca="false">_xlfn.XLOOKUP($E922,$A$5:$A$8,$E$5:$E$8,"")</f>
        <v>Flat</v>
      </c>
      <c r="I922" s="44" t="str">
        <f aca="false">IF($H922="Percent",_xlfn.XLOOKUP($E922,$A$5:$A$8,$F$5:$F$8,""),"")</f>
        <v/>
      </c>
      <c r="J922" s="42" t="n">
        <f aca="false">IF($H922="Flat",_xlfn.XLOOKUP($E922,$A$5:$A$8,$F$5:$F$8,""),"")</f>
        <v>44</v>
      </c>
      <c r="K922" s="38" t="str">
        <f aca="false">_xlfn.XLOOKUP($E922,$A$5:$A$8,$G$5:$G$8,"")</f>
        <v>Per pay period</v>
      </c>
      <c r="L922" s="38" t="str">
        <f aca="false">_xlfn.XLOOKUP($E922,$A$5:$A$8,$H$5:$H$8,"")</f>
        <v>Every pay period (ongoing)</v>
      </c>
      <c r="M922" s="43" t="n">
        <f aca="false" t="array" ref="M922:M922">MAX(_xlfn.XLOOKUP($A922,TRIM(SUBSTITUTE('worker file'!$A$2:$A$406,_xlfn.UNICHAR(160)," ")),'worker file'!$M$2:$M$406,0),_xlfn.XLOOKUP($B922,TRIM('pay group &amp; schedule'!$A$2:$A$6),'pay group &amp; schedule'!$D$2:$D$6,0))</f>
        <v>46311</v>
      </c>
      <c r="N922" s="43" t="str">
        <f aca="false" t="array" ref="N922:N922">_xlfn.LET(_xlpm.t,_xlfn.XLOOKUP($A922,TRIM(SUBSTITUTE('worker file'!$A$2:$A$406,_xlfn.UNICHAR(160)," ")),'worker file'!$N$2:$N$406,""),IF(N(_xlpm.t)=0,"",_xlpm.t))</f>
        <v/>
      </c>
    </row>
    <row r="923" customFormat="false" ht="15" hidden="false" customHeight="false" outlineLevel="0" collapsed="false">
      <c r="A923" s="39" t="s">
        <v>414</v>
      </c>
      <c r="B923" s="40" t="str">
        <f aca="false" t="array" ref="B923:B923">_xlfn.XLOOKUP($A923,TRIM(SUBSTITUTE('worker file'!$A$2:$A$406,_xlfn.UNICHAR(160)," ")),'worker file'!$L$2:$L$406,"Not found")</f>
        <v>US Semi-monthly</v>
      </c>
      <c r="C923" s="40" t="str">
        <f aca="false" t="array" ref="C923:C923">_xlfn.XLOOKUP($A923,TRIM(SUBSTITUTE('worker file'!$A$2:$A$406,_xlfn.UNICHAR(160)," ")),'worker file'!$D$2:$D$406,"Not found")</f>
        <v>CA</v>
      </c>
      <c r="D923" s="40" t="str">
        <f aca="false" t="array" ref="D923:D923">_xlfn.XLOOKUP($A923,TRIM(SUBSTITUTE('worker file'!$A$2:$A$406,_xlfn.UNICHAR(160)," ")),'worker file'!$Q$2:$Q$406,"Not found")</f>
        <v>Active</v>
      </c>
      <c r="E923" s="39" t="s">
        <v>634</v>
      </c>
      <c r="F923" s="38" t="str">
        <f aca="false">_xlfn.XLOOKUP($E923,$A$5:$A$8,$B$5:$B$8,"")</f>
        <v>Vision – Employee</v>
      </c>
      <c r="G923" s="38" t="str">
        <f aca="false">_xlfn.XLOOKUP($E923,$A$5:$A$8,$D$5:$D$8,"")</f>
        <v>Pre-tax Section 125 (exempt from FIT/SIT/FICA)</v>
      </c>
      <c r="H923" s="38" t="str">
        <f aca="false">_xlfn.XLOOKUP($E923,$A$5:$A$8,$E$5:$E$8,"")</f>
        <v>Flat</v>
      </c>
      <c r="I923" s="44" t="str">
        <f aca="false">IF($H923="Percent",_xlfn.XLOOKUP($E923,$A$5:$A$8,$F$5:$F$8,""),"")</f>
        <v/>
      </c>
      <c r="J923" s="42" t="n">
        <f aca="false">IF($H923="Flat",_xlfn.XLOOKUP($E923,$A$5:$A$8,$F$5:$F$8,""),"")</f>
        <v>30</v>
      </c>
      <c r="K923" s="38" t="str">
        <f aca="false">_xlfn.XLOOKUP($E923,$A$5:$A$8,$G$5:$G$8,"")</f>
        <v>Per pay period</v>
      </c>
      <c r="L923" s="38" t="str">
        <f aca="false">_xlfn.XLOOKUP($E923,$A$5:$A$8,$H$5:$H$8,"")</f>
        <v>Every pay period (ongoing)</v>
      </c>
      <c r="M923" s="43" t="n">
        <f aca="false" t="array" ref="M923:M923">MAX(_xlfn.XLOOKUP($A923,TRIM(SUBSTITUTE('worker file'!$A$2:$A$406,_xlfn.UNICHAR(160)," ")),'worker file'!$M$2:$M$406,0),_xlfn.XLOOKUP($B923,TRIM('pay group &amp; schedule'!$A$2:$A$6),'pay group &amp; schedule'!$D$2:$D$6,0))</f>
        <v>46311</v>
      </c>
      <c r="N923" s="43" t="str">
        <f aca="false" t="array" ref="N923:N923">_xlfn.LET(_xlpm.t,_xlfn.XLOOKUP($A923,TRIM(SUBSTITUTE('worker file'!$A$2:$A$406,_xlfn.UNICHAR(160)," ")),'worker file'!$N$2:$N$406,""),IF(N(_xlpm.t)=0,"",_xlpm.t))</f>
        <v/>
      </c>
    </row>
    <row r="924" customFormat="false" ht="15" hidden="false" customHeight="false" outlineLevel="0" collapsed="false">
      <c r="A924" s="39" t="s">
        <v>416</v>
      </c>
      <c r="B924" s="40" t="str">
        <f aca="false" t="array" ref="B924:B924">_xlfn.XLOOKUP($A924,TRIM(SUBSTITUTE('worker file'!$A$2:$A$406,_xlfn.UNICHAR(160)," ")),'worker file'!$L$2:$L$406,"Not found")</f>
        <v>US Semi-monthly</v>
      </c>
      <c r="C924" s="40" t="str">
        <f aca="false" t="array" ref="C924:C924">_xlfn.XLOOKUP($A924,TRIM(SUBSTITUTE('worker file'!$A$2:$A$406,_xlfn.UNICHAR(160)," ")),'worker file'!$D$2:$D$406,"Not found")</f>
        <v>CA</v>
      </c>
      <c r="D924" s="40" t="str">
        <f aca="false" t="array" ref="D924:D924">_xlfn.XLOOKUP($A924,TRIM(SUBSTITUTE('worker file'!$A$2:$A$406,_xlfn.UNICHAR(160)," ")),'worker file'!$Q$2:$Q$406,"Not found")</f>
        <v>Active</v>
      </c>
      <c r="E924" s="39" t="s">
        <v>618</v>
      </c>
      <c r="F924" s="38" t="str">
        <f aca="false">_xlfn.XLOOKUP($E924,$A$5:$A$8,$B$5:$B$8,"")</f>
        <v>401(k) Employee Deferral</v>
      </c>
      <c r="G924" s="38" t="str">
        <f aca="false">_xlfn.XLOOKUP($E924,$A$5:$A$8,$D$5:$D$8,"")</f>
        <v>Pre-tax (exempt from FIT/SIT; subject to FICA)</v>
      </c>
      <c r="H924" s="38" t="str">
        <f aca="false">_xlfn.XLOOKUP($E924,$A$5:$A$8,$E$5:$E$8,"")</f>
        <v>Percent</v>
      </c>
      <c r="I924" s="41" t="n">
        <v>0.05</v>
      </c>
      <c r="J924" s="42" t="str">
        <f aca="false">IF($H924="Flat",_xlfn.XLOOKUP($E924,$A$5:$A$8,$F$5:$F$8,""),"")</f>
        <v/>
      </c>
      <c r="K924" s="38" t="str">
        <f aca="false">_xlfn.XLOOKUP($E924,$A$5:$A$8,$G$5:$G$8,"")</f>
        <v>Gross pay</v>
      </c>
      <c r="L924" s="38" t="str">
        <f aca="false">_xlfn.XLOOKUP($E924,$A$5:$A$8,$H$5:$H$8,"")</f>
        <v>Every pay period (ongoing)</v>
      </c>
      <c r="M924" s="43" t="n">
        <f aca="false" t="array" ref="M924:M924">MAX(_xlfn.XLOOKUP($A924,TRIM(SUBSTITUTE('worker file'!$A$2:$A$406,_xlfn.UNICHAR(160)," ")),'worker file'!$M$2:$M$406,0),_xlfn.XLOOKUP($B924,TRIM('pay group &amp; schedule'!$A$2:$A$6),'pay group &amp; schedule'!$D$2:$D$6,0))</f>
        <v>46311</v>
      </c>
      <c r="N924" s="43" t="str">
        <f aca="false" t="array" ref="N924:N924">_xlfn.LET(_xlpm.t,_xlfn.XLOOKUP($A924,TRIM(SUBSTITUTE('worker file'!$A$2:$A$406,_xlfn.UNICHAR(160)," ")),'worker file'!$N$2:$N$406,""),IF(N(_xlpm.t)=0,"",_xlpm.t))</f>
        <v/>
      </c>
    </row>
    <row r="925" customFormat="false" ht="15" hidden="false" customHeight="false" outlineLevel="0" collapsed="false">
      <c r="A925" s="39" t="s">
        <v>416</v>
      </c>
      <c r="B925" s="40" t="str">
        <f aca="false" t="array" ref="B925:B925">_xlfn.XLOOKUP($A925,TRIM(SUBSTITUTE('worker file'!$A$2:$A$406,_xlfn.UNICHAR(160)," ")),'worker file'!$L$2:$L$406,"Not found")</f>
        <v>US Semi-monthly</v>
      </c>
      <c r="C925" s="40" t="str">
        <f aca="false" t="array" ref="C925:C925">_xlfn.XLOOKUP($A925,TRIM(SUBSTITUTE('worker file'!$A$2:$A$406,_xlfn.UNICHAR(160)," ")),'worker file'!$D$2:$D$406,"Not found")</f>
        <v>CA</v>
      </c>
      <c r="D925" s="40" t="str">
        <f aca="false" t="array" ref="D925:D925">_xlfn.XLOOKUP($A925,TRIM(SUBSTITUTE('worker file'!$A$2:$A$406,_xlfn.UNICHAR(160)," ")),'worker file'!$Q$2:$Q$406,"Not found")</f>
        <v>Active</v>
      </c>
      <c r="E925" s="39" t="s">
        <v>626</v>
      </c>
      <c r="F925" s="38" t="str">
        <f aca="false">_xlfn.XLOOKUP($E925,$A$5:$A$8,$B$5:$B$8,"")</f>
        <v>Medical (Health) – Employee</v>
      </c>
      <c r="G925" s="38" t="str">
        <f aca="false">_xlfn.XLOOKUP($E925,$A$5:$A$8,$D$5:$D$8,"")</f>
        <v>Pre-tax Section 125 (exempt from FIT/SIT/FICA)</v>
      </c>
      <c r="H925" s="38" t="str">
        <f aca="false">_xlfn.XLOOKUP($E925,$A$5:$A$8,$E$5:$E$8,"")</f>
        <v>Flat</v>
      </c>
      <c r="I925" s="44" t="str">
        <f aca="false">IF($H925="Percent",_xlfn.XLOOKUP($E925,$A$5:$A$8,$F$5:$F$8,""),"")</f>
        <v/>
      </c>
      <c r="J925" s="42" t="n">
        <f aca="false">IF($H925="Flat",_xlfn.XLOOKUP($E925,$A$5:$A$8,$F$5:$F$8,""),"")</f>
        <v>200</v>
      </c>
      <c r="K925" s="38" t="str">
        <f aca="false">_xlfn.XLOOKUP($E925,$A$5:$A$8,$G$5:$G$8,"")</f>
        <v>Per pay period</v>
      </c>
      <c r="L925" s="38" t="str">
        <f aca="false">_xlfn.XLOOKUP($E925,$A$5:$A$8,$H$5:$H$8,"")</f>
        <v>Every pay period (ongoing)</v>
      </c>
      <c r="M925" s="43" t="n">
        <f aca="false" t="array" ref="M925:M925">MAX(_xlfn.XLOOKUP($A925,TRIM(SUBSTITUTE('worker file'!$A$2:$A$406,_xlfn.UNICHAR(160)," ")),'worker file'!$M$2:$M$406,0),_xlfn.XLOOKUP($B925,TRIM('pay group &amp; schedule'!$A$2:$A$6),'pay group &amp; schedule'!$D$2:$D$6,0))</f>
        <v>46311</v>
      </c>
      <c r="N925" s="43" t="str">
        <f aca="false" t="array" ref="N925:N925">_xlfn.LET(_xlpm.t,_xlfn.XLOOKUP($A925,TRIM(SUBSTITUTE('worker file'!$A$2:$A$406,_xlfn.UNICHAR(160)," ")),'worker file'!$N$2:$N$406,""),IF(N(_xlpm.t)=0,"",_xlpm.t))</f>
        <v/>
      </c>
    </row>
    <row r="926" customFormat="false" ht="15" hidden="false" customHeight="false" outlineLevel="0" collapsed="false">
      <c r="A926" s="39" t="s">
        <v>416</v>
      </c>
      <c r="B926" s="40" t="str">
        <f aca="false" t="array" ref="B926:B926">_xlfn.XLOOKUP($A926,TRIM(SUBSTITUTE('worker file'!$A$2:$A$406,_xlfn.UNICHAR(160)," ")),'worker file'!$L$2:$L$406,"Not found")</f>
        <v>US Semi-monthly</v>
      </c>
      <c r="C926" s="40" t="str">
        <f aca="false" t="array" ref="C926:C926">_xlfn.XLOOKUP($A926,TRIM(SUBSTITUTE('worker file'!$A$2:$A$406,_xlfn.UNICHAR(160)," ")),'worker file'!$D$2:$D$406,"Not found")</f>
        <v>CA</v>
      </c>
      <c r="D926" s="40" t="str">
        <f aca="false" t="array" ref="D926:D926">_xlfn.XLOOKUP($A926,TRIM(SUBSTITUTE('worker file'!$A$2:$A$406,_xlfn.UNICHAR(160)," ")),'worker file'!$Q$2:$Q$406,"Not found")</f>
        <v>Active</v>
      </c>
      <c r="E926" s="39" t="s">
        <v>632</v>
      </c>
      <c r="F926" s="38" t="str">
        <f aca="false">_xlfn.XLOOKUP($E926,$A$5:$A$8,$B$5:$B$8,"")</f>
        <v>Dental – Employee</v>
      </c>
      <c r="G926" s="38" t="str">
        <f aca="false">_xlfn.XLOOKUP($E926,$A$5:$A$8,$D$5:$D$8,"")</f>
        <v>Pre-tax Section 125 (exempt from FIT/SIT/FICA)</v>
      </c>
      <c r="H926" s="38" t="str">
        <f aca="false">_xlfn.XLOOKUP($E926,$A$5:$A$8,$E$5:$E$8,"")</f>
        <v>Flat</v>
      </c>
      <c r="I926" s="44" t="str">
        <f aca="false">IF($H926="Percent",_xlfn.XLOOKUP($E926,$A$5:$A$8,$F$5:$F$8,""),"")</f>
        <v/>
      </c>
      <c r="J926" s="42" t="n">
        <f aca="false">IF($H926="Flat",_xlfn.XLOOKUP($E926,$A$5:$A$8,$F$5:$F$8,""),"")</f>
        <v>44</v>
      </c>
      <c r="K926" s="38" t="str">
        <f aca="false">_xlfn.XLOOKUP($E926,$A$5:$A$8,$G$5:$G$8,"")</f>
        <v>Per pay period</v>
      </c>
      <c r="L926" s="38" t="str">
        <f aca="false">_xlfn.XLOOKUP($E926,$A$5:$A$8,$H$5:$H$8,"")</f>
        <v>Every pay period (ongoing)</v>
      </c>
      <c r="M926" s="43" t="n">
        <f aca="false" t="array" ref="M926:M926">MAX(_xlfn.XLOOKUP($A926,TRIM(SUBSTITUTE('worker file'!$A$2:$A$406,_xlfn.UNICHAR(160)," ")),'worker file'!$M$2:$M$406,0),_xlfn.XLOOKUP($B926,TRIM('pay group &amp; schedule'!$A$2:$A$6),'pay group &amp; schedule'!$D$2:$D$6,0))</f>
        <v>46311</v>
      </c>
      <c r="N926" s="43" t="str">
        <f aca="false" t="array" ref="N926:N926">_xlfn.LET(_xlpm.t,_xlfn.XLOOKUP($A926,TRIM(SUBSTITUTE('worker file'!$A$2:$A$406,_xlfn.UNICHAR(160)," ")),'worker file'!$N$2:$N$406,""),IF(N(_xlpm.t)=0,"",_xlpm.t))</f>
        <v/>
      </c>
    </row>
    <row r="927" customFormat="false" ht="15" hidden="false" customHeight="false" outlineLevel="0" collapsed="false">
      <c r="A927" s="39" t="s">
        <v>416</v>
      </c>
      <c r="B927" s="40" t="str">
        <f aca="false" t="array" ref="B927:B927">_xlfn.XLOOKUP($A927,TRIM(SUBSTITUTE('worker file'!$A$2:$A$406,_xlfn.UNICHAR(160)," ")),'worker file'!$L$2:$L$406,"Not found")</f>
        <v>US Semi-monthly</v>
      </c>
      <c r="C927" s="40" t="str">
        <f aca="false" t="array" ref="C927:C927">_xlfn.XLOOKUP($A927,TRIM(SUBSTITUTE('worker file'!$A$2:$A$406,_xlfn.UNICHAR(160)," ")),'worker file'!$D$2:$D$406,"Not found")</f>
        <v>CA</v>
      </c>
      <c r="D927" s="40" t="str">
        <f aca="false" t="array" ref="D927:D927">_xlfn.XLOOKUP($A927,TRIM(SUBSTITUTE('worker file'!$A$2:$A$406,_xlfn.UNICHAR(160)," ")),'worker file'!$Q$2:$Q$406,"Not found")</f>
        <v>Active</v>
      </c>
      <c r="E927" s="39" t="s">
        <v>634</v>
      </c>
      <c r="F927" s="38" t="str">
        <f aca="false">_xlfn.XLOOKUP($E927,$A$5:$A$8,$B$5:$B$8,"")</f>
        <v>Vision – Employee</v>
      </c>
      <c r="G927" s="38" t="str">
        <f aca="false">_xlfn.XLOOKUP($E927,$A$5:$A$8,$D$5:$D$8,"")</f>
        <v>Pre-tax Section 125 (exempt from FIT/SIT/FICA)</v>
      </c>
      <c r="H927" s="38" t="str">
        <f aca="false">_xlfn.XLOOKUP($E927,$A$5:$A$8,$E$5:$E$8,"")</f>
        <v>Flat</v>
      </c>
      <c r="I927" s="44" t="str">
        <f aca="false">IF($H927="Percent",_xlfn.XLOOKUP($E927,$A$5:$A$8,$F$5:$F$8,""),"")</f>
        <v/>
      </c>
      <c r="J927" s="42" t="n">
        <f aca="false">IF($H927="Flat",_xlfn.XLOOKUP($E927,$A$5:$A$8,$F$5:$F$8,""),"")</f>
        <v>30</v>
      </c>
      <c r="K927" s="38" t="str">
        <f aca="false">_xlfn.XLOOKUP($E927,$A$5:$A$8,$G$5:$G$8,"")</f>
        <v>Per pay period</v>
      </c>
      <c r="L927" s="38" t="str">
        <f aca="false">_xlfn.XLOOKUP($E927,$A$5:$A$8,$H$5:$H$8,"")</f>
        <v>Every pay period (ongoing)</v>
      </c>
      <c r="M927" s="43" t="n">
        <f aca="false" t="array" ref="M927:M927">MAX(_xlfn.XLOOKUP($A927,TRIM(SUBSTITUTE('worker file'!$A$2:$A$406,_xlfn.UNICHAR(160)," ")),'worker file'!$M$2:$M$406,0),_xlfn.XLOOKUP($B927,TRIM('pay group &amp; schedule'!$A$2:$A$6),'pay group &amp; schedule'!$D$2:$D$6,0))</f>
        <v>46311</v>
      </c>
      <c r="N927" s="43" t="str">
        <f aca="false" t="array" ref="N927:N927">_xlfn.LET(_xlpm.t,_xlfn.XLOOKUP($A927,TRIM(SUBSTITUTE('worker file'!$A$2:$A$406,_xlfn.UNICHAR(160)," ")),'worker file'!$N$2:$N$406,""),IF(N(_xlpm.t)=0,"",_xlpm.t))</f>
        <v/>
      </c>
    </row>
    <row r="928" customFormat="false" ht="15" hidden="false" customHeight="false" outlineLevel="0" collapsed="false">
      <c r="A928" s="39" t="s">
        <v>417</v>
      </c>
      <c r="B928" s="40" t="str">
        <f aca="false" t="array" ref="B928:B928">_xlfn.XLOOKUP($A928,TRIM(SUBSTITUTE('worker file'!$A$2:$A$406,_xlfn.UNICHAR(160)," ")),'worker file'!$L$2:$L$406,"Not found")</f>
        <v>US Semi-monthly</v>
      </c>
      <c r="C928" s="40" t="str">
        <f aca="false" t="array" ref="C928:C928">_xlfn.XLOOKUP($A928,TRIM(SUBSTITUTE('worker file'!$A$2:$A$406,_xlfn.UNICHAR(160)," ")),'worker file'!$D$2:$D$406,"Not found")</f>
        <v>TX</v>
      </c>
      <c r="D928" s="40" t="str">
        <f aca="false" t="array" ref="D928:D928">_xlfn.XLOOKUP($A928,TRIM(SUBSTITUTE('worker file'!$A$2:$A$406,_xlfn.UNICHAR(160)," ")),'worker file'!$Q$2:$Q$406,"Not found")</f>
        <v>Active</v>
      </c>
      <c r="E928" s="39" t="s">
        <v>618</v>
      </c>
      <c r="F928" s="38" t="str">
        <f aca="false">_xlfn.XLOOKUP($E928,$A$5:$A$8,$B$5:$B$8,"")</f>
        <v>401(k) Employee Deferral</v>
      </c>
      <c r="G928" s="38" t="str">
        <f aca="false">_xlfn.XLOOKUP($E928,$A$5:$A$8,$D$5:$D$8,"")</f>
        <v>Pre-tax (exempt from FIT/SIT; subject to FICA)</v>
      </c>
      <c r="H928" s="38" t="str">
        <f aca="false">_xlfn.XLOOKUP($E928,$A$5:$A$8,$E$5:$E$8,"")</f>
        <v>Percent</v>
      </c>
      <c r="I928" s="41" t="n">
        <v>0.02</v>
      </c>
      <c r="J928" s="42" t="str">
        <f aca="false">IF($H928="Flat",_xlfn.XLOOKUP($E928,$A$5:$A$8,$F$5:$F$8,""),"")</f>
        <v/>
      </c>
      <c r="K928" s="38" t="str">
        <f aca="false">_xlfn.XLOOKUP($E928,$A$5:$A$8,$G$5:$G$8,"")</f>
        <v>Gross pay</v>
      </c>
      <c r="L928" s="38" t="str">
        <f aca="false">_xlfn.XLOOKUP($E928,$A$5:$A$8,$H$5:$H$8,"")</f>
        <v>Every pay period (ongoing)</v>
      </c>
      <c r="M928" s="43" t="n">
        <f aca="false" t="array" ref="M928:M928">MAX(_xlfn.XLOOKUP($A928,TRIM(SUBSTITUTE('worker file'!$A$2:$A$406,_xlfn.UNICHAR(160)," ")),'worker file'!$M$2:$M$406,0),_xlfn.XLOOKUP($B928,TRIM('pay group &amp; schedule'!$A$2:$A$6),'pay group &amp; schedule'!$D$2:$D$6,0))</f>
        <v>46311</v>
      </c>
      <c r="N928" s="43" t="str">
        <f aca="false" t="array" ref="N928:N928">_xlfn.LET(_xlpm.t,_xlfn.XLOOKUP($A928,TRIM(SUBSTITUTE('worker file'!$A$2:$A$406,_xlfn.UNICHAR(160)," ")),'worker file'!$N$2:$N$406,""),IF(N(_xlpm.t)=0,"",_xlpm.t))</f>
        <v/>
      </c>
    </row>
    <row r="929" customFormat="false" ht="15" hidden="false" customHeight="false" outlineLevel="0" collapsed="false">
      <c r="A929" s="39" t="s">
        <v>417</v>
      </c>
      <c r="B929" s="40" t="str">
        <f aca="false" t="array" ref="B929:B929">_xlfn.XLOOKUP($A929,TRIM(SUBSTITUTE('worker file'!$A$2:$A$406,_xlfn.UNICHAR(160)," ")),'worker file'!$L$2:$L$406,"Not found")</f>
        <v>US Semi-monthly</v>
      </c>
      <c r="C929" s="40" t="str">
        <f aca="false" t="array" ref="C929:C929">_xlfn.XLOOKUP($A929,TRIM(SUBSTITUTE('worker file'!$A$2:$A$406,_xlfn.UNICHAR(160)," ")),'worker file'!$D$2:$D$406,"Not found")</f>
        <v>TX</v>
      </c>
      <c r="D929" s="40" t="str">
        <f aca="false" t="array" ref="D929:D929">_xlfn.XLOOKUP($A929,TRIM(SUBSTITUTE('worker file'!$A$2:$A$406,_xlfn.UNICHAR(160)," ")),'worker file'!$Q$2:$Q$406,"Not found")</f>
        <v>Active</v>
      </c>
      <c r="E929" s="39" t="s">
        <v>626</v>
      </c>
      <c r="F929" s="38" t="str">
        <f aca="false">_xlfn.XLOOKUP($E929,$A$5:$A$8,$B$5:$B$8,"")</f>
        <v>Medical (Health) – Employee</v>
      </c>
      <c r="G929" s="38" t="str">
        <f aca="false">_xlfn.XLOOKUP($E929,$A$5:$A$8,$D$5:$D$8,"")</f>
        <v>Pre-tax Section 125 (exempt from FIT/SIT/FICA)</v>
      </c>
      <c r="H929" s="38" t="str">
        <f aca="false">_xlfn.XLOOKUP($E929,$A$5:$A$8,$E$5:$E$8,"")</f>
        <v>Flat</v>
      </c>
      <c r="I929" s="44" t="str">
        <f aca="false">IF($H929="Percent",_xlfn.XLOOKUP($E929,$A$5:$A$8,$F$5:$F$8,""),"")</f>
        <v/>
      </c>
      <c r="J929" s="42" t="n">
        <f aca="false">IF($H929="Flat",_xlfn.XLOOKUP($E929,$A$5:$A$8,$F$5:$F$8,""),"")</f>
        <v>200</v>
      </c>
      <c r="K929" s="38" t="str">
        <f aca="false">_xlfn.XLOOKUP($E929,$A$5:$A$8,$G$5:$G$8,"")</f>
        <v>Per pay period</v>
      </c>
      <c r="L929" s="38" t="str">
        <f aca="false">_xlfn.XLOOKUP($E929,$A$5:$A$8,$H$5:$H$8,"")</f>
        <v>Every pay period (ongoing)</v>
      </c>
      <c r="M929" s="43" t="n">
        <f aca="false" t="array" ref="M929:M929">MAX(_xlfn.XLOOKUP($A929,TRIM(SUBSTITUTE('worker file'!$A$2:$A$406,_xlfn.UNICHAR(160)," ")),'worker file'!$M$2:$M$406,0),_xlfn.XLOOKUP($B929,TRIM('pay group &amp; schedule'!$A$2:$A$6),'pay group &amp; schedule'!$D$2:$D$6,0))</f>
        <v>46311</v>
      </c>
      <c r="N929" s="43" t="str">
        <f aca="false" t="array" ref="N929:N929">_xlfn.LET(_xlpm.t,_xlfn.XLOOKUP($A929,TRIM(SUBSTITUTE('worker file'!$A$2:$A$406,_xlfn.UNICHAR(160)," ")),'worker file'!$N$2:$N$406,""),IF(N(_xlpm.t)=0,"",_xlpm.t))</f>
        <v/>
      </c>
    </row>
    <row r="930" customFormat="false" ht="15" hidden="false" customHeight="false" outlineLevel="0" collapsed="false">
      <c r="A930" s="39" t="s">
        <v>417</v>
      </c>
      <c r="B930" s="40" t="str">
        <f aca="false" t="array" ref="B930:B930">_xlfn.XLOOKUP($A930,TRIM(SUBSTITUTE('worker file'!$A$2:$A$406,_xlfn.UNICHAR(160)," ")),'worker file'!$L$2:$L$406,"Not found")</f>
        <v>US Semi-monthly</v>
      </c>
      <c r="C930" s="40" t="str">
        <f aca="false" t="array" ref="C930:C930">_xlfn.XLOOKUP($A930,TRIM(SUBSTITUTE('worker file'!$A$2:$A$406,_xlfn.UNICHAR(160)," ")),'worker file'!$D$2:$D$406,"Not found")</f>
        <v>TX</v>
      </c>
      <c r="D930" s="40" t="str">
        <f aca="false" t="array" ref="D930:D930">_xlfn.XLOOKUP($A930,TRIM(SUBSTITUTE('worker file'!$A$2:$A$406,_xlfn.UNICHAR(160)," ")),'worker file'!$Q$2:$Q$406,"Not found")</f>
        <v>Active</v>
      </c>
      <c r="E930" s="39" t="s">
        <v>632</v>
      </c>
      <c r="F930" s="38" t="str">
        <f aca="false">_xlfn.XLOOKUP($E930,$A$5:$A$8,$B$5:$B$8,"")</f>
        <v>Dental – Employee</v>
      </c>
      <c r="G930" s="38" t="str">
        <f aca="false">_xlfn.XLOOKUP($E930,$A$5:$A$8,$D$5:$D$8,"")</f>
        <v>Pre-tax Section 125 (exempt from FIT/SIT/FICA)</v>
      </c>
      <c r="H930" s="38" t="str">
        <f aca="false">_xlfn.XLOOKUP($E930,$A$5:$A$8,$E$5:$E$8,"")</f>
        <v>Flat</v>
      </c>
      <c r="I930" s="44" t="str">
        <f aca="false">IF($H930="Percent",_xlfn.XLOOKUP($E930,$A$5:$A$8,$F$5:$F$8,""),"")</f>
        <v/>
      </c>
      <c r="J930" s="42" t="n">
        <f aca="false">IF($H930="Flat",_xlfn.XLOOKUP($E930,$A$5:$A$8,$F$5:$F$8,""),"")</f>
        <v>44</v>
      </c>
      <c r="K930" s="38" t="str">
        <f aca="false">_xlfn.XLOOKUP($E930,$A$5:$A$8,$G$5:$G$8,"")</f>
        <v>Per pay period</v>
      </c>
      <c r="L930" s="38" t="str">
        <f aca="false">_xlfn.XLOOKUP($E930,$A$5:$A$8,$H$5:$H$8,"")</f>
        <v>Every pay period (ongoing)</v>
      </c>
      <c r="M930" s="43" t="n">
        <f aca="false" t="array" ref="M930:M930">MAX(_xlfn.XLOOKUP($A930,TRIM(SUBSTITUTE('worker file'!$A$2:$A$406,_xlfn.UNICHAR(160)," ")),'worker file'!$M$2:$M$406,0),_xlfn.XLOOKUP($B930,TRIM('pay group &amp; schedule'!$A$2:$A$6),'pay group &amp; schedule'!$D$2:$D$6,0))</f>
        <v>46311</v>
      </c>
      <c r="N930" s="43" t="str">
        <f aca="false" t="array" ref="N930:N930">_xlfn.LET(_xlpm.t,_xlfn.XLOOKUP($A930,TRIM(SUBSTITUTE('worker file'!$A$2:$A$406,_xlfn.UNICHAR(160)," ")),'worker file'!$N$2:$N$406,""),IF(N(_xlpm.t)=0,"",_xlpm.t))</f>
        <v/>
      </c>
    </row>
    <row r="931" customFormat="false" ht="15" hidden="false" customHeight="false" outlineLevel="0" collapsed="false">
      <c r="A931" s="39" t="s">
        <v>417</v>
      </c>
      <c r="B931" s="40" t="str">
        <f aca="false" t="array" ref="B931:B931">_xlfn.XLOOKUP($A931,TRIM(SUBSTITUTE('worker file'!$A$2:$A$406,_xlfn.UNICHAR(160)," ")),'worker file'!$L$2:$L$406,"Not found")</f>
        <v>US Semi-monthly</v>
      </c>
      <c r="C931" s="40" t="str">
        <f aca="false" t="array" ref="C931:C931">_xlfn.XLOOKUP($A931,TRIM(SUBSTITUTE('worker file'!$A$2:$A$406,_xlfn.UNICHAR(160)," ")),'worker file'!$D$2:$D$406,"Not found")</f>
        <v>TX</v>
      </c>
      <c r="D931" s="40" t="str">
        <f aca="false" t="array" ref="D931:D931">_xlfn.XLOOKUP($A931,TRIM(SUBSTITUTE('worker file'!$A$2:$A$406,_xlfn.UNICHAR(160)," ")),'worker file'!$Q$2:$Q$406,"Not found")</f>
        <v>Active</v>
      </c>
      <c r="E931" s="39" t="s">
        <v>634</v>
      </c>
      <c r="F931" s="38" t="str">
        <f aca="false">_xlfn.XLOOKUP($E931,$A$5:$A$8,$B$5:$B$8,"")</f>
        <v>Vision – Employee</v>
      </c>
      <c r="G931" s="38" t="str">
        <f aca="false">_xlfn.XLOOKUP($E931,$A$5:$A$8,$D$5:$D$8,"")</f>
        <v>Pre-tax Section 125 (exempt from FIT/SIT/FICA)</v>
      </c>
      <c r="H931" s="38" t="str">
        <f aca="false">_xlfn.XLOOKUP($E931,$A$5:$A$8,$E$5:$E$8,"")</f>
        <v>Flat</v>
      </c>
      <c r="I931" s="44" t="str">
        <f aca="false">IF($H931="Percent",_xlfn.XLOOKUP($E931,$A$5:$A$8,$F$5:$F$8,""),"")</f>
        <v/>
      </c>
      <c r="J931" s="42" t="n">
        <f aca="false">IF($H931="Flat",_xlfn.XLOOKUP($E931,$A$5:$A$8,$F$5:$F$8,""),"")</f>
        <v>30</v>
      </c>
      <c r="K931" s="38" t="str">
        <f aca="false">_xlfn.XLOOKUP($E931,$A$5:$A$8,$G$5:$G$8,"")</f>
        <v>Per pay period</v>
      </c>
      <c r="L931" s="38" t="str">
        <f aca="false">_xlfn.XLOOKUP($E931,$A$5:$A$8,$H$5:$H$8,"")</f>
        <v>Every pay period (ongoing)</v>
      </c>
      <c r="M931" s="43" t="n">
        <f aca="false" t="array" ref="M931:M931">MAX(_xlfn.XLOOKUP($A931,TRIM(SUBSTITUTE('worker file'!$A$2:$A$406,_xlfn.UNICHAR(160)," ")),'worker file'!$M$2:$M$406,0),_xlfn.XLOOKUP($B931,TRIM('pay group &amp; schedule'!$A$2:$A$6),'pay group &amp; schedule'!$D$2:$D$6,0))</f>
        <v>46311</v>
      </c>
      <c r="N931" s="43" t="str">
        <f aca="false" t="array" ref="N931:N931">_xlfn.LET(_xlpm.t,_xlfn.XLOOKUP($A931,TRIM(SUBSTITUTE('worker file'!$A$2:$A$406,_xlfn.UNICHAR(160)," ")),'worker file'!$N$2:$N$406,""),IF(N(_xlpm.t)=0,"",_xlpm.t))</f>
        <v/>
      </c>
    </row>
    <row r="932" customFormat="false" ht="15" hidden="false" customHeight="false" outlineLevel="0" collapsed="false">
      <c r="A932" s="39" t="s">
        <v>418</v>
      </c>
      <c r="B932" s="40" t="str">
        <f aca="false" t="array" ref="B932:B932">_xlfn.XLOOKUP($A932,TRIM(SUBSTITUTE('worker file'!$A$2:$A$406,_xlfn.UNICHAR(160)," ")),'worker file'!$L$2:$L$406,"Not found")</f>
        <v>US Semi-monthly</v>
      </c>
      <c r="C932" s="40" t="str">
        <f aca="false" t="array" ref="C932:C932">_xlfn.XLOOKUP($A932,TRIM(SUBSTITUTE('worker file'!$A$2:$A$406,_xlfn.UNICHAR(160)," ")),'worker file'!$D$2:$D$406,"Not found")</f>
        <v>NY</v>
      </c>
      <c r="D932" s="40" t="str">
        <f aca="false" t="array" ref="D932:D932">_xlfn.XLOOKUP($A932,TRIM(SUBSTITUTE('worker file'!$A$2:$A$406,_xlfn.UNICHAR(160)," ")),'worker file'!$Q$2:$Q$406,"Not found")</f>
        <v>Active</v>
      </c>
      <c r="E932" s="39" t="s">
        <v>618</v>
      </c>
      <c r="F932" s="38" t="str">
        <f aca="false">_xlfn.XLOOKUP($E932,$A$5:$A$8,$B$5:$B$8,"")</f>
        <v>401(k) Employee Deferral</v>
      </c>
      <c r="G932" s="38" t="str">
        <f aca="false">_xlfn.XLOOKUP($E932,$A$5:$A$8,$D$5:$D$8,"")</f>
        <v>Pre-tax (exempt from FIT/SIT; subject to FICA)</v>
      </c>
      <c r="H932" s="38" t="str">
        <f aca="false">_xlfn.XLOOKUP($E932,$A$5:$A$8,$E$5:$E$8,"")</f>
        <v>Percent</v>
      </c>
      <c r="I932" s="41" t="n">
        <v>0.07</v>
      </c>
      <c r="J932" s="42" t="str">
        <f aca="false">IF($H932="Flat",_xlfn.XLOOKUP($E932,$A$5:$A$8,$F$5:$F$8,""),"")</f>
        <v/>
      </c>
      <c r="K932" s="38" t="str">
        <f aca="false">_xlfn.XLOOKUP($E932,$A$5:$A$8,$G$5:$G$8,"")</f>
        <v>Gross pay</v>
      </c>
      <c r="L932" s="38" t="str">
        <f aca="false">_xlfn.XLOOKUP($E932,$A$5:$A$8,$H$5:$H$8,"")</f>
        <v>Every pay period (ongoing)</v>
      </c>
      <c r="M932" s="43" t="n">
        <f aca="false" t="array" ref="M932:M932">MAX(_xlfn.XLOOKUP($A932,TRIM(SUBSTITUTE('worker file'!$A$2:$A$406,_xlfn.UNICHAR(160)," ")),'worker file'!$M$2:$M$406,0),_xlfn.XLOOKUP($B932,TRIM('pay group &amp; schedule'!$A$2:$A$6),'pay group &amp; schedule'!$D$2:$D$6,0))</f>
        <v>46311</v>
      </c>
      <c r="N932" s="43" t="str">
        <f aca="false" t="array" ref="N932:N932">_xlfn.LET(_xlpm.t,_xlfn.XLOOKUP($A932,TRIM(SUBSTITUTE('worker file'!$A$2:$A$406,_xlfn.UNICHAR(160)," ")),'worker file'!$N$2:$N$406,""),IF(N(_xlpm.t)=0,"",_xlpm.t))</f>
        <v/>
      </c>
    </row>
    <row r="933" customFormat="false" ht="15" hidden="false" customHeight="false" outlineLevel="0" collapsed="false">
      <c r="A933" s="39" t="s">
        <v>418</v>
      </c>
      <c r="B933" s="40" t="str">
        <f aca="false" t="array" ref="B933:B933">_xlfn.XLOOKUP($A933,TRIM(SUBSTITUTE('worker file'!$A$2:$A$406,_xlfn.UNICHAR(160)," ")),'worker file'!$L$2:$L$406,"Not found")</f>
        <v>US Semi-monthly</v>
      </c>
      <c r="C933" s="40" t="str">
        <f aca="false" t="array" ref="C933:C933">_xlfn.XLOOKUP($A933,TRIM(SUBSTITUTE('worker file'!$A$2:$A$406,_xlfn.UNICHAR(160)," ")),'worker file'!$D$2:$D$406,"Not found")</f>
        <v>NY</v>
      </c>
      <c r="D933" s="40" t="str">
        <f aca="false" t="array" ref="D933:D933">_xlfn.XLOOKUP($A933,TRIM(SUBSTITUTE('worker file'!$A$2:$A$406,_xlfn.UNICHAR(160)," ")),'worker file'!$Q$2:$Q$406,"Not found")</f>
        <v>Active</v>
      </c>
      <c r="E933" s="39" t="s">
        <v>626</v>
      </c>
      <c r="F933" s="38" t="str">
        <f aca="false">_xlfn.XLOOKUP($E933,$A$5:$A$8,$B$5:$B$8,"")</f>
        <v>Medical (Health) – Employee</v>
      </c>
      <c r="G933" s="38" t="str">
        <f aca="false">_xlfn.XLOOKUP($E933,$A$5:$A$8,$D$5:$D$8,"")</f>
        <v>Pre-tax Section 125 (exempt from FIT/SIT/FICA)</v>
      </c>
      <c r="H933" s="38" t="str">
        <f aca="false">_xlfn.XLOOKUP($E933,$A$5:$A$8,$E$5:$E$8,"")</f>
        <v>Flat</v>
      </c>
      <c r="I933" s="44" t="str">
        <f aca="false">IF($H933="Percent",_xlfn.XLOOKUP($E933,$A$5:$A$8,$F$5:$F$8,""),"")</f>
        <v/>
      </c>
      <c r="J933" s="42" t="n">
        <f aca="false">IF($H933="Flat",_xlfn.XLOOKUP($E933,$A$5:$A$8,$F$5:$F$8,""),"")</f>
        <v>200</v>
      </c>
      <c r="K933" s="38" t="str">
        <f aca="false">_xlfn.XLOOKUP($E933,$A$5:$A$8,$G$5:$G$8,"")</f>
        <v>Per pay period</v>
      </c>
      <c r="L933" s="38" t="str">
        <f aca="false">_xlfn.XLOOKUP($E933,$A$5:$A$8,$H$5:$H$8,"")</f>
        <v>Every pay period (ongoing)</v>
      </c>
      <c r="M933" s="43" t="n">
        <f aca="false" t="array" ref="M933:M933">MAX(_xlfn.XLOOKUP($A933,TRIM(SUBSTITUTE('worker file'!$A$2:$A$406,_xlfn.UNICHAR(160)," ")),'worker file'!$M$2:$M$406,0),_xlfn.XLOOKUP($B933,TRIM('pay group &amp; schedule'!$A$2:$A$6),'pay group &amp; schedule'!$D$2:$D$6,0))</f>
        <v>46311</v>
      </c>
      <c r="N933" s="43" t="str">
        <f aca="false" t="array" ref="N933:N933">_xlfn.LET(_xlpm.t,_xlfn.XLOOKUP($A933,TRIM(SUBSTITUTE('worker file'!$A$2:$A$406,_xlfn.UNICHAR(160)," ")),'worker file'!$N$2:$N$406,""),IF(N(_xlpm.t)=0,"",_xlpm.t))</f>
        <v/>
      </c>
    </row>
    <row r="934" customFormat="false" ht="15" hidden="false" customHeight="false" outlineLevel="0" collapsed="false">
      <c r="A934" s="39" t="s">
        <v>418</v>
      </c>
      <c r="B934" s="40" t="str">
        <f aca="false" t="array" ref="B934:B934">_xlfn.XLOOKUP($A934,TRIM(SUBSTITUTE('worker file'!$A$2:$A$406,_xlfn.UNICHAR(160)," ")),'worker file'!$L$2:$L$406,"Not found")</f>
        <v>US Semi-monthly</v>
      </c>
      <c r="C934" s="40" t="str">
        <f aca="false" t="array" ref="C934:C934">_xlfn.XLOOKUP($A934,TRIM(SUBSTITUTE('worker file'!$A$2:$A$406,_xlfn.UNICHAR(160)," ")),'worker file'!$D$2:$D$406,"Not found")</f>
        <v>NY</v>
      </c>
      <c r="D934" s="40" t="str">
        <f aca="false" t="array" ref="D934:D934">_xlfn.XLOOKUP($A934,TRIM(SUBSTITUTE('worker file'!$A$2:$A$406,_xlfn.UNICHAR(160)," ")),'worker file'!$Q$2:$Q$406,"Not found")</f>
        <v>Active</v>
      </c>
      <c r="E934" s="39" t="s">
        <v>632</v>
      </c>
      <c r="F934" s="38" t="str">
        <f aca="false">_xlfn.XLOOKUP($E934,$A$5:$A$8,$B$5:$B$8,"")</f>
        <v>Dental – Employee</v>
      </c>
      <c r="G934" s="38" t="str">
        <f aca="false">_xlfn.XLOOKUP($E934,$A$5:$A$8,$D$5:$D$8,"")</f>
        <v>Pre-tax Section 125 (exempt from FIT/SIT/FICA)</v>
      </c>
      <c r="H934" s="38" t="str">
        <f aca="false">_xlfn.XLOOKUP($E934,$A$5:$A$8,$E$5:$E$8,"")</f>
        <v>Flat</v>
      </c>
      <c r="I934" s="44" t="str">
        <f aca="false">IF($H934="Percent",_xlfn.XLOOKUP($E934,$A$5:$A$8,$F$5:$F$8,""),"")</f>
        <v/>
      </c>
      <c r="J934" s="42" t="n">
        <f aca="false">IF($H934="Flat",_xlfn.XLOOKUP($E934,$A$5:$A$8,$F$5:$F$8,""),"")</f>
        <v>44</v>
      </c>
      <c r="K934" s="38" t="str">
        <f aca="false">_xlfn.XLOOKUP($E934,$A$5:$A$8,$G$5:$G$8,"")</f>
        <v>Per pay period</v>
      </c>
      <c r="L934" s="38" t="str">
        <f aca="false">_xlfn.XLOOKUP($E934,$A$5:$A$8,$H$5:$H$8,"")</f>
        <v>Every pay period (ongoing)</v>
      </c>
      <c r="M934" s="43" t="n">
        <f aca="false" t="array" ref="M934:M934">MAX(_xlfn.XLOOKUP($A934,TRIM(SUBSTITUTE('worker file'!$A$2:$A$406,_xlfn.UNICHAR(160)," ")),'worker file'!$M$2:$M$406,0),_xlfn.XLOOKUP($B934,TRIM('pay group &amp; schedule'!$A$2:$A$6),'pay group &amp; schedule'!$D$2:$D$6,0))</f>
        <v>46311</v>
      </c>
      <c r="N934" s="43" t="str">
        <f aca="false" t="array" ref="N934:N934">_xlfn.LET(_xlpm.t,_xlfn.XLOOKUP($A934,TRIM(SUBSTITUTE('worker file'!$A$2:$A$406,_xlfn.UNICHAR(160)," ")),'worker file'!$N$2:$N$406,""),IF(N(_xlpm.t)=0,"",_xlpm.t))</f>
        <v/>
      </c>
    </row>
    <row r="935" customFormat="false" ht="15" hidden="false" customHeight="false" outlineLevel="0" collapsed="false">
      <c r="A935" s="39" t="s">
        <v>418</v>
      </c>
      <c r="B935" s="40" t="str">
        <f aca="false" t="array" ref="B935:B935">_xlfn.XLOOKUP($A935,TRIM(SUBSTITUTE('worker file'!$A$2:$A$406,_xlfn.UNICHAR(160)," ")),'worker file'!$L$2:$L$406,"Not found")</f>
        <v>US Semi-monthly</v>
      </c>
      <c r="C935" s="40" t="str">
        <f aca="false" t="array" ref="C935:C935">_xlfn.XLOOKUP($A935,TRIM(SUBSTITUTE('worker file'!$A$2:$A$406,_xlfn.UNICHAR(160)," ")),'worker file'!$D$2:$D$406,"Not found")</f>
        <v>NY</v>
      </c>
      <c r="D935" s="40" t="str">
        <f aca="false" t="array" ref="D935:D935">_xlfn.XLOOKUP($A935,TRIM(SUBSTITUTE('worker file'!$A$2:$A$406,_xlfn.UNICHAR(160)," ")),'worker file'!$Q$2:$Q$406,"Not found")</f>
        <v>Active</v>
      </c>
      <c r="E935" s="39" t="s">
        <v>634</v>
      </c>
      <c r="F935" s="38" t="str">
        <f aca="false">_xlfn.XLOOKUP($E935,$A$5:$A$8,$B$5:$B$8,"")</f>
        <v>Vision – Employee</v>
      </c>
      <c r="G935" s="38" t="str">
        <f aca="false">_xlfn.XLOOKUP($E935,$A$5:$A$8,$D$5:$D$8,"")</f>
        <v>Pre-tax Section 125 (exempt from FIT/SIT/FICA)</v>
      </c>
      <c r="H935" s="38" t="str">
        <f aca="false">_xlfn.XLOOKUP($E935,$A$5:$A$8,$E$5:$E$8,"")</f>
        <v>Flat</v>
      </c>
      <c r="I935" s="44" t="str">
        <f aca="false">IF($H935="Percent",_xlfn.XLOOKUP($E935,$A$5:$A$8,$F$5:$F$8,""),"")</f>
        <v/>
      </c>
      <c r="J935" s="42" t="n">
        <f aca="false">IF($H935="Flat",_xlfn.XLOOKUP($E935,$A$5:$A$8,$F$5:$F$8,""),"")</f>
        <v>30</v>
      </c>
      <c r="K935" s="38" t="str">
        <f aca="false">_xlfn.XLOOKUP($E935,$A$5:$A$8,$G$5:$G$8,"")</f>
        <v>Per pay period</v>
      </c>
      <c r="L935" s="38" t="str">
        <f aca="false">_xlfn.XLOOKUP($E935,$A$5:$A$8,$H$5:$H$8,"")</f>
        <v>Every pay period (ongoing)</v>
      </c>
      <c r="M935" s="43" t="n">
        <f aca="false" t="array" ref="M935:M935">MAX(_xlfn.XLOOKUP($A935,TRIM(SUBSTITUTE('worker file'!$A$2:$A$406,_xlfn.UNICHAR(160)," ")),'worker file'!$M$2:$M$406,0),_xlfn.XLOOKUP($B935,TRIM('pay group &amp; schedule'!$A$2:$A$6),'pay group &amp; schedule'!$D$2:$D$6,0))</f>
        <v>46311</v>
      </c>
      <c r="N935" s="43" t="str">
        <f aca="false" t="array" ref="N935:N935">_xlfn.LET(_xlpm.t,_xlfn.XLOOKUP($A935,TRIM(SUBSTITUTE('worker file'!$A$2:$A$406,_xlfn.UNICHAR(160)," ")),'worker file'!$N$2:$N$406,""),IF(N(_xlpm.t)=0,"",_xlpm.t))</f>
        <v/>
      </c>
    </row>
    <row r="936" customFormat="false" ht="15" hidden="false" customHeight="false" outlineLevel="0" collapsed="false">
      <c r="A936" s="39" t="s">
        <v>419</v>
      </c>
      <c r="B936" s="40" t="str">
        <f aca="false" t="array" ref="B936:B936">_xlfn.XLOOKUP($A936,TRIM(SUBSTITUTE('worker file'!$A$2:$A$406,_xlfn.UNICHAR(160)," ")),'worker file'!$L$2:$L$406,"Not found")</f>
        <v>US Biweekly</v>
      </c>
      <c r="C936" s="40" t="str">
        <f aca="false" t="array" ref="C936:C936">_xlfn.XLOOKUP($A936,TRIM(SUBSTITUTE('worker file'!$A$2:$A$406,_xlfn.UNICHAR(160)," ")),'worker file'!$D$2:$D$406,"Not found")</f>
        <v>TX</v>
      </c>
      <c r="D936" s="40" t="str">
        <f aca="false" t="array" ref="D936:D936">_xlfn.XLOOKUP($A936,TRIM(SUBSTITUTE('worker file'!$A$2:$A$406,_xlfn.UNICHAR(160)," ")),'worker file'!$Q$2:$Q$406,"Not found")</f>
        <v>Active</v>
      </c>
      <c r="E936" s="39" t="s">
        <v>618</v>
      </c>
      <c r="F936" s="38" t="str">
        <f aca="false">_xlfn.XLOOKUP($E936,$A$5:$A$8,$B$5:$B$8,"")</f>
        <v>401(k) Employee Deferral</v>
      </c>
      <c r="G936" s="38" t="str">
        <f aca="false">_xlfn.XLOOKUP($E936,$A$5:$A$8,$D$5:$D$8,"")</f>
        <v>Pre-tax (exempt from FIT/SIT; subject to FICA)</v>
      </c>
      <c r="H936" s="38" t="str">
        <f aca="false">_xlfn.XLOOKUP($E936,$A$5:$A$8,$E$5:$E$8,"")</f>
        <v>Percent</v>
      </c>
      <c r="I936" s="41" t="n">
        <v>0.04</v>
      </c>
      <c r="J936" s="42" t="str">
        <f aca="false">IF($H936="Flat",_xlfn.XLOOKUP($E936,$A$5:$A$8,$F$5:$F$8,""),"")</f>
        <v/>
      </c>
      <c r="K936" s="38" t="str">
        <f aca="false">_xlfn.XLOOKUP($E936,$A$5:$A$8,$G$5:$G$8,"")</f>
        <v>Gross pay</v>
      </c>
      <c r="L936" s="38" t="str">
        <f aca="false">_xlfn.XLOOKUP($E936,$A$5:$A$8,$H$5:$H$8,"")</f>
        <v>Every pay period (ongoing)</v>
      </c>
      <c r="M936" s="43" t="n">
        <f aca="false" t="array" ref="M936:M936">MAX(_xlfn.XLOOKUP($A936,TRIM(SUBSTITUTE('worker file'!$A$2:$A$406,_xlfn.UNICHAR(160)," ")),'worker file'!$M$2:$M$406,0),_xlfn.XLOOKUP($B936,TRIM('pay group &amp; schedule'!$A$2:$A$6),'pay group &amp; schedule'!$D$2:$D$6,0))</f>
        <v>46299</v>
      </c>
      <c r="N936" s="43" t="str">
        <f aca="false" t="array" ref="N936:N936">_xlfn.LET(_xlpm.t,_xlfn.XLOOKUP($A936,TRIM(SUBSTITUTE('worker file'!$A$2:$A$406,_xlfn.UNICHAR(160)," ")),'worker file'!$N$2:$N$406,""),IF(N(_xlpm.t)=0,"",_xlpm.t))</f>
        <v/>
      </c>
    </row>
    <row r="937" customFormat="false" ht="15" hidden="false" customHeight="false" outlineLevel="0" collapsed="false">
      <c r="A937" s="39" t="s">
        <v>419</v>
      </c>
      <c r="B937" s="40" t="str">
        <f aca="false" t="array" ref="B937:B937">_xlfn.XLOOKUP($A937,TRIM(SUBSTITUTE('worker file'!$A$2:$A$406,_xlfn.UNICHAR(160)," ")),'worker file'!$L$2:$L$406,"Not found")</f>
        <v>US Biweekly</v>
      </c>
      <c r="C937" s="40" t="str">
        <f aca="false" t="array" ref="C937:C937">_xlfn.XLOOKUP($A937,TRIM(SUBSTITUTE('worker file'!$A$2:$A$406,_xlfn.UNICHAR(160)," ")),'worker file'!$D$2:$D$406,"Not found")</f>
        <v>TX</v>
      </c>
      <c r="D937" s="40" t="str">
        <f aca="false" t="array" ref="D937:D937">_xlfn.XLOOKUP($A937,TRIM(SUBSTITUTE('worker file'!$A$2:$A$406,_xlfn.UNICHAR(160)," ")),'worker file'!$Q$2:$Q$406,"Not found")</f>
        <v>Active</v>
      </c>
      <c r="E937" s="39" t="s">
        <v>626</v>
      </c>
      <c r="F937" s="38" t="str">
        <f aca="false">_xlfn.XLOOKUP($E937,$A$5:$A$8,$B$5:$B$8,"")</f>
        <v>Medical (Health) – Employee</v>
      </c>
      <c r="G937" s="38" t="str">
        <f aca="false">_xlfn.XLOOKUP($E937,$A$5:$A$8,$D$5:$D$8,"")</f>
        <v>Pre-tax Section 125 (exempt from FIT/SIT/FICA)</v>
      </c>
      <c r="H937" s="38" t="str">
        <f aca="false">_xlfn.XLOOKUP($E937,$A$5:$A$8,$E$5:$E$8,"")</f>
        <v>Flat</v>
      </c>
      <c r="I937" s="44" t="str">
        <f aca="false">IF($H937="Percent",_xlfn.XLOOKUP($E937,$A$5:$A$8,$F$5:$F$8,""),"")</f>
        <v/>
      </c>
      <c r="J937" s="42" t="n">
        <f aca="false">IF($H937="Flat",_xlfn.XLOOKUP($E937,$A$5:$A$8,$F$5:$F$8,""),"")</f>
        <v>200</v>
      </c>
      <c r="K937" s="38" t="str">
        <f aca="false">_xlfn.XLOOKUP($E937,$A$5:$A$8,$G$5:$G$8,"")</f>
        <v>Per pay period</v>
      </c>
      <c r="L937" s="38" t="str">
        <f aca="false">_xlfn.XLOOKUP($E937,$A$5:$A$8,$H$5:$H$8,"")</f>
        <v>Every pay period (ongoing)</v>
      </c>
      <c r="M937" s="43" t="n">
        <f aca="false" t="array" ref="M937:M937">MAX(_xlfn.XLOOKUP($A937,TRIM(SUBSTITUTE('worker file'!$A$2:$A$406,_xlfn.UNICHAR(160)," ")),'worker file'!$M$2:$M$406,0),_xlfn.XLOOKUP($B937,TRIM('pay group &amp; schedule'!$A$2:$A$6),'pay group &amp; schedule'!$D$2:$D$6,0))</f>
        <v>46299</v>
      </c>
      <c r="N937" s="43" t="str">
        <f aca="false" t="array" ref="N937:N937">_xlfn.LET(_xlpm.t,_xlfn.XLOOKUP($A937,TRIM(SUBSTITUTE('worker file'!$A$2:$A$406,_xlfn.UNICHAR(160)," ")),'worker file'!$N$2:$N$406,""),IF(N(_xlpm.t)=0,"",_xlpm.t))</f>
        <v/>
      </c>
    </row>
    <row r="938" customFormat="false" ht="15" hidden="false" customHeight="false" outlineLevel="0" collapsed="false">
      <c r="A938" s="39" t="s">
        <v>419</v>
      </c>
      <c r="B938" s="40" t="str">
        <f aca="false" t="array" ref="B938:B938">_xlfn.XLOOKUP($A938,TRIM(SUBSTITUTE('worker file'!$A$2:$A$406,_xlfn.UNICHAR(160)," ")),'worker file'!$L$2:$L$406,"Not found")</f>
        <v>US Biweekly</v>
      </c>
      <c r="C938" s="40" t="str">
        <f aca="false" t="array" ref="C938:C938">_xlfn.XLOOKUP($A938,TRIM(SUBSTITUTE('worker file'!$A$2:$A$406,_xlfn.UNICHAR(160)," ")),'worker file'!$D$2:$D$406,"Not found")</f>
        <v>TX</v>
      </c>
      <c r="D938" s="40" t="str">
        <f aca="false" t="array" ref="D938:D938">_xlfn.XLOOKUP($A938,TRIM(SUBSTITUTE('worker file'!$A$2:$A$406,_xlfn.UNICHAR(160)," ")),'worker file'!$Q$2:$Q$406,"Not found")</f>
        <v>Active</v>
      </c>
      <c r="E938" s="39" t="s">
        <v>632</v>
      </c>
      <c r="F938" s="38" t="str">
        <f aca="false">_xlfn.XLOOKUP($E938,$A$5:$A$8,$B$5:$B$8,"")</f>
        <v>Dental – Employee</v>
      </c>
      <c r="G938" s="38" t="str">
        <f aca="false">_xlfn.XLOOKUP($E938,$A$5:$A$8,$D$5:$D$8,"")</f>
        <v>Pre-tax Section 125 (exempt from FIT/SIT/FICA)</v>
      </c>
      <c r="H938" s="38" t="str">
        <f aca="false">_xlfn.XLOOKUP($E938,$A$5:$A$8,$E$5:$E$8,"")</f>
        <v>Flat</v>
      </c>
      <c r="I938" s="44" t="str">
        <f aca="false">IF($H938="Percent",_xlfn.XLOOKUP($E938,$A$5:$A$8,$F$5:$F$8,""),"")</f>
        <v/>
      </c>
      <c r="J938" s="42" t="n">
        <f aca="false">IF($H938="Flat",_xlfn.XLOOKUP($E938,$A$5:$A$8,$F$5:$F$8,""),"")</f>
        <v>44</v>
      </c>
      <c r="K938" s="38" t="str">
        <f aca="false">_xlfn.XLOOKUP($E938,$A$5:$A$8,$G$5:$G$8,"")</f>
        <v>Per pay period</v>
      </c>
      <c r="L938" s="38" t="str">
        <f aca="false">_xlfn.XLOOKUP($E938,$A$5:$A$8,$H$5:$H$8,"")</f>
        <v>Every pay period (ongoing)</v>
      </c>
      <c r="M938" s="43" t="n">
        <f aca="false" t="array" ref="M938:M938">MAX(_xlfn.XLOOKUP($A938,TRIM(SUBSTITUTE('worker file'!$A$2:$A$406,_xlfn.UNICHAR(160)," ")),'worker file'!$M$2:$M$406,0),_xlfn.XLOOKUP($B938,TRIM('pay group &amp; schedule'!$A$2:$A$6),'pay group &amp; schedule'!$D$2:$D$6,0))</f>
        <v>46299</v>
      </c>
      <c r="N938" s="43" t="str">
        <f aca="false" t="array" ref="N938:N938">_xlfn.LET(_xlpm.t,_xlfn.XLOOKUP($A938,TRIM(SUBSTITUTE('worker file'!$A$2:$A$406,_xlfn.UNICHAR(160)," ")),'worker file'!$N$2:$N$406,""),IF(N(_xlpm.t)=0,"",_xlpm.t))</f>
        <v/>
      </c>
    </row>
    <row r="939" customFormat="false" ht="15" hidden="false" customHeight="false" outlineLevel="0" collapsed="false">
      <c r="A939" s="39" t="s">
        <v>419</v>
      </c>
      <c r="B939" s="40" t="str">
        <f aca="false" t="array" ref="B939:B939">_xlfn.XLOOKUP($A939,TRIM(SUBSTITUTE('worker file'!$A$2:$A$406,_xlfn.UNICHAR(160)," ")),'worker file'!$L$2:$L$406,"Not found")</f>
        <v>US Biweekly</v>
      </c>
      <c r="C939" s="40" t="str">
        <f aca="false" t="array" ref="C939:C939">_xlfn.XLOOKUP($A939,TRIM(SUBSTITUTE('worker file'!$A$2:$A$406,_xlfn.UNICHAR(160)," ")),'worker file'!$D$2:$D$406,"Not found")</f>
        <v>TX</v>
      </c>
      <c r="D939" s="40" t="str">
        <f aca="false" t="array" ref="D939:D939">_xlfn.XLOOKUP($A939,TRIM(SUBSTITUTE('worker file'!$A$2:$A$406,_xlfn.UNICHAR(160)," ")),'worker file'!$Q$2:$Q$406,"Not found")</f>
        <v>Active</v>
      </c>
      <c r="E939" s="39" t="s">
        <v>634</v>
      </c>
      <c r="F939" s="38" t="str">
        <f aca="false">_xlfn.XLOOKUP($E939,$A$5:$A$8,$B$5:$B$8,"")</f>
        <v>Vision – Employee</v>
      </c>
      <c r="G939" s="38" t="str">
        <f aca="false">_xlfn.XLOOKUP($E939,$A$5:$A$8,$D$5:$D$8,"")</f>
        <v>Pre-tax Section 125 (exempt from FIT/SIT/FICA)</v>
      </c>
      <c r="H939" s="38" t="str">
        <f aca="false">_xlfn.XLOOKUP($E939,$A$5:$A$8,$E$5:$E$8,"")</f>
        <v>Flat</v>
      </c>
      <c r="I939" s="44" t="str">
        <f aca="false">IF($H939="Percent",_xlfn.XLOOKUP($E939,$A$5:$A$8,$F$5:$F$8,""),"")</f>
        <v/>
      </c>
      <c r="J939" s="42" t="n">
        <f aca="false">IF($H939="Flat",_xlfn.XLOOKUP($E939,$A$5:$A$8,$F$5:$F$8,""),"")</f>
        <v>30</v>
      </c>
      <c r="K939" s="38" t="str">
        <f aca="false">_xlfn.XLOOKUP($E939,$A$5:$A$8,$G$5:$G$8,"")</f>
        <v>Per pay period</v>
      </c>
      <c r="L939" s="38" t="str">
        <f aca="false">_xlfn.XLOOKUP($E939,$A$5:$A$8,$H$5:$H$8,"")</f>
        <v>Every pay period (ongoing)</v>
      </c>
      <c r="M939" s="43" t="n">
        <f aca="false" t="array" ref="M939:M939">MAX(_xlfn.XLOOKUP($A939,TRIM(SUBSTITUTE('worker file'!$A$2:$A$406,_xlfn.UNICHAR(160)," ")),'worker file'!$M$2:$M$406,0),_xlfn.XLOOKUP($B939,TRIM('pay group &amp; schedule'!$A$2:$A$6),'pay group &amp; schedule'!$D$2:$D$6,0))</f>
        <v>46299</v>
      </c>
      <c r="N939" s="43" t="str">
        <f aca="false" t="array" ref="N939:N939">_xlfn.LET(_xlpm.t,_xlfn.XLOOKUP($A939,TRIM(SUBSTITUTE('worker file'!$A$2:$A$406,_xlfn.UNICHAR(160)," ")),'worker file'!$N$2:$N$406,""),IF(N(_xlpm.t)=0,"",_xlpm.t))</f>
        <v/>
      </c>
    </row>
    <row r="940" customFormat="false" ht="15" hidden="false" customHeight="false" outlineLevel="0" collapsed="false">
      <c r="A940" s="39" t="s">
        <v>421</v>
      </c>
      <c r="B940" s="40" t="str">
        <f aca="false" t="array" ref="B940:B940">_xlfn.XLOOKUP($A940,TRIM(SUBSTITUTE('worker file'!$A$2:$A$406,_xlfn.UNICHAR(160)," ")),'worker file'!$L$2:$L$406,"Not found")</f>
        <v>US Semi-monthly</v>
      </c>
      <c r="C940" s="40" t="str">
        <f aca="false" t="array" ref="C940:C940">_xlfn.XLOOKUP($A940,TRIM(SUBSTITUTE('worker file'!$A$2:$A$406,_xlfn.UNICHAR(160)," ")),'worker file'!$D$2:$D$406,"Not found")</f>
        <v>CA</v>
      </c>
      <c r="D940" s="40" t="str">
        <f aca="false" t="array" ref="D940:D940">_xlfn.XLOOKUP($A940,TRIM(SUBSTITUTE('worker file'!$A$2:$A$406,_xlfn.UNICHAR(160)," ")),'worker file'!$Q$2:$Q$406,"Not found")</f>
        <v>Active</v>
      </c>
      <c r="E940" s="39" t="s">
        <v>618</v>
      </c>
      <c r="F940" s="38" t="str">
        <f aca="false">_xlfn.XLOOKUP($E940,$A$5:$A$8,$B$5:$B$8,"")</f>
        <v>401(k) Employee Deferral</v>
      </c>
      <c r="G940" s="38" t="str">
        <f aca="false">_xlfn.XLOOKUP($E940,$A$5:$A$8,$D$5:$D$8,"")</f>
        <v>Pre-tax (exempt from FIT/SIT; subject to FICA)</v>
      </c>
      <c r="H940" s="38" t="str">
        <f aca="false">_xlfn.XLOOKUP($E940,$A$5:$A$8,$E$5:$E$8,"")</f>
        <v>Percent</v>
      </c>
      <c r="I940" s="41" t="n">
        <v>0.01</v>
      </c>
      <c r="J940" s="42" t="str">
        <f aca="false">IF($H940="Flat",_xlfn.XLOOKUP($E940,$A$5:$A$8,$F$5:$F$8,""),"")</f>
        <v/>
      </c>
      <c r="K940" s="38" t="str">
        <f aca="false">_xlfn.XLOOKUP($E940,$A$5:$A$8,$G$5:$G$8,"")</f>
        <v>Gross pay</v>
      </c>
      <c r="L940" s="38" t="str">
        <f aca="false">_xlfn.XLOOKUP($E940,$A$5:$A$8,$H$5:$H$8,"")</f>
        <v>Every pay period (ongoing)</v>
      </c>
      <c r="M940" s="43" t="n">
        <f aca="false" t="array" ref="M940:M940">MAX(_xlfn.XLOOKUP($A940,TRIM(SUBSTITUTE('worker file'!$A$2:$A$406,_xlfn.UNICHAR(160)," ")),'worker file'!$M$2:$M$406,0),_xlfn.XLOOKUP($B940,TRIM('pay group &amp; schedule'!$A$2:$A$6),'pay group &amp; schedule'!$D$2:$D$6,0))</f>
        <v>46311</v>
      </c>
      <c r="N940" s="43" t="str">
        <f aca="false" t="array" ref="N940:N940">_xlfn.LET(_xlpm.t,_xlfn.XLOOKUP($A940,TRIM(SUBSTITUTE('worker file'!$A$2:$A$406,_xlfn.UNICHAR(160)," ")),'worker file'!$N$2:$N$406,""),IF(N(_xlpm.t)=0,"",_xlpm.t))</f>
        <v/>
      </c>
    </row>
    <row r="941" customFormat="false" ht="15" hidden="false" customHeight="false" outlineLevel="0" collapsed="false">
      <c r="A941" s="39" t="s">
        <v>421</v>
      </c>
      <c r="B941" s="40" t="str">
        <f aca="false" t="array" ref="B941:B941">_xlfn.XLOOKUP($A941,TRIM(SUBSTITUTE('worker file'!$A$2:$A$406,_xlfn.UNICHAR(160)," ")),'worker file'!$L$2:$L$406,"Not found")</f>
        <v>US Semi-monthly</v>
      </c>
      <c r="C941" s="40" t="str">
        <f aca="false" t="array" ref="C941:C941">_xlfn.XLOOKUP($A941,TRIM(SUBSTITUTE('worker file'!$A$2:$A$406,_xlfn.UNICHAR(160)," ")),'worker file'!$D$2:$D$406,"Not found")</f>
        <v>CA</v>
      </c>
      <c r="D941" s="40" t="str">
        <f aca="false" t="array" ref="D941:D941">_xlfn.XLOOKUP($A941,TRIM(SUBSTITUTE('worker file'!$A$2:$A$406,_xlfn.UNICHAR(160)," ")),'worker file'!$Q$2:$Q$406,"Not found")</f>
        <v>Active</v>
      </c>
      <c r="E941" s="39" t="s">
        <v>626</v>
      </c>
      <c r="F941" s="38" t="str">
        <f aca="false">_xlfn.XLOOKUP($E941,$A$5:$A$8,$B$5:$B$8,"")</f>
        <v>Medical (Health) – Employee</v>
      </c>
      <c r="G941" s="38" t="str">
        <f aca="false">_xlfn.XLOOKUP($E941,$A$5:$A$8,$D$5:$D$8,"")</f>
        <v>Pre-tax Section 125 (exempt from FIT/SIT/FICA)</v>
      </c>
      <c r="H941" s="38" t="str">
        <f aca="false">_xlfn.XLOOKUP($E941,$A$5:$A$8,$E$5:$E$8,"")</f>
        <v>Flat</v>
      </c>
      <c r="I941" s="44" t="str">
        <f aca="false">IF($H941="Percent",_xlfn.XLOOKUP($E941,$A$5:$A$8,$F$5:$F$8,""),"")</f>
        <v/>
      </c>
      <c r="J941" s="42" t="n">
        <f aca="false">IF($H941="Flat",_xlfn.XLOOKUP($E941,$A$5:$A$8,$F$5:$F$8,""),"")</f>
        <v>200</v>
      </c>
      <c r="K941" s="38" t="str">
        <f aca="false">_xlfn.XLOOKUP($E941,$A$5:$A$8,$G$5:$G$8,"")</f>
        <v>Per pay period</v>
      </c>
      <c r="L941" s="38" t="str">
        <f aca="false">_xlfn.XLOOKUP($E941,$A$5:$A$8,$H$5:$H$8,"")</f>
        <v>Every pay period (ongoing)</v>
      </c>
      <c r="M941" s="43" t="n">
        <f aca="false" t="array" ref="M941:M941">MAX(_xlfn.XLOOKUP($A941,TRIM(SUBSTITUTE('worker file'!$A$2:$A$406,_xlfn.UNICHAR(160)," ")),'worker file'!$M$2:$M$406,0),_xlfn.XLOOKUP($B941,TRIM('pay group &amp; schedule'!$A$2:$A$6),'pay group &amp; schedule'!$D$2:$D$6,0))</f>
        <v>46311</v>
      </c>
      <c r="N941" s="43" t="str">
        <f aca="false" t="array" ref="N941:N941">_xlfn.LET(_xlpm.t,_xlfn.XLOOKUP($A941,TRIM(SUBSTITUTE('worker file'!$A$2:$A$406,_xlfn.UNICHAR(160)," ")),'worker file'!$N$2:$N$406,""),IF(N(_xlpm.t)=0,"",_xlpm.t))</f>
        <v/>
      </c>
    </row>
    <row r="942" customFormat="false" ht="15" hidden="false" customHeight="false" outlineLevel="0" collapsed="false">
      <c r="A942" s="39" t="s">
        <v>421</v>
      </c>
      <c r="B942" s="40" t="str">
        <f aca="false" t="array" ref="B942:B942">_xlfn.XLOOKUP($A942,TRIM(SUBSTITUTE('worker file'!$A$2:$A$406,_xlfn.UNICHAR(160)," ")),'worker file'!$L$2:$L$406,"Not found")</f>
        <v>US Semi-monthly</v>
      </c>
      <c r="C942" s="40" t="str">
        <f aca="false" t="array" ref="C942:C942">_xlfn.XLOOKUP($A942,TRIM(SUBSTITUTE('worker file'!$A$2:$A$406,_xlfn.UNICHAR(160)," ")),'worker file'!$D$2:$D$406,"Not found")</f>
        <v>CA</v>
      </c>
      <c r="D942" s="40" t="str">
        <f aca="false" t="array" ref="D942:D942">_xlfn.XLOOKUP($A942,TRIM(SUBSTITUTE('worker file'!$A$2:$A$406,_xlfn.UNICHAR(160)," ")),'worker file'!$Q$2:$Q$406,"Not found")</f>
        <v>Active</v>
      </c>
      <c r="E942" s="39" t="s">
        <v>632</v>
      </c>
      <c r="F942" s="38" t="str">
        <f aca="false">_xlfn.XLOOKUP($E942,$A$5:$A$8,$B$5:$B$8,"")</f>
        <v>Dental – Employee</v>
      </c>
      <c r="G942" s="38" t="str">
        <f aca="false">_xlfn.XLOOKUP($E942,$A$5:$A$8,$D$5:$D$8,"")</f>
        <v>Pre-tax Section 125 (exempt from FIT/SIT/FICA)</v>
      </c>
      <c r="H942" s="38" t="str">
        <f aca="false">_xlfn.XLOOKUP($E942,$A$5:$A$8,$E$5:$E$8,"")</f>
        <v>Flat</v>
      </c>
      <c r="I942" s="44" t="str">
        <f aca="false">IF($H942="Percent",_xlfn.XLOOKUP($E942,$A$5:$A$8,$F$5:$F$8,""),"")</f>
        <v/>
      </c>
      <c r="J942" s="42" t="n">
        <f aca="false">IF($H942="Flat",_xlfn.XLOOKUP($E942,$A$5:$A$8,$F$5:$F$8,""),"")</f>
        <v>44</v>
      </c>
      <c r="K942" s="38" t="str">
        <f aca="false">_xlfn.XLOOKUP($E942,$A$5:$A$8,$G$5:$G$8,"")</f>
        <v>Per pay period</v>
      </c>
      <c r="L942" s="38" t="str">
        <f aca="false">_xlfn.XLOOKUP($E942,$A$5:$A$8,$H$5:$H$8,"")</f>
        <v>Every pay period (ongoing)</v>
      </c>
      <c r="M942" s="43" t="n">
        <f aca="false" t="array" ref="M942:M942">MAX(_xlfn.XLOOKUP($A942,TRIM(SUBSTITUTE('worker file'!$A$2:$A$406,_xlfn.UNICHAR(160)," ")),'worker file'!$M$2:$M$406,0),_xlfn.XLOOKUP($B942,TRIM('pay group &amp; schedule'!$A$2:$A$6),'pay group &amp; schedule'!$D$2:$D$6,0))</f>
        <v>46311</v>
      </c>
      <c r="N942" s="43" t="str">
        <f aca="false" t="array" ref="N942:N942">_xlfn.LET(_xlpm.t,_xlfn.XLOOKUP($A942,TRIM(SUBSTITUTE('worker file'!$A$2:$A$406,_xlfn.UNICHAR(160)," ")),'worker file'!$N$2:$N$406,""),IF(N(_xlpm.t)=0,"",_xlpm.t))</f>
        <v/>
      </c>
    </row>
    <row r="943" customFormat="false" ht="15" hidden="false" customHeight="false" outlineLevel="0" collapsed="false">
      <c r="A943" s="39" t="s">
        <v>421</v>
      </c>
      <c r="B943" s="40" t="str">
        <f aca="false" t="array" ref="B943:B943">_xlfn.XLOOKUP($A943,TRIM(SUBSTITUTE('worker file'!$A$2:$A$406,_xlfn.UNICHAR(160)," ")),'worker file'!$L$2:$L$406,"Not found")</f>
        <v>US Semi-monthly</v>
      </c>
      <c r="C943" s="40" t="str">
        <f aca="false" t="array" ref="C943:C943">_xlfn.XLOOKUP($A943,TRIM(SUBSTITUTE('worker file'!$A$2:$A$406,_xlfn.UNICHAR(160)," ")),'worker file'!$D$2:$D$406,"Not found")</f>
        <v>CA</v>
      </c>
      <c r="D943" s="40" t="str">
        <f aca="false" t="array" ref="D943:D943">_xlfn.XLOOKUP($A943,TRIM(SUBSTITUTE('worker file'!$A$2:$A$406,_xlfn.UNICHAR(160)," ")),'worker file'!$Q$2:$Q$406,"Not found")</f>
        <v>Active</v>
      </c>
      <c r="E943" s="39" t="s">
        <v>634</v>
      </c>
      <c r="F943" s="38" t="str">
        <f aca="false">_xlfn.XLOOKUP($E943,$A$5:$A$8,$B$5:$B$8,"")</f>
        <v>Vision – Employee</v>
      </c>
      <c r="G943" s="38" t="str">
        <f aca="false">_xlfn.XLOOKUP($E943,$A$5:$A$8,$D$5:$D$8,"")</f>
        <v>Pre-tax Section 125 (exempt from FIT/SIT/FICA)</v>
      </c>
      <c r="H943" s="38" t="str">
        <f aca="false">_xlfn.XLOOKUP($E943,$A$5:$A$8,$E$5:$E$8,"")</f>
        <v>Flat</v>
      </c>
      <c r="I943" s="44" t="str">
        <f aca="false">IF($H943="Percent",_xlfn.XLOOKUP($E943,$A$5:$A$8,$F$5:$F$8,""),"")</f>
        <v/>
      </c>
      <c r="J943" s="42" t="n">
        <f aca="false">IF($H943="Flat",_xlfn.XLOOKUP($E943,$A$5:$A$8,$F$5:$F$8,""),"")</f>
        <v>30</v>
      </c>
      <c r="K943" s="38" t="str">
        <f aca="false">_xlfn.XLOOKUP($E943,$A$5:$A$8,$G$5:$G$8,"")</f>
        <v>Per pay period</v>
      </c>
      <c r="L943" s="38" t="str">
        <f aca="false">_xlfn.XLOOKUP($E943,$A$5:$A$8,$H$5:$H$8,"")</f>
        <v>Every pay period (ongoing)</v>
      </c>
      <c r="M943" s="43" t="n">
        <f aca="false" t="array" ref="M943:M943">MAX(_xlfn.XLOOKUP($A943,TRIM(SUBSTITUTE('worker file'!$A$2:$A$406,_xlfn.UNICHAR(160)," ")),'worker file'!$M$2:$M$406,0),_xlfn.XLOOKUP($B943,TRIM('pay group &amp; schedule'!$A$2:$A$6),'pay group &amp; schedule'!$D$2:$D$6,0))</f>
        <v>46311</v>
      </c>
      <c r="N943" s="43" t="str">
        <f aca="false" t="array" ref="N943:N943">_xlfn.LET(_xlpm.t,_xlfn.XLOOKUP($A943,TRIM(SUBSTITUTE('worker file'!$A$2:$A$406,_xlfn.UNICHAR(160)," ")),'worker file'!$N$2:$N$406,""),IF(N(_xlpm.t)=0,"",_xlpm.t))</f>
        <v/>
      </c>
    </row>
    <row r="944" customFormat="false" ht="15" hidden="false" customHeight="false" outlineLevel="0" collapsed="false">
      <c r="A944" s="39" t="s">
        <v>422</v>
      </c>
      <c r="B944" s="40" t="str">
        <f aca="false" t="array" ref="B944:B944">_xlfn.XLOOKUP($A944,TRIM(SUBSTITUTE('worker file'!$A$2:$A$406,_xlfn.UNICHAR(160)," ")),'worker file'!$L$2:$L$406,"Not found")</f>
        <v>US Semi-monthly</v>
      </c>
      <c r="C944" s="40" t="str">
        <f aca="false" t="array" ref="C944:C944">_xlfn.XLOOKUP($A944,TRIM(SUBSTITUTE('worker file'!$A$2:$A$406,_xlfn.UNICHAR(160)," ")),'worker file'!$D$2:$D$406,"Not found")</f>
        <v>CA</v>
      </c>
      <c r="D944" s="40" t="str">
        <f aca="false" t="array" ref="D944:D944">_xlfn.XLOOKUP($A944,TRIM(SUBSTITUTE('worker file'!$A$2:$A$406,_xlfn.UNICHAR(160)," ")),'worker file'!$Q$2:$Q$406,"Not found")</f>
        <v>Active</v>
      </c>
      <c r="E944" s="39" t="s">
        <v>618</v>
      </c>
      <c r="F944" s="38" t="str">
        <f aca="false">_xlfn.XLOOKUP($E944,$A$5:$A$8,$B$5:$B$8,"")</f>
        <v>401(k) Employee Deferral</v>
      </c>
      <c r="G944" s="38" t="str">
        <f aca="false">_xlfn.XLOOKUP($E944,$A$5:$A$8,$D$5:$D$8,"")</f>
        <v>Pre-tax (exempt from FIT/SIT; subject to FICA)</v>
      </c>
      <c r="H944" s="38" t="str">
        <f aca="false">_xlfn.XLOOKUP($E944,$A$5:$A$8,$E$5:$E$8,"")</f>
        <v>Percent</v>
      </c>
      <c r="I944" s="41" t="n">
        <v>0.06</v>
      </c>
      <c r="J944" s="42" t="str">
        <f aca="false">IF($H944="Flat",_xlfn.XLOOKUP($E944,$A$5:$A$8,$F$5:$F$8,""),"")</f>
        <v/>
      </c>
      <c r="K944" s="38" t="str">
        <f aca="false">_xlfn.XLOOKUP($E944,$A$5:$A$8,$G$5:$G$8,"")</f>
        <v>Gross pay</v>
      </c>
      <c r="L944" s="38" t="str">
        <f aca="false">_xlfn.XLOOKUP($E944,$A$5:$A$8,$H$5:$H$8,"")</f>
        <v>Every pay period (ongoing)</v>
      </c>
      <c r="M944" s="43" t="n">
        <f aca="false" t="array" ref="M944:M944">MAX(_xlfn.XLOOKUP($A944,TRIM(SUBSTITUTE('worker file'!$A$2:$A$406,_xlfn.UNICHAR(160)," ")),'worker file'!$M$2:$M$406,0),_xlfn.XLOOKUP($B944,TRIM('pay group &amp; schedule'!$A$2:$A$6),'pay group &amp; schedule'!$D$2:$D$6,0))</f>
        <v>46311</v>
      </c>
      <c r="N944" s="43" t="str">
        <f aca="false" t="array" ref="N944:N944">_xlfn.LET(_xlpm.t,_xlfn.XLOOKUP($A944,TRIM(SUBSTITUTE('worker file'!$A$2:$A$406,_xlfn.UNICHAR(160)," ")),'worker file'!$N$2:$N$406,""),IF(N(_xlpm.t)=0,"",_xlpm.t))</f>
        <v/>
      </c>
    </row>
    <row r="945" customFormat="false" ht="15" hidden="false" customHeight="false" outlineLevel="0" collapsed="false">
      <c r="A945" s="39" t="s">
        <v>422</v>
      </c>
      <c r="B945" s="40" t="str">
        <f aca="false" t="array" ref="B945:B945">_xlfn.XLOOKUP($A945,TRIM(SUBSTITUTE('worker file'!$A$2:$A$406,_xlfn.UNICHAR(160)," ")),'worker file'!$L$2:$L$406,"Not found")</f>
        <v>US Semi-monthly</v>
      </c>
      <c r="C945" s="40" t="str">
        <f aca="false" t="array" ref="C945:C945">_xlfn.XLOOKUP($A945,TRIM(SUBSTITUTE('worker file'!$A$2:$A$406,_xlfn.UNICHAR(160)," ")),'worker file'!$D$2:$D$406,"Not found")</f>
        <v>CA</v>
      </c>
      <c r="D945" s="40" t="str">
        <f aca="false" t="array" ref="D945:D945">_xlfn.XLOOKUP($A945,TRIM(SUBSTITUTE('worker file'!$A$2:$A$406,_xlfn.UNICHAR(160)," ")),'worker file'!$Q$2:$Q$406,"Not found")</f>
        <v>Active</v>
      </c>
      <c r="E945" s="39" t="s">
        <v>626</v>
      </c>
      <c r="F945" s="38" t="str">
        <f aca="false">_xlfn.XLOOKUP($E945,$A$5:$A$8,$B$5:$B$8,"")</f>
        <v>Medical (Health) – Employee</v>
      </c>
      <c r="G945" s="38" t="str">
        <f aca="false">_xlfn.XLOOKUP($E945,$A$5:$A$8,$D$5:$D$8,"")</f>
        <v>Pre-tax Section 125 (exempt from FIT/SIT/FICA)</v>
      </c>
      <c r="H945" s="38" t="str">
        <f aca="false">_xlfn.XLOOKUP($E945,$A$5:$A$8,$E$5:$E$8,"")</f>
        <v>Flat</v>
      </c>
      <c r="I945" s="44" t="str">
        <f aca="false">IF($H945="Percent",_xlfn.XLOOKUP($E945,$A$5:$A$8,$F$5:$F$8,""),"")</f>
        <v/>
      </c>
      <c r="J945" s="42" t="n">
        <f aca="false">IF($H945="Flat",_xlfn.XLOOKUP($E945,$A$5:$A$8,$F$5:$F$8,""),"")</f>
        <v>200</v>
      </c>
      <c r="K945" s="38" t="str">
        <f aca="false">_xlfn.XLOOKUP($E945,$A$5:$A$8,$G$5:$G$8,"")</f>
        <v>Per pay period</v>
      </c>
      <c r="L945" s="38" t="str">
        <f aca="false">_xlfn.XLOOKUP($E945,$A$5:$A$8,$H$5:$H$8,"")</f>
        <v>Every pay period (ongoing)</v>
      </c>
      <c r="M945" s="43" t="n">
        <f aca="false" t="array" ref="M945:M945">MAX(_xlfn.XLOOKUP($A945,TRIM(SUBSTITUTE('worker file'!$A$2:$A$406,_xlfn.UNICHAR(160)," ")),'worker file'!$M$2:$M$406,0),_xlfn.XLOOKUP($B945,TRIM('pay group &amp; schedule'!$A$2:$A$6),'pay group &amp; schedule'!$D$2:$D$6,0))</f>
        <v>46311</v>
      </c>
      <c r="N945" s="43" t="str">
        <f aca="false" t="array" ref="N945:N945">_xlfn.LET(_xlpm.t,_xlfn.XLOOKUP($A945,TRIM(SUBSTITUTE('worker file'!$A$2:$A$406,_xlfn.UNICHAR(160)," ")),'worker file'!$N$2:$N$406,""),IF(N(_xlpm.t)=0,"",_xlpm.t))</f>
        <v/>
      </c>
    </row>
    <row r="946" customFormat="false" ht="15" hidden="false" customHeight="false" outlineLevel="0" collapsed="false">
      <c r="A946" s="39" t="s">
        <v>422</v>
      </c>
      <c r="B946" s="40" t="str">
        <f aca="false" t="array" ref="B946:B946">_xlfn.XLOOKUP($A946,TRIM(SUBSTITUTE('worker file'!$A$2:$A$406,_xlfn.UNICHAR(160)," ")),'worker file'!$L$2:$L$406,"Not found")</f>
        <v>US Semi-monthly</v>
      </c>
      <c r="C946" s="40" t="str">
        <f aca="false" t="array" ref="C946:C946">_xlfn.XLOOKUP($A946,TRIM(SUBSTITUTE('worker file'!$A$2:$A$406,_xlfn.UNICHAR(160)," ")),'worker file'!$D$2:$D$406,"Not found")</f>
        <v>CA</v>
      </c>
      <c r="D946" s="40" t="str">
        <f aca="false" t="array" ref="D946:D946">_xlfn.XLOOKUP($A946,TRIM(SUBSTITUTE('worker file'!$A$2:$A$406,_xlfn.UNICHAR(160)," ")),'worker file'!$Q$2:$Q$406,"Not found")</f>
        <v>Active</v>
      </c>
      <c r="E946" s="39" t="s">
        <v>632</v>
      </c>
      <c r="F946" s="38" t="str">
        <f aca="false">_xlfn.XLOOKUP($E946,$A$5:$A$8,$B$5:$B$8,"")</f>
        <v>Dental – Employee</v>
      </c>
      <c r="G946" s="38" t="str">
        <f aca="false">_xlfn.XLOOKUP($E946,$A$5:$A$8,$D$5:$D$8,"")</f>
        <v>Pre-tax Section 125 (exempt from FIT/SIT/FICA)</v>
      </c>
      <c r="H946" s="38" t="str">
        <f aca="false">_xlfn.XLOOKUP($E946,$A$5:$A$8,$E$5:$E$8,"")</f>
        <v>Flat</v>
      </c>
      <c r="I946" s="44" t="str">
        <f aca="false">IF($H946="Percent",_xlfn.XLOOKUP($E946,$A$5:$A$8,$F$5:$F$8,""),"")</f>
        <v/>
      </c>
      <c r="J946" s="42" t="n">
        <f aca="false">IF($H946="Flat",_xlfn.XLOOKUP($E946,$A$5:$A$8,$F$5:$F$8,""),"")</f>
        <v>44</v>
      </c>
      <c r="K946" s="38" t="str">
        <f aca="false">_xlfn.XLOOKUP($E946,$A$5:$A$8,$G$5:$G$8,"")</f>
        <v>Per pay period</v>
      </c>
      <c r="L946" s="38" t="str">
        <f aca="false">_xlfn.XLOOKUP($E946,$A$5:$A$8,$H$5:$H$8,"")</f>
        <v>Every pay period (ongoing)</v>
      </c>
      <c r="M946" s="43" t="n">
        <f aca="false" t="array" ref="M946:M946">MAX(_xlfn.XLOOKUP($A946,TRIM(SUBSTITUTE('worker file'!$A$2:$A$406,_xlfn.UNICHAR(160)," ")),'worker file'!$M$2:$M$406,0),_xlfn.XLOOKUP($B946,TRIM('pay group &amp; schedule'!$A$2:$A$6),'pay group &amp; schedule'!$D$2:$D$6,0))</f>
        <v>46311</v>
      </c>
      <c r="N946" s="43" t="str">
        <f aca="false" t="array" ref="N946:N946">_xlfn.LET(_xlpm.t,_xlfn.XLOOKUP($A946,TRIM(SUBSTITUTE('worker file'!$A$2:$A$406,_xlfn.UNICHAR(160)," ")),'worker file'!$N$2:$N$406,""),IF(N(_xlpm.t)=0,"",_xlpm.t))</f>
        <v/>
      </c>
    </row>
    <row r="947" customFormat="false" ht="15" hidden="false" customHeight="false" outlineLevel="0" collapsed="false">
      <c r="A947" s="39" t="s">
        <v>422</v>
      </c>
      <c r="B947" s="40" t="str">
        <f aca="false" t="array" ref="B947:B947">_xlfn.XLOOKUP($A947,TRIM(SUBSTITUTE('worker file'!$A$2:$A$406,_xlfn.UNICHAR(160)," ")),'worker file'!$L$2:$L$406,"Not found")</f>
        <v>US Semi-monthly</v>
      </c>
      <c r="C947" s="40" t="str">
        <f aca="false" t="array" ref="C947:C947">_xlfn.XLOOKUP($A947,TRIM(SUBSTITUTE('worker file'!$A$2:$A$406,_xlfn.UNICHAR(160)," ")),'worker file'!$D$2:$D$406,"Not found")</f>
        <v>CA</v>
      </c>
      <c r="D947" s="40" t="str">
        <f aca="false" t="array" ref="D947:D947">_xlfn.XLOOKUP($A947,TRIM(SUBSTITUTE('worker file'!$A$2:$A$406,_xlfn.UNICHAR(160)," ")),'worker file'!$Q$2:$Q$406,"Not found")</f>
        <v>Active</v>
      </c>
      <c r="E947" s="39" t="s">
        <v>634</v>
      </c>
      <c r="F947" s="38" t="str">
        <f aca="false">_xlfn.XLOOKUP($E947,$A$5:$A$8,$B$5:$B$8,"")</f>
        <v>Vision – Employee</v>
      </c>
      <c r="G947" s="38" t="str">
        <f aca="false">_xlfn.XLOOKUP($E947,$A$5:$A$8,$D$5:$D$8,"")</f>
        <v>Pre-tax Section 125 (exempt from FIT/SIT/FICA)</v>
      </c>
      <c r="H947" s="38" t="str">
        <f aca="false">_xlfn.XLOOKUP($E947,$A$5:$A$8,$E$5:$E$8,"")</f>
        <v>Flat</v>
      </c>
      <c r="I947" s="44" t="str">
        <f aca="false">IF($H947="Percent",_xlfn.XLOOKUP($E947,$A$5:$A$8,$F$5:$F$8,""),"")</f>
        <v/>
      </c>
      <c r="J947" s="42" t="n">
        <f aca="false">IF($H947="Flat",_xlfn.XLOOKUP($E947,$A$5:$A$8,$F$5:$F$8,""),"")</f>
        <v>30</v>
      </c>
      <c r="K947" s="38" t="str">
        <f aca="false">_xlfn.XLOOKUP($E947,$A$5:$A$8,$G$5:$G$8,"")</f>
        <v>Per pay period</v>
      </c>
      <c r="L947" s="38" t="str">
        <f aca="false">_xlfn.XLOOKUP($E947,$A$5:$A$8,$H$5:$H$8,"")</f>
        <v>Every pay period (ongoing)</v>
      </c>
      <c r="M947" s="43" t="n">
        <f aca="false" t="array" ref="M947:M947">MAX(_xlfn.XLOOKUP($A947,TRIM(SUBSTITUTE('worker file'!$A$2:$A$406,_xlfn.UNICHAR(160)," ")),'worker file'!$M$2:$M$406,0),_xlfn.XLOOKUP($B947,TRIM('pay group &amp; schedule'!$A$2:$A$6),'pay group &amp; schedule'!$D$2:$D$6,0))</f>
        <v>46311</v>
      </c>
      <c r="N947" s="43" t="str">
        <f aca="false" t="array" ref="N947:N947">_xlfn.LET(_xlpm.t,_xlfn.XLOOKUP($A947,TRIM(SUBSTITUTE('worker file'!$A$2:$A$406,_xlfn.UNICHAR(160)," ")),'worker file'!$N$2:$N$406,""),IF(N(_xlpm.t)=0,"",_xlpm.t))</f>
        <v/>
      </c>
    </row>
    <row r="948" customFormat="false" ht="15" hidden="false" customHeight="false" outlineLevel="0" collapsed="false">
      <c r="A948" s="39" t="s">
        <v>425</v>
      </c>
      <c r="B948" s="40" t="str">
        <f aca="false" t="array" ref="B948:B948">_xlfn.XLOOKUP($A948,TRIM(SUBSTITUTE('worker file'!$A$2:$A$406,_xlfn.UNICHAR(160)," ")),'worker file'!$L$2:$L$406,"Not found")</f>
        <v>US Semi-monthly</v>
      </c>
      <c r="C948" s="40" t="str">
        <f aca="false" t="array" ref="C948:C948">_xlfn.XLOOKUP($A948,TRIM(SUBSTITUTE('worker file'!$A$2:$A$406,_xlfn.UNICHAR(160)," ")),'worker file'!$D$2:$D$406,"Not found")</f>
        <v>CA</v>
      </c>
      <c r="D948" s="40" t="str">
        <f aca="false" t="array" ref="D948:D948">_xlfn.XLOOKUP($A948,TRIM(SUBSTITUTE('worker file'!$A$2:$A$406,_xlfn.UNICHAR(160)," ")),'worker file'!$Q$2:$Q$406,"Not found")</f>
        <v>Active</v>
      </c>
      <c r="E948" s="39" t="s">
        <v>618</v>
      </c>
      <c r="F948" s="38" t="str">
        <f aca="false">_xlfn.XLOOKUP($E948,$A$5:$A$8,$B$5:$B$8,"")</f>
        <v>401(k) Employee Deferral</v>
      </c>
      <c r="G948" s="38" t="str">
        <f aca="false">_xlfn.XLOOKUP($E948,$A$5:$A$8,$D$5:$D$8,"")</f>
        <v>Pre-tax (exempt from FIT/SIT; subject to FICA)</v>
      </c>
      <c r="H948" s="38" t="str">
        <f aca="false">_xlfn.XLOOKUP($E948,$A$5:$A$8,$E$5:$E$8,"")</f>
        <v>Percent</v>
      </c>
      <c r="I948" s="41" t="n">
        <v>0.03</v>
      </c>
      <c r="J948" s="42" t="str">
        <f aca="false">IF($H948="Flat",_xlfn.XLOOKUP($E948,$A$5:$A$8,$F$5:$F$8,""),"")</f>
        <v/>
      </c>
      <c r="K948" s="38" t="str">
        <f aca="false">_xlfn.XLOOKUP($E948,$A$5:$A$8,$G$5:$G$8,"")</f>
        <v>Gross pay</v>
      </c>
      <c r="L948" s="38" t="str">
        <f aca="false">_xlfn.XLOOKUP($E948,$A$5:$A$8,$H$5:$H$8,"")</f>
        <v>Every pay period (ongoing)</v>
      </c>
      <c r="M948" s="43" t="n">
        <f aca="false" t="array" ref="M948:M948">MAX(_xlfn.XLOOKUP($A948,TRIM(SUBSTITUTE('worker file'!$A$2:$A$406,_xlfn.UNICHAR(160)," ")),'worker file'!$M$2:$M$406,0),_xlfn.XLOOKUP($B948,TRIM('pay group &amp; schedule'!$A$2:$A$6),'pay group &amp; schedule'!$D$2:$D$6,0))</f>
        <v>46311</v>
      </c>
      <c r="N948" s="43" t="str">
        <f aca="false" t="array" ref="N948:N948">_xlfn.LET(_xlpm.t,_xlfn.XLOOKUP($A948,TRIM(SUBSTITUTE('worker file'!$A$2:$A$406,_xlfn.UNICHAR(160)," ")),'worker file'!$N$2:$N$406,""),IF(N(_xlpm.t)=0,"",_xlpm.t))</f>
        <v/>
      </c>
    </row>
    <row r="949" customFormat="false" ht="15" hidden="false" customHeight="false" outlineLevel="0" collapsed="false">
      <c r="A949" s="39" t="s">
        <v>425</v>
      </c>
      <c r="B949" s="40" t="str">
        <f aca="false" t="array" ref="B949:B949">_xlfn.XLOOKUP($A949,TRIM(SUBSTITUTE('worker file'!$A$2:$A$406,_xlfn.UNICHAR(160)," ")),'worker file'!$L$2:$L$406,"Not found")</f>
        <v>US Semi-monthly</v>
      </c>
      <c r="C949" s="40" t="str">
        <f aca="false" t="array" ref="C949:C949">_xlfn.XLOOKUP($A949,TRIM(SUBSTITUTE('worker file'!$A$2:$A$406,_xlfn.UNICHAR(160)," ")),'worker file'!$D$2:$D$406,"Not found")</f>
        <v>CA</v>
      </c>
      <c r="D949" s="40" t="str">
        <f aca="false" t="array" ref="D949:D949">_xlfn.XLOOKUP($A949,TRIM(SUBSTITUTE('worker file'!$A$2:$A$406,_xlfn.UNICHAR(160)," ")),'worker file'!$Q$2:$Q$406,"Not found")</f>
        <v>Active</v>
      </c>
      <c r="E949" s="39" t="s">
        <v>626</v>
      </c>
      <c r="F949" s="38" t="str">
        <f aca="false">_xlfn.XLOOKUP($E949,$A$5:$A$8,$B$5:$B$8,"")</f>
        <v>Medical (Health) – Employee</v>
      </c>
      <c r="G949" s="38" t="str">
        <f aca="false">_xlfn.XLOOKUP($E949,$A$5:$A$8,$D$5:$D$8,"")</f>
        <v>Pre-tax Section 125 (exempt from FIT/SIT/FICA)</v>
      </c>
      <c r="H949" s="38" t="str">
        <f aca="false">_xlfn.XLOOKUP($E949,$A$5:$A$8,$E$5:$E$8,"")</f>
        <v>Flat</v>
      </c>
      <c r="I949" s="44" t="str">
        <f aca="false">IF($H949="Percent",_xlfn.XLOOKUP($E949,$A$5:$A$8,$F$5:$F$8,""),"")</f>
        <v/>
      </c>
      <c r="J949" s="42" t="n">
        <f aca="false">IF($H949="Flat",_xlfn.XLOOKUP($E949,$A$5:$A$8,$F$5:$F$8,""),"")</f>
        <v>200</v>
      </c>
      <c r="K949" s="38" t="str">
        <f aca="false">_xlfn.XLOOKUP($E949,$A$5:$A$8,$G$5:$G$8,"")</f>
        <v>Per pay period</v>
      </c>
      <c r="L949" s="38" t="str">
        <f aca="false">_xlfn.XLOOKUP($E949,$A$5:$A$8,$H$5:$H$8,"")</f>
        <v>Every pay period (ongoing)</v>
      </c>
      <c r="M949" s="43" t="n">
        <f aca="false" t="array" ref="M949:M949">MAX(_xlfn.XLOOKUP($A949,TRIM(SUBSTITUTE('worker file'!$A$2:$A$406,_xlfn.UNICHAR(160)," ")),'worker file'!$M$2:$M$406,0),_xlfn.XLOOKUP($B949,TRIM('pay group &amp; schedule'!$A$2:$A$6),'pay group &amp; schedule'!$D$2:$D$6,0))</f>
        <v>46311</v>
      </c>
      <c r="N949" s="43" t="str">
        <f aca="false" t="array" ref="N949:N949">_xlfn.LET(_xlpm.t,_xlfn.XLOOKUP($A949,TRIM(SUBSTITUTE('worker file'!$A$2:$A$406,_xlfn.UNICHAR(160)," ")),'worker file'!$N$2:$N$406,""),IF(N(_xlpm.t)=0,"",_xlpm.t))</f>
        <v/>
      </c>
    </row>
    <row r="950" customFormat="false" ht="15" hidden="false" customHeight="false" outlineLevel="0" collapsed="false">
      <c r="A950" s="39" t="s">
        <v>425</v>
      </c>
      <c r="B950" s="40" t="str">
        <f aca="false" t="array" ref="B950:B950">_xlfn.XLOOKUP($A950,TRIM(SUBSTITUTE('worker file'!$A$2:$A$406,_xlfn.UNICHAR(160)," ")),'worker file'!$L$2:$L$406,"Not found")</f>
        <v>US Semi-monthly</v>
      </c>
      <c r="C950" s="40" t="str">
        <f aca="false" t="array" ref="C950:C950">_xlfn.XLOOKUP($A950,TRIM(SUBSTITUTE('worker file'!$A$2:$A$406,_xlfn.UNICHAR(160)," ")),'worker file'!$D$2:$D$406,"Not found")</f>
        <v>CA</v>
      </c>
      <c r="D950" s="40" t="str">
        <f aca="false" t="array" ref="D950:D950">_xlfn.XLOOKUP($A950,TRIM(SUBSTITUTE('worker file'!$A$2:$A$406,_xlfn.UNICHAR(160)," ")),'worker file'!$Q$2:$Q$406,"Not found")</f>
        <v>Active</v>
      </c>
      <c r="E950" s="39" t="s">
        <v>632</v>
      </c>
      <c r="F950" s="38" t="str">
        <f aca="false">_xlfn.XLOOKUP($E950,$A$5:$A$8,$B$5:$B$8,"")</f>
        <v>Dental – Employee</v>
      </c>
      <c r="G950" s="38" t="str">
        <f aca="false">_xlfn.XLOOKUP($E950,$A$5:$A$8,$D$5:$D$8,"")</f>
        <v>Pre-tax Section 125 (exempt from FIT/SIT/FICA)</v>
      </c>
      <c r="H950" s="38" t="str">
        <f aca="false">_xlfn.XLOOKUP($E950,$A$5:$A$8,$E$5:$E$8,"")</f>
        <v>Flat</v>
      </c>
      <c r="I950" s="44" t="str">
        <f aca="false">IF($H950="Percent",_xlfn.XLOOKUP($E950,$A$5:$A$8,$F$5:$F$8,""),"")</f>
        <v/>
      </c>
      <c r="J950" s="42" t="n">
        <f aca="false">IF($H950="Flat",_xlfn.XLOOKUP($E950,$A$5:$A$8,$F$5:$F$8,""),"")</f>
        <v>44</v>
      </c>
      <c r="K950" s="38" t="str">
        <f aca="false">_xlfn.XLOOKUP($E950,$A$5:$A$8,$G$5:$G$8,"")</f>
        <v>Per pay period</v>
      </c>
      <c r="L950" s="38" t="str">
        <f aca="false">_xlfn.XLOOKUP($E950,$A$5:$A$8,$H$5:$H$8,"")</f>
        <v>Every pay period (ongoing)</v>
      </c>
      <c r="M950" s="43" t="n">
        <f aca="false" t="array" ref="M950:M950">MAX(_xlfn.XLOOKUP($A950,TRIM(SUBSTITUTE('worker file'!$A$2:$A$406,_xlfn.UNICHAR(160)," ")),'worker file'!$M$2:$M$406,0),_xlfn.XLOOKUP($B950,TRIM('pay group &amp; schedule'!$A$2:$A$6),'pay group &amp; schedule'!$D$2:$D$6,0))</f>
        <v>46311</v>
      </c>
      <c r="N950" s="43" t="str">
        <f aca="false" t="array" ref="N950:N950">_xlfn.LET(_xlpm.t,_xlfn.XLOOKUP($A950,TRIM(SUBSTITUTE('worker file'!$A$2:$A$406,_xlfn.UNICHAR(160)," ")),'worker file'!$N$2:$N$406,""),IF(N(_xlpm.t)=0,"",_xlpm.t))</f>
        <v/>
      </c>
    </row>
    <row r="951" customFormat="false" ht="15" hidden="false" customHeight="false" outlineLevel="0" collapsed="false">
      <c r="A951" s="39" t="s">
        <v>425</v>
      </c>
      <c r="B951" s="40" t="str">
        <f aca="false" t="array" ref="B951:B951">_xlfn.XLOOKUP($A951,TRIM(SUBSTITUTE('worker file'!$A$2:$A$406,_xlfn.UNICHAR(160)," ")),'worker file'!$L$2:$L$406,"Not found")</f>
        <v>US Semi-monthly</v>
      </c>
      <c r="C951" s="40" t="str">
        <f aca="false" t="array" ref="C951:C951">_xlfn.XLOOKUP($A951,TRIM(SUBSTITUTE('worker file'!$A$2:$A$406,_xlfn.UNICHAR(160)," ")),'worker file'!$D$2:$D$406,"Not found")</f>
        <v>CA</v>
      </c>
      <c r="D951" s="40" t="str">
        <f aca="false" t="array" ref="D951:D951">_xlfn.XLOOKUP($A951,TRIM(SUBSTITUTE('worker file'!$A$2:$A$406,_xlfn.UNICHAR(160)," ")),'worker file'!$Q$2:$Q$406,"Not found")</f>
        <v>Active</v>
      </c>
      <c r="E951" s="39" t="s">
        <v>634</v>
      </c>
      <c r="F951" s="38" t="str">
        <f aca="false">_xlfn.XLOOKUP($E951,$A$5:$A$8,$B$5:$B$8,"")</f>
        <v>Vision – Employee</v>
      </c>
      <c r="G951" s="38" t="str">
        <f aca="false">_xlfn.XLOOKUP($E951,$A$5:$A$8,$D$5:$D$8,"")</f>
        <v>Pre-tax Section 125 (exempt from FIT/SIT/FICA)</v>
      </c>
      <c r="H951" s="38" t="str">
        <f aca="false">_xlfn.XLOOKUP($E951,$A$5:$A$8,$E$5:$E$8,"")</f>
        <v>Flat</v>
      </c>
      <c r="I951" s="44" t="str">
        <f aca="false">IF($H951="Percent",_xlfn.XLOOKUP($E951,$A$5:$A$8,$F$5:$F$8,""),"")</f>
        <v/>
      </c>
      <c r="J951" s="42" t="n">
        <f aca="false">IF($H951="Flat",_xlfn.XLOOKUP($E951,$A$5:$A$8,$F$5:$F$8,""),"")</f>
        <v>30</v>
      </c>
      <c r="K951" s="38" t="str">
        <f aca="false">_xlfn.XLOOKUP($E951,$A$5:$A$8,$G$5:$G$8,"")</f>
        <v>Per pay period</v>
      </c>
      <c r="L951" s="38" t="str">
        <f aca="false">_xlfn.XLOOKUP($E951,$A$5:$A$8,$H$5:$H$8,"")</f>
        <v>Every pay period (ongoing)</v>
      </c>
      <c r="M951" s="43" t="n">
        <f aca="false" t="array" ref="M951:M951">MAX(_xlfn.XLOOKUP($A951,TRIM(SUBSTITUTE('worker file'!$A$2:$A$406,_xlfn.UNICHAR(160)," ")),'worker file'!$M$2:$M$406,0),_xlfn.XLOOKUP($B951,TRIM('pay group &amp; schedule'!$A$2:$A$6),'pay group &amp; schedule'!$D$2:$D$6,0))</f>
        <v>46311</v>
      </c>
      <c r="N951" s="43" t="str">
        <f aca="false" t="array" ref="N951:N951">_xlfn.LET(_xlpm.t,_xlfn.XLOOKUP($A951,TRIM(SUBSTITUTE('worker file'!$A$2:$A$406,_xlfn.UNICHAR(160)," ")),'worker file'!$N$2:$N$406,""),IF(N(_xlpm.t)=0,"",_xlpm.t))</f>
        <v/>
      </c>
    </row>
    <row r="952" customFormat="false" ht="15" hidden="false" customHeight="false" outlineLevel="0" collapsed="false">
      <c r="A952" s="39" t="s">
        <v>426</v>
      </c>
      <c r="B952" s="40" t="str">
        <f aca="false" t="array" ref="B952:B952">_xlfn.XLOOKUP($A952,TRIM(SUBSTITUTE('worker file'!$A$2:$A$406,_xlfn.UNICHAR(160)," ")),'worker file'!$L$2:$L$406,"Not found")</f>
        <v>US Semi-monthly</v>
      </c>
      <c r="C952" s="40" t="str">
        <f aca="false" t="array" ref="C952:C952">_xlfn.XLOOKUP($A952,TRIM(SUBSTITUTE('worker file'!$A$2:$A$406,_xlfn.UNICHAR(160)," ")),'worker file'!$D$2:$D$406,"Not found")</f>
        <v>TX</v>
      </c>
      <c r="D952" s="40" t="str">
        <f aca="false" t="array" ref="D952:D952">_xlfn.XLOOKUP($A952,TRIM(SUBSTITUTE('worker file'!$A$2:$A$406,_xlfn.UNICHAR(160)," ")),'worker file'!$Q$2:$Q$406,"Not found")</f>
        <v>Active</v>
      </c>
      <c r="E952" s="39" t="s">
        <v>626</v>
      </c>
      <c r="F952" s="38" t="str">
        <f aca="false">_xlfn.XLOOKUP($E952,$A$5:$A$8,$B$5:$B$8,"")</f>
        <v>Medical (Health) – Employee</v>
      </c>
      <c r="G952" s="38" t="str">
        <f aca="false">_xlfn.XLOOKUP($E952,$A$5:$A$8,$D$5:$D$8,"")</f>
        <v>Pre-tax Section 125 (exempt from FIT/SIT/FICA)</v>
      </c>
      <c r="H952" s="38" t="str">
        <f aca="false">_xlfn.XLOOKUP($E952,$A$5:$A$8,$E$5:$E$8,"")</f>
        <v>Flat</v>
      </c>
      <c r="I952" s="44" t="str">
        <f aca="false">IF($H952="Percent",_xlfn.XLOOKUP($E952,$A$5:$A$8,$F$5:$F$8,""),"")</f>
        <v/>
      </c>
      <c r="J952" s="42" t="n">
        <f aca="false">IF($H952="Flat",_xlfn.XLOOKUP($E952,$A$5:$A$8,$F$5:$F$8,""),"")</f>
        <v>200</v>
      </c>
      <c r="K952" s="38" t="str">
        <f aca="false">_xlfn.XLOOKUP($E952,$A$5:$A$8,$G$5:$G$8,"")</f>
        <v>Per pay period</v>
      </c>
      <c r="L952" s="38" t="str">
        <f aca="false">_xlfn.XLOOKUP($E952,$A$5:$A$8,$H$5:$H$8,"")</f>
        <v>Every pay period (ongoing)</v>
      </c>
      <c r="M952" s="43" t="n">
        <f aca="false" t="array" ref="M952:M952">MAX(_xlfn.XLOOKUP($A952,TRIM(SUBSTITUTE('worker file'!$A$2:$A$406,_xlfn.UNICHAR(160)," ")),'worker file'!$M$2:$M$406,0),_xlfn.XLOOKUP($B952,TRIM('pay group &amp; schedule'!$A$2:$A$6),'pay group &amp; schedule'!$D$2:$D$6,0))</f>
        <v>46311</v>
      </c>
      <c r="N952" s="43" t="str">
        <f aca="false" t="array" ref="N952:N952">_xlfn.LET(_xlpm.t,_xlfn.XLOOKUP($A952,TRIM(SUBSTITUTE('worker file'!$A$2:$A$406,_xlfn.UNICHAR(160)," ")),'worker file'!$N$2:$N$406,""),IF(N(_xlpm.t)=0,"",_xlpm.t))</f>
        <v/>
      </c>
    </row>
    <row r="953" customFormat="false" ht="15" hidden="false" customHeight="false" outlineLevel="0" collapsed="false">
      <c r="A953" s="39" t="s">
        <v>426</v>
      </c>
      <c r="B953" s="40" t="str">
        <f aca="false" t="array" ref="B953:B953">_xlfn.XLOOKUP($A953,TRIM(SUBSTITUTE('worker file'!$A$2:$A$406,_xlfn.UNICHAR(160)," ")),'worker file'!$L$2:$L$406,"Not found")</f>
        <v>US Semi-monthly</v>
      </c>
      <c r="C953" s="40" t="str">
        <f aca="false" t="array" ref="C953:C953">_xlfn.XLOOKUP($A953,TRIM(SUBSTITUTE('worker file'!$A$2:$A$406,_xlfn.UNICHAR(160)," ")),'worker file'!$D$2:$D$406,"Not found")</f>
        <v>TX</v>
      </c>
      <c r="D953" s="40" t="str">
        <f aca="false" t="array" ref="D953:D953">_xlfn.XLOOKUP($A953,TRIM(SUBSTITUTE('worker file'!$A$2:$A$406,_xlfn.UNICHAR(160)," ")),'worker file'!$Q$2:$Q$406,"Not found")</f>
        <v>Active</v>
      </c>
      <c r="E953" s="39" t="s">
        <v>632</v>
      </c>
      <c r="F953" s="38" t="str">
        <f aca="false">_xlfn.XLOOKUP($E953,$A$5:$A$8,$B$5:$B$8,"")</f>
        <v>Dental – Employee</v>
      </c>
      <c r="G953" s="38" t="str">
        <f aca="false">_xlfn.XLOOKUP($E953,$A$5:$A$8,$D$5:$D$8,"")</f>
        <v>Pre-tax Section 125 (exempt from FIT/SIT/FICA)</v>
      </c>
      <c r="H953" s="38" t="str">
        <f aca="false">_xlfn.XLOOKUP($E953,$A$5:$A$8,$E$5:$E$8,"")</f>
        <v>Flat</v>
      </c>
      <c r="I953" s="44" t="str">
        <f aca="false">IF($H953="Percent",_xlfn.XLOOKUP($E953,$A$5:$A$8,$F$5:$F$8,""),"")</f>
        <v/>
      </c>
      <c r="J953" s="42" t="n">
        <f aca="false">IF($H953="Flat",_xlfn.XLOOKUP($E953,$A$5:$A$8,$F$5:$F$8,""),"")</f>
        <v>44</v>
      </c>
      <c r="K953" s="38" t="str">
        <f aca="false">_xlfn.XLOOKUP($E953,$A$5:$A$8,$G$5:$G$8,"")</f>
        <v>Per pay period</v>
      </c>
      <c r="L953" s="38" t="str">
        <f aca="false">_xlfn.XLOOKUP($E953,$A$5:$A$8,$H$5:$H$8,"")</f>
        <v>Every pay period (ongoing)</v>
      </c>
      <c r="M953" s="43" t="n">
        <f aca="false" t="array" ref="M953:M953">MAX(_xlfn.XLOOKUP($A953,TRIM(SUBSTITUTE('worker file'!$A$2:$A$406,_xlfn.UNICHAR(160)," ")),'worker file'!$M$2:$M$406,0),_xlfn.XLOOKUP($B953,TRIM('pay group &amp; schedule'!$A$2:$A$6),'pay group &amp; schedule'!$D$2:$D$6,0))</f>
        <v>46311</v>
      </c>
      <c r="N953" s="43" t="str">
        <f aca="false" t="array" ref="N953:N953">_xlfn.LET(_xlpm.t,_xlfn.XLOOKUP($A953,TRIM(SUBSTITUTE('worker file'!$A$2:$A$406,_xlfn.UNICHAR(160)," ")),'worker file'!$N$2:$N$406,""),IF(N(_xlpm.t)=0,"",_xlpm.t))</f>
        <v/>
      </c>
    </row>
    <row r="954" customFormat="false" ht="15" hidden="false" customHeight="false" outlineLevel="0" collapsed="false">
      <c r="A954" s="39" t="s">
        <v>426</v>
      </c>
      <c r="B954" s="40" t="str">
        <f aca="false" t="array" ref="B954:B954">_xlfn.XLOOKUP($A954,TRIM(SUBSTITUTE('worker file'!$A$2:$A$406,_xlfn.UNICHAR(160)," ")),'worker file'!$L$2:$L$406,"Not found")</f>
        <v>US Semi-monthly</v>
      </c>
      <c r="C954" s="40" t="str">
        <f aca="false" t="array" ref="C954:C954">_xlfn.XLOOKUP($A954,TRIM(SUBSTITUTE('worker file'!$A$2:$A$406,_xlfn.UNICHAR(160)," ")),'worker file'!$D$2:$D$406,"Not found")</f>
        <v>TX</v>
      </c>
      <c r="D954" s="40" t="str">
        <f aca="false" t="array" ref="D954:D954">_xlfn.XLOOKUP($A954,TRIM(SUBSTITUTE('worker file'!$A$2:$A$406,_xlfn.UNICHAR(160)," ")),'worker file'!$Q$2:$Q$406,"Not found")</f>
        <v>Active</v>
      </c>
      <c r="E954" s="39" t="s">
        <v>634</v>
      </c>
      <c r="F954" s="38" t="str">
        <f aca="false">_xlfn.XLOOKUP($E954,$A$5:$A$8,$B$5:$B$8,"")</f>
        <v>Vision – Employee</v>
      </c>
      <c r="G954" s="38" t="str">
        <f aca="false">_xlfn.XLOOKUP($E954,$A$5:$A$8,$D$5:$D$8,"")</f>
        <v>Pre-tax Section 125 (exempt from FIT/SIT/FICA)</v>
      </c>
      <c r="H954" s="38" t="str">
        <f aca="false">_xlfn.XLOOKUP($E954,$A$5:$A$8,$E$5:$E$8,"")</f>
        <v>Flat</v>
      </c>
      <c r="I954" s="44" t="str">
        <f aca="false">IF($H954="Percent",_xlfn.XLOOKUP($E954,$A$5:$A$8,$F$5:$F$8,""),"")</f>
        <v/>
      </c>
      <c r="J954" s="42" t="n">
        <f aca="false">IF($H954="Flat",_xlfn.XLOOKUP($E954,$A$5:$A$8,$F$5:$F$8,""),"")</f>
        <v>30</v>
      </c>
      <c r="K954" s="38" t="str">
        <f aca="false">_xlfn.XLOOKUP($E954,$A$5:$A$8,$G$5:$G$8,"")</f>
        <v>Per pay period</v>
      </c>
      <c r="L954" s="38" t="str">
        <f aca="false">_xlfn.XLOOKUP($E954,$A$5:$A$8,$H$5:$H$8,"")</f>
        <v>Every pay period (ongoing)</v>
      </c>
      <c r="M954" s="43" t="n">
        <f aca="false" t="array" ref="M954:M954">MAX(_xlfn.XLOOKUP($A954,TRIM(SUBSTITUTE('worker file'!$A$2:$A$406,_xlfn.UNICHAR(160)," ")),'worker file'!$M$2:$M$406,0),_xlfn.XLOOKUP($B954,TRIM('pay group &amp; schedule'!$A$2:$A$6),'pay group &amp; schedule'!$D$2:$D$6,0))</f>
        <v>46311</v>
      </c>
      <c r="N954" s="43" t="str">
        <f aca="false" t="array" ref="N954:N954">_xlfn.LET(_xlpm.t,_xlfn.XLOOKUP($A954,TRIM(SUBSTITUTE('worker file'!$A$2:$A$406,_xlfn.UNICHAR(160)," ")),'worker file'!$N$2:$N$406,""),IF(N(_xlpm.t)=0,"",_xlpm.t))</f>
        <v/>
      </c>
    </row>
    <row r="955" customFormat="false" ht="15" hidden="false" customHeight="false" outlineLevel="0" collapsed="false">
      <c r="A955" s="39" t="s">
        <v>427</v>
      </c>
      <c r="B955" s="40" t="str">
        <f aca="false" t="array" ref="B955:B955">_xlfn.XLOOKUP($A955,TRIM(SUBSTITUTE('worker file'!$A$2:$A$406,_xlfn.UNICHAR(160)," ")),'worker file'!$L$2:$L$406,"Not found")</f>
        <v>US Semi-monthly</v>
      </c>
      <c r="C955" s="40" t="str">
        <f aca="false" t="array" ref="C955:C955">_xlfn.XLOOKUP($A955,TRIM(SUBSTITUTE('worker file'!$A$2:$A$406,_xlfn.UNICHAR(160)," ")),'worker file'!$D$2:$D$406,"Not found")</f>
        <v>CA</v>
      </c>
      <c r="D955" s="40" t="str">
        <f aca="false" t="array" ref="D955:D955">_xlfn.XLOOKUP($A955,TRIM(SUBSTITUTE('worker file'!$A$2:$A$406,_xlfn.UNICHAR(160)," ")),'worker file'!$Q$2:$Q$406,"Not found")</f>
        <v>Active</v>
      </c>
      <c r="E955" s="39" t="s">
        <v>618</v>
      </c>
      <c r="F955" s="38" t="str">
        <f aca="false">_xlfn.XLOOKUP($E955,$A$5:$A$8,$B$5:$B$8,"")</f>
        <v>401(k) Employee Deferral</v>
      </c>
      <c r="G955" s="38" t="str">
        <f aca="false">_xlfn.XLOOKUP($E955,$A$5:$A$8,$D$5:$D$8,"")</f>
        <v>Pre-tax (exempt from FIT/SIT; subject to FICA)</v>
      </c>
      <c r="H955" s="38" t="str">
        <f aca="false">_xlfn.XLOOKUP($E955,$A$5:$A$8,$E$5:$E$8,"")</f>
        <v>Percent</v>
      </c>
      <c r="I955" s="41" t="n">
        <v>0.05</v>
      </c>
      <c r="J955" s="42" t="str">
        <f aca="false">IF($H955="Flat",_xlfn.XLOOKUP($E955,$A$5:$A$8,$F$5:$F$8,""),"")</f>
        <v/>
      </c>
      <c r="K955" s="38" t="str">
        <f aca="false">_xlfn.XLOOKUP($E955,$A$5:$A$8,$G$5:$G$8,"")</f>
        <v>Gross pay</v>
      </c>
      <c r="L955" s="38" t="str">
        <f aca="false">_xlfn.XLOOKUP($E955,$A$5:$A$8,$H$5:$H$8,"")</f>
        <v>Every pay period (ongoing)</v>
      </c>
      <c r="M955" s="43" t="n">
        <f aca="false" t="array" ref="M955:M955">MAX(_xlfn.XLOOKUP($A955,TRIM(SUBSTITUTE('worker file'!$A$2:$A$406,_xlfn.UNICHAR(160)," ")),'worker file'!$M$2:$M$406,0),_xlfn.XLOOKUP($B955,TRIM('pay group &amp; schedule'!$A$2:$A$6),'pay group &amp; schedule'!$D$2:$D$6,0))</f>
        <v>46311</v>
      </c>
      <c r="N955" s="43" t="str">
        <f aca="false" t="array" ref="N955:N955">_xlfn.LET(_xlpm.t,_xlfn.XLOOKUP($A955,TRIM(SUBSTITUTE('worker file'!$A$2:$A$406,_xlfn.UNICHAR(160)," ")),'worker file'!$N$2:$N$406,""),IF(N(_xlpm.t)=0,"",_xlpm.t))</f>
        <v/>
      </c>
    </row>
    <row r="956" customFormat="false" ht="15" hidden="false" customHeight="false" outlineLevel="0" collapsed="false">
      <c r="A956" s="39" t="s">
        <v>427</v>
      </c>
      <c r="B956" s="40" t="str">
        <f aca="false" t="array" ref="B956:B956">_xlfn.XLOOKUP($A956,TRIM(SUBSTITUTE('worker file'!$A$2:$A$406,_xlfn.UNICHAR(160)," ")),'worker file'!$L$2:$L$406,"Not found")</f>
        <v>US Semi-monthly</v>
      </c>
      <c r="C956" s="40" t="str">
        <f aca="false" t="array" ref="C956:C956">_xlfn.XLOOKUP($A956,TRIM(SUBSTITUTE('worker file'!$A$2:$A$406,_xlfn.UNICHAR(160)," ")),'worker file'!$D$2:$D$406,"Not found")</f>
        <v>CA</v>
      </c>
      <c r="D956" s="40" t="str">
        <f aca="false" t="array" ref="D956:D956">_xlfn.XLOOKUP($A956,TRIM(SUBSTITUTE('worker file'!$A$2:$A$406,_xlfn.UNICHAR(160)," ")),'worker file'!$Q$2:$Q$406,"Not found")</f>
        <v>Active</v>
      </c>
      <c r="E956" s="39" t="s">
        <v>626</v>
      </c>
      <c r="F956" s="38" t="str">
        <f aca="false">_xlfn.XLOOKUP($E956,$A$5:$A$8,$B$5:$B$8,"")</f>
        <v>Medical (Health) – Employee</v>
      </c>
      <c r="G956" s="38" t="str">
        <f aca="false">_xlfn.XLOOKUP($E956,$A$5:$A$8,$D$5:$D$8,"")</f>
        <v>Pre-tax Section 125 (exempt from FIT/SIT/FICA)</v>
      </c>
      <c r="H956" s="38" t="str">
        <f aca="false">_xlfn.XLOOKUP($E956,$A$5:$A$8,$E$5:$E$8,"")</f>
        <v>Flat</v>
      </c>
      <c r="I956" s="44" t="str">
        <f aca="false">IF($H956="Percent",_xlfn.XLOOKUP($E956,$A$5:$A$8,$F$5:$F$8,""),"")</f>
        <v/>
      </c>
      <c r="J956" s="42" t="n">
        <f aca="false">IF($H956="Flat",_xlfn.XLOOKUP($E956,$A$5:$A$8,$F$5:$F$8,""),"")</f>
        <v>200</v>
      </c>
      <c r="K956" s="38" t="str">
        <f aca="false">_xlfn.XLOOKUP($E956,$A$5:$A$8,$G$5:$G$8,"")</f>
        <v>Per pay period</v>
      </c>
      <c r="L956" s="38" t="str">
        <f aca="false">_xlfn.XLOOKUP($E956,$A$5:$A$8,$H$5:$H$8,"")</f>
        <v>Every pay period (ongoing)</v>
      </c>
      <c r="M956" s="43" t="n">
        <f aca="false" t="array" ref="M956:M956">MAX(_xlfn.XLOOKUP($A956,TRIM(SUBSTITUTE('worker file'!$A$2:$A$406,_xlfn.UNICHAR(160)," ")),'worker file'!$M$2:$M$406,0),_xlfn.XLOOKUP($B956,TRIM('pay group &amp; schedule'!$A$2:$A$6),'pay group &amp; schedule'!$D$2:$D$6,0))</f>
        <v>46311</v>
      </c>
      <c r="N956" s="43" t="str">
        <f aca="false" t="array" ref="N956:N956">_xlfn.LET(_xlpm.t,_xlfn.XLOOKUP($A956,TRIM(SUBSTITUTE('worker file'!$A$2:$A$406,_xlfn.UNICHAR(160)," ")),'worker file'!$N$2:$N$406,""),IF(N(_xlpm.t)=0,"",_xlpm.t))</f>
        <v/>
      </c>
    </row>
    <row r="957" customFormat="false" ht="15" hidden="false" customHeight="false" outlineLevel="0" collapsed="false">
      <c r="A957" s="39" t="s">
        <v>427</v>
      </c>
      <c r="B957" s="40" t="str">
        <f aca="false" t="array" ref="B957:B957">_xlfn.XLOOKUP($A957,TRIM(SUBSTITUTE('worker file'!$A$2:$A$406,_xlfn.UNICHAR(160)," ")),'worker file'!$L$2:$L$406,"Not found")</f>
        <v>US Semi-monthly</v>
      </c>
      <c r="C957" s="40" t="str">
        <f aca="false" t="array" ref="C957:C957">_xlfn.XLOOKUP($A957,TRIM(SUBSTITUTE('worker file'!$A$2:$A$406,_xlfn.UNICHAR(160)," ")),'worker file'!$D$2:$D$406,"Not found")</f>
        <v>CA</v>
      </c>
      <c r="D957" s="40" t="str">
        <f aca="false" t="array" ref="D957:D957">_xlfn.XLOOKUP($A957,TRIM(SUBSTITUTE('worker file'!$A$2:$A$406,_xlfn.UNICHAR(160)," ")),'worker file'!$Q$2:$Q$406,"Not found")</f>
        <v>Active</v>
      </c>
      <c r="E957" s="39" t="s">
        <v>632</v>
      </c>
      <c r="F957" s="38" t="str">
        <f aca="false">_xlfn.XLOOKUP($E957,$A$5:$A$8,$B$5:$B$8,"")</f>
        <v>Dental – Employee</v>
      </c>
      <c r="G957" s="38" t="str">
        <f aca="false">_xlfn.XLOOKUP($E957,$A$5:$A$8,$D$5:$D$8,"")</f>
        <v>Pre-tax Section 125 (exempt from FIT/SIT/FICA)</v>
      </c>
      <c r="H957" s="38" t="str">
        <f aca="false">_xlfn.XLOOKUP($E957,$A$5:$A$8,$E$5:$E$8,"")</f>
        <v>Flat</v>
      </c>
      <c r="I957" s="44" t="str">
        <f aca="false">IF($H957="Percent",_xlfn.XLOOKUP($E957,$A$5:$A$8,$F$5:$F$8,""),"")</f>
        <v/>
      </c>
      <c r="J957" s="42" t="n">
        <f aca="false">IF($H957="Flat",_xlfn.XLOOKUP($E957,$A$5:$A$8,$F$5:$F$8,""),"")</f>
        <v>44</v>
      </c>
      <c r="K957" s="38" t="str">
        <f aca="false">_xlfn.XLOOKUP($E957,$A$5:$A$8,$G$5:$G$8,"")</f>
        <v>Per pay period</v>
      </c>
      <c r="L957" s="38" t="str">
        <f aca="false">_xlfn.XLOOKUP($E957,$A$5:$A$8,$H$5:$H$8,"")</f>
        <v>Every pay period (ongoing)</v>
      </c>
      <c r="M957" s="43" t="n">
        <f aca="false" t="array" ref="M957:M957">MAX(_xlfn.XLOOKUP($A957,TRIM(SUBSTITUTE('worker file'!$A$2:$A$406,_xlfn.UNICHAR(160)," ")),'worker file'!$M$2:$M$406,0),_xlfn.XLOOKUP($B957,TRIM('pay group &amp; schedule'!$A$2:$A$6),'pay group &amp; schedule'!$D$2:$D$6,0))</f>
        <v>46311</v>
      </c>
      <c r="N957" s="43" t="str">
        <f aca="false" t="array" ref="N957:N957">_xlfn.LET(_xlpm.t,_xlfn.XLOOKUP($A957,TRIM(SUBSTITUTE('worker file'!$A$2:$A$406,_xlfn.UNICHAR(160)," ")),'worker file'!$N$2:$N$406,""),IF(N(_xlpm.t)=0,"",_xlpm.t))</f>
        <v/>
      </c>
    </row>
    <row r="958" customFormat="false" ht="15" hidden="false" customHeight="false" outlineLevel="0" collapsed="false">
      <c r="A958" s="39" t="s">
        <v>427</v>
      </c>
      <c r="B958" s="40" t="str">
        <f aca="false" t="array" ref="B958:B958">_xlfn.XLOOKUP($A958,TRIM(SUBSTITUTE('worker file'!$A$2:$A$406,_xlfn.UNICHAR(160)," ")),'worker file'!$L$2:$L$406,"Not found")</f>
        <v>US Semi-monthly</v>
      </c>
      <c r="C958" s="40" t="str">
        <f aca="false" t="array" ref="C958:C958">_xlfn.XLOOKUP($A958,TRIM(SUBSTITUTE('worker file'!$A$2:$A$406,_xlfn.UNICHAR(160)," ")),'worker file'!$D$2:$D$406,"Not found")</f>
        <v>CA</v>
      </c>
      <c r="D958" s="40" t="str">
        <f aca="false" t="array" ref="D958:D958">_xlfn.XLOOKUP($A958,TRIM(SUBSTITUTE('worker file'!$A$2:$A$406,_xlfn.UNICHAR(160)," ")),'worker file'!$Q$2:$Q$406,"Not found")</f>
        <v>Active</v>
      </c>
      <c r="E958" s="39" t="s">
        <v>634</v>
      </c>
      <c r="F958" s="38" t="str">
        <f aca="false">_xlfn.XLOOKUP($E958,$A$5:$A$8,$B$5:$B$8,"")</f>
        <v>Vision – Employee</v>
      </c>
      <c r="G958" s="38" t="str">
        <f aca="false">_xlfn.XLOOKUP($E958,$A$5:$A$8,$D$5:$D$8,"")</f>
        <v>Pre-tax Section 125 (exempt from FIT/SIT/FICA)</v>
      </c>
      <c r="H958" s="38" t="str">
        <f aca="false">_xlfn.XLOOKUP($E958,$A$5:$A$8,$E$5:$E$8,"")</f>
        <v>Flat</v>
      </c>
      <c r="I958" s="44" t="str">
        <f aca="false">IF($H958="Percent",_xlfn.XLOOKUP($E958,$A$5:$A$8,$F$5:$F$8,""),"")</f>
        <v/>
      </c>
      <c r="J958" s="42" t="n">
        <f aca="false">IF($H958="Flat",_xlfn.XLOOKUP($E958,$A$5:$A$8,$F$5:$F$8,""),"")</f>
        <v>30</v>
      </c>
      <c r="K958" s="38" t="str">
        <f aca="false">_xlfn.XLOOKUP($E958,$A$5:$A$8,$G$5:$G$8,"")</f>
        <v>Per pay period</v>
      </c>
      <c r="L958" s="38" t="str">
        <f aca="false">_xlfn.XLOOKUP($E958,$A$5:$A$8,$H$5:$H$8,"")</f>
        <v>Every pay period (ongoing)</v>
      </c>
      <c r="M958" s="43" t="n">
        <f aca="false" t="array" ref="M958:M958">MAX(_xlfn.XLOOKUP($A958,TRIM(SUBSTITUTE('worker file'!$A$2:$A$406,_xlfn.UNICHAR(160)," ")),'worker file'!$M$2:$M$406,0),_xlfn.XLOOKUP($B958,TRIM('pay group &amp; schedule'!$A$2:$A$6),'pay group &amp; schedule'!$D$2:$D$6,0))</f>
        <v>46311</v>
      </c>
      <c r="N958" s="43" t="str">
        <f aca="false" t="array" ref="N958:N958">_xlfn.LET(_xlpm.t,_xlfn.XLOOKUP($A958,TRIM(SUBSTITUTE('worker file'!$A$2:$A$406,_xlfn.UNICHAR(160)," ")),'worker file'!$N$2:$N$406,""),IF(N(_xlpm.t)=0,"",_xlpm.t))</f>
        <v/>
      </c>
    </row>
    <row r="959" customFormat="false" ht="15" hidden="false" customHeight="false" outlineLevel="0" collapsed="false">
      <c r="A959" s="39" t="s">
        <v>428</v>
      </c>
      <c r="B959" s="40" t="str">
        <f aca="false" t="array" ref="B959:B959">_xlfn.XLOOKUP($A959,TRIM(SUBSTITUTE('worker file'!$A$2:$A$406,_xlfn.UNICHAR(160)," ")),'worker file'!$L$2:$L$406,"Not found")</f>
        <v>US Semi-monthly</v>
      </c>
      <c r="C959" s="40" t="str">
        <f aca="false" t="array" ref="C959:C959">_xlfn.XLOOKUP($A959,TRIM(SUBSTITUTE('worker file'!$A$2:$A$406,_xlfn.UNICHAR(160)," ")),'worker file'!$D$2:$D$406,"Not found")</f>
        <v>CA</v>
      </c>
      <c r="D959" s="40" t="str">
        <f aca="false" t="array" ref="D959:D959">_xlfn.XLOOKUP($A959,TRIM(SUBSTITUTE('worker file'!$A$2:$A$406,_xlfn.UNICHAR(160)," ")),'worker file'!$Q$2:$Q$406,"Not found")</f>
        <v>Active</v>
      </c>
      <c r="E959" s="39" t="s">
        <v>618</v>
      </c>
      <c r="F959" s="38" t="str">
        <f aca="false">_xlfn.XLOOKUP($E959,$A$5:$A$8,$B$5:$B$8,"")</f>
        <v>401(k) Employee Deferral</v>
      </c>
      <c r="G959" s="38" t="str">
        <f aca="false">_xlfn.XLOOKUP($E959,$A$5:$A$8,$D$5:$D$8,"")</f>
        <v>Pre-tax (exempt from FIT/SIT; subject to FICA)</v>
      </c>
      <c r="H959" s="38" t="str">
        <f aca="false">_xlfn.XLOOKUP($E959,$A$5:$A$8,$E$5:$E$8,"")</f>
        <v>Percent</v>
      </c>
      <c r="I959" s="41" t="n">
        <v>0.02</v>
      </c>
      <c r="J959" s="42" t="str">
        <f aca="false">IF($H959="Flat",_xlfn.XLOOKUP($E959,$A$5:$A$8,$F$5:$F$8,""),"")</f>
        <v/>
      </c>
      <c r="K959" s="38" t="str">
        <f aca="false">_xlfn.XLOOKUP($E959,$A$5:$A$8,$G$5:$G$8,"")</f>
        <v>Gross pay</v>
      </c>
      <c r="L959" s="38" t="str">
        <f aca="false">_xlfn.XLOOKUP($E959,$A$5:$A$8,$H$5:$H$8,"")</f>
        <v>Every pay period (ongoing)</v>
      </c>
      <c r="M959" s="43" t="n">
        <f aca="false" t="array" ref="M959:M959">MAX(_xlfn.XLOOKUP($A959,TRIM(SUBSTITUTE('worker file'!$A$2:$A$406,_xlfn.UNICHAR(160)," ")),'worker file'!$M$2:$M$406,0),_xlfn.XLOOKUP($B959,TRIM('pay group &amp; schedule'!$A$2:$A$6),'pay group &amp; schedule'!$D$2:$D$6,0))</f>
        <v>46311</v>
      </c>
      <c r="N959" s="43" t="str">
        <f aca="false" t="array" ref="N959:N959">_xlfn.LET(_xlpm.t,_xlfn.XLOOKUP($A959,TRIM(SUBSTITUTE('worker file'!$A$2:$A$406,_xlfn.UNICHAR(160)," ")),'worker file'!$N$2:$N$406,""),IF(N(_xlpm.t)=0,"",_xlpm.t))</f>
        <v/>
      </c>
    </row>
    <row r="960" customFormat="false" ht="15" hidden="false" customHeight="false" outlineLevel="0" collapsed="false">
      <c r="A960" s="39" t="s">
        <v>428</v>
      </c>
      <c r="B960" s="40" t="str">
        <f aca="false" t="array" ref="B960:B960">_xlfn.XLOOKUP($A960,TRIM(SUBSTITUTE('worker file'!$A$2:$A$406,_xlfn.UNICHAR(160)," ")),'worker file'!$L$2:$L$406,"Not found")</f>
        <v>US Semi-monthly</v>
      </c>
      <c r="C960" s="40" t="str">
        <f aca="false" t="array" ref="C960:C960">_xlfn.XLOOKUP($A960,TRIM(SUBSTITUTE('worker file'!$A$2:$A$406,_xlfn.UNICHAR(160)," ")),'worker file'!$D$2:$D$406,"Not found")</f>
        <v>CA</v>
      </c>
      <c r="D960" s="40" t="str">
        <f aca="false" t="array" ref="D960:D960">_xlfn.XLOOKUP($A960,TRIM(SUBSTITUTE('worker file'!$A$2:$A$406,_xlfn.UNICHAR(160)," ")),'worker file'!$Q$2:$Q$406,"Not found")</f>
        <v>Active</v>
      </c>
      <c r="E960" s="39" t="s">
        <v>626</v>
      </c>
      <c r="F960" s="38" t="str">
        <f aca="false">_xlfn.XLOOKUP($E960,$A$5:$A$8,$B$5:$B$8,"")</f>
        <v>Medical (Health) – Employee</v>
      </c>
      <c r="G960" s="38" t="str">
        <f aca="false">_xlfn.XLOOKUP($E960,$A$5:$A$8,$D$5:$D$8,"")</f>
        <v>Pre-tax Section 125 (exempt from FIT/SIT/FICA)</v>
      </c>
      <c r="H960" s="38" t="str">
        <f aca="false">_xlfn.XLOOKUP($E960,$A$5:$A$8,$E$5:$E$8,"")</f>
        <v>Flat</v>
      </c>
      <c r="I960" s="44" t="str">
        <f aca="false">IF($H960="Percent",_xlfn.XLOOKUP($E960,$A$5:$A$8,$F$5:$F$8,""),"")</f>
        <v/>
      </c>
      <c r="J960" s="42" t="n">
        <f aca="false">IF($H960="Flat",_xlfn.XLOOKUP($E960,$A$5:$A$8,$F$5:$F$8,""),"")</f>
        <v>200</v>
      </c>
      <c r="K960" s="38" t="str">
        <f aca="false">_xlfn.XLOOKUP($E960,$A$5:$A$8,$G$5:$G$8,"")</f>
        <v>Per pay period</v>
      </c>
      <c r="L960" s="38" t="str">
        <f aca="false">_xlfn.XLOOKUP($E960,$A$5:$A$8,$H$5:$H$8,"")</f>
        <v>Every pay period (ongoing)</v>
      </c>
      <c r="M960" s="43" t="n">
        <f aca="false" t="array" ref="M960:M960">MAX(_xlfn.XLOOKUP($A960,TRIM(SUBSTITUTE('worker file'!$A$2:$A$406,_xlfn.UNICHAR(160)," ")),'worker file'!$M$2:$M$406,0),_xlfn.XLOOKUP($B960,TRIM('pay group &amp; schedule'!$A$2:$A$6),'pay group &amp; schedule'!$D$2:$D$6,0))</f>
        <v>46311</v>
      </c>
      <c r="N960" s="43" t="str">
        <f aca="false" t="array" ref="N960:N960">_xlfn.LET(_xlpm.t,_xlfn.XLOOKUP($A960,TRIM(SUBSTITUTE('worker file'!$A$2:$A$406,_xlfn.UNICHAR(160)," ")),'worker file'!$N$2:$N$406,""),IF(N(_xlpm.t)=0,"",_xlpm.t))</f>
        <v/>
      </c>
    </row>
    <row r="961" customFormat="false" ht="15" hidden="false" customHeight="false" outlineLevel="0" collapsed="false">
      <c r="A961" s="39" t="s">
        <v>428</v>
      </c>
      <c r="B961" s="40" t="str">
        <f aca="false" t="array" ref="B961:B961">_xlfn.XLOOKUP($A961,TRIM(SUBSTITUTE('worker file'!$A$2:$A$406,_xlfn.UNICHAR(160)," ")),'worker file'!$L$2:$L$406,"Not found")</f>
        <v>US Semi-monthly</v>
      </c>
      <c r="C961" s="40" t="str">
        <f aca="false" t="array" ref="C961:C961">_xlfn.XLOOKUP($A961,TRIM(SUBSTITUTE('worker file'!$A$2:$A$406,_xlfn.UNICHAR(160)," ")),'worker file'!$D$2:$D$406,"Not found")</f>
        <v>CA</v>
      </c>
      <c r="D961" s="40" t="str">
        <f aca="false" t="array" ref="D961:D961">_xlfn.XLOOKUP($A961,TRIM(SUBSTITUTE('worker file'!$A$2:$A$406,_xlfn.UNICHAR(160)," ")),'worker file'!$Q$2:$Q$406,"Not found")</f>
        <v>Active</v>
      </c>
      <c r="E961" s="39" t="s">
        <v>632</v>
      </c>
      <c r="F961" s="38" t="str">
        <f aca="false">_xlfn.XLOOKUP($E961,$A$5:$A$8,$B$5:$B$8,"")</f>
        <v>Dental – Employee</v>
      </c>
      <c r="G961" s="38" t="str">
        <f aca="false">_xlfn.XLOOKUP($E961,$A$5:$A$8,$D$5:$D$8,"")</f>
        <v>Pre-tax Section 125 (exempt from FIT/SIT/FICA)</v>
      </c>
      <c r="H961" s="38" t="str">
        <f aca="false">_xlfn.XLOOKUP($E961,$A$5:$A$8,$E$5:$E$8,"")</f>
        <v>Flat</v>
      </c>
      <c r="I961" s="44" t="str">
        <f aca="false">IF($H961="Percent",_xlfn.XLOOKUP($E961,$A$5:$A$8,$F$5:$F$8,""),"")</f>
        <v/>
      </c>
      <c r="J961" s="42" t="n">
        <f aca="false">IF($H961="Flat",_xlfn.XLOOKUP($E961,$A$5:$A$8,$F$5:$F$8,""),"")</f>
        <v>44</v>
      </c>
      <c r="K961" s="38" t="str">
        <f aca="false">_xlfn.XLOOKUP($E961,$A$5:$A$8,$G$5:$G$8,"")</f>
        <v>Per pay period</v>
      </c>
      <c r="L961" s="38" t="str">
        <f aca="false">_xlfn.XLOOKUP($E961,$A$5:$A$8,$H$5:$H$8,"")</f>
        <v>Every pay period (ongoing)</v>
      </c>
      <c r="M961" s="43" t="n">
        <f aca="false" t="array" ref="M961:M961">MAX(_xlfn.XLOOKUP($A961,TRIM(SUBSTITUTE('worker file'!$A$2:$A$406,_xlfn.UNICHAR(160)," ")),'worker file'!$M$2:$M$406,0),_xlfn.XLOOKUP($B961,TRIM('pay group &amp; schedule'!$A$2:$A$6),'pay group &amp; schedule'!$D$2:$D$6,0))</f>
        <v>46311</v>
      </c>
      <c r="N961" s="43" t="str">
        <f aca="false" t="array" ref="N961:N961">_xlfn.LET(_xlpm.t,_xlfn.XLOOKUP($A961,TRIM(SUBSTITUTE('worker file'!$A$2:$A$406,_xlfn.UNICHAR(160)," ")),'worker file'!$N$2:$N$406,""),IF(N(_xlpm.t)=0,"",_xlpm.t))</f>
        <v/>
      </c>
    </row>
    <row r="962" customFormat="false" ht="15" hidden="false" customHeight="false" outlineLevel="0" collapsed="false">
      <c r="A962" s="39" t="s">
        <v>428</v>
      </c>
      <c r="B962" s="40" t="str">
        <f aca="false" t="array" ref="B962:B962">_xlfn.XLOOKUP($A962,TRIM(SUBSTITUTE('worker file'!$A$2:$A$406,_xlfn.UNICHAR(160)," ")),'worker file'!$L$2:$L$406,"Not found")</f>
        <v>US Semi-monthly</v>
      </c>
      <c r="C962" s="40" t="str">
        <f aca="false" t="array" ref="C962:C962">_xlfn.XLOOKUP($A962,TRIM(SUBSTITUTE('worker file'!$A$2:$A$406,_xlfn.UNICHAR(160)," ")),'worker file'!$D$2:$D$406,"Not found")</f>
        <v>CA</v>
      </c>
      <c r="D962" s="40" t="str">
        <f aca="false" t="array" ref="D962:D962">_xlfn.XLOOKUP($A962,TRIM(SUBSTITUTE('worker file'!$A$2:$A$406,_xlfn.UNICHAR(160)," ")),'worker file'!$Q$2:$Q$406,"Not found")</f>
        <v>Active</v>
      </c>
      <c r="E962" s="39" t="s">
        <v>634</v>
      </c>
      <c r="F962" s="38" t="str">
        <f aca="false">_xlfn.XLOOKUP($E962,$A$5:$A$8,$B$5:$B$8,"")</f>
        <v>Vision – Employee</v>
      </c>
      <c r="G962" s="38" t="str">
        <f aca="false">_xlfn.XLOOKUP($E962,$A$5:$A$8,$D$5:$D$8,"")</f>
        <v>Pre-tax Section 125 (exempt from FIT/SIT/FICA)</v>
      </c>
      <c r="H962" s="38" t="str">
        <f aca="false">_xlfn.XLOOKUP($E962,$A$5:$A$8,$E$5:$E$8,"")</f>
        <v>Flat</v>
      </c>
      <c r="I962" s="44" t="str">
        <f aca="false">IF($H962="Percent",_xlfn.XLOOKUP($E962,$A$5:$A$8,$F$5:$F$8,""),"")</f>
        <v/>
      </c>
      <c r="J962" s="42" t="n">
        <f aca="false">IF($H962="Flat",_xlfn.XLOOKUP($E962,$A$5:$A$8,$F$5:$F$8,""),"")</f>
        <v>30</v>
      </c>
      <c r="K962" s="38" t="str">
        <f aca="false">_xlfn.XLOOKUP($E962,$A$5:$A$8,$G$5:$G$8,"")</f>
        <v>Per pay period</v>
      </c>
      <c r="L962" s="38" t="str">
        <f aca="false">_xlfn.XLOOKUP($E962,$A$5:$A$8,$H$5:$H$8,"")</f>
        <v>Every pay period (ongoing)</v>
      </c>
      <c r="M962" s="43" t="n">
        <f aca="false" t="array" ref="M962:M962">MAX(_xlfn.XLOOKUP($A962,TRIM(SUBSTITUTE('worker file'!$A$2:$A$406,_xlfn.UNICHAR(160)," ")),'worker file'!$M$2:$M$406,0),_xlfn.XLOOKUP($B962,TRIM('pay group &amp; schedule'!$A$2:$A$6),'pay group &amp; schedule'!$D$2:$D$6,0))</f>
        <v>46311</v>
      </c>
      <c r="N962" s="43" t="str">
        <f aca="false" t="array" ref="N962:N962">_xlfn.LET(_xlpm.t,_xlfn.XLOOKUP($A962,TRIM(SUBSTITUTE('worker file'!$A$2:$A$406,_xlfn.UNICHAR(160)," ")),'worker file'!$N$2:$N$406,""),IF(N(_xlpm.t)=0,"",_xlpm.t))</f>
        <v/>
      </c>
    </row>
    <row r="963" customFormat="false" ht="15" hidden="false" customHeight="false" outlineLevel="0" collapsed="false">
      <c r="A963" s="39" t="s">
        <v>429</v>
      </c>
      <c r="B963" s="40" t="str">
        <f aca="false" t="array" ref="B963:B963">_xlfn.XLOOKUP($A963,TRIM(SUBSTITUTE('worker file'!$A$2:$A$406,_xlfn.UNICHAR(160)," ")),'worker file'!$L$2:$L$406,"Not found")</f>
        <v>US Semi-monthly</v>
      </c>
      <c r="C963" s="40" t="str">
        <f aca="false" t="array" ref="C963:C963">_xlfn.XLOOKUP($A963,TRIM(SUBSTITUTE('worker file'!$A$2:$A$406,_xlfn.UNICHAR(160)," ")),'worker file'!$D$2:$D$406,"Not found")</f>
        <v>WA</v>
      </c>
      <c r="D963" s="40" t="str">
        <f aca="false" t="array" ref="D963:D963">_xlfn.XLOOKUP($A963,TRIM(SUBSTITUTE('worker file'!$A$2:$A$406,_xlfn.UNICHAR(160)," ")),'worker file'!$Q$2:$Q$406,"Not found")</f>
        <v>Active</v>
      </c>
      <c r="E963" s="39" t="s">
        <v>618</v>
      </c>
      <c r="F963" s="38" t="str">
        <f aca="false">_xlfn.XLOOKUP($E963,$A$5:$A$8,$B$5:$B$8,"")</f>
        <v>401(k) Employee Deferral</v>
      </c>
      <c r="G963" s="38" t="str">
        <f aca="false">_xlfn.XLOOKUP($E963,$A$5:$A$8,$D$5:$D$8,"")</f>
        <v>Pre-tax (exempt from FIT/SIT; subject to FICA)</v>
      </c>
      <c r="H963" s="38" t="str">
        <f aca="false">_xlfn.XLOOKUP($E963,$A$5:$A$8,$E$5:$E$8,"")</f>
        <v>Percent</v>
      </c>
      <c r="I963" s="41" t="n">
        <v>0.07</v>
      </c>
      <c r="J963" s="42" t="str">
        <f aca="false">IF($H963="Flat",_xlfn.XLOOKUP($E963,$A$5:$A$8,$F$5:$F$8,""),"")</f>
        <v/>
      </c>
      <c r="K963" s="38" t="str">
        <f aca="false">_xlfn.XLOOKUP($E963,$A$5:$A$8,$G$5:$G$8,"")</f>
        <v>Gross pay</v>
      </c>
      <c r="L963" s="38" t="str">
        <f aca="false">_xlfn.XLOOKUP($E963,$A$5:$A$8,$H$5:$H$8,"")</f>
        <v>Every pay period (ongoing)</v>
      </c>
      <c r="M963" s="43" t="n">
        <f aca="false" t="array" ref="M963:M963">MAX(_xlfn.XLOOKUP($A963,TRIM(SUBSTITUTE('worker file'!$A$2:$A$406,_xlfn.UNICHAR(160)," ")),'worker file'!$M$2:$M$406,0),_xlfn.XLOOKUP($B963,TRIM('pay group &amp; schedule'!$A$2:$A$6),'pay group &amp; schedule'!$D$2:$D$6,0))</f>
        <v>46311</v>
      </c>
      <c r="N963" s="43" t="str">
        <f aca="false" t="array" ref="N963:N963">_xlfn.LET(_xlpm.t,_xlfn.XLOOKUP($A963,TRIM(SUBSTITUTE('worker file'!$A$2:$A$406,_xlfn.UNICHAR(160)," ")),'worker file'!$N$2:$N$406,""),IF(N(_xlpm.t)=0,"",_xlpm.t))</f>
        <v/>
      </c>
    </row>
    <row r="964" customFormat="false" ht="15" hidden="false" customHeight="false" outlineLevel="0" collapsed="false">
      <c r="A964" s="39" t="s">
        <v>429</v>
      </c>
      <c r="B964" s="40" t="str">
        <f aca="false" t="array" ref="B964:B964">_xlfn.XLOOKUP($A964,TRIM(SUBSTITUTE('worker file'!$A$2:$A$406,_xlfn.UNICHAR(160)," ")),'worker file'!$L$2:$L$406,"Not found")</f>
        <v>US Semi-monthly</v>
      </c>
      <c r="C964" s="40" t="str">
        <f aca="false" t="array" ref="C964:C964">_xlfn.XLOOKUP($A964,TRIM(SUBSTITUTE('worker file'!$A$2:$A$406,_xlfn.UNICHAR(160)," ")),'worker file'!$D$2:$D$406,"Not found")</f>
        <v>WA</v>
      </c>
      <c r="D964" s="40" t="str">
        <f aca="false" t="array" ref="D964:D964">_xlfn.XLOOKUP($A964,TRIM(SUBSTITUTE('worker file'!$A$2:$A$406,_xlfn.UNICHAR(160)," ")),'worker file'!$Q$2:$Q$406,"Not found")</f>
        <v>Active</v>
      </c>
      <c r="E964" s="39" t="s">
        <v>626</v>
      </c>
      <c r="F964" s="38" t="str">
        <f aca="false">_xlfn.XLOOKUP($E964,$A$5:$A$8,$B$5:$B$8,"")</f>
        <v>Medical (Health) – Employee</v>
      </c>
      <c r="G964" s="38" t="str">
        <f aca="false">_xlfn.XLOOKUP($E964,$A$5:$A$8,$D$5:$D$8,"")</f>
        <v>Pre-tax Section 125 (exempt from FIT/SIT/FICA)</v>
      </c>
      <c r="H964" s="38" t="str">
        <f aca="false">_xlfn.XLOOKUP($E964,$A$5:$A$8,$E$5:$E$8,"")</f>
        <v>Flat</v>
      </c>
      <c r="I964" s="44" t="str">
        <f aca="false">IF($H964="Percent",_xlfn.XLOOKUP($E964,$A$5:$A$8,$F$5:$F$8,""),"")</f>
        <v/>
      </c>
      <c r="J964" s="42" t="n">
        <f aca="false">IF($H964="Flat",_xlfn.XLOOKUP($E964,$A$5:$A$8,$F$5:$F$8,""),"")</f>
        <v>200</v>
      </c>
      <c r="K964" s="38" t="str">
        <f aca="false">_xlfn.XLOOKUP($E964,$A$5:$A$8,$G$5:$G$8,"")</f>
        <v>Per pay period</v>
      </c>
      <c r="L964" s="38" t="str">
        <f aca="false">_xlfn.XLOOKUP($E964,$A$5:$A$8,$H$5:$H$8,"")</f>
        <v>Every pay period (ongoing)</v>
      </c>
      <c r="M964" s="43" t="n">
        <f aca="false" t="array" ref="M964:M964">MAX(_xlfn.XLOOKUP($A964,TRIM(SUBSTITUTE('worker file'!$A$2:$A$406,_xlfn.UNICHAR(160)," ")),'worker file'!$M$2:$M$406,0),_xlfn.XLOOKUP($B964,TRIM('pay group &amp; schedule'!$A$2:$A$6),'pay group &amp; schedule'!$D$2:$D$6,0))</f>
        <v>46311</v>
      </c>
      <c r="N964" s="43" t="str">
        <f aca="false" t="array" ref="N964:N964">_xlfn.LET(_xlpm.t,_xlfn.XLOOKUP($A964,TRIM(SUBSTITUTE('worker file'!$A$2:$A$406,_xlfn.UNICHAR(160)," ")),'worker file'!$N$2:$N$406,""),IF(N(_xlpm.t)=0,"",_xlpm.t))</f>
        <v/>
      </c>
    </row>
    <row r="965" customFormat="false" ht="15" hidden="false" customHeight="false" outlineLevel="0" collapsed="false">
      <c r="A965" s="39" t="s">
        <v>429</v>
      </c>
      <c r="B965" s="40" t="str">
        <f aca="false" t="array" ref="B965:B965">_xlfn.XLOOKUP($A965,TRIM(SUBSTITUTE('worker file'!$A$2:$A$406,_xlfn.UNICHAR(160)," ")),'worker file'!$L$2:$L$406,"Not found")</f>
        <v>US Semi-monthly</v>
      </c>
      <c r="C965" s="40" t="str">
        <f aca="false" t="array" ref="C965:C965">_xlfn.XLOOKUP($A965,TRIM(SUBSTITUTE('worker file'!$A$2:$A$406,_xlfn.UNICHAR(160)," ")),'worker file'!$D$2:$D$406,"Not found")</f>
        <v>WA</v>
      </c>
      <c r="D965" s="40" t="str">
        <f aca="false" t="array" ref="D965:D965">_xlfn.XLOOKUP($A965,TRIM(SUBSTITUTE('worker file'!$A$2:$A$406,_xlfn.UNICHAR(160)," ")),'worker file'!$Q$2:$Q$406,"Not found")</f>
        <v>Active</v>
      </c>
      <c r="E965" s="39" t="s">
        <v>632</v>
      </c>
      <c r="F965" s="38" t="str">
        <f aca="false">_xlfn.XLOOKUP($E965,$A$5:$A$8,$B$5:$B$8,"")</f>
        <v>Dental – Employee</v>
      </c>
      <c r="G965" s="38" t="str">
        <f aca="false">_xlfn.XLOOKUP($E965,$A$5:$A$8,$D$5:$D$8,"")</f>
        <v>Pre-tax Section 125 (exempt from FIT/SIT/FICA)</v>
      </c>
      <c r="H965" s="38" t="str">
        <f aca="false">_xlfn.XLOOKUP($E965,$A$5:$A$8,$E$5:$E$8,"")</f>
        <v>Flat</v>
      </c>
      <c r="I965" s="44" t="str">
        <f aca="false">IF($H965="Percent",_xlfn.XLOOKUP($E965,$A$5:$A$8,$F$5:$F$8,""),"")</f>
        <v/>
      </c>
      <c r="J965" s="42" t="n">
        <f aca="false">IF($H965="Flat",_xlfn.XLOOKUP($E965,$A$5:$A$8,$F$5:$F$8,""),"")</f>
        <v>44</v>
      </c>
      <c r="K965" s="38" t="str">
        <f aca="false">_xlfn.XLOOKUP($E965,$A$5:$A$8,$G$5:$G$8,"")</f>
        <v>Per pay period</v>
      </c>
      <c r="L965" s="38" t="str">
        <f aca="false">_xlfn.XLOOKUP($E965,$A$5:$A$8,$H$5:$H$8,"")</f>
        <v>Every pay period (ongoing)</v>
      </c>
      <c r="M965" s="43" t="n">
        <f aca="false" t="array" ref="M965:M965">MAX(_xlfn.XLOOKUP($A965,TRIM(SUBSTITUTE('worker file'!$A$2:$A$406,_xlfn.UNICHAR(160)," ")),'worker file'!$M$2:$M$406,0),_xlfn.XLOOKUP($B965,TRIM('pay group &amp; schedule'!$A$2:$A$6),'pay group &amp; schedule'!$D$2:$D$6,0))</f>
        <v>46311</v>
      </c>
      <c r="N965" s="43" t="str">
        <f aca="false" t="array" ref="N965:N965">_xlfn.LET(_xlpm.t,_xlfn.XLOOKUP($A965,TRIM(SUBSTITUTE('worker file'!$A$2:$A$406,_xlfn.UNICHAR(160)," ")),'worker file'!$N$2:$N$406,""),IF(N(_xlpm.t)=0,"",_xlpm.t))</f>
        <v/>
      </c>
    </row>
    <row r="966" customFormat="false" ht="15" hidden="false" customHeight="false" outlineLevel="0" collapsed="false">
      <c r="A966" s="39" t="s">
        <v>429</v>
      </c>
      <c r="B966" s="40" t="str">
        <f aca="false" t="array" ref="B966:B966">_xlfn.XLOOKUP($A966,TRIM(SUBSTITUTE('worker file'!$A$2:$A$406,_xlfn.UNICHAR(160)," ")),'worker file'!$L$2:$L$406,"Not found")</f>
        <v>US Semi-monthly</v>
      </c>
      <c r="C966" s="40" t="str">
        <f aca="false" t="array" ref="C966:C966">_xlfn.XLOOKUP($A966,TRIM(SUBSTITUTE('worker file'!$A$2:$A$406,_xlfn.UNICHAR(160)," ")),'worker file'!$D$2:$D$406,"Not found")</f>
        <v>WA</v>
      </c>
      <c r="D966" s="40" t="str">
        <f aca="false" t="array" ref="D966:D966">_xlfn.XLOOKUP($A966,TRIM(SUBSTITUTE('worker file'!$A$2:$A$406,_xlfn.UNICHAR(160)," ")),'worker file'!$Q$2:$Q$406,"Not found")</f>
        <v>Active</v>
      </c>
      <c r="E966" s="39" t="s">
        <v>634</v>
      </c>
      <c r="F966" s="38" t="str">
        <f aca="false">_xlfn.XLOOKUP($E966,$A$5:$A$8,$B$5:$B$8,"")</f>
        <v>Vision – Employee</v>
      </c>
      <c r="G966" s="38" t="str">
        <f aca="false">_xlfn.XLOOKUP($E966,$A$5:$A$8,$D$5:$D$8,"")</f>
        <v>Pre-tax Section 125 (exempt from FIT/SIT/FICA)</v>
      </c>
      <c r="H966" s="38" t="str">
        <f aca="false">_xlfn.XLOOKUP($E966,$A$5:$A$8,$E$5:$E$8,"")</f>
        <v>Flat</v>
      </c>
      <c r="I966" s="44" t="str">
        <f aca="false">IF($H966="Percent",_xlfn.XLOOKUP($E966,$A$5:$A$8,$F$5:$F$8,""),"")</f>
        <v/>
      </c>
      <c r="J966" s="42" t="n">
        <f aca="false">IF($H966="Flat",_xlfn.XLOOKUP($E966,$A$5:$A$8,$F$5:$F$8,""),"")</f>
        <v>30</v>
      </c>
      <c r="K966" s="38" t="str">
        <f aca="false">_xlfn.XLOOKUP($E966,$A$5:$A$8,$G$5:$G$8,"")</f>
        <v>Per pay period</v>
      </c>
      <c r="L966" s="38" t="str">
        <f aca="false">_xlfn.XLOOKUP($E966,$A$5:$A$8,$H$5:$H$8,"")</f>
        <v>Every pay period (ongoing)</v>
      </c>
      <c r="M966" s="43" t="n">
        <f aca="false" t="array" ref="M966:M966">MAX(_xlfn.XLOOKUP($A966,TRIM(SUBSTITUTE('worker file'!$A$2:$A$406,_xlfn.UNICHAR(160)," ")),'worker file'!$M$2:$M$406,0),_xlfn.XLOOKUP($B966,TRIM('pay group &amp; schedule'!$A$2:$A$6),'pay group &amp; schedule'!$D$2:$D$6,0))</f>
        <v>46311</v>
      </c>
      <c r="N966" s="43" t="str">
        <f aca="false" t="array" ref="N966:N966">_xlfn.LET(_xlpm.t,_xlfn.XLOOKUP($A966,TRIM(SUBSTITUTE('worker file'!$A$2:$A$406,_xlfn.UNICHAR(160)," ")),'worker file'!$N$2:$N$406,""),IF(N(_xlpm.t)=0,"",_xlpm.t))</f>
        <v/>
      </c>
    </row>
    <row r="967" customFormat="false" ht="15" hidden="false" customHeight="false" outlineLevel="0" collapsed="false">
      <c r="A967" s="39" t="s">
        <v>430</v>
      </c>
      <c r="B967" s="40" t="str">
        <f aca="false" t="array" ref="B967:B967">_xlfn.XLOOKUP($A967,TRIM(SUBSTITUTE('worker file'!$A$2:$A$406,_xlfn.UNICHAR(160)," ")),'worker file'!$L$2:$L$406,"Not found")</f>
        <v>US Semi-monthly</v>
      </c>
      <c r="C967" s="40" t="str">
        <f aca="false" t="array" ref="C967:C967">_xlfn.XLOOKUP($A967,TRIM(SUBSTITUTE('worker file'!$A$2:$A$406,_xlfn.UNICHAR(160)," ")),'worker file'!$D$2:$D$406,"Not found")</f>
        <v>CA</v>
      </c>
      <c r="D967" s="40" t="str">
        <f aca="false" t="array" ref="D967:D967">_xlfn.XLOOKUP($A967,TRIM(SUBSTITUTE('worker file'!$A$2:$A$406,_xlfn.UNICHAR(160)," ")),'worker file'!$Q$2:$Q$406,"Not found")</f>
        <v>Active</v>
      </c>
      <c r="E967" s="39" t="s">
        <v>618</v>
      </c>
      <c r="F967" s="38" t="str">
        <f aca="false">_xlfn.XLOOKUP($E967,$A$5:$A$8,$B$5:$B$8,"")</f>
        <v>401(k) Employee Deferral</v>
      </c>
      <c r="G967" s="38" t="str">
        <f aca="false">_xlfn.XLOOKUP($E967,$A$5:$A$8,$D$5:$D$8,"")</f>
        <v>Pre-tax (exempt from FIT/SIT; subject to FICA)</v>
      </c>
      <c r="H967" s="38" t="str">
        <f aca="false">_xlfn.XLOOKUP($E967,$A$5:$A$8,$E$5:$E$8,"")</f>
        <v>Percent</v>
      </c>
      <c r="I967" s="41" t="n">
        <v>0.04</v>
      </c>
      <c r="J967" s="42" t="str">
        <f aca="false">IF($H967="Flat",_xlfn.XLOOKUP($E967,$A$5:$A$8,$F$5:$F$8,""),"")</f>
        <v/>
      </c>
      <c r="K967" s="38" t="str">
        <f aca="false">_xlfn.XLOOKUP($E967,$A$5:$A$8,$G$5:$G$8,"")</f>
        <v>Gross pay</v>
      </c>
      <c r="L967" s="38" t="str">
        <f aca="false">_xlfn.XLOOKUP($E967,$A$5:$A$8,$H$5:$H$8,"")</f>
        <v>Every pay period (ongoing)</v>
      </c>
      <c r="M967" s="43" t="n">
        <f aca="false" t="array" ref="M967:M967">MAX(_xlfn.XLOOKUP($A967,TRIM(SUBSTITUTE('worker file'!$A$2:$A$406,_xlfn.UNICHAR(160)," ")),'worker file'!$M$2:$M$406,0),_xlfn.XLOOKUP($B967,TRIM('pay group &amp; schedule'!$A$2:$A$6),'pay group &amp; schedule'!$D$2:$D$6,0))</f>
        <v>46311</v>
      </c>
      <c r="N967" s="43" t="str">
        <f aca="false" t="array" ref="N967:N967">_xlfn.LET(_xlpm.t,_xlfn.XLOOKUP($A967,TRIM(SUBSTITUTE('worker file'!$A$2:$A$406,_xlfn.UNICHAR(160)," ")),'worker file'!$N$2:$N$406,""),IF(N(_xlpm.t)=0,"",_xlpm.t))</f>
        <v/>
      </c>
    </row>
    <row r="968" customFormat="false" ht="15" hidden="false" customHeight="false" outlineLevel="0" collapsed="false">
      <c r="A968" s="39" t="s">
        <v>430</v>
      </c>
      <c r="B968" s="40" t="str">
        <f aca="false" t="array" ref="B968:B968">_xlfn.XLOOKUP($A968,TRIM(SUBSTITUTE('worker file'!$A$2:$A$406,_xlfn.UNICHAR(160)," ")),'worker file'!$L$2:$L$406,"Not found")</f>
        <v>US Semi-monthly</v>
      </c>
      <c r="C968" s="40" t="str">
        <f aca="false" t="array" ref="C968:C968">_xlfn.XLOOKUP($A968,TRIM(SUBSTITUTE('worker file'!$A$2:$A$406,_xlfn.UNICHAR(160)," ")),'worker file'!$D$2:$D$406,"Not found")</f>
        <v>CA</v>
      </c>
      <c r="D968" s="40" t="str">
        <f aca="false" t="array" ref="D968:D968">_xlfn.XLOOKUP($A968,TRIM(SUBSTITUTE('worker file'!$A$2:$A$406,_xlfn.UNICHAR(160)," ")),'worker file'!$Q$2:$Q$406,"Not found")</f>
        <v>Active</v>
      </c>
      <c r="E968" s="39" t="s">
        <v>626</v>
      </c>
      <c r="F968" s="38" t="str">
        <f aca="false">_xlfn.XLOOKUP($E968,$A$5:$A$8,$B$5:$B$8,"")</f>
        <v>Medical (Health) – Employee</v>
      </c>
      <c r="G968" s="38" t="str">
        <f aca="false">_xlfn.XLOOKUP($E968,$A$5:$A$8,$D$5:$D$8,"")</f>
        <v>Pre-tax Section 125 (exempt from FIT/SIT/FICA)</v>
      </c>
      <c r="H968" s="38" t="str">
        <f aca="false">_xlfn.XLOOKUP($E968,$A$5:$A$8,$E$5:$E$8,"")</f>
        <v>Flat</v>
      </c>
      <c r="I968" s="44" t="str">
        <f aca="false">IF($H968="Percent",_xlfn.XLOOKUP($E968,$A$5:$A$8,$F$5:$F$8,""),"")</f>
        <v/>
      </c>
      <c r="J968" s="42" t="n">
        <f aca="false">IF($H968="Flat",_xlfn.XLOOKUP($E968,$A$5:$A$8,$F$5:$F$8,""),"")</f>
        <v>200</v>
      </c>
      <c r="K968" s="38" t="str">
        <f aca="false">_xlfn.XLOOKUP($E968,$A$5:$A$8,$G$5:$G$8,"")</f>
        <v>Per pay period</v>
      </c>
      <c r="L968" s="38" t="str">
        <f aca="false">_xlfn.XLOOKUP($E968,$A$5:$A$8,$H$5:$H$8,"")</f>
        <v>Every pay period (ongoing)</v>
      </c>
      <c r="M968" s="43" t="n">
        <f aca="false" t="array" ref="M968:M968">MAX(_xlfn.XLOOKUP($A968,TRIM(SUBSTITUTE('worker file'!$A$2:$A$406,_xlfn.UNICHAR(160)," ")),'worker file'!$M$2:$M$406,0),_xlfn.XLOOKUP($B968,TRIM('pay group &amp; schedule'!$A$2:$A$6),'pay group &amp; schedule'!$D$2:$D$6,0))</f>
        <v>46311</v>
      </c>
      <c r="N968" s="43" t="str">
        <f aca="false" t="array" ref="N968:N968">_xlfn.LET(_xlpm.t,_xlfn.XLOOKUP($A968,TRIM(SUBSTITUTE('worker file'!$A$2:$A$406,_xlfn.UNICHAR(160)," ")),'worker file'!$N$2:$N$406,""),IF(N(_xlpm.t)=0,"",_xlpm.t))</f>
        <v/>
      </c>
    </row>
    <row r="969" customFormat="false" ht="15" hidden="false" customHeight="false" outlineLevel="0" collapsed="false">
      <c r="A969" s="39" t="s">
        <v>430</v>
      </c>
      <c r="B969" s="40" t="str">
        <f aca="false" t="array" ref="B969:B969">_xlfn.XLOOKUP($A969,TRIM(SUBSTITUTE('worker file'!$A$2:$A$406,_xlfn.UNICHAR(160)," ")),'worker file'!$L$2:$L$406,"Not found")</f>
        <v>US Semi-monthly</v>
      </c>
      <c r="C969" s="40" t="str">
        <f aca="false" t="array" ref="C969:C969">_xlfn.XLOOKUP($A969,TRIM(SUBSTITUTE('worker file'!$A$2:$A$406,_xlfn.UNICHAR(160)," ")),'worker file'!$D$2:$D$406,"Not found")</f>
        <v>CA</v>
      </c>
      <c r="D969" s="40" t="str">
        <f aca="false" t="array" ref="D969:D969">_xlfn.XLOOKUP($A969,TRIM(SUBSTITUTE('worker file'!$A$2:$A$406,_xlfn.UNICHAR(160)," ")),'worker file'!$Q$2:$Q$406,"Not found")</f>
        <v>Active</v>
      </c>
      <c r="E969" s="39" t="s">
        <v>632</v>
      </c>
      <c r="F969" s="38" t="str">
        <f aca="false">_xlfn.XLOOKUP($E969,$A$5:$A$8,$B$5:$B$8,"")</f>
        <v>Dental – Employee</v>
      </c>
      <c r="G969" s="38" t="str">
        <f aca="false">_xlfn.XLOOKUP($E969,$A$5:$A$8,$D$5:$D$8,"")</f>
        <v>Pre-tax Section 125 (exempt from FIT/SIT/FICA)</v>
      </c>
      <c r="H969" s="38" t="str">
        <f aca="false">_xlfn.XLOOKUP($E969,$A$5:$A$8,$E$5:$E$8,"")</f>
        <v>Flat</v>
      </c>
      <c r="I969" s="44" t="str">
        <f aca="false">IF($H969="Percent",_xlfn.XLOOKUP($E969,$A$5:$A$8,$F$5:$F$8,""),"")</f>
        <v/>
      </c>
      <c r="J969" s="42" t="n">
        <f aca="false">IF($H969="Flat",_xlfn.XLOOKUP($E969,$A$5:$A$8,$F$5:$F$8,""),"")</f>
        <v>44</v>
      </c>
      <c r="K969" s="38" t="str">
        <f aca="false">_xlfn.XLOOKUP($E969,$A$5:$A$8,$G$5:$G$8,"")</f>
        <v>Per pay period</v>
      </c>
      <c r="L969" s="38" t="str">
        <f aca="false">_xlfn.XLOOKUP($E969,$A$5:$A$8,$H$5:$H$8,"")</f>
        <v>Every pay period (ongoing)</v>
      </c>
      <c r="M969" s="43" t="n">
        <f aca="false" t="array" ref="M969:M969">MAX(_xlfn.XLOOKUP($A969,TRIM(SUBSTITUTE('worker file'!$A$2:$A$406,_xlfn.UNICHAR(160)," ")),'worker file'!$M$2:$M$406,0),_xlfn.XLOOKUP($B969,TRIM('pay group &amp; schedule'!$A$2:$A$6),'pay group &amp; schedule'!$D$2:$D$6,0))</f>
        <v>46311</v>
      </c>
      <c r="N969" s="43" t="str">
        <f aca="false" t="array" ref="N969:N969">_xlfn.LET(_xlpm.t,_xlfn.XLOOKUP($A969,TRIM(SUBSTITUTE('worker file'!$A$2:$A$406,_xlfn.UNICHAR(160)," ")),'worker file'!$N$2:$N$406,""),IF(N(_xlpm.t)=0,"",_xlpm.t))</f>
        <v/>
      </c>
    </row>
    <row r="970" customFormat="false" ht="15" hidden="false" customHeight="false" outlineLevel="0" collapsed="false">
      <c r="A970" s="39" t="s">
        <v>430</v>
      </c>
      <c r="B970" s="40" t="str">
        <f aca="false" t="array" ref="B970:B970">_xlfn.XLOOKUP($A970,TRIM(SUBSTITUTE('worker file'!$A$2:$A$406,_xlfn.UNICHAR(160)," ")),'worker file'!$L$2:$L$406,"Not found")</f>
        <v>US Semi-monthly</v>
      </c>
      <c r="C970" s="40" t="str">
        <f aca="false" t="array" ref="C970:C970">_xlfn.XLOOKUP($A970,TRIM(SUBSTITUTE('worker file'!$A$2:$A$406,_xlfn.UNICHAR(160)," ")),'worker file'!$D$2:$D$406,"Not found")</f>
        <v>CA</v>
      </c>
      <c r="D970" s="40" t="str">
        <f aca="false" t="array" ref="D970:D970">_xlfn.XLOOKUP($A970,TRIM(SUBSTITUTE('worker file'!$A$2:$A$406,_xlfn.UNICHAR(160)," ")),'worker file'!$Q$2:$Q$406,"Not found")</f>
        <v>Active</v>
      </c>
      <c r="E970" s="39" t="s">
        <v>634</v>
      </c>
      <c r="F970" s="38" t="str">
        <f aca="false">_xlfn.XLOOKUP($E970,$A$5:$A$8,$B$5:$B$8,"")</f>
        <v>Vision – Employee</v>
      </c>
      <c r="G970" s="38" t="str">
        <f aca="false">_xlfn.XLOOKUP($E970,$A$5:$A$8,$D$5:$D$8,"")</f>
        <v>Pre-tax Section 125 (exempt from FIT/SIT/FICA)</v>
      </c>
      <c r="H970" s="38" t="str">
        <f aca="false">_xlfn.XLOOKUP($E970,$A$5:$A$8,$E$5:$E$8,"")</f>
        <v>Flat</v>
      </c>
      <c r="I970" s="44" t="str">
        <f aca="false">IF($H970="Percent",_xlfn.XLOOKUP($E970,$A$5:$A$8,$F$5:$F$8,""),"")</f>
        <v/>
      </c>
      <c r="J970" s="42" t="n">
        <f aca="false">IF($H970="Flat",_xlfn.XLOOKUP($E970,$A$5:$A$8,$F$5:$F$8,""),"")</f>
        <v>30</v>
      </c>
      <c r="K970" s="38" t="str">
        <f aca="false">_xlfn.XLOOKUP($E970,$A$5:$A$8,$G$5:$G$8,"")</f>
        <v>Per pay period</v>
      </c>
      <c r="L970" s="38" t="str">
        <f aca="false">_xlfn.XLOOKUP($E970,$A$5:$A$8,$H$5:$H$8,"")</f>
        <v>Every pay period (ongoing)</v>
      </c>
      <c r="M970" s="43" t="n">
        <f aca="false" t="array" ref="M970:M970">MAX(_xlfn.XLOOKUP($A970,TRIM(SUBSTITUTE('worker file'!$A$2:$A$406,_xlfn.UNICHAR(160)," ")),'worker file'!$M$2:$M$406,0),_xlfn.XLOOKUP($B970,TRIM('pay group &amp; schedule'!$A$2:$A$6),'pay group &amp; schedule'!$D$2:$D$6,0))</f>
        <v>46311</v>
      </c>
      <c r="N970" s="43" t="str">
        <f aca="false" t="array" ref="N970:N970">_xlfn.LET(_xlpm.t,_xlfn.XLOOKUP($A970,TRIM(SUBSTITUTE('worker file'!$A$2:$A$406,_xlfn.UNICHAR(160)," ")),'worker file'!$N$2:$N$406,""),IF(N(_xlpm.t)=0,"",_xlpm.t))</f>
        <v/>
      </c>
    </row>
    <row r="971" customFormat="false" ht="15" hidden="false" customHeight="false" outlineLevel="0" collapsed="false">
      <c r="A971" s="39" t="s">
        <v>431</v>
      </c>
      <c r="B971" s="40" t="str">
        <f aca="false" t="array" ref="B971:B971">_xlfn.XLOOKUP($A971,TRIM(SUBSTITUTE('worker file'!$A$2:$A$406,_xlfn.UNICHAR(160)," ")),'worker file'!$L$2:$L$406,"Not found")</f>
        <v>US Semi-monthly</v>
      </c>
      <c r="C971" s="40" t="str">
        <f aca="false" t="array" ref="C971:C971">_xlfn.XLOOKUP($A971,TRIM(SUBSTITUTE('worker file'!$A$2:$A$406,_xlfn.UNICHAR(160)," ")),'worker file'!$D$2:$D$406,"Not found")</f>
        <v>CA</v>
      </c>
      <c r="D971" s="40" t="str">
        <f aca="false" t="array" ref="D971:D971">_xlfn.XLOOKUP($A971,TRIM(SUBSTITUTE('worker file'!$A$2:$A$406,_xlfn.UNICHAR(160)," ")),'worker file'!$Q$2:$Q$406,"Not found")</f>
        <v>Active</v>
      </c>
      <c r="E971" s="39" t="s">
        <v>618</v>
      </c>
      <c r="F971" s="38" t="str">
        <f aca="false">_xlfn.XLOOKUP($E971,$A$5:$A$8,$B$5:$B$8,"")</f>
        <v>401(k) Employee Deferral</v>
      </c>
      <c r="G971" s="38" t="str">
        <f aca="false">_xlfn.XLOOKUP($E971,$A$5:$A$8,$D$5:$D$8,"")</f>
        <v>Pre-tax (exempt from FIT/SIT; subject to FICA)</v>
      </c>
      <c r="H971" s="38" t="str">
        <f aca="false">_xlfn.XLOOKUP($E971,$A$5:$A$8,$E$5:$E$8,"")</f>
        <v>Percent</v>
      </c>
      <c r="I971" s="41" t="n">
        <v>0.01</v>
      </c>
      <c r="J971" s="42" t="str">
        <f aca="false">IF($H971="Flat",_xlfn.XLOOKUP($E971,$A$5:$A$8,$F$5:$F$8,""),"")</f>
        <v/>
      </c>
      <c r="K971" s="38" t="str">
        <f aca="false">_xlfn.XLOOKUP($E971,$A$5:$A$8,$G$5:$G$8,"")</f>
        <v>Gross pay</v>
      </c>
      <c r="L971" s="38" t="str">
        <f aca="false">_xlfn.XLOOKUP($E971,$A$5:$A$8,$H$5:$H$8,"")</f>
        <v>Every pay period (ongoing)</v>
      </c>
      <c r="M971" s="43" t="n">
        <f aca="false" t="array" ref="M971:M971">MAX(_xlfn.XLOOKUP($A971,TRIM(SUBSTITUTE('worker file'!$A$2:$A$406,_xlfn.UNICHAR(160)," ")),'worker file'!$M$2:$M$406,0),_xlfn.XLOOKUP($B971,TRIM('pay group &amp; schedule'!$A$2:$A$6),'pay group &amp; schedule'!$D$2:$D$6,0))</f>
        <v>46311</v>
      </c>
      <c r="N971" s="43" t="str">
        <f aca="false" t="array" ref="N971:N971">_xlfn.LET(_xlpm.t,_xlfn.XLOOKUP($A971,TRIM(SUBSTITUTE('worker file'!$A$2:$A$406,_xlfn.UNICHAR(160)," ")),'worker file'!$N$2:$N$406,""),IF(N(_xlpm.t)=0,"",_xlpm.t))</f>
        <v/>
      </c>
    </row>
    <row r="972" customFormat="false" ht="15" hidden="false" customHeight="false" outlineLevel="0" collapsed="false">
      <c r="A972" s="39" t="s">
        <v>431</v>
      </c>
      <c r="B972" s="40" t="str">
        <f aca="false" t="array" ref="B972:B972">_xlfn.XLOOKUP($A972,TRIM(SUBSTITUTE('worker file'!$A$2:$A$406,_xlfn.UNICHAR(160)," ")),'worker file'!$L$2:$L$406,"Not found")</f>
        <v>US Semi-monthly</v>
      </c>
      <c r="C972" s="40" t="str">
        <f aca="false" t="array" ref="C972:C972">_xlfn.XLOOKUP($A972,TRIM(SUBSTITUTE('worker file'!$A$2:$A$406,_xlfn.UNICHAR(160)," ")),'worker file'!$D$2:$D$406,"Not found")</f>
        <v>CA</v>
      </c>
      <c r="D972" s="40" t="str">
        <f aca="false" t="array" ref="D972:D972">_xlfn.XLOOKUP($A972,TRIM(SUBSTITUTE('worker file'!$A$2:$A$406,_xlfn.UNICHAR(160)," ")),'worker file'!$Q$2:$Q$406,"Not found")</f>
        <v>Active</v>
      </c>
      <c r="E972" s="39" t="s">
        <v>626</v>
      </c>
      <c r="F972" s="38" t="str">
        <f aca="false">_xlfn.XLOOKUP($E972,$A$5:$A$8,$B$5:$B$8,"")</f>
        <v>Medical (Health) – Employee</v>
      </c>
      <c r="G972" s="38" t="str">
        <f aca="false">_xlfn.XLOOKUP($E972,$A$5:$A$8,$D$5:$D$8,"")</f>
        <v>Pre-tax Section 125 (exempt from FIT/SIT/FICA)</v>
      </c>
      <c r="H972" s="38" t="str">
        <f aca="false">_xlfn.XLOOKUP($E972,$A$5:$A$8,$E$5:$E$8,"")</f>
        <v>Flat</v>
      </c>
      <c r="I972" s="44" t="str">
        <f aca="false">IF($H972="Percent",_xlfn.XLOOKUP($E972,$A$5:$A$8,$F$5:$F$8,""),"")</f>
        <v/>
      </c>
      <c r="J972" s="42" t="n">
        <f aca="false">IF($H972="Flat",_xlfn.XLOOKUP($E972,$A$5:$A$8,$F$5:$F$8,""),"")</f>
        <v>200</v>
      </c>
      <c r="K972" s="38" t="str">
        <f aca="false">_xlfn.XLOOKUP($E972,$A$5:$A$8,$G$5:$G$8,"")</f>
        <v>Per pay period</v>
      </c>
      <c r="L972" s="38" t="str">
        <f aca="false">_xlfn.XLOOKUP($E972,$A$5:$A$8,$H$5:$H$8,"")</f>
        <v>Every pay period (ongoing)</v>
      </c>
      <c r="M972" s="43" t="n">
        <f aca="false" t="array" ref="M972:M972">MAX(_xlfn.XLOOKUP($A972,TRIM(SUBSTITUTE('worker file'!$A$2:$A$406,_xlfn.UNICHAR(160)," ")),'worker file'!$M$2:$M$406,0),_xlfn.XLOOKUP($B972,TRIM('pay group &amp; schedule'!$A$2:$A$6),'pay group &amp; schedule'!$D$2:$D$6,0))</f>
        <v>46311</v>
      </c>
      <c r="N972" s="43" t="str">
        <f aca="false" t="array" ref="N972:N972">_xlfn.LET(_xlpm.t,_xlfn.XLOOKUP($A972,TRIM(SUBSTITUTE('worker file'!$A$2:$A$406,_xlfn.UNICHAR(160)," ")),'worker file'!$N$2:$N$406,""),IF(N(_xlpm.t)=0,"",_xlpm.t))</f>
        <v/>
      </c>
    </row>
    <row r="973" customFormat="false" ht="15" hidden="false" customHeight="false" outlineLevel="0" collapsed="false">
      <c r="A973" s="39" t="s">
        <v>431</v>
      </c>
      <c r="B973" s="40" t="str">
        <f aca="false" t="array" ref="B973:B973">_xlfn.XLOOKUP($A973,TRIM(SUBSTITUTE('worker file'!$A$2:$A$406,_xlfn.UNICHAR(160)," ")),'worker file'!$L$2:$L$406,"Not found")</f>
        <v>US Semi-monthly</v>
      </c>
      <c r="C973" s="40" t="str">
        <f aca="false" t="array" ref="C973:C973">_xlfn.XLOOKUP($A973,TRIM(SUBSTITUTE('worker file'!$A$2:$A$406,_xlfn.UNICHAR(160)," ")),'worker file'!$D$2:$D$406,"Not found")</f>
        <v>CA</v>
      </c>
      <c r="D973" s="40" t="str">
        <f aca="false" t="array" ref="D973:D973">_xlfn.XLOOKUP($A973,TRIM(SUBSTITUTE('worker file'!$A$2:$A$406,_xlfn.UNICHAR(160)," ")),'worker file'!$Q$2:$Q$406,"Not found")</f>
        <v>Active</v>
      </c>
      <c r="E973" s="39" t="s">
        <v>632</v>
      </c>
      <c r="F973" s="38" t="str">
        <f aca="false">_xlfn.XLOOKUP($E973,$A$5:$A$8,$B$5:$B$8,"")</f>
        <v>Dental – Employee</v>
      </c>
      <c r="G973" s="38" t="str">
        <f aca="false">_xlfn.XLOOKUP($E973,$A$5:$A$8,$D$5:$D$8,"")</f>
        <v>Pre-tax Section 125 (exempt from FIT/SIT/FICA)</v>
      </c>
      <c r="H973" s="38" t="str">
        <f aca="false">_xlfn.XLOOKUP($E973,$A$5:$A$8,$E$5:$E$8,"")</f>
        <v>Flat</v>
      </c>
      <c r="I973" s="44" t="str">
        <f aca="false">IF($H973="Percent",_xlfn.XLOOKUP($E973,$A$5:$A$8,$F$5:$F$8,""),"")</f>
        <v/>
      </c>
      <c r="J973" s="42" t="n">
        <f aca="false">IF($H973="Flat",_xlfn.XLOOKUP($E973,$A$5:$A$8,$F$5:$F$8,""),"")</f>
        <v>44</v>
      </c>
      <c r="K973" s="38" t="str">
        <f aca="false">_xlfn.XLOOKUP($E973,$A$5:$A$8,$G$5:$G$8,"")</f>
        <v>Per pay period</v>
      </c>
      <c r="L973" s="38" t="str">
        <f aca="false">_xlfn.XLOOKUP($E973,$A$5:$A$8,$H$5:$H$8,"")</f>
        <v>Every pay period (ongoing)</v>
      </c>
      <c r="M973" s="43" t="n">
        <f aca="false" t="array" ref="M973:M973">MAX(_xlfn.XLOOKUP($A973,TRIM(SUBSTITUTE('worker file'!$A$2:$A$406,_xlfn.UNICHAR(160)," ")),'worker file'!$M$2:$M$406,0),_xlfn.XLOOKUP($B973,TRIM('pay group &amp; schedule'!$A$2:$A$6),'pay group &amp; schedule'!$D$2:$D$6,0))</f>
        <v>46311</v>
      </c>
      <c r="N973" s="43" t="str">
        <f aca="false" t="array" ref="N973:N973">_xlfn.LET(_xlpm.t,_xlfn.XLOOKUP($A973,TRIM(SUBSTITUTE('worker file'!$A$2:$A$406,_xlfn.UNICHAR(160)," ")),'worker file'!$N$2:$N$406,""),IF(N(_xlpm.t)=0,"",_xlpm.t))</f>
        <v/>
      </c>
    </row>
    <row r="974" customFormat="false" ht="15" hidden="false" customHeight="false" outlineLevel="0" collapsed="false">
      <c r="A974" s="39" t="s">
        <v>431</v>
      </c>
      <c r="B974" s="40" t="str">
        <f aca="false" t="array" ref="B974:B974">_xlfn.XLOOKUP($A974,TRIM(SUBSTITUTE('worker file'!$A$2:$A$406,_xlfn.UNICHAR(160)," ")),'worker file'!$L$2:$L$406,"Not found")</f>
        <v>US Semi-monthly</v>
      </c>
      <c r="C974" s="40" t="str">
        <f aca="false" t="array" ref="C974:C974">_xlfn.XLOOKUP($A974,TRIM(SUBSTITUTE('worker file'!$A$2:$A$406,_xlfn.UNICHAR(160)," ")),'worker file'!$D$2:$D$406,"Not found")</f>
        <v>CA</v>
      </c>
      <c r="D974" s="40" t="str">
        <f aca="false" t="array" ref="D974:D974">_xlfn.XLOOKUP($A974,TRIM(SUBSTITUTE('worker file'!$A$2:$A$406,_xlfn.UNICHAR(160)," ")),'worker file'!$Q$2:$Q$406,"Not found")</f>
        <v>Active</v>
      </c>
      <c r="E974" s="39" t="s">
        <v>634</v>
      </c>
      <c r="F974" s="38" t="str">
        <f aca="false">_xlfn.XLOOKUP($E974,$A$5:$A$8,$B$5:$B$8,"")</f>
        <v>Vision – Employee</v>
      </c>
      <c r="G974" s="38" t="str">
        <f aca="false">_xlfn.XLOOKUP($E974,$A$5:$A$8,$D$5:$D$8,"")</f>
        <v>Pre-tax Section 125 (exempt from FIT/SIT/FICA)</v>
      </c>
      <c r="H974" s="38" t="str">
        <f aca="false">_xlfn.XLOOKUP($E974,$A$5:$A$8,$E$5:$E$8,"")</f>
        <v>Flat</v>
      </c>
      <c r="I974" s="44" t="str">
        <f aca="false">IF($H974="Percent",_xlfn.XLOOKUP($E974,$A$5:$A$8,$F$5:$F$8,""),"")</f>
        <v/>
      </c>
      <c r="J974" s="42" t="n">
        <f aca="false">IF($H974="Flat",_xlfn.XLOOKUP($E974,$A$5:$A$8,$F$5:$F$8,""),"")</f>
        <v>30</v>
      </c>
      <c r="K974" s="38" t="str">
        <f aca="false">_xlfn.XLOOKUP($E974,$A$5:$A$8,$G$5:$G$8,"")</f>
        <v>Per pay period</v>
      </c>
      <c r="L974" s="38" t="str">
        <f aca="false">_xlfn.XLOOKUP($E974,$A$5:$A$8,$H$5:$H$8,"")</f>
        <v>Every pay period (ongoing)</v>
      </c>
      <c r="M974" s="43" t="n">
        <f aca="false" t="array" ref="M974:M974">MAX(_xlfn.XLOOKUP($A974,TRIM(SUBSTITUTE('worker file'!$A$2:$A$406,_xlfn.UNICHAR(160)," ")),'worker file'!$M$2:$M$406,0),_xlfn.XLOOKUP($B974,TRIM('pay group &amp; schedule'!$A$2:$A$6),'pay group &amp; schedule'!$D$2:$D$6,0))</f>
        <v>46311</v>
      </c>
      <c r="N974" s="43" t="str">
        <f aca="false" t="array" ref="N974:N974">_xlfn.LET(_xlpm.t,_xlfn.XLOOKUP($A974,TRIM(SUBSTITUTE('worker file'!$A$2:$A$406,_xlfn.UNICHAR(160)," ")),'worker file'!$N$2:$N$406,""),IF(N(_xlpm.t)=0,"",_xlpm.t))</f>
        <v/>
      </c>
    </row>
    <row r="975" customFormat="false" ht="15" hidden="false" customHeight="false" outlineLevel="0" collapsed="false">
      <c r="A975" s="39" t="s">
        <v>432</v>
      </c>
      <c r="B975" s="40" t="str">
        <f aca="false" t="array" ref="B975:B975">_xlfn.XLOOKUP($A975,TRIM(SUBSTITUTE('worker file'!$A$2:$A$406,_xlfn.UNICHAR(160)," ")),'worker file'!$L$2:$L$406,"Not found")</f>
        <v>US Semi-monthly</v>
      </c>
      <c r="C975" s="40" t="str">
        <f aca="false" t="array" ref="C975:C975">_xlfn.XLOOKUP($A975,TRIM(SUBSTITUTE('worker file'!$A$2:$A$406,_xlfn.UNICHAR(160)," ")),'worker file'!$D$2:$D$406,"Not found")</f>
        <v>NY</v>
      </c>
      <c r="D975" s="40" t="str">
        <f aca="false" t="array" ref="D975:D975">_xlfn.XLOOKUP($A975,TRIM(SUBSTITUTE('worker file'!$A$2:$A$406,_xlfn.UNICHAR(160)," ")),'worker file'!$Q$2:$Q$406,"Not found")</f>
        <v>Active</v>
      </c>
      <c r="E975" s="39" t="s">
        <v>618</v>
      </c>
      <c r="F975" s="38" t="str">
        <f aca="false">_xlfn.XLOOKUP($E975,$A$5:$A$8,$B$5:$B$8,"")</f>
        <v>401(k) Employee Deferral</v>
      </c>
      <c r="G975" s="38" t="str">
        <f aca="false">_xlfn.XLOOKUP($E975,$A$5:$A$8,$D$5:$D$8,"")</f>
        <v>Pre-tax (exempt from FIT/SIT; subject to FICA)</v>
      </c>
      <c r="H975" s="38" t="str">
        <f aca="false">_xlfn.XLOOKUP($E975,$A$5:$A$8,$E$5:$E$8,"")</f>
        <v>Percent</v>
      </c>
      <c r="I975" s="41" t="n">
        <v>0.06</v>
      </c>
      <c r="J975" s="42" t="str">
        <f aca="false">IF($H975="Flat",_xlfn.XLOOKUP($E975,$A$5:$A$8,$F$5:$F$8,""),"")</f>
        <v/>
      </c>
      <c r="K975" s="38" t="str">
        <f aca="false">_xlfn.XLOOKUP($E975,$A$5:$A$8,$G$5:$G$8,"")</f>
        <v>Gross pay</v>
      </c>
      <c r="L975" s="38" t="str">
        <f aca="false">_xlfn.XLOOKUP($E975,$A$5:$A$8,$H$5:$H$8,"")</f>
        <v>Every pay period (ongoing)</v>
      </c>
      <c r="M975" s="43" t="n">
        <f aca="false" t="array" ref="M975:M975">MAX(_xlfn.XLOOKUP($A975,TRIM(SUBSTITUTE('worker file'!$A$2:$A$406,_xlfn.UNICHAR(160)," ")),'worker file'!$M$2:$M$406,0),_xlfn.XLOOKUP($B975,TRIM('pay group &amp; schedule'!$A$2:$A$6),'pay group &amp; schedule'!$D$2:$D$6,0))</f>
        <v>46311</v>
      </c>
      <c r="N975" s="43" t="str">
        <f aca="false" t="array" ref="N975:N975">_xlfn.LET(_xlpm.t,_xlfn.XLOOKUP($A975,TRIM(SUBSTITUTE('worker file'!$A$2:$A$406,_xlfn.UNICHAR(160)," ")),'worker file'!$N$2:$N$406,""),IF(N(_xlpm.t)=0,"",_xlpm.t))</f>
        <v/>
      </c>
    </row>
    <row r="976" customFormat="false" ht="15" hidden="false" customHeight="false" outlineLevel="0" collapsed="false">
      <c r="A976" s="39" t="s">
        <v>432</v>
      </c>
      <c r="B976" s="40" t="str">
        <f aca="false" t="array" ref="B976:B976">_xlfn.XLOOKUP($A976,TRIM(SUBSTITUTE('worker file'!$A$2:$A$406,_xlfn.UNICHAR(160)," ")),'worker file'!$L$2:$L$406,"Not found")</f>
        <v>US Semi-monthly</v>
      </c>
      <c r="C976" s="40" t="str">
        <f aca="false" t="array" ref="C976:C976">_xlfn.XLOOKUP($A976,TRIM(SUBSTITUTE('worker file'!$A$2:$A$406,_xlfn.UNICHAR(160)," ")),'worker file'!$D$2:$D$406,"Not found")</f>
        <v>NY</v>
      </c>
      <c r="D976" s="40" t="str">
        <f aca="false" t="array" ref="D976:D976">_xlfn.XLOOKUP($A976,TRIM(SUBSTITUTE('worker file'!$A$2:$A$406,_xlfn.UNICHAR(160)," ")),'worker file'!$Q$2:$Q$406,"Not found")</f>
        <v>Active</v>
      </c>
      <c r="E976" s="39" t="s">
        <v>626</v>
      </c>
      <c r="F976" s="38" t="str">
        <f aca="false">_xlfn.XLOOKUP($E976,$A$5:$A$8,$B$5:$B$8,"")</f>
        <v>Medical (Health) – Employee</v>
      </c>
      <c r="G976" s="38" t="str">
        <f aca="false">_xlfn.XLOOKUP($E976,$A$5:$A$8,$D$5:$D$8,"")</f>
        <v>Pre-tax Section 125 (exempt from FIT/SIT/FICA)</v>
      </c>
      <c r="H976" s="38" t="str">
        <f aca="false">_xlfn.XLOOKUP($E976,$A$5:$A$8,$E$5:$E$8,"")</f>
        <v>Flat</v>
      </c>
      <c r="I976" s="44" t="str">
        <f aca="false">IF($H976="Percent",_xlfn.XLOOKUP($E976,$A$5:$A$8,$F$5:$F$8,""),"")</f>
        <v/>
      </c>
      <c r="J976" s="42" t="n">
        <f aca="false">IF($H976="Flat",_xlfn.XLOOKUP($E976,$A$5:$A$8,$F$5:$F$8,""),"")</f>
        <v>200</v>
      </c>
      <c r="K976" s="38" t="str">
        <f aca="false">_xlfn.XLOOKUP($E976,$A$5:$A$8,$G$5:$G$8,"")</f>
        <v>Per pay period</v>
      </c>
      <c r="L976" s="38" t="str">
        <f aca="false">_xlfn.XLOOKUP($E976,$A$5:$A$8,$H$5:$H$8,"")</f>
        <v>Every pay period (ongoing)</v>
      </c>
      <c r="M976" s="43" t="n">
        <f aca="false" t="array" ref="M976:M976">MAX(_xlfn.XLOOKUP($A976,TRIM(SUBSTITUTE('worker file'!$A$2:$A$406,_xlfn.UNICHAR(160)," ")),'worker file'!$M$2:$M$406,0),_xlfn.XLOOKUP($B976,TRIM('pay group &amp; schedule'!$A$2:$A$6),'pay group &amp; schedule'!$D$2:$D$6,0))</f>
        <v>46311</v>
      </c>
      <c r="N976" s="43" t="str">
        <f aca="false" t="array" ref="N976:N976">_xlfn.LET(_xlpm.t,_xlfn.XLOOKUP($A976,TRIM(SUBSTITUTE('worker file'!$A$2:$A$406,_xlfn.UNICHAR(160)," ")),'worker file'!$N$2:$N$406,""),IF(N(_xlpm.t)=0,"",_xlpm.t))</f>
        <v/>
      </c>
    </row>
    <row r="977" customFormat="false" ht="15" hidden="false" customHeight="false" outlineLevel="0" collapsed="false">
      <c r="A977" s="39" t="s">
        <v>432</v>
      </c>
      <c r="B977" s="40" t="str">
        <f aca="false" t="array" ref="B977:B977">_xlfn.XLOOKUP($A977,TRIM(SUBSTITUTE('worker file'!$A$2:$A$406,_xlfn.UNICHAR(160)," ")),'worker file'!$L$2:$L$406,"Not found")</f>
        <v>US Semi-monthly</v>
      </c>
      <c r="C977" s="40" t="str">
        <f aca="false" t="array" ref="C977:C977">_xlfn.XLOOKUP($A977,TRIM(SUBSTITUTE('worker file'!$A$2:$A$406,_xlfn.UNICHAR(160)," ")),'worker file'!$D$2:$D$406,"Not found")</f>
        <v>NY</v>
      </c>
      <c r="D977" s="40" t="str">
        <f aca="false" t="array" ref="D977:D977">_xlfn.XLOOKUP($A977,TRIM(SUBSTITUTE('worker file'!$A$2:$A$406,_xlfn.UNICHAR(160)," ")),'worker file'!$Q$2:$Q$406,"Not found")</f>
        <v>Active</v>
      </c>
      <c r="E977" s="39" t="s">
        <v>632</v>
      </c>
      <c r="F977" s="38" t="str">
        <f aca="false">_xlfn.XLOOKUP($E977,$A$5:$A$8,$B$5:$B$8,"")</f>
        <v>Dental – Employee</v>
      </c>
      <c r="G977" s="38" t="str">
        <f aca="false">_xlfn.XLOOKUP($E977,$A$5:$A$8,$D$5:$D$8,"")</f>
        <v>Pre-tax Section 125 (exempt from FIT/SIT/FICA)</v>
      </c>
      <c r="H977" s="38" t="str">
        <f aca="false">_xlfn.XLOOKUP($E977,$A$5:$A$8,$E$5:$E$8,"")</f>
        <v>Flat</v>
      </c>
      <c r="I977" s="44" t="str">
        <f aca="false">IF($H977="Percent",_xlfn.XLOOKUP($E977,$A$5:$A$8,$F$5:$F$8,""),"")</f>
        <v/>
      </c>
      <c r="J977" s="42" t="n">
        <f aca="false">IF($H977="Flat",_xlfn.XLOOKUP($E977,$A$5:$A$8,$F$5:$F$8,""),"")</f>
        <v>44</v>
      </c>
      <c r="K977" s="38" t="str">
        <f aca="false">_xlfn.XLOOKUP($E977,$A$5:$A$8,$G$5:$G$8,"")</f>
        <v>Per pay period</v>
      </c>
      <c r="L977" s="38" t="str">
        <f aca="false">_xlfn.XLOOKUP($E977,$A$5:$A$8,$H$5:$H$8,"")</f>
        <v>Every pay period (ongoing)</v>
      </c>
      <c r="M977" s="43" t="n">
        <f aca="false" t="array" ref="M977:M977">MAX(_xlfn.XLOOKUP($A977,TRIM(SUBSTITUTE('worker file'!$A$2:$A$406,_xlfn.UNICHAR(160)," ")),'worker file'!$M$2:$M$406,0),_xlfn.XLOOKUP($B977,TRIM('pay group &amp; schedule'!$A$2:$A$6),'pay group &amp; schedule'!$D$2:$D$6,0))</f>
        <v>46311</v>
      </c>
      <c r="N977" s="43" t="str">
        <f aca="false" t="array" ref="N977:N977">_xlfn.LET(_xlpm.t,_xlfn.XLOOKUP($A977,TRIM(SUBSTITUTE('worker file'!$A$2:$A$406,_xlfn.UNICHAR(160)," ")),'worker file'!$N$2:$N$406,""),IF(N(_xlpm.t)=0,"",_xlpm.t))</f>
        <v/>
      </c>
    </row>
    <row r="978" customFormat="false" ht="15" hidden="false" customHeight="false" outlineLevel="0" collapsed="false">
      <c r="A978" s="39" t="s">
        <v>432</v>
      </c>
      <c r="B978" s="40" t="str">
        <f aca="false" t="array" ref="B978:B978">_xlfn.XLOOKUP($A978,TRIM(SUBSTITUTE('worker file'!$A$2:$A$406,_xlfn.UNICHAR(160)," ")),'worker file'!$L$2:$L$406,"Not found")</f>
        <v>US Semi-monthly</v>
      </c>
      <c r="C978" s="40" t="str">
        <f aca="false" t="array" ref="C978:C978">_xlfn.XLOOKUP($A978,TRIM(SUBSTITUTE('worker file'!$A$2:$A$406,_xlfn.UNICHAR(160)," ")),'worker file'!$D$2:$D$406,"Not found")</f>
        <v>NY</v>
      </c>
      <c r="D978" s="40" t="str">
        <f aca="false" t="array" ref="D978:D978">_xlfn.XLOOKUP($A978,TRIM(SUBSTITUTE('worker file'!$A$2:$A$406,_xlfn.UNICHAR(160)," ")),'worker file'!$Q$2:$Q$406,"Not found")</f>
        <v>Active</v>
      </c>
      <c r="E978" s="39" t="s">
        <v>634</v>
      </c>
      <c r="F978" s="38" t="str">
        <f aca="false">_xlfn.XLOOKUP($E978,$A$5:$A$8,$B$5:$B$8,"")</f>
        <v>Vision – Employee</v>
      </c>
      <c r="G978" s="38" t="str">
        <f aca="false">_xlfn.XLOOKUP($E978,$A$5:$A$8,$D$5:$D$8,"")</f>
        <v>Pre-tax Section 125 (exempt from FIT/SIT/FICA)</v>
      </c>
      <c r="H978" s="38" t="str">
        <f aca="false">_xlfn.XLOOKUP($E978,$A$5:$A$8,$E$5:$E$8,"")</f>
        <v>Flat</v>
      </c>
      <c r="I978" s="44" t="str">
        <f aca="false">IF($H978="Percent",_xlfn.XLOOKUP($E978,$A$5:$A$8,$F$5:$F$8,""),"")</f>
        <v/>
      </c>
      <c r="J978" s="42" t="n">
        <f aca="false">IF($H978="Flat",_xlfn.XLOOKUP($E978,$A$5:$A$8,$F$5:$F$8,""),"")</f>
        <v>30</v>
      </c>
      <c r="K978" s="38" t="str">
        <f aca="false">_xlfn.XLOOKUP($E978,$A$5:$A$8,$G$5:$G$8,"")</f>
        <v>Per pay period</v>
      </c>
      <c r="L978" s="38" t="str">
        <f aca="false">_xlfn.XLOOKUP($E978,$A$5:$A$8,$H$5:$H$8,"")</f>
        <v>Every pay period (ongoing)</v>
      </c>
      <c r="M978" s="43" t="n">
        <f aca="false" t="array" ref="M978:M978">MAX(_xlfn.XLOOKUP($A978,TRIM(SUBSTITUTE('worker file'!$A$2:$A$406,_xlfn.UNICHAR(160)," ")),'worker file'!$M$2:$M$406,0),_xlfn.XLOOKUP($B978,TRIM('pay group &amp; schedule'!$A$2:$A$6),'pay group &amp; schedule'!$D$2:$D$6,0))</f>
        <v>46311</v>
      </c>
      <c r="N978" s="43" t="str">
        <f aca="false" t="array" ref="N978:N978">_xlfn.LET(_xlpm.t,_xlfn.XLOOKUP($A978,TRIM(SUBSTITUTE('worker file'!$A$2:$A$406,_xlfn.UNICHAR(160)," ")),'worker file'!$N$2:$N$406,""),IF(N(_xlpm.t)=0,"",_xlpm.t))</f>
        <v/>
      </c>
    </row>
    <row r="979" customFormat="false" ht="15" hidden="false" customHeight="false" outlineLevel="0" collapsed="false">
      <c r="A979" s="39" t="s">
        <v>434</v>
      </c>
      <c r="B979" s="40" t="str">
        <f aca="false" t="array" ref="B979:B979">_xlfn.XLOOKUP($A979,TRIM(SUBSTITUTE('worker file'!$A$2:$A$406,_xlfn.UNICHAR(160)," ")),'worker file'!$L$2:$L$406,"Not found")</f>
        <v>US Semi-monthly</v>
      </c>
      <c r="C979" s="40" t="str">
        <f aca="false" t="array" ref="C979:C979">_xlfn.XLOOKUP($A979,TRIM(SUBSTITUTE('worker file'!$A$2:$A$406,_xlfn.UNICHAR(160)," ")),'worker file'!$D$2:$D$406,"Not found")</f>
        <v>CA</v>
      </c>
      <c r="D979" s="40" t="str">
        <f aca="false" t="array" ref="D979:D979">_xlfn.XLOOKUP($A979,TRIM(SUBSTITUTE('worker file'!$A$2:$A$406,_xlfn.UNICHAR(160)," ")),'worker file'!$Q$2:$Q$406,"Not found")</f>
        <v>Active</v>
      </c>
      <c r="E979" s="39" t="s">
        <v>618</v>
      </c>
      <c r="F979" s="38" t="str">
        <f aca="false">_xlfn.XLOOKUP($E979,$A$5:$A$8,$B$5:$B$8,"")</f>
        <v>401(k) Employee Deferral</v>
      </c>
      <c r="G979" s="38" t="str">
        <f aca="false">_xlfn.XLOOKUP($E979,$A$5:$A$8,$D$5:$D$8,"")</f>
        <v>Pre-tax (exempt from FIT/SIT; subject to FICA)</v>
      </c>
      <c r="H979" s="38" t="str">
        <f aca="false">_xlfn.XLOOKUP($E979,$A$5:$A$8,$E$5:$E$8,"")</f>
        <v>Percent</v>
      </c>
      <c r="I979" s="41" t="n">
        <v>0.03</v>
      </c>
      <c r="J979" s="42" t="str">
        <f aca="false">IF($H979="Flat",_xlfn.XLOOKUP($E979,$A$5:$A$8,$F$5:$F$8,""),"")</f>
        <v/>
      </c>
      <c r="K979" s="38" t="str">
        <f aca="false">_xlfn.XLOOKUP($E979,$A$5:$A$8,$G$5:$G$8,"")</f>
        <v>Gross pay</v>
      </c>
      <c r="L979" s="38" t="str">
        <f aca="false">_xlfn.XLOOKUP($E979,$A$5:$A$8,$H$5:$H$8,"")</f>
        <v>Every pay period (ongoing)</v>
      </c>
      <c r="M979" s="43" t="n">
        <f aca="false" t="array" ref="M979:M979">MAX(_xlfn.XLOOKUP($A979,TRIM(SUBSTITUTE('worker file'!$A$2:$A$406,_xlfn.UNICHAR(160)," ")),'worker file'!$M$2:$M$406,0),_xlfn.XLOOKUP($B979,TRIM('pay group &amp; schedule'!$A$2:$A$6),'pay group &amp; schedule'!$D$2:$D$6,0))</f>
        <v>46311</v>
      </c>
      <c r="N979" s="43" t="str">
        <f aca="false" t="array" ref="N979:N979">_xlfn.LET(_xlpm.t,_xlfn.XLOOKUP($A979,TRIM(SUBSTITUTE('worker file'!$A$2:$A$406,_xlfn.UNICHAR(160)," ")),'worker file'!$N$2:$N$406,""),IF(N(_xlpm.t)=0,"",_xlpm.t))</f>
        <v/>
      </c>
    </row>
    <row r="980" customFormat="false" ht="15" hidden="false" customHeight="false" outlineLevel="0" collapsed="false">
      <c r="A980" s="39" t="s">
        <v>434</v>
      </c>
      <c r="B980" s="40" t="str">
        <f aca="false" t="array" ref="B980:B980">_xlfn.XLOOKUP($A980,TRIM(SUBSTITUTE('worker file'!$A$2:$A$406,_xlfn.UNICHAR(160)," ")),'worker file'!$L$2:$L$406,"Not found")</f>
        <v>US Semi-monthly</v>
      </c>
      <c r="C980" s="40" t="str">
        <f aca="false" t="array" ref="C980:C980">_xlfn.XLOOKUP($A980,TRIM(SUBSTITUTE('worker file'!$A$2:$A$406,_xlfn.UNICHAR(160)," ")),'worker file'!$D$2:$D$406,"Not found")</f>
        <v>CA</v>
      </c>
      <c r="D980" s="40" t="str">
        <f aca="false" t="array" ref="D980:D980">_xlfn.XLOOKUP($A980,TRIM(SUBSTITUTE('worker file'!$A$2:$A$406,_xlfn.UNICHAR(160)," ")),'worker file'!$Q$2:$Q$406,"Not found")</f>
        <v>Active</v>
      </c>
      <c r="E980" s="39" t="s">
        <v>626</v>
      </c>
      <c r="F980" s="38" t="str">
        <f aca="false">_xlfn.XLOOKUP($E980,$A$5:$A$8,$B$5:$B$8,"")</f>
        <v>Medical (Health) – Employee</v>
      </c>
      <c r="G980" s="38" t="str">
        <f aca="false">_xlfn.XLOOKUP($E980,$A$5:$A$8,$D$5:$D$8,"")</f>
        <v>Pre-tax Section 125 (exempt from FIT/SIT/FICA)</v>
      </c>
      <c r="H980" s="38" t="str">
        <f aca="false">_xlfn.XLOOKUP($E980,$A$5:$A$8,$E$5:$E$8,"")</f>
        <v>Flat</v>
      </c>
      <c r="I980" s="44" t="str">
        <f aca="false">IF($H980="Percent",_xlfn.XLOOKUP($E980,$A$5:$A$8,$F$5:$F$8,""),"")</f>
        <v/>
      </c>
      <c r="J980" s="42" t="n">
        <f aca="false">IF($H980="Flat",_xlfn.XLOOKUP($E980,$A$5:$A$8,$F$5:$F$8,""),"")</f>
        <v>200</v>
      </c>
      <c r="K980" s="38" t="str">
        <f aca="false">_xlfn.XLOOKUP($E980,$A$5:$A$8,$G$5:$G$8,"")</f>
        <v>Per pay period</v>
      </c>
      <c r="L980" s="38" t="str">
        <f aca="false">_xlfn.XLOOKUP($E980,$A$5:$A$8,$H$5:$H$8,"")</f>
        <v>Every pay period (ongoing)</v>
      </c>
      <c r="M980" s="43" t="n">
        <f aca="false" t="array" ref="M980:M980">MAX(_xlfn.XLOOKUP($A980,TRIM(SUBSTITUTE('worker file'!$A$2:$A$406,_xlfn.UNICHAR(160)," ")),'worker file'!$M$2:$M$406,0),_xlfn.XLOOKUP($B980,TRIM('pay group &amp; schedule'!$A$2:$A$6),'pay group &amp; schedule'!$D$2:$D$6,0))</f>
        <v>46311</v>
      </c>
      <c r="N980" s="43" t="str">
        <f aca="false" t="array" ref="N980:N980">_xlfn.LET(_xlpm.t,_xlfn.XLOOKUP($A980,TRIM(SUBSTITUTE('worker file'!$A$2:$A$406,_xlfn.UNICHAR(160)," ")),'worker file'!$N$2:$N$406,""),IF(N(_xlpm.t)=0,"",_xlpm.t))</f>
        <v/>
      </c>
    </row>
    <row r="981" customFormat="false" ht="15" hidden="false" customHeight="false" outlineLevel="0" collapsed="false">
      <c r="A981" s="39" t="s">
        <v>434</v>
      </c>
      <c r="B981" s="40" t="str">
        <f aca="false" t="array" ref="B981:B981">_xlfn.XLOOKUP($A981,TRIM(SUBSTITUTE('worker file'!$A$2:$A$406,_xlfn.UNICHAR(160)," ")),'worker file'!$L$2:$L$406,"Not found")</f>
        <v>US Semi-monthly</v>
      </c>
      <c r="C981" s="40" t="str">
        <f aca="false" t="array" ref="C981:C981">_xlfn.XLOOKUP($A981,TRIM(SUBSTITUTE('worker file'!$A$2:$A$406,_xlfn.UNICHAR(160)," ")),'worker file'!$D$2:$D$406,"Not found")</f>
        <v>CA</v>
      </c>
      <c r="D981" s="40" t="str">
        <f aca="false" t="array" ref="D981:D981">_xlfn.XLOOKUP($A981,TRIM(SUBSTITUTE('worker file'!$A$2:$A$406,_xlfn.UNICHAR(160)," ")),'worker file'!$Q$2:$Q$406,"Not found")</f>
        <v>Active</v>
      </c>
      <c r="E981" s="39" t="s">
        <v>632</v>
      </c>
      <c r="F981" s="38" t="str">
        <f aca="false">_xlfn.XLOOKUP($E981,$A$5:$A$8,$B$5:$B$8,"")</f>
        <v>Dental – Employee</v>
      </c>
      <c r="G981" s="38" t="str">
        <f aca="false">_xlfn.XLOOKUP($E981,$A$5:$A$8,$D$5:$D$8,"")</f>
        <v>Pre-tax Section 125 (exempt from FIT/SIT/FICA)</v>
      </c>
      <c r="H981" s="38" t="str">
        <f aca="false">_xlfn.XLOOKUP($E981,$A$5:$A$8,$E$5:$E$8,"")</f>
        <v>Flat</v>
      </c>
      <c r="I981" s="44" t="str">
        <f aca="false">IF($H981="Percent",_xlfn.XLOOKUP($E981,$A$5:$A$8,$F$5:$F$8,""),"")</f>
        <v/>
      </c>
      <c r="J981" s="42" t="n">
        <f aca="false">IF($H981="Flat",_xlfn.XLOOKUP($E981,$A$5:$A$8,$F$5:$F$8,""),"")</f>
        <v>44</v>
      </c>
      <c r="K981" s="38" t="str">
        <f aca="false">_xlfn.XLOOKUP($E981,$A$5:$A$8,$G$5:$G$8,"")</f>
        <v>Per pay period</v>
      </c>
      <c r="L981" s="38" t="str">
        <f aca="false">_xlfn.XLOOKUP($E981,$A$5:$A$8,$H$5:$H$8,"")</f>
        <v>Every pay period (ongoing)</v>
      </c>
      <c r="M981" s="43" t="n">
        <f aca="false" t="array" ref="M981:M981">MAX(_xlfn.XLOOKUP($A981,TRIM(SUBSTITUTE('worker file'!$A$2:$A$406,_xlfn.UNICHAR(160)," ")),'worker file'!$M$2:$M$406,0),_xlfn.XLOOKUP($B981,TRIM('pay group &amp; schedule'!$A$2:$A$6),'pay group &amp; schedule'!$D$2:$D$6,0))</f>
        <v>46311</v>
      </c>
      <c r="N981" s="43" t="str">
        <f aca="false" t="array" ref="N981:N981">_xlfn.LET(_xlpm.t,_xlfn.XLOOKUP($A981,TRIM(SUBSTITUTE('worker file'!$A$2:$A$406,_xlfn.UNICHAR(160)," ")),'worker file'!$N$2:$N$406,""),IF(N(_xlpm.t)=0,"",_xlpm.t))</f>
        <v/>
      </c>
    </row>
    <row r="982" customFormat="false" ht="15" hidden="false" customHeight="false" outlineLevel="0" collapsed="false">
      <c r="A982" s="39" t="s">
        <v>434</v>
      </c>
      <c r="B982" s="40" t="str">
        <f aca="false" t="array" ref="B982:B982">_xlfn.XLOOKUP($A982,TRIM(SUBSTITUTE('worker file'!$A$2:$A$406,_xlfn.UNICHAR(160)," ")),'worker file'!$L$2:$L$406,"Not found")</f>
        <v>US Semi-monthly</v>
      </c>
      <c r="C982" s="40" t="str">
        <f aca="false" t="array" ref="C982:C982">_xlfn.XLOOKUP($A982,TRIM(SUBSTITUTE('worker file'!$A$2:$A$406,_xlfn.UNICHAR(160)," ")),'worker file'!$D$2:$D$406,"Not found")</f>
        <v>CA</v>
      </c>
      <c r="D982" s="40" t="str">
        <f aca="false" t="array" ref="D982:D982">_xlfn.XLOOKUP($A982,TRIM(SUBSTITUTE('worker file'!$A$2:$A$406,_xlfn.UNICHAR(160)," ")),'worker file'!$Q$2:$Q$406,"Not found")</f>
        <v>Active</v>
      </c>
      <c r="E982" s="39" t="s">
        <v>634</v>
      </c>
      <c r="F982" s="38" t="str">
        <f aca="false">_xlfn.XLOOKUP($E982,$A$5:$A$8,$B$5:$B$8,"")</f>
        <v>Vision – Employee</v>
      </c>
      <c r="G982" s="38" t="str">
        <f aca="false">_xlfn.XLOOKUP($E982,$A$5:$A$8,$D$5:$D$8,"")</f>
        <v>Pre-tax Section 125 (exempt from FIT/SIT/FICA)</v>
      </c>
      <c r="H982" s="38" t="str">
        <f aca="false">_xlfn.XLOOKUP($E982,$A$5:$A$8,$E$5:$E$8,"")</f>
        <v>Flat</v>
      </c>
      <c r="I982" s="44" t="str">
        <f aca="false">IF($H982="Percent",_xlfn.XLOOKUP($E982,$A$5:$A$8,$F$5:$F$8,""),"")</f>
        <v/>
      </c>
      <c r="J982" s="42" t="n">
        <f aca="false">IF($H982="Flat",_xlfn.XLOOKUP($E982,$A$5:$A$8,$F$5:$F$8,""),"")</f>
        <v>30</v>
      </c>
      <c r="K982" s="38" t="str">
        <f aca="false">_xlfn.XLOOKUP($E982,$A$5:$A$8,$G$5:$G$8,"")</f>
        <v>Per pay period</v>
      </c>
      <c r="L982" s="38" t="str">
        <f aca="false">_xlfn.XLOOKUP($E982,$A$5:$A$8,$H$5:$H$8,"")</f>
        <v>Every pay period (ongoing)</v>
      </c>
      <c r="M982" s="43" t="n">
        <f aca="false" t="array" ref="M982:M982">MAX(_xlfn.XLOOKUP($A982,TRIM(SUBSTITUTE('worker file'!$A$2:$A$406,_xlfn.UNICHAR(160)," ")),'worker file'!$M$2:$M$406,0),_xlfn.XLOOKUP($B982,TRIM('pay group &amp; schedule'!$A$2:$A$6),'pay group &amp; schedule'!$D$2:$D$6,0))</f>
        <v>46311</v>
      </c>
      <c r="N982" s="43" t="str">
        <f aca="false" t="array" ref="N982:N982">_xlfn.LET(_xlpm.t,_xlfn.XLOOKUP($A982,TRIM(SUBSTITUTE('worker file'!$A$2:$A$406,_xlfn.UNICHAR(160)," ")),'worker file'!$N$2:$N$406,""),IF(N(_xlpm.t)=0,"",_xlpm.t))</f>
        <v/>
      </c>
    </row>
    <row r="983" customFormat="false" ht="15" hidden="false" customHeight="false" outlineLevel="0" collapsed="false">
      <c r="A983" s="39" t="s">
        <v>435</v>
      </c>
      <c r="B983" s="40" t="str">
        <f aca="false" t="array" ref="B983:B983">_xlfn.XLOOKUP($A983,TRIM(SUBSTITUTE('worker file'!$A$2:$A$406,_xlfn.UNICHAR(160)," ")),'worker file'!$L$2:$L$406,"Not found")</f>
        <v>US Semi-monthly</v>
      </c>
      <c r="C983" s="40" t="str">
        <f aca="false" t="array" ref="C983:C983">_xlfn.XLOOKUP($A983,TRIM(SUBSTITUTE('worker file'!$A$2:$A$406,_xlfn.UNICHAR(160)," ")),'worker file'!$D$2:$D$406,"Not found")</f>
        <v>CA</v>
      </c>
      <c r="D983" s="40" t="str">
        <f aca="false" t="array" ref="D983:D983">_xlfn.XLOOKUP($A983,TRIM(SUBSTITUTE('worker file'!$A$2:$A$406,_xlfn.UNICHAR(160)," ")),'worker file'!$Q$2:$Q$406,"Not found")</f>
        <v>Active</v>
      </c>
      <c r="E983" s="39" t="s">
        <v>618</v>
      </c>
      <c r="F983" s="38" t="str">
        <f aca="false">_xlfn.XLOOKUP($E983,$A$5:$A$8,$B$5:$B$8,"")</f>
        <v>401(k) Employee Deferral</v>
      </c>
      <c r="G983" s="38" t="str">
        <f aca="false">_xlfn.XLOOKUP($E983,$A$5:$A$8,$D$5:$D$8,"")</f>
        <v>Pre-tax (exempt from FIT/SIT; subject to FICA)</v>
      </c>
      <c r="H983" s="38" t="str">
        <f aca="false">_xlfn.XLOOKUP($E983,$A$5:$A$8,$E$5:$E$8,"")</f>
        <v>Percent</v>
      </c>
      <c r="I983" s="41" t="n">
        <v>0</v>
      </c>
      <c r="J983" s="42" t="str">
        <f aca="false">IF($H983="Flat",_xlfn.XLOOKUP($E983,$A$5:$A$8,$F$5:$F$8,""),"")</f>
        <v/>
      </c>
      <c r="K983" s="38" t="str">
        <f aca="false">_xlfn.XLOOKUP($E983,$A$5:$A$8,$G$5:$G$8,"")</f>
        <v>Gross pay</v>
      </c>
      <c r="L983" s="38" t="str">
        <f aca="false">_xlfn.XLOOKUP($E983,$A$5:$A$8,$H$5:$H$8,"")</f>
        <v>Every pay period (ongoing)</v>
      </c>
      <c r="M983" s="43" t="n">
        <f aca="false" t="array" ref="M983:M983">MAX(_xlfn.XLOOKUP($A983,TRIM(SUBSTITUTE('worker file'!$A$2:$A$406,_xlfn.UNICHAR(160)," ")),'worker file'!$M$2:$M$406,0),_xlfn.XLOOKUP($B983,TRIM('pay group &amp; schedule'!$A$2:$A$6),'pay group &amp; schedule'!$D$2:$D$6,0))</f>
        <v>46311</v>
      </c>
      <c r="N983" s="43" t="str">
        <f aca="false" t="array" ref="N983:N983">_xlfn.LET(_xlpm.t,_xlfn.XLOOKUP($A983,TRIM(SUBSTITUTE('worker file'!$A$2:$A$406,_xlfn.UNICHAR(160)," ")),'worker file'!$N$2:$N$406,""),IF(N(_xlpm.t)=0,"",_xlpm.t))</f>
        <v/>
      </c>
    </row>
    <row r="984" customFormat="false" ht="15" hidden="false" customHeight="false" outlineLevel="0" collapsed="false">
      <c r="A984" s="39" t="s">
        <v>435</v>
      </c>
      <c r="B984" s="40" t="str">
        <f aca="false" t="array" ref="B984:B984">_xlfn.XLOOKUP($A984,TRIM(SUBSTITUTE('worker file'!$A$2:$A$406,_xlfn.UNICHAR(160)," ")),'worker file'!$L$2:$L$406,"Not found")</f>
        <v>US Semi-monthly</v>
      </c>
      <c r="C984" s="40" t="str">
        <f aca="false" t="array" ref="C984:C984">_xlfn.XLOOKUP($A984,TRIM(SUBSTITUTE('worker file'!$A$2:$A$406,_xlfn.UNICHAR(160)," ")),'worker file'!$D$2:$D$406,"Not found")</f>
        <v>CA</v>
      </c>
      <c r="D984" s="40" t="str">
        <f aca="false" t="array" ref="D984:D984">_xlfn.XLOOKUP($A984,TRIM(SUBSTITUTE('worker file'!$A$2:$A$406,_xlfn.UNICHAR(160)," ")),'worker file'!$Q$2:$Q$406,"Not found")</f>
        <v>Active</v>
      </c>
      <c r="E984" s="39" t="s">
        <v>626</v>
      </c>
      <c r="F984" s="38" t="str">
        <f aca="false">_xlfn.XLOOKUP($E984,$A$5:$A$8,$B$5:$B$8,"")</f>
        <v>Medical (Health) – Employee</v>
      </c>
      <c r="G984" s="38" t="str">
        <f aca="false">_xlfn.XLOOKUP($E984,$A$5:$A$8,$D$5:$D$8,"")</f>
        <v>Pre-tax Section 125 (exempt from FIT/SIT/FICA)</v>
      </c>
      <c r="H984" s="38" t="str">
        <f aca="false">_xlfn.XLOOKUP($E984,$A$5:$A$8,$E$5:$E$8,"")</f>
        <v>Flat</v>
      </c>
      <c r="I984" s="44" t="str">
        <f aca="false">IF($H984="Percent",_xlfn.XLOOKUP($E984,$A$5:$A$8,$F$5:$F$8,""),"")</f>
        <v/>
      </c>
      <c r="J984" s="42" t="n">
        <f aca="false">IF($H984="Flat",_xlfn.XLOOKUP($E984,$A$5:$A$8,$F$5:$F$8,""),"")</f>
        <v>200</v>
      </c>
      <c r="K984" s="38" t="str">
        <f aca="false">_xlfn.XLOOKUP($E984,$A$5:$A$8,$G$5:$G$8,"")</f>
        <v>Per pay period</v>
      </c>
      <c r="L984" s="38" t="str">
        <f aca="false">_xlfn.XLOOKUP($E984,$A$5:$A$8,$H$5:$H$8,"")</f>
        <v>Every pay period (ongoing)</v>
      </c>
      <c r="M984" s="43" t="n">
        <f aca="false" t="array" ref="M984:M984">MAX(_xlfn.XLOOKUP($A984,TRIM(SUBSTITUTE('worker file'!$A$2:$A$406,_xlfn.UNICHAR(160)," ")),'worker file'!$M$2:$M$406,0),_xlfn.XLOOKUP($B984,TRIM('pay group &amp; schedule'!$A$2:$A$6),'pay group &amp; schedule'!$D$2:$D$6,0))</f>
        <v>46311</v>
      </c>
      <c r="N984" s="43" t="str">
        <f aca="false" t="array" ref="N984:N984">_xlfn.LET(_xlpm.t,_xlfn.XLOOKUP($A984,TRIM(SUBSTITUTE('worker file'!$A$2:$A$406,_xlfn.UNICHAR(160)," ")),'worker file'!$N$2:$N$406,""),IF(N(_xlpm.t)=0,"",_xlpm.t))</f>
        <v/>
      </c>
    </row>
    <row r="985" customFormat="false" ht="15" hidden="false" customHeight="false" outlineLevel="0" collapsed="false">
      <c r="A985" s="39" t="s">
        <v>435</v>
      </c>
      <c r="B985" s="40" t="str">
        <f aca="false" t="array" ref="B985:B985">_xlfn.XLOOKUP($A985,TRIM(SUBSTITUTE('worker file'!$A$2:$A$406,_xlfn.UNICHAR(160)," ")),'worker file'!$L$2:$L$406,"Not found")</f>
        <v>US Semi-monthly</v>
      </c>
      <c r="C985" s="40" t="str">
        <f aca="false" t="array" ref="C985:C985">_xlfn.XLOOKUP($A985,TRIM(SUBSTITUTE('worker file'!$A$2:$A$406,_xlfn.UNICHAR(160)," ")),'worker file'!$D$2:$D$406,"Not found")</f>
        <v>CA</v>
      </c>
      <c r="D985" s="40" t="str">
        <f aca="false" t="array" ref="D985:D985">_xlfn.XLOOKUP($A985,TRIM(SUBSTITUTE('worker file'!$A$2:$A$406,_xlfn.UNICHAR(160)," ")),'worker file'!$Q$2:$Q$406,"Not found")</f>
        <v>Active</v>
      </c>
      <c r="E985" s="39" t="s">
        <v>632</v>
      </c>
      <c r="F985" s="38" t="str">
        <f aca="false">_xlfn.XLOOKUP($E985,$A$5:$A$8,$B$5:$B$8,"")</f>
        <v>Dental – Employee</v>
      </c>
      <c r="G985" s="38" t="str">
        <f aca="false">_xlfn.XLOOKUP($E985,$A$5:$A$8,$D$5:$D$8,"")</f>
        <v>Pre-tax Section 125 (exempt from FIT/SIT/FICA)</v>
      </c>
      <c r="H985" s="38" t="str">
        <f aca="false">_xlfn.XLOOKUP($E985,$A$5:$A$8,$E$5:$E$8,"")</f>
        <v>Flat</v>
      </c>
      <c r="I985" s="44" t="str">
        <f aca="false">IF($H985="Percent",_xlfn.XLOOKUP($E985,$A$5:$A$8,$F$5:$F$8,""),"")</f>
        <v/>
      </c>
      <c r="J985" s="42" t="n">
        <f aca="false">IF($H985="Flat",_xlfn.XLOOKUP($E985,$A$5:$A$8,$F$5:$F$8,""),"")</f>
        <v>44</v>
      </c>
      <c r="K985" s="38" t="str">
        <f aca="false">_xlfn.XLOOKUP($E985,$A$5:$A$8,$G$5:$G$8,"")</f>
        <v>Per pay period</v>
      </c>
      <c r="L985" s="38" t="str">
        <f aca="false">_xlfn.XLOOKUP($E985,$A$5:$A$8,$H$5:$H$8,"")</f>
        <v>Every pay period (ongoing)</v>
      </c>
      <c r="M985" s="43" t="n">
        <f aca="false" t="array" ref="M985:M985">MAX(_xlfn.XLOOKUP($A985,TRIM(SUBSTITUTE('worker file'!$A$2:$A$406,_xlfn.UNICHAR(160)," ")),'worker file'!$M$2:$M$406,0),_xlfn.XLOOKUP($B985,TRIM('pay group &amp; schedule'!$A$2:$A$6),'pay group &amp; schedule'!$D$2:$D$6,0))</f>
        <v>46311</v>
      </c>
      <c r="N985" s="43" t="str">
        <f aca="false" t="array" ref="N985:N985">_xlfn.LET(_xlpm.t,_xlfn.XLOOKUP($A985,TRIM(SUBSTITUTE('worker file'!$A$2:$A$406,_xlfn.UNICHAR(160)," ")),'worker file'!$N$2:$N$406,""),IF(N(_xlpm.t)=0,"",_xlpm.t))</f>
        <v/>
      </c>
    </row>
    <row r="986" customFormat="false" ht="15" hidden="false" customHeight="false" outlineLevel="0" collapsed="false">
      <c r="A986" s="39" t="s">
        <v>435</v>
      </c>
      <c r="B986" s="40" t="str">
        <f aca="false" t="array" ref="B986:B986">_xlfn.XLOOKUP($A986,TRIM(SUBSTITUTE('worker file'!$A$2:$A$406,_xlfn.UNICHAR(160)," ")),'worker file'!$L$2:$L$406,"Not found")</f>
        <v>US Semi-monthly</v>
      </c>
      <c r="C986" s="40" t="str">
        <f aca="false" t="array" ref="C986:C986">_xlfn.XLOOKUP($A986,TRIM(SUBSTITUTE('worker file'!$A$2:$A$406,_xlfn.UNICHAR(160)," ")),'worker file'!$D$2:$D$406,"Not found")</f>
        <v>CA</v>
      </c>
      <c r="D986" s="40" t="str">
        <f aca="false" t="array" ref="D986:D986">_xlfn.XLOOKUP($A986,TRIM(SUBSTITUTE('worker file'!$A$2:$A$406,_xlfn.UNICHAR(160)," ")),'worker file'!$Q$2:$Q$406,"Not found")</f>
        <v>Active</v>
      </c>
      <c r="E986" s="39" t="s">
        <v>634</v>
      </c>
      <c r="F986" s="38" t="str">
        <f aca="false">_xlfn.XLOOKUP($E986,$A$5:$A$8,$B$5:$B$8,"")</f>
        <v>Vision – Employee</v>
      </c>
      <c r="G986" s="38" t="str">
        <f aca="false">_xlfn.XLOOKUP($E986,$A$5:$A$8,$D$5:$D$8,"")</f>
        <v>Pre-tax Section 125 (exempt from FIT/SIT/FICA)</v>
      </c>
      <c r="H986" s="38" t="str">
        <f aca="false">_xlfn.XLOOKUP($E986,$A$5:$A$8,$E$5:$E$8,"")</f>
        <v>Flat</v>
      </c>
      <c r="I986" s="44" t="str">
        <f aca="false">IF($H986="Percent",_xlfn.XLOOKUP($E986,$A$5:$A$8,$F$5:$F$8,""),"")</f>
        <v/>
      </c>
      <c r="J986" s="42" t="n">
        <f aca="false">IF($H986="Flat",_xlfn.XLOOKUP($E986,$A$5:$A$8,$F$5:$F$8,""),"")</f>
        <v>30</v>
      </c>
      <c r="K986" s="38" t="str">
        <f aca="false">_xlfn.XLOOKUP($E986,$A$5:$A$8,$G$5:$G$8,"")</f>
        <v>Per pay period</v>
      </c>
      <c r="L986" s="38" t="str">
        <f aca="false">_xlfn.XLOOKUP($E986,$A$5:$A$8,$H$5:$H$8,"")</f>
        <v>Every pay period (ongoing)</v>
      </c>
      <c r="M986" s="43" t="n">
        <f aca="false" t="array" ref="M986:M986">MAX(_xlfn.XLOOKUP($A986,TRIM(SUBSTITUTE('worker file'!$A$2:$A$406,_xlfn.UNICHAR(160)," ")),'worker file'!$M$2:$M$406,0),_xlfn.XLOOKUP($B986,TRIM('pay group &amp; schedule'!$A$2:$A$6),'pay group &amp; schedule'!$D$2:$D$6,0))</f>
        <v>46311</v>
      </c>
      <c r="N986" s="43" t="str">
        <f aca="false" t="array" ref="N986:N986">_xlfn.LET(_xlpm.t,_xlfn.XLOOKUP($A986,TRIM(SUBSTITUTE('worker file'!$A$2:$A$406,_xlfn.UNICHAR(160)," ")),'worker file'!$N$2:$N$406,""),IF(N(_xlpm.t)=0,"",_xlpm.t))</f>
        <v/>
      </c>
    </row>
    <row r="987" customFormat="false" ht="15" hidden="false" customHeight="false" outlineLevel="0" collapsed="false">
      <c r="A987" s="39" t="s">
        <v>436</v>
      </c>
      <c r="B987" s="40" t="str">
        <f aca="false" t="array" ref="B987:B987">_xlfn.XLOOKUP($A987,TRIM(SUBSTITUTE('worker file'!$A$2:$A$406,_xlfn.UNICHAR(160)," ")),'worker file'!$L$2:$L$406,"Not found")</f>
        <v>US Semi-monthly</v>
      </c>
      <c r="C987" s="40" t="str">
        <f aca="false" t="array" ref="C987:C987">_xlfn.XLOOKUP($A987,TRIM(SUBSTITUTE('worker file'!$A$2:$A$406,_xlfn.UNICHAR(160)," ")),'worker file'!$D$2:$D$406,"Not found")</f>
        <v>CA</v>
      </c>
      <c r="D987" s="40" t="str">
        <f aca="false" t="array" ref="D987:D987">_xlfn.XLOOKUP($A987,TRIM(SUBSTITUTE('worker file'!$A$2:$A$406,_xlfn.UNICHAR(160)," ")),'worker file'!$Q$2:$Q$406,"Not found")</f>
        <v>Active</v>
      </c>
      <c r="E987" s="39" t="s">
        <v>618</v>
      </c>
      <c r="F987" s="38" t="str">
        <f aca="false">_xlfn.XLOOKUP($E987,$A$5:$A$8,$B$5:$B$8,"")</f>
        <v>401(k) Employee Deferral</v>
      </c>
      <c r="G987" s="38" t="str">
        <f aca="false">_xlfn.XLOOKUP($E987,$A$5:$A$8,$D$5:$D$8,"")</f>
        <v>Pre-tax (exempt from FIT/SIT; subject to FICA)</v>
      </c>
      <c r="H987" s="38" t="str">
        <f aca="false">_xlfn.XLOOKUP($E987,$A$5:$A$8,$E$5:$E$8,"")</f>
        <v>Percent</v>
      </c>
      <c r="I987" s="41" t="n">
        <v>0.05</v>
      </c>
      <c r="J987" s="42" t="str">
        <f aca="false">IF($H987="Flat",_xlfn.XLOOKUP($E987,$A$5:$A$8,$F$5:$F$8,""),"")</f>
        <v/>
      </c>
      <c r="K987" s="38" t="str">
        <f aca="false">_xlfn.XLOOKUP($E987,$A$5:$A$8,$G$5:$G$8,"")</f>
        <v>Gross pay</v>
      </c>
      <c r="L987" s="38" t="str">
        <f aca="false">_xlfn.XLOOKUP($E987,$A$5:$A$8,$H$5:$H$8,"")</f>
        <v>Every pay period (ongoing)</v>
      </c>
      <c r="M987" s="43" t="n">
        <f aca="false" t="array" ref="M987:M987">MAX(_xlfn.XLOOKUP($A987,TRIM(SUBSTITUTE('worker file'!$A$2:$A$406,_xlfn.UNICHAR(160)," ")),'worker file'!$M$2:$M$406,0),_xlfn.XLOOKUP($B987,TRIM('pay group &amp; schedule'!$A$2:$A$6),'pay group &amp; schedule'!$D$2:$D$6,0))</f>
        <v>46311</v>
      </c>
      <c r="N987" s="43" t="str">
        <f aca="false" t="array" ref="N987:N987">_xlfn.LET(_xlpm.t,_xlfn.XLOOKUP($A987,TRIM(SUBSTITUTE('worker file'!$A$2:$A$406,_xlfn.UNICHAR(160)," ")),'worker file'!$N$2:$N$406,""),IF(N(_xlpm.t)=0,"",_xlpm.t))</f>
        <v/>
      </c>
    </row>
    <row r="988" customFormat="false" ht="15" hidden="false" customHeight="false" outlineLevel="0" collapsed="false">
      <c r="A988" s="39" t="s">
        <v>436</v>
      </c>
      <c r="B988" s="40" t="str">
        <f aca="false" t="array" ref="B988:B988">_xlfn.XLOOKUP($A988,TRIM(SUBSTITUTE('worker file'!$A$2:$A$406,_xlfn.UNICHAR(160)," ")),'worker file'!$L$2:$L$406,"Not found")</f>
        <v>US Semi-monthly</v>
      </c>
      <c r="C988" s="40" t="str">
        <f aca="false" t="array" ref="C988:C988">_xlfn.XLOOKUP($A988,TRIM(SUBSTITUTE('worker file'!$A$2:$A$406,_xlfn.UNICHAR(160)," ")),'worker file'!$D$2:$D$406,"Not found")</f>
        <v>CA</v>
      </c>
      <c r="D988" s="40" t="str">
        <f aca="false" t="array" ref="D988:D988">_xlfn.XLOOKUP($A988,TRIM(SUBSTITUTE('worker file'!$A$2:$A$406,_xlfn.UNICHAR(160)," ")),'worker file'!$Q$2:$Q$406,"Not found")</f>
        <v>Active</v>
      </c>
      <c r="E988" s="39" t="s">
        <v>626</v>
      </c>
      <c r="F988" s="38" t="str">
        <f aca="false">_xlfn.XLOOKUP($E988,$A$5:$A$8,$B$5:$B$8,"")</f>
        <v>Medical (Health) – Employee</v>
      </c>
      <c r="G988" s="38" t="str">
        <f aca="false">_xlfn.XLOOKUP($E988,$A$5:$A$8,$D$5:$D$8,"")</f>
        <v>Pre-tax Section 125 (exempt from FIT/SIT/FICA)</v>
      </c>
      <c r="H988" s="38" t="str">
        <f aca="false">_xlfn.XLOOKUP($E988,$A$5:$A$8,$E$5:$E$8,"")</f>
        <v>Flat</v>
      </c>
      <c r="I988" s="44" t="str">
        <f aca="false">IF($H988="Percent",_xlfn.XLOOKUP($E988,$A$5:$A$8,$F$5:$F$8,""),"")</f>
        <v/>
      </c>
      <c r="J988" s="42" t="n">
        <f aca="false">IF($H988="Flat",_xlfn.XLOOKUP($E988,$A$5:$A$8,$F$5:$F$8,""),"")</f>
        <v>200</v>
      </c>
      <c r="K988" s="38" t="str">
        <f aca="false">_xlfn.XLOOKUP($E988,$A$5:$A$8,$G$5:$G$8,"")</f>
        <v>Per pay period</v>
      </c>
      <c r="L988" s="38" t="str">
        <f aca="false">_xlfn.XLOOKUP($E988,$A$5:$A$8,$H$5:$H$8,"")</f>
        <v>Every pay period (ongoing)</v>
      </c>
      <c r="M988" s="43" t="n">
        <f aca="false" t="array" ref="M988:M988">MAX(_xlfn.XLOOKUP($A988,TRIM(SUBSTITUTE('worker file'!$A$2:$A$406,_xlfn.UNICHAR(160)," ")),'worker file'!$M$2:$M$406,0),_xlfn.XLOOKUP($B988,TRIM('pay group &amp; schedule'!$A$2:$A$6),'pay group &amp; schedule'!$D$2:$D$6,0))</f>
        <v>46311</v>
      </c>
      <c r="N988" s="43" t="str">
        <f aca="false" t="array" ref="N988:N988">_xlfn.LET(_xlpm.t,_xlfn.XLOOKUP($A988,TRIM(SUBSTITUTE('worker file'!$A$2:$A$406,_xlfn.UNICHAR(160)," ")),'worker file'!$N$2:$N$406,""),IF(N(_xlpm.t)=0,"",_xlpm.t))</f>
        <v/>
      </c>
    </row>
    <row r="989" customFormat="false" ht="15" hidden="false" customHeight="false" outlineLevel="0" collapsed="false">
      <c r="A989" s="39" t="s">
        <v>436</v>
      </c>
      <c r="B989" s="40" t="str">
        <f aca="false" t="array" ref="B989:B989">_xlfn.XLOOKUP($A989,TRIM(SUBSTITUTE('worker file'!$A$2:$A$406,_xlfn.UNICHAR(160)," ")),'worker file'!$L$2:$L$406,"Not found")</f>
        <v>US Semi-monthly</v>
      </c>
      <c r="C989" s="40" t="str">
        <f aca="false" t="array" ref="C989:C989">_xlfn.XLOOKUP($A989,TRIM(SUBSTITUTE('worker file'!$A$2:$A$406,_xlfn.UNICHAR(160)," ")),'worker file'!$D$2:$D$406,"Not found")</f>
        <v>CA</v>
      </c>
      <c r="D989" s="40" t="str">
        <f aca="false" t="array" ref="D989:D989">_xlfn.XLOOKUP($A989,TRIM(SUBSTITUTE('worker file'!$A$2:$A$406,_xlfn.UNICHAR(160)," ")),'worker file'!$Q$2:$Q$406,"Not found")</f>
        <v>Active</v>
      </c>
      <c r="E989" s="39" t="s">
        <v>632</v>
      </c>
      <c r="F989" s="38" t="str">
        <f aca="false">_xlfn.XLOOKUP($E989,$A$5:$A$8,$B$5:$B$8,"")</f>
        <v>Dental – Employee</v>
      </c>
      <c r="G989" s="38" t="str">
        <f aca="false">_xlfn.XLOOKUP($E989,$A$5:$A$8,$D$5:$D$8,"")</f>
        <v>Pre-tax Section 125 (exempt from FIT/SIT/FICA)</v>
      </c>
      <c r="H989" s="38" t="str">
        <f aca="false">_xlfn.XLOOKUP($E989,$A$5:$A$8,$E$5:$E$8,"")</f>
        <v>Flat</v>
      </c>
      <c r="I989" s="44" t="str">
        <f aca="false">IF($H989="Percent",_xlfn.XLOOKUP($E989,$A$5:$A$8,$F$5:$F$8,""),"")</f>
        <v/>
      </c>
      <c r="J989" s="42" t="n">
        <f aca="false">IF($H989="Flat",_xlfn.XLOOKUP($E989,$A$5:$A$8,$F$5:$F$8,""),"")</f>
        <v>44</v>
      </c>
      <c r="K989" s="38" t="str">
        <f aca="false">_xlfn.XLOOKUP($E989,$A$5:$A$8,$G$5:$G$8,"")</f>
        <v>Per pay period</v>
      </c>
      <c r="L989" s="38" t="str">
        <f aca="false">_xlfn.XLOOKUP($E989,$A$5:$A$8,$H$5:$H$8,"")</f>
        <v>Every pay period (ongoing)</v>
      </c>
      <c r="M989" s="43" t="n">
        <f aca="false" t="array" ref="M989:M989">MAX(_xlfn.XLOOKUP($A989,TRIM(SUBSTITUTE('worker file'!$A$2:$A$406,_xlfn.UNICHAR(160)," ")),'worker file'!$M$2:$M$406,0),_xlfn.XLOOKUP($B989,TRIM('pay group &amp; schedule'!$A$2:$A$6),'pay group &amp; schedule'!$D$2:$D$6,0))</f>
        <v>46311</v>
      </c>
      <c r="N989" s="43" t="str">
        <f aca="false" t="array" ref="N989:N989">_xlfn.LET(_xlpm.t,_xlfn.XLOOKUP($A989,TRIM(SUBSTITUTE('worker file'!$A$2:$A$406,_xlfn.UNICHAR(160)," ")),'worker file'!$N$2:$N$406,""),IF(N(_xlpm.t)=0,"",_xlpm.t))</f>
        <v/>
      </c>
    </row>
    <row r="990" customFormat="false" ht="15" hidden="false" customHeight="false" outlineLevel="0" collapsed="false">
      <c r="A990" s="39" t="s">
        <v>436</v>
      </c>
      <c r="B990" s="40" t="str">
        <f aca="false" t="array" ref="B990:B990">_xlfn.XLOOKUP($A990,TRIM(SUBSTITUTE('worker file'!$A$2:$A$406,_xlfn.UNICHAR(160)," ")),'worker file'!$L$2:$L$406,"Not found")</f>
        <v>US Semi-monthly</v>
      </c>
      <c r="C990" s="40" t="str">
        <f aca="false" t="array" ref="C990:C990">_xlfn.XLOOKUP($A990,TRIM(SUBSTITUTE('worker file'!$A$2:$A$406,_xlfn.UNICHAR(160)," ")),'worker file'!$D$2:$D$406,"Not found")</f>
        <v>CA</v>
      </c>
      <c r="D990" s="40" t="str">
        <f aca="false" t="array" ref="D990:D990">_xlfn.XLOOKUP($A990,TRIM(SUBSTITUTE('worker file'!$A$2:$A$406,_xlfn.UNICHAR(160)," ")),'worker file'!$Q$2:$Q$406,"Not found")</f>
        <v>Active</v>
      </c>
      <c r="E990" s="39" t="s">
        <v>634</v>
      </c>
      <c r="F990" s="38" t="str">
        <f aca="false">_xlfn.XLOOKUP($E990,$A$5:$A$8,$B$5:$B$8,"")</f>
        <v>Vision – Employee</v>
      </c>
      <c r="G990" s="38" t="str">
        <f aca="false">_xlfn.XLOOKUP($E990,$A$5:$A$8,$D$5:$D$8,"")</f>
        <v>Pre-tax Section 125 (exempt from FIT/SIT/FICA)</v>
      </c>
      <c r="H990" s="38" t="str">
        <f aca="false">_xlfn.XLOOKUP($E990,$A$5:$A$8,$E$5:$E$8,"")</f>
        <v>Flat</v>
      </c>
      <c r="I990" s="44" t="str">
        <f aca="false">IF($H990="Percent",_xlfn.XLOOKUP($E990,$A$5:$A$8,$F$5:$F$8,""),"")</f>
        <v/>
      </c>
      <c r="J990" s="42" t="n">
        <f aca="false">IF($H990="Flat",_xlfn.XLOOKUP($E990,$A$5:$A$8,$F$5:$F$8,""),"")</f>
        <v>30</v>
      </c>
      <c r="K990" s="38" t="str">
        <f aca="false">_xlfn.XLOOKUP($E990,$A$5:$A$8,$G$5:$G$8,"")</f>
        <v>Per pay period</v>
      </c>
      <c r="L990" s="38" t="str">
        <f aca="false">_xlfn.XLOOKUP($E990,$A$5:$A$8,$H$5:$H$8,"")</f>
        <v>Every pay period (ongoing)</v>
      </c>
      <c r="M990" s="43" t="n">
        <f aca="false" t="array" ref="M990:M990">MAX(_xlfn.XLOOKUP($A990,TRIM(SUBSTITUTE('worker file'!$A$2:$A$406,_xlfn.UNICHAR(160)," ")),'worker file'!$M$2:$M$406,0),_xlfn.XLOOKUP($B990,TRIM('pay group &amp; schedule'!$A$2:$A$6),'pay group &amp; schedule'!$D$2:$D$6,0))</f>
        <v>46311</v>
      </c>
      <c r="N990" s="43" t="str">
        <f aca="false" t="array" ref="N990:N990">_xlfn.LET(_xlpm.t,_xlfn.XLOOKUP($A990,TRIM(SUBSTITUTE('worker file'!$A$2:$A$406,_xlfn.UNICHAR(160)," ")),'worker file'!$N$2:$N$406,""),IF(N(_xlpm.t)=0,"",_xlpm.t))</f>
        <v/>
      </c>
    </row>
    <row r="991" customFormat="false" ht="15" hidden="false" customHeight="false" outlineLevel="0" collapsed="false">
      <c r="A991" s="39" t="s">
        <v>437</v>
      </c>
      <c r="B991" s="40" t="str">
        <f aca="false" t="array" ref="B991:B991">_xlfn.XLOOKUP($A991,TRIM(SUBSTITUTE('worker file'!$A$2:$A$406,_xlfn.UNICHAR(160)," ")),'worker file'!$L$2:$L$406,"Not found")</f>
        <v>US Biweekly</v>
      </c>
      <c r="C991" s="40" t="str">
        <f aca="false" t="array" ref="C991:C991">_xlfn.XLOOKUP($A991,TRIM(SUBSTITUTE('worker file'!$A$2:$A$406,_xlfn.UNICHAR(160)," ")),'worker file'!$D$2:$D$406,"Not found")</f>
        <v>TX</v>
      </c>
      <c r="D991" s="40" t="str">
        <f aca="false" t="array" ref="D991:D991">_xlfn.XLOOKUP($A991,TRIM(SUBSTITUTE('worker file'!$A$2:$A$406,_xlfn.UNICHAR(160)," ")),'worker file'!$Q$2:$Q$406,"Not found")</f>
        <v>Active</v>
      </c>
      <c r="E991" s="39" t="s">
        <v>626</v>
      </c>
      <c r="F991" s="38" t="str">
        <f aca="false">_xlfn.XLOOKUP($E991,$A$5:$A$8,$B$5:$B$8,"")</f>
        <v>Medical (Health) – Employee</v>
      </c>
      <c r="G991" s="38" t="str">
        <f aca="false">_xlfn.XLOOKUP($E991,$A$5:$A$8,$D$5:$D$8,"")</f>
        <v>Pre-tax Section 125 (exempt from FIT/SIT/FICA)</v>
      </c>
      <c r="H991" s="38" t="str">
        <f aca="false">_xlfn.XLOOKUP($E991,$A$5:$A$8,$E$5:$E$8,"")</f>
        <v>Flat</v>
      </c>
      <c r="I991" s="44" t="str">
        <f aca="false">IF($H991="Percent",_xlfn.XLOOKUP($E991,$A$5:$A$8,$F$5:$F$8,""),"")</f>
        <v/>
      </c>
      <c r="J991" s="42" t="n">
        <f aca="false">IF($H991="Flat",_xlfn.XLOOKUP($E991,$A$5:$A$8,$F$5:$F$8,""),"")</f>
        <v>200</v>
      </c>
      <c r="K991" s="38" t="str">
        <f aca="false">_xlfn.XLOOKUP($E991,$A$5:$A$8,$G$5:$G$8,"")</f>
        <v>Per pay period</v>
      </c>
      <c r="L991" s="38" t="str">
        <f aca="false">_xlfn.XLOOKUP($E991,$A$5:$A$8,$H$5:$H$8,"")</f>
        <v>Every pay period (ongoing)</v>
      </c>
      <c r="M991" s="43" t="n">
        <f aca="false" t="array" ref="M991:M991">MAX(_xlfn.XLOOKUP($A991,TRIM(SUBSTITUTE('worker file'!$A$2:$A$406,_xlfn.UNICHAR(160)," ")),'worker file'!$M$2:$M$406,0),_xlfn.XLOOKUP($B991,TRIM('pay group &amp; schedule'!$A$2:$A$6),'pay group &amp; schedule'!$D$2:$D$6,0))</f>
        <v>46299</v>
      </c>
      <c r="N991" s="43" t="str">
        <f aca="false" t="array" ref="N991:N991">_xlfn.LET(_xlpm.t,_xlfn.XLOOKUP($A991,TRIM(SUBSTITUTE('worker file'!$A$2:$A$406,_xlfn.UNICHAR(160)," ")),'worker file'!$N$2:$N$406,""),IF(N(_xlpm.t)=0,"",_xlpm.t))</f>
        <v/>
      </c>
    </row>
    <row r="992" customFormat="false" ht="15" hidden="false" customHeight="false" outlineLevel="0" collapsed="false">
      <c r="A992" s="39" t="s">
        <v>437</v>
      </c>
      <c r="B992" s="40" t="str">
        <f aca="false" t="array" ref="B992:B992">_xlfn.XLOOKUP($A992,TRIM(SUBSTITUTE('worker file'!$A$2:$A$406,_xlfn.UNICHAR(160)," ")),'worker file'!$L$2:$L$406,"Not found")</f>
        <v>US Biweekly</v>
      </c>
      <c r="C992" s="40" t="str">
        <f aca="false" t="array" ref="C992:C992">_xlfn.XLOOKUP($A992,TRIM(SUBSTITUTE('worker file'!$A$2:$A$406,_xlfn.UNICHAR(160)," ")),'worker file'!$D$2:$D$406,"Not found")</f>
        <v>TX</v>
      </c>
      <c r="D992" s="40" t="str">
        <f aca="false" t="array" ref="D992:D992">_xlfn.XLOOKUP($A992,TRIM(SUBSTITUTE('worker file'!$A$2:$A$406,_xlfn.UNICHAR(160)," ")),'worker file'!$Q$2:$Q$406,"Not found")</f>
        <v>Active</v>
      </c>
      <c r="E992" s="39" t="s">
        <v>632</v>
      </c>
      <c r="F992" s="38" t="str">
        <f aca="false">_xlfn.XLOOKUP($E992,$A$5:$A$8,$B$5:$B$8,"")</f>
        <v>Dental – Employee</v>
      </c>
      <c r="G992" s="38" t="str">
        <f aca="false">_xlfn.XLOOKUP($E992,$A$5:$A$8,$D$5:$D$8,"")</f>
        <v>Pre-tax Section 125 (exempt from FIT/SIT/FICA)</v>
      </c>
      <c r="H992" s="38" t="str">
        <f aca="false">_xlfn.XLOOKUP($E992,$A$5:$A$8,$E$5:$E$8,"")</f>
        <v>Flat</v>
      </c>
      <c r="I992" s="44" t="str">
        <f aca="false">IF($H992="Percent",_xlfn.XLOOKUP($E992,$A$5:$A$8,$F$5:$F$8,""),"")</f>
        <v/>
      </c>
      <c r="J992" s="42" t="n">
        <f aca="false">IF($H992="Flat",_xlfn.XLOOKUP($E992,$A$5:$A$8,$F$5:$F$8,""),"")</f>
        <v>44</v>
      </c>
      <c r="K992" s="38" t="str">
        <f aca="false">_xlfn.XLOOKUP($E992,$A$5:$A$8,$G$5:$G$8,"")</f>
        <v>Per pay period</v>
      </c>
      <c r="L992" s="38" t="str">
        <f aca="false">_xlfn.XLOOKUP($E992,$A$5:$A$8,$H$5:$H$8,"")</f>
        <v>Every pay period (ongoing)</v>
      </c>
      <c r="M992" s="43" t="n">
        <f aca="false" t="array" ref="M992:M992">MAX(_xlfn.XLOOKUP($A992,TRIM(SUBSTITUTE('worker file'!$A$2:$A$406,_xlfn.UNICHAR(160)," ")),'worker file'!$M$2:$M$406,0),_xlfn.XLOOKUP($B992,TRIM('pay group &amp; schedule'!$A$2:$A$6),'pay group &amp; schedule'!$D$2:$D$6,0))</f>
        <v>46299</v>
      </c>
      <c r="N992" s="43" t="str">
        <f aca="false" t="array" ref="N992:N992">_xlfn.LET(_xlpm.t,_xlfn.XLOOKUP($A992,TRIM(SUBSTITUTE('worker file'!$A$2:$A$406,_xlfn.UNICHAR(160)," ")),'worker file'!$N$2:$N$406,""),IF(N(_xlpm.t)=0,"",_xlpm.t))</f>
        <v/>
      </c>
    </row>
    <row r="993" customFormat="false" ht="15" hidden="false" customHeight="false" outlineLevel="0" collapsed="false">
      <c r="A993" s="39" t="s">
        <v>437</v>
      </c>
      <c r="B993" s="40" t="str">
        <f aca="false" t="array" ref="B993:B993">_xlfn.XLOOKUP($A993,TRIM(SUBSTITUTE('worker file'!$A$2:$A$406,_xlfn.UNICHAR(160)," ")),'worker file'!$L$2:$L$406,"Not found")</f>
        <v>US Biweekly</v>
      </c>
      <c r="C993" s="40" t="str">
        <f aca="false" t="array" ref="C993:C993">_xlfn.XLOOKUP($A993,TRIM(SUBSTITUTE('worker file'!$A$2:$A$406,_xlfn.UNICHAR(160)," ")),'worker file'!$D$2:$D$406,"Not found")</f>
        <v>TX</v>
      </c>
      <c r="D993" s="40" t="str">
        <f aca="false" t="array" ref="D993:D993">_xlfn.XLOOKUP($A993,TRIM(SUBSTITUTE('worker file'!$A$2:$A$406,_xlfn.UNICHAR(160)," ")),'worker file'!$Q$2:$Q$406,"Not found")</f>
        <v>Active</v>
      </c>
      <c r="E993" s="39" t="s">
        <v>634</v>
      </c>
      <c r="F993" s="38" t="str">
        <f aca="false">_xlfn.XLOOKUP($E993,$A$5:$A$8,$B$5:$B$8,"")</f>
        <v>Vision – Employee</v>
      </c>
      <c r="G993" s="38" t="str">
        <f aca="false">_xlfn.XLOOKUP($E993,$A$5:$A$8,$D$5:$D$8,"")</f>
        <v>Pre-tax Section 125 (exempt from FIT/SIT/FICA)</v>
      </c>
      <c r="H993" s="38" t="str">
        <f aca="false">_xlfn.XLOOKUP($E993,$A$5:$A$8,$E$5:$E$8,"")</f>
        <v>Flat</v>
      </c>
      <c r="I993" s="44" t="str">
        <f aca="false">IF($H993="Percent",_xlfn.XLOOKUP($E993,$A$5:$A$8,$F$5:$F$8,""),"")</f>
        <v/>
      </c>
      <c r="J993" s="42" t="n">
        <f aca="false">IF($H993="Flat",_xlfn.XLOOKUP($E993,$A$5:$A$8,$F$5:$F$8,""),"")</f>
        <v>30</v>
      </c>
      <c r="K993" s="38" t="str">
        <f aca="false">_xlfn.XLOOKUP($E993,$A$5:$A$8,$G$5:$G$8,"")</f>
        <v>Per pay period</v>
      </c>
      <c r="L993" s="38" t="str">
        <f aca="false">_xlfn.XLOOKUP($E993,$A$5:$A$8,$H$5:$H$8,"")</f>
        <v>Every pay period (ongoing)</v>
      </c>
      <c r="M993" s="43" t="n">
        <f aca="false" t="array" ref="M993:M993">MAX(_xlfn.XLOOKUP($A993,TRIM(SUBSTITUTE('worker file'!$A$2:$A$406,_xlfn.UNICHAR(160)," ")),'worker file'!$M$2:$M$406,0),_xlfn.XLOOKUP($B993,TRIM('pay group &amp; schedule'!$A$2:$A$6),'pay group &amp; schedule'!$D$2:$D$6,0))</f>
        <v>46299</v>
      </c>
      <c r="N993" s="43" t="str">
        <f aca="false" t="array" ref="N993:N993">_xlfn.LET(_xlpm.t,_xlfn.XLOOKUP($A993,TRIM(SUBSTITUTE('worker file'!$A$2:$A$406,_xlfn.UNICHAR(160)," ")),'worker file'!$N$2:$N$406,""),IF(N(_xlpm.t)=0,"",_xlpm.t))</f>
        <v/>
      </c>
    </row>
    <row r="994" customFormat="false" ht="15" hidden="false" customHeight="false" outlineLevel="0" collapsed="false">
      <c r="A994" s="39" t="s">
        <v>438</v>
      </c>
      <c r="B994" s="40" t="str">
        <f aca="false" t="array" ref="B994:B994">_xlfn.XLOOKUP($A994,TRIM(SUBSTITUTE('worker file'!$A$2:$A$406,_xlfn.UNICHAR(160)," ")),'worker file'!$L$2:$L$406,"Not found")</f>
        <v>US Semi-monthly</v>
      </c>
      <c r="C994" s="40" t="str">
        <f aca="false" t="array" ref="C994:C994">_xlfn.XLOOKUP($A994,TRIM(SUBSTITUTE('worker file'!$A$2:$A$406,_xlfn.UNICHAR(160)," ")),'worker file'!$D$2:$D$406,"Not found")</f>
        <v>CA</v>
      </c>
      <c r="D994" s="40" t="str">
        <f aca="false" t="array" ref="D994:D994">_xlfn.XLOOKUP($A994,TRIM(SUBSTITUTE('worker file'!$A$2:$A$406,_xlfn.UNICHAR(160)," ")),'worker file'!$Q$2:$Q$406,"Not found")</f>
        <v>Active</v>
      </c>
      <c r="E994" s="39" t="s">
        <v>618</v>
      </c>
      <c r="F994" s="38" t="str">
        <f aca="false">_xlfn.XLOOKUP($E994,$A$5:$A$8,$B$5:$B$8,"")</f>
        <v>401(k) Employee Deferral</v>
      </c>
      <c r="G994" s="38" t="str">
        <f aca="false">_xlfn.XLOOKUP($E994,$A$5:$A$8,$D$5:$D$8,"")</f>
        <v>Pre-tax (exempt from FIT/SIT; subject to FICA)</v>
      </c>
      <c r="H994" s="38" t="str">
        <f aca="false">_xlfn.XLOOKUP($E994,$A$5:$A$8,$E$5:$E$8,"")</f>
        <v>Percent</v>
      </c>
      <c r="I994" s="41" t="n">
        <v>0.07</v>
      </c>
      <c r="J994" s="42" t="str">
        <f aca="false">IF($H994="Flat",_xlfn.XLOOKUP($E994,$A$5:$A$8,$F$5:$F$8,""),"")</f>
        <v/>
      </c>
      <c r="K994" s="38" t="str">
        <f aca="false">_xlfn.XLOOKUP($E994,$A$5:$A$8,$G$5:$G$8,"")</f>
        <v>Gross pay</v>
      </c>
      <c r="L994" s="38" t="str">
        <f aca="false">_xlfn.XLOOKUP($E994,$A$5:$A$8,$H$5:$H$8,"")</f>
        <v>Every pay period (ongoing)</v>
      </c>
      <c r="M994" s="43" t="n">
        <f aca="false" t="array" ref="M994:M994">MAX(_xlfn.XLOOKUP($A994,TRIM(SUBSTITUTE('worker file'!$A$2:$A$406,_xlfn.UNICHAR(160)," ")),'worker file'!$M$2:$M$406,0),_xlfn.XLOOKUP($B994,TRIM('pay group &amp; schedule'!$A$2:$A$6),'pay group &amp; schedule'!$D$2:$D$6,0))</f>
        <v>46311</v>
      </c>
      <c r="N994" s="43" t="str">
        <f aca="false" t="array" ref="N994:N994">_xlfn.LET(_xlpm.t,_xlfn.XLOOKUP($A994,TRIM(SUBSTITUTE('worker file'!$A$2:$A$406,_xlfn.UNICHAR(160)," ")),'worker file'!$N$2:$N$406,""),IF(N(_xlpm.t)=0,"",_xlpm.t))</f>
        <v/>
      </c>
    </row>
    <row r="995" customFormat="false" ht="15" hidden="false" customHeight="false" outlineLevel="0" collapsed="false">
      <c r="A995" s="39" t="s">
        <v>438</v>
      </c>
      <c r="B995" s="40" t="str">
        <f aca="false" t="array" ref="B995:B995">_xlfn.XLOOKUP($A995,TRIM(SUBSTITUTE('worker file'!$A$2:$A$406,_xlfn.UNICHAR(160)," ")),'worker file'!$L$2:$L$406,"Not found")</f>
        <v>US Semi-monthly</v>
      </c>
      <c r="C995" s="40" t="str">
        <f aca="false" t="array" ref="C995:C995">_xlfn.XLOOKUP($A995,TRIM(SUBSTITUTE('worker file'!$A$2:$A$406,_xlfn.UNICHAR(160)," ")),'worker file'!$D$2:$D$406,"Not found")</f>
        <v>CA</v>
      </c>
      <c r="D995" s="40" t="str">
        <f aca="false" t="array" ref="D995:D995">_xlfn.XLOOKUP($A995,TRIM(SUBSTITUTE('worker file'!$A$2:$A$406,_xlfn.UNICHAR(160)," ")),'worker file'!$Q$2:$Q$406,"Not found")</f>
        <v>Active</v>
      </c>
      <c r="E995" s="39" t="s">
        <v>626</v>
      </c>
      <c r="F995" s="38" t="str">
        <f aca="false">_xlfn.XLOOKUP($E995,$A$5:$A$8,$B$5:$B$8,"")</f>
        <v>Medical (Health) – Employee</v>
      </c>
      <c r="G995" s="38" t="str">
        <f aca="false">_xlfn.XLOOKUP($E995,$A$5:$A$8,$D$5:$D$8,"")</f>
        <v>Pre-tax Section 125 (exempt from FIT/SIT/FICA)</v>
      </c>
      <c r="H995" s="38" t="str">
        <f aca="false">_xlfn.XLOOKUP($E995,$A$5:$A$8,$E$5:$E$8,"")</f>
        <v>Flat</v>
      </c>
      <c r="I995" s="44" t="str">
        <f aca="false">IF($H995="Percent",_xlfn.XLOOKUP($E995,$A$5:$A$8,$F$5:$F$8,""),"")</f>
        <v/>
      </c>
      <c r="J995" s="42" t="n">
        <f aca="false">IF($H995="Flat",_xlfn.XLOOKUP($E995,$A$5:$A$8,$F$5:$F$8,""),"")</f>
        <v>200</v>
      </c>
      <c r="K995" s="38" t="str">
        <f aca="false">_xlfn.XLOOKUP($E995,$A$5:$A$8,$G$5:$G$8,"")</f>
        <v>Per pay period</v>
      </c>
      <c r="L995" s="38" t="str">
        <f aca="false">_xlfn.XLOOKUP($E995,$A$5:$A$8,$H$5:$H$8,"")</f>
        <v>Every pay period (ongoing)</v>
      </c>
      <c r="M995" s="43" t="n">
        <f aca="false" t="array" ref="M995:M995">MAX(_xlfn.XLOOKUP($A995,TRIM(SUBSTITUTE('worker file'!$A$2:$A$406,_xlfn.UNICHAR(160)," ")),'worker file'!$M$2:$M$406,0),_xlfn.XLOOKUP($B995,TRIM('pay group &amp; schedule'!$A$2:$A$6),'pay group &amp; schedule'!$D$2:$D$6,0))</f>
        <v>46311</v>
      </c>
      <c r="N995" s="43" t="str">
        <f aca="false" t="array" ref="N995:N995">_xlfn.LET(_xlpm.t,_xlfn.XLOOKUP($A995,TRIM(SUBSTITUTE('worker file'!$A$2:$A$406,_xlfn.UNICHAR(160)," ")),'worker file'!$N$2:$N$406,""),IF(N(_xlpm.t)=0,"",_xlpm.t))</f>
        <v/>
      </c>
    </row>
    <row r="996" customFormat="false" ht="15" hidden="false" customHeight="false" outlineLevel="0" collapsed="false">
      <c r="A996" s="39" t="s">
        <v>438</v>
      </c>
      <c r="B996" s="40" t="str">
        <f aca="false" t="array" ref="B996:B996">_xlfn.XLOOKUP($A996,TRIM(SUBSTITUTE('worker file'!$A$2:$A$406,_xlfn.UNICHAR(160)," ")),'worker file'!$L$2:$L$406,"Not found")</f>
        <v>US Semi-monthly</v>
      </c>
      <c r="C996" s="40" t="str">
        <f aca="false" t="array" ref="C996:C996">_xlfn.XLOOKUP($A996,TRIM(SUBSTITUTE('worker file'!$A$2:$A$406,_xlfn.UNICHAR(160)," ")),'worker file'!$D$2:$D$406,"Not found")</f>
        <v>CA</v>
      </c>
      <c r="D996" s="40" t="str">
        <f aca="false" t="array" ref="D996:D996">_xlfn.XLOOKUP($A996,TRIM(SUBSTITUTE('worker file'!$A$2:$A$406,_xlfn.UNICHAR(160)," ")),'worker file'!$Q$2:$Q$406,"Not found")</f>
        <v>Active</v>
      </c>
      <c r="E996" s="39" t="s">
        <v>632</v>
      </c>
      <c r="F996" s="38" t="str">
        <f aca="false">_xlfn.XLOOKUP($E996,$A$5:$A$8,$B$5:$B$8,"")</f>
        <v>Dental – Employee</v>
      </c>
      <c r="G996" s="38" t="str">
        <f aca="false">_xlfn.XLOOKUP($E996,$A$5:$A$8,$D$5:$D$8,"")</f>
        <v>Pre-tax Section 125 (exempt from FIT/SIT/FICA)</v>
      </c>
      <c r="H996" s="38" t="str">
        <f aca="false">_xlfn.XLOOKUP($E996,$A$5:$A$8,$E$5:$E$8,"")</f>
        <v>Flat</v>
      </c>
      <c r="I996" s="44" t="str">
        <f aca="false">IF($H996="Percent",_xlfn.XLOOKUP($E996,$A$5:$A$8,$F$5:$F$8,""),"")</f>
        <v/>
      </c>
      <c r="J996" s="42" t="n">
        <f aca="false">IF($H996="Flat",_xlfn.XLOOKUP($E996,$A$5:$A$8,$F$5:$F$8,""),"")</f>
        <v>44</v>
      </c>
      <c r="K996" s="38" t="str">
        <f aca="false">_xlfn.XLOOKUP($E996,$A$5:$A$8,$G$5:$G$8,"")</f>
        <v>Per pay period</v>
      </c>
      <c r="L996" s="38" t="str">
        <f aca="false">_xlfn.XLOOKUP($E996,$A$5:$A$8,$H$5:$H$8,"")</f>
        <v>Every pay period (ongoing)</v>
      </c>
      <c r="M996" s="43" t="n">
        <f aca="false" t="array" ref="M996:M996">MAX(_xlfn.XLOOKUP($A996,TRIM(SUBSTITUTE('worker file'!$A$2:$A$406,_xlfn.UNICHAR(160)," ")),'worker file'!$M$2:$M$406,0),_xlfn.XLOOKUP($B996,TRIM('pay group &amp; schedule'!$A$2:$A$6),'pay group &amp; schedule'!$D$2:$D$6,0))</f>
        <v>46311</v>
      </c>
      <c r="N996" s="43" t="str">
        <f aca="false" t="array" ref="N996:N996">_xlfn.LET(_xlpm.t,_xlfn.XLOOKUP($A996,TRIM(SUBSTITUTE('worker file'!$A$2:$A$406,_xlfn.UNICHAR(160)," ")),'worker file'!$N$2:$N$406,""),IF(N(_xlpm.t)=0,"",_xlpm.t))</f>
        <v/>
      </c>
    </row>
    <row r="997" customFormat="false" ht="15" hidden="false" customHeight="false" outlineLevel="0" collapsed="false">
      <c r="A997" s="39" t="s">
        <v>438</v>
      </c>
      <c r="B997" s="40" t="str">
        <f aca="false" t="array" ref="B997:B997">_xlfn.XLOOKUP($A997,TRIM(SUBSTITUTE('worker file'!$A$2:$A$406,_xlfn.UNICHAR(160)," ")),'worker file'!$L$2:$L$406,"Not found")</f>
        <v>US Semi-monthly</v>
      </c>
      <c r="C997" s="40" t="str">
        <f aca="false" t="array" ref="C997:C997">_xlfn.XLOOKUP($A997,TRIM(SUBSTITUTE('worker file'!$A$2:$A$406,_xlfn.UNICHAR(160)," ")),'worker file'!$D$2:$D$406,"Not found")</f>
        <v>CA</v>
      </c>
      <c r="D997" s="40" t="str">
        <f aca="false" t="array" ref="D997:D997">_xlfn.XLOOKUP($A997,TRIM(SUBSTITUTE('worker file'!$A$2:$A$406,_xlfn.UNICHAR(160)," ")),'worker file'!$Q$2:$Q$406,"Not found")</f>
        <v>Active</v>
      </c>
      <c r="E997" s="39" t="s">
        <v>634</v>
      </c>
      <c r="F997" s="38" t="str">
        <f aca="false">_xlfn.XLOOKUP($E997,$A$5:$A$8,$B$5:$B$8,"")</f>
        <v>Vision – Employee</v>
      </c>
      <c r="G997" s="38" t="str">
        <f aca="false">_xlfn.XLOOKUP($E997,$A$5:$A$8,$D$5:$D$8,"")</f>
        <v>Pre-tax Section 125 (exempt from FIT/SIT/FICA)</v>
      </c>
      <c r="H997" s="38" t="str">
        <f aca="false">_xlfn.XLOOKUP($E997,$A$5:$A$8,$E$5:$E$8,"")</f>
        <v>Flat</v>
      </c>
      <c r="I997" s="44" t="str">
        <f aca="false">IF($H997="Percent",_xlfn.XLOOKUP($E997,$A$5:$A$8,$F$5:$F$8,""),"")</f>
        <v/>
      </c>
      <c r="J997" s="42" t="n">
        <f aca="false">IF($H997="Flat",_xlfn.XLOOKUP($E997,$A$5:$A$8,$F$5:$F$8,""),"")</f>
        <v>30</v>
      </c>
      <c r="K997" s="38" t="str">
        <f aca="false">_xlfn.XLOOKUP($E997,$A$5:$A$8,$G$5:$G$8,"")</f>
        <v>Per pay period</v>
      </c>
      <c r="L997" s="38" t="str">
        <f aca="false">_xlfn.XLOOKUP($E997,$A$5:$A$8,$H$5:$H$8,"")</f>
        <v>Every pay period (ongoing)</v>
      </c>
      <c r="M997" s="43" t="n">
        <f aca="false" t="array" ref="M997:M997">MAX(_xlfn.XLOOKUP($A997,TRIM(SUBSTITUTE('worker file'!$A$2:$A$406,_xlfn.UNICHAR(160)," ")),'worker file'!$M$2:$M$406,0),_xlfn.XLOOKUP($B997,TRIM('pay group &amp; schedule'!$A$2:$A$6),'pay group &amp; schedule'!$D$2:$D$6,0))</f>
        <v>46311</v>
      </c>
      <c r="N997" s="43" t="str">
        <f aca="false" t="array" ref="N997:N997">_xlfn.LET(_xlpm.t,_xlfn.XLOOKUP($A997,TRIM(SUBSTITUTE('worker file'!$A$2:$A$406,_xlfn.UNICHAR(160)," ")),'worker file'!$N$2:$N$406,""),IF(N(_xlpm.t)=0,"",_xlpm.t))</f>
        <v/>
      </c>
    </row>
    <row r="998" customFormat="false" ht="15" hidden="false" customHeight="false" outlineLevel="0" collapsed="false">
      <c r="A998" s="39" t="s">
        <v>440</v>
      </c>
      <c r="B998" s="40" t="str">
        <f aca="false" t="array" ref="B998:B998">_xlfn.XLOOKUP($A998,TRIM(SUBSTITUTE('worker file'!$A$2:$A$406,_xlfn.UNICHAR(160)," ")),'worker file'!$L$2:$L$406,"Not found")</f>
        <v>US Semi-monthly</v>
      </c>
      <c r="C998" s="40" t="str">
        <f aca="false" t="array" ref="C998:C998">_xlfn.XLOOKUP($A998,TRIM(SUBSTITUTE('worker file'!$A$2:$A$406,_xlfn.UNICHAR(160)," ")),'worker file'!$D$2:$D$406,"Not found")</f>
        <v>WA</v>
      </c>
      <c r="D998" s="40" t="str">
        <f aca="false" t="array" ref="D998:D998">_xlfn.XLOOKUP($A998,TRIM(SUBSTITUTE('worker file'!$A$2:$A$406,_xlfn.UNICHAR(160)," ")),'worker file'!$Q$2:$Q$406,"Not found")</f>
        <v>Active</v>
      </c>
      <c r="E998" s="39" t="s">
        <v>618</v>
      </c>
      <c r="F998" s="38" t="str">
        <f aca="false">_xlfn.XLOOKUP($E998,$A$5:$A$8,$B$5:$B$8,"")</f>
        <v>401(k) Employee Deferral</v>
      </c>
      <c r="G998" s="38" t="str">
        <f aca="false">_xlfn.XLOOKUP($E998,$A$5:$A$8,$D$5:$D$8,"")</f>
        <v>Pre-tax (exempt from FIT/SIT; subject to FICA)</v>
      </c>
      <c r="H998" s="38" t="str">
        <f aca="false">_xlfn.XLOOKUP($E998,$A$5:$A$8,$E$5:$E$8,"")</f>
        <v>Percent</v>
      </c>
      <c r="I998" s="41" t="n">
        <v>0.04</v>
      </c>
      <c r="J998" s="42" t="str">
        <f aca="false">IF($H998="Flat",_xlfn.XLOOKUP($E998,$A$5:$A$8,$F$5:$F$8,""),"")</f>
        <v/>
      </c>
      <c r="K998" s="38" t="str">
        <f aca="false">_xlfn.XLOOKUP($E998,$A$5:$A$8,$G$5:$G$8,"")</f>
        <v>Gross pay</v>
      </c>
      <c r="L998" s="38" t="str">
        <f aca="false">_xlfn.XLOOKUP($E998,$A$5:$A$8,$H$5:$H$8,"")</f>
        <v>Every pay period (ongoing)</v>
      </c>
      <c r="M998" s="43" t="n">
        <f aca="false" t="array" ref="M998:M998">MAX(_xlfn.XLOOKUP($A998,TRIM(SUBSTITUTE('worker file'!$A$2:$A$406,_xlfn.UNICHAR(160)," ")),'worker file'!$M$2:$M$406,0),_xlfn.XLOOKUP($B998,TRIM('pay group &amp; schedule'!$A$2:$A$6),'pay group &amp; schedule'!$D$2:$D$6,0))</f>
        <v>46311</v>
      </c>
      <c r="N998" s="43" t="str">
        <f aca="false" t="array" ref="N998:N998">_xlfn.LET(_xlpm.t,_xlfn.XLOOKUP($A998,TRIM(SUBSTITUTE('worker file'!$A$2:$A$406,_xlfn.UNICHAR(160)," ")),'worker file'!$N$2:$N$406,""),IF(N(_xlpm.t)=0,"",_xlpm.t))</f>
        <v/>
      </c>
    </row>
    <row r="999" customFormat="false" ht="15" hidden="false" customHeight="false" outlineLevel="0" collapsed="false">
      <c r="A999" s="39" t="s">
        <v>440</v>
      </c>
      <c r="B999" s="40" t="str">
        <f aca="false" t="array" ref="B999:B999">_xlfn.XLOOKUP($A999,TRIM(SUBSTITUTE('worker file'!$A$2:$A$406,_xlfn.UNICHAR(160)," ")),'worker file'!$L$2:$L$406,"Not found")</f>
        <v>US Semi-monthly</v>
      </c>
      <c r="C999" s="40" t="str">
        <f aca="false" t="array" ref="C999:C999">_xlfn.XLOOKUP($A999,TRIM(SUBSTITUTE('worker file'!$A$2:$A$406,_xlfn.UNICHAR(160)," ")),'worker file'!$D$2:$D$406,"Not found")</f>
        <v>WA</v>
      </c>
      <c r="D999" s="40" t="str">
        <f aca="false" t="array" ref="D999:D999">_xlfn.XLOOKUP($A999,TRIM(SUBSTITUTE('worker file'!$A$2:$A$406,_xlfn.UNICHAR(160)," ")),'worker file'!$Q$2:$Q$406,"Not found")</f>
        <v>Active</v>
      </c>
      <c r="E999" s="39" t="s">
        <v>626</v>
      </c>
      <c r="F999" s="38" t="str">
        <f aca="false">_xlfn.XLOOKUP($E999,$A$5:$A$8,$B$5:$B$8,"")</f>
        <v>Medical (Health) – Employee</v>
      </c>
      <c r="G999" s="38" t="str">
        <f aca="false">_xlfn.XLOOKUP($E999,$A$5:$A$8,$D$5:$D$8,"")</f>
        <v>Pre-tax Section 125 (exempt from FIT/SIT/FICA)</v>
      </c>
      <c r="H999" s="38" t="str">
        <f aca="false">_xlfn.XLOOKUP($E999,$A$5:$A$8,$E$5:$E$8,"")</f>
        <v>Flat</v>
      </c>
      <c r="I999" s="44" t="str">
        <f aca="false">IF($H999="Percent",_xlfn.XLOOKUP($E999,$A$5:$A$8,$F$5:$F$8,""),"")</f>
        <v/>
      </c>
      <c r="J999" s="42" t="n">
        <f aca="false">IF($H999="Flat",_xlfn.XLOOKUP($E999,$A$5:$A$8,$F$5:$F$8,""),"")</f>
        <v>200</v>
      </c>
      <c r="K999" s="38" t="str">
        <f aca="false">_xlfn.XLOOKUP($E999,$A$5:$A$8,$G$5:$G$8,"")</f>
        <v>Per pay period</v>
      </c>
      <c r="L999" s="38" t="str">
        <f aca="false">_xlfn.XLOOKUP($E999,$A$5:$A$8,$H$5:$H$8,"")</f>
        <v>Every pay period (ongoing)</v>
      </c>
      <c r="M999" s="43" t="n">
        <f aca="false" t="array" ref="M999:M999">MAX(_xlfn.XLOOKUP($A999,TRIM(SUBSTITUTE('worker file'!$A$2:$A$406,_xlfn.UNICHAR(160)," ")),'worker file'!$M$2:$M$406,0),_xlfn.XLOOKUP($B999,TRIM('pay group &amp; schedule'!$A$2:$A$6),'pay group &amp; schedule'!$D$2:$D$6,0))</f>
        <v>46311</v>
      </c>
      <c r="N999" s="43" t="str">
        <f aca="false" t="array" ref="N999:N999">_xlfn.LET(_xlpm.t,_xlfn.XLOOKUP($A999,TRIM(SUBSTITUTE('worker file'!$A$2:$A$406,_xlfn.UNICHAR(160)," ")),'worker file'!$N$2:$N$406,""),IF(N(_xlpm.t)=0,"",_xlpm.t))</f>
        <v/>
      </c>
    </row>
    <row r="1000" customFormat="false" ht="15" hidden="false" customHeight="false" outlineLevel="0" collapsed="false">
      <c r="A1000" s="39" t="s">
        <v>440</v>
      </c>
      <c r="B1000" s="40" t="str">
        <f aca="false" t="array" ref="B1000:B1000">_xlfn.XLOOKUP($A1000,TRIM(SUBSTITUTE('worker file'!$A$2:$A$406,_xlfn.UNICHAR(160)," ")),'worker file'!$L$2:$L$406,"Not found")</f>
        <v>US Semi-monthly</v>
      </c>
      <c r="C1000" s="40" t="str">
        <f aca="false" t="array" ref="C1000:C1000">_xlfn.XLOOKUP($A1000,TRIM(SUBSTITUTE('worker file'!$A$2:$A$406,_xlfn.UNICHAR(160)," ")),'worker file'!$D$2:$D$406,"Not found")</f>
        <v>WA</v>
      </c>
      <c r="D1000" s="40" t="str">
        <f aca="false" t="array" ref="D1000:D1000">_xlfn.XLOOKUP($A1000,TRIM(SUBSTITUTE('worker file'!$A$2:$A$406,_xlfn.UNICHAR(160)," ")),'worker file'!$Q$2:$Q$406,"Not found")</f>
        <v>Active</v>
      </c>
      <c r="E1000" s="39" t="s">
        <v>632</v>
      </c>
      <c r="F1000" s="38" t="str">
        <f aca="false">_xlfn.XLOOKUP($E1000,$A$5:$A$8,$B$5:$B$8,"")</f>
        <v>Dental – Employee</v>
      </c>
      <c r="G1000" s="38" t="str">
        <f aca="false">_xlfn.XLOOKUP($E1000,$A$5:$A$8,$D$5:$D$8,"")</f>
        <v>Pre-tax Section 125 (exempt from FIT/SIT/FICA)</v>
      </c>
      <c r="H1000" s="38" t="str">
        <f aca="false">_xlfn.XLOOKUP($E1000,$A$5:$A$8,$E$5:$E$8,"")</f>
        <v>Flat</v>
      </c>
      <c r="I1000" s="44" t="str">
        <f aca="false">IF($H1000="Percent",_xlfn.XLOOKUP($E1000,$A$5:$A$8,$F$5:$F$8,""),"")</f>
        <v/>
      </c>
      <c r="J1000" s="42" t="n">
        <f aca="false">IF($H1000="Flat",_xlfn.XLOOKUP($E1000,$A$5:$A$8,$F$5:$F$8,""),"")</f>
        <v>44</v>
      </c>
      <c r="K1000" s="38" t="str">
        <f aca="false">_xlfn.XLOOKUP($E1000,$A$5:$A$8,$G$5:$G$8,"")</f>
        <v>Per pay period</v>
      </c>
      <c r="L1000" s="38" t="str">
        <f aca="false">_xlfn.XLOOKUP($E1000,$A$5:$A$8,$H$5:$H$8,"")</f>
        <v>Every pay period (ongoing)</v>
      </c>
      <c r="M1000" s="43" t="n">
        <f aca="false" t="array" ref="M1000:M1000">MAX(_xlfn.XLOOKUP($A1000,TRIM(SUBSTITUTE('worker file'!$A$2:$A$406,_xlfn.UNICHAR(160)," ")),'worker file'!$M$2:$M$406,0),_xlfn.XLOOKUP($B1000,TRIM('pay group &amp; schedule'!$A$2:$A$6),'pay group &amp; schedule'!$D$2:$D$6,0))</f>
        <v>46311</v>
      </c>
      <c r="N1000" s="43" t="str">
        <f aca="false" t="array" ref="N1000:N1000">_xlfn.LET(_xlpm.t,_xlfn.XLOOKUP($A1000,TRIM(SUBSTITUTE('worker file'!$A$2:$A$406,_xlfn.UNICHAR(160)," ")),'worker file'!$N$2:$N$406,""),IF(N(_xlpm.t)=0,"",_xlpm.t))</f>
        <v/>
      </c>
    </row>
    <row r="1001" customFormat="false" ht="15" hidden="false" customHeight="false" outlineLevel="0" collapsed="false">
      <c r="A1001" s="39" t="s">
        <v>440</v>
      </c>
      <c r="B1001" s="40" t="str">
        <f aca="false" t="array" ref="B1001:B1001">_xlfn.XLOOKUP($A1001,TRIM(SUBSTITUTE('worker file'!$A$2:$A$406,_xlfn.UNICHAR(160)," ")),'worker file'!$L$2:$L$406,"Not found")</f>
        <v>US Semi-monthly</v>
      </c>
      <c r="C1001" s="40" t="str">
        <f aca="false" t="array" ref="C1001:C1001">_xlfn.XLOOKUP($A1001,TRIM(SUBSTITUTE('worker file'!$A$2:$A$406,_xlfn.UNICHAR(160)," ")),'worker file'!$D$2:$D$406,"Not found")</f>
        <v>WA</v>
      </c>
      <c r="D1001" s="40" t="str">
        <f aca="false" t="array" ref="D1001:D1001">_xlfn.XLOOKUP($A1001,TRIM(SUBSTITUTE('worker file'!$A$2:$A$406,_xlfn.UNICHAR(160)," ")),'worker file'!$Q$2:$Q$406,"Not found")</f>
        <v>Active</v>
      </c>
      <c r="E1001" s="39" t="s">
        <v>634</v>
      </c>
      <c r="F1001" s="38" t="str">
        <f aca="false">_xlfn.XLOOKUP($E1001,$A$5:$A$8,$B$5:$B$8,"")</f>
        <v>Vision – Employee</v>
      </c>
      <c r="G1001" s="38" t="str">
        <f aca="false">_xlfn.XLOOKUP($E1001,$A$5:$A$8,$D$5:$D$8,"")</f>
        <v>Pre-tax Section 125 (exempt from FIT/SIT/FICA)</v>
      </c>
      <c r="H1001" s="38" t="str">
        <f aca="false">_xlfn.XLOOKUP($E1001,$A$5:$A$8,$E$5:$E$8,"")</f>
        <v>Flat</v>
      </c>
      <c r="I1001" s="44" t="str">
        <f aca="false">IF($H1001="Percent",_xlfn.XLOOKUP($E1001,$A$5:$A$8,$F$5:$F$8,""),"")</f>
        <v/>
      </c>
      <c r="J1001" s="42" t="n">
        <f aca="false">IF($H1001="Flat",_xlfn.XLOOKUP($E1001,$A$5:$A$8,$F$5:$F$8,""),"")</f>
        <v>30</v>
      </c>
      <c r="K1001" s="38" t="str">
        <f aca="false">_xlfn.XLOOKUP($E1001,$A$5:$A$8,$G$5:$G$8,"")</f>
        <v>Per pay period</v>
      </c>
      <c r="L1001" s="38" t="str">
        <f aca="false">_xlfn.XLOOKUP($E1001,$A$5:$A$8,$H$5:$H$8,"")</f>
        <v>Every pay period (ongoing)</v>
      </c>
      <c r="M1001" s="43" t="n">
        <f aca="false" t="array" ref="M1001:M1001">MAX(_xlfn.XLOOKUP($A1001,TRIM(SUBSTITUTE('worker file'!$A$2:$A$406,_xlfn.UNICHAR(160)," ")),'worker file'!$M$2:$M$406,0),_xlfn.XLOOKUP($B1001,TRIM('pay group &amp; schedule'!$A$2:$A$6),'pay group &amp; schedule'!$D$2:$D$6,0))</f>
        <v>46311</v>
      </c>
      <c r="N1001" s="43" t="str">
        <f aca="false" t="array" ref="N1001:N1001">_xlfn.LET(_xlpm.t,_xlfn.XLOOKUP($A1001,TRIM(SUBSTITUTE('worker file'!$A$2:$A$406,_xlfn.UNICHAR(160)," ")),'worker file'!$N$2:$N$406,""),IF(N(_xlpm.t)=0,"",_xlpm.t))</f>
        <v/>
      </c>
    </row>
    <row r="1002" customFormat="false" ht="15" hidden="false" customHeight="false" outlineLevel="0" collapsed="false">
      <c r="A1002" s="39" t="s">
        <v>441</v>
      </c>
      <c r="B1002" s="40" t="str">
        <f aca="false" t="array" ref="B1002:B1002">_xlfn.XLOOKUP($A1002,TRIM(SUBSTITUTE('worker file'!$A$2:$A$406,_xlfn.UNICHAR(160)," ")),'worker file'!$L$2:$L$406,"Not found")</f>
        <v>US Semi-monthly</v>
      </c>
      <c r="C1002" s="40" t="str">
        <f aca="false" t="array" ref="C1002:C1002">_xlfn.XLOOKUP($A1002,TRIM(SUBSTITUTE('worker file'!$A$2:$A$406,_xlfn.UNICHAR(160)," ")),'worker file'!$D$2:$D$406,"Not found")</f>
        <v>WA</v>
      </c>
      <c r="D1002" s="40" t="str">
        <f aca="false" t="array" ref="D1002:D1002">_xlfn.XLOOKUP($A1002,TRIM(SUBSTITUTE('worker file'!$A$2:$A$406,_xlfn.UNICHAR(160)," ")),'worker file'!$Q$2:$Q$406,"Not found")</f>
        <v>Active</v>
      </c>
      <c r="E1002" s="39" t="s">
        <v>618</v>
      </c>
      <c r="F1002" s="38" t="str">
        <f aca="false">_xlfn.XLOOKUP($E1002,$A$5:$A$8,$B$5:$B$8,"")</f>
        <v>401(k) Employee Deferral</v>
      </c>
      <c r="G1002" s="38" t="str">
        <f aca="false">_xlfn.XLOOKUP($E1002,$A$5:$A$8,$D$5:$D$8,"")</f>
        <v>Pre-tax (exempt from FIT/SIT; subject to FICA)</v>
      </c>
      <c r="H1002" s="38" t="str">
        <f aca="false">_xlfn.XLOOKUP($E1002,$A$5:$A$8,$E$5:$E$8,"")</f>
        <v>Percent</v>
      </c>
      <c r="I1002" s="41" t="n">
        <v>0.01</v>
      </c>
      <c r="J1002" s="42" t="str">
        <f aca="false">IF($H1002="Flat",_xlfn.XLOOKUP($E1002,$A$5:$A$8,$F$5:$F$8,""),"")</f>
        <v/>
      </c>
      <c r="K1002" s="38" t="str">
        <f aca="false">_xlfn.XLOOKUP($E1002,$A$5:$A$8,$G$5:$G$8,"")</f>
        <v>Gross pay</v>
      </c>
      <c r="L1002" s="38" t="str">
        <f aca="false">_xlfn.XLOOKUP($E1002,$A$5:$A$8,$H$5:$H$8,"")</f>
        <v>Every pay period (ongoing)</v>
      </c>
      <c r="M1002" s="43" t="n">
        <f aca="false" t="array" ref="M1002:M1002">MAX(_xlfn.XLOOKUP($A1002,TRIM(SUBSTITUTE('worker file'!$A$2:$A$406,_xlfn.UNICHAR(160)," ")),'worker file'!$M$2:$M$406,0),_xlfn.XLOOKUP($B1002,TRIM('pay group &amp; schedule'!$A$2:$A$6),'pay group &amp; schedule'!$D$2:$D$6,0))</f>
        <v>46311</v>
      </c>
      <c r="N1002" s="43" t="str">
        <f aca="false" t="array" ref="N1002:N1002">_xlfn.LET(_xlpm.t,_xlfn.XLOOKUP($A1002,TRIM(SUBSTITUTE('worker file'!$A$2:$A$406,_xlfn.UNICHAR(160)," ")),'worker file'!$N$2:$N$406,""),IF(N(_xlpm.t)=0,"",_xlpm.t))</f>
        <v/>
      </c>
    </row>
    <row r="1003" customFormat="false" ht="15" hidden="false" customHeight="false" outlineLevel="0" collapsed="false">
      <c r="A1003" s="39" t="s">
        <v>441</v>
      </c>
      <c r="B1003" s="40" t="str">
        <f aca="false" t="array" ref="B1003:B1003">_xlfn.XLOOKUP($A1003,TRIM(SUBSTITUTE('worker file'!$A$2:$A$406,_xlfn.UNICHAR(160)," ")),'worker file'!$L$2:$L$406,"Not found")</f>
        <v>US Semi-monthly</v>
      </c>
      <c r="C1003" s="40" t="str">
        <f aca="false" t="array" ref="C1003:C1003">_xlfn.XLOOKUP($A1003,TRIM(SUBSTITUTE('worker file'!$A$2:$A$406,_xlfn.UNICHAR(160)," ")),'worker file'!$D$2:$D$406,"Not found")</f>
        <v>WA</v>
      </c>
      <c r="D1003" s="40" t="str">
        <f aca="false" t="array" ref="D1003:D1003">_xlfn.XLOOKUP($A1003,TRIM(SUBSTITUTE('worker file'!$A$2:$A$406,_xlfn.UNICHAR(160)," ")),'worker file'!$Q$2:$Q$406,"Not found")</f>
        <v>Active</v>
      </c>
      <c r="E1003" s="39" t="s">
        <v>626</v>
      </c>
      <c r="F1003" s="38" t="str">
        <f aca="false">_xlfn.XLOOKUP($E1003,$A$5:$A$8,$B$5:$B$8,"")</f>
        <v>Medical (Health) – Employee</v>
      </c>
      <c r="G1003" s="38" t="str">
        <f aca="false">_xlfn.XLOOKUP($E1003,$A$5:$A$8,$D$5:$D$8,"")</f>
        <v>Pre-tax Section 125 (exempt from FIT/SIT/FICA)</v>
      </c>
      <c r="H1003" s="38" t="str">
        <f aca="false">_xlfn.XLOOKUP($E1003,$A$5:$A$8,$E$5:$E$8,"")</f>
        <v>Flat</v>
      </c>
      <c r="I1003" s="44" t="str">
        <f aca="false">IF($H1003="Percent",_xlfn.XLOOKUP($E1003,$A$5:$A$8,$F$5:$F$8,""),"")</f>
        <v/>
      </c>
      <c r="J1003" s="42" t="n">
        <f aca="false">IF($H1003="Flat",_xlfn.XLOOKUP($E1003,$A$5:$A$8,$F$5:$F$8,""),"")</f>
        <v>200</v>
      </c>
      <c r="K1003" s="38" t="str">
        <f aca="false">_xlfn.XLOOKUP($E1003,$A$5:$A$8,$G$5:$G$8,"")</f>
        <v>Per pay period</v>
      </c>
      <c r="L1003" s="38" t="str">
        <f aca="false">_xlfn.XLOOKUP($E1003,$A$5:$A$8,$H$5:$H$8,"")</f>
        <v>Every pay period (ongoing)</v>
      </c>
      <c r="M1003" s="43" t="n">
        <f aca="false" t="array" ref="M1003:M1003">MAX(_xlfn.XLOOKUP($A1003,TRIM(SUBSTITUTE('worker file'!$A$2:$A$406,_xlfn.UNICHAR(160)," ")),'worker file'!$M$2:$M$406,0),_xlfn.XLOOKUP($B1003,TRIM('pay group &amp; schedule'!$A$2:$A$6),'pay group &amp; schedule'!$D$2:$D$6,0))</f>
        <v>46311</v>
      </c>
      <c r="N1003" s="43" t="str">
        <f aca="false" t="array" ref="N1003:N1003">_xlfn.LET(_xlpm.t,_xlfn.XLOOKUP($A1003,TRIM(SUBSTITUTE('worker file'!$A$2:$A$406,_xlfn.UNICHAR(160)," ")),'worker file'!$N$2:$N$406,""),IF(N(_xlpm.t)=0,"",_xlpm.t))</f>
        <v/>
      </c>
    </row>
    <row r="1004" customFormat="false" ht="15" hidden="false" customHeight="false" outlineLevel="0" collapsed="false">
      <c r="A1004" s="39" t="s">
        <v>441</v>
      </c>
      <c r="B1004" s="40" t="str">
        <f aca="false" t="array" ref="B1004:B1004">_xlfn.XLOOKUP($A1004,TRIM(SUBSTITUTE('worker file'!$A$2:$A$406,_xlfn.UNICHAR(160)," ")),'worker file'!$L$2:$L$406,"Not found")</f>
        <v>US Semi-monthly</v>
      </c>
      <c r="C1004" s="40" t="str">
        <f aca="false" t="array" ref="C1004:C1004">_xlfn.XLOOKUP($A1004,TRIM(SUBSTITUTE('worker file'!$A$2:$A$406,_xlfn.UNICHAR(160)," ")),'worker file'!$D$2:$D$406,"Not found")</f>
        <v>WA</v>
      </c>
      <c r="D1004" s="40" t="str">
        <f aca="false" t="array" ref="D1004:D1004">_xlfn.XLOOKUP($A1004,TRIM(SUBSTITUTE('worker file'!$A$2:$A$406,_xlfn.UNICHAR(160)," ")),'worker file'!$Q$2:$Q$406,"Not found")</f>
        <v>Active</v>
      </c>
      <c r="E1004" s="39" t="s">
        <v>632</v>
      </c>
      <c r="F1004" s="38" t="str">
        <f aca="false">_xlfn.XLOOKUP($E1004,$A$5:$A$8,$B$5:$B$8,"")</f>
        <v>Dental – Employee</v>
      </c>
      <c r="G1004" s="38" t="str">
        <f aca="false">_xlfn.XLOOKUP($E1004,$A$5:$A$8,$D$5:$D$8,"")</f>
        <v>Pre-tax Section 125 (exempt from FIT/SIT/FICA)</v>
      </c>
      <c r="H1004" s="38" t="str">
        <f aca="false">_xlfn.XLOOKUP($E1004,$A$5:$A$8,$E$5:$E$8,"")</f>
        <v>Flat</v>
      </c>
      <c r="I1004" s="44" t="str">
        <f aca="false">IF($H1004="Percent",_xlfn.XLOOKUP($E1004,$A$5:$A$8,$F$5:$F$8,""),"")</f>
        <v/>
      </c>
      <c r="J1004" s="42" t="n">
        <f aca="false">IF($H1004="Flat",_xlfn.XLOOKUP($E1004,$A$5:$A$8,$F$5:$F$8,""),"")</f>
        <v>44</v>
      </c>
      <c r="K1004" s="38" t="str">
        <f aca="false">_xlfn.XLOOKUP($E1004,$A$5:$A$8,$G$5:$G$8,"")</f>
        <v>Per pay period</v>
      </c>
      <c r="L1004" s="38" t="str">
        <f aca="false">_xlfn.XLOOKUP($E1004,$A$5:$A$8,$H$5:$H$8,"")</f>
        <v>Every pay period (ongoing)</v>
      </c>
      <c r="M1004" s="43" t="n">
        <f aca="false" t="array" ref="M1004:M1004">MAX(_xlfn.XLOOKUP($A1004,TRIM(SUBSTITUTE('worker file'!$A$2:$A$406,_xlfn.UNICHAR(160)," ")),'worker file'!$M$2:$M$406,0),_xlfn.XLOOKUP($B1004,TRIM('pay group &amp; schedule'!$A$2:$A$6),'pay group &amp; schedule'!$D$2:$D$6,0))</f>
        <v>46311</v>
      </c>
      <c r="N1004" s="43" t="str">
        <f aca="false" t="array" ref="N1004:N1004">_xlfn.LET(_xlpm.t,_xlfn.XLOOKUP($A1004,TRIM(SUBSTITUTE('worker file'!$A$2:$A$406,_xlfn.UNICHAR(160)," ")),'worker file'!$N$2:$N$406,""),IF(N(_xlpm.t)=0,"",_xlpm.t))</f>
        <v/>
      </c>
    </row>
    <row r="1005" customFormat="false" ht="15" hidden="false" customHeight="false" outlineLevel="0" collapsed="false">
      <c r="A1005" s="39" t="s">
        <v>441</v>
      </c>
      <c r="B1005" s="40" t="str">
        <f aca="false" t="array" ref="B1005:B1005">_xlfn.XLOOKUP($A1005,TRIM(SUBSTITUTE('worker file'!$A$2:$A$406,_xlfn.UNICHAR(160)," ")),'worker file'!$L$2:$L$406,"Not found")</f>
        <v>US Semi-monthly</v>
      </c>
      <c r="C1005" s="40" t="str">
        <f aca="false" t="array" ref="C1005:C1005">_xlfn.XLOOKUP($A1005,TRIM(SUBSTITUTE('worker file'!$A$2:$A$406,_xlfn.UNICHAR(160)," ")),'worker file'!$D$2:$D$406,"Not found")</f>
        <v>WA</v>
      </c>
      <c r="D1005" s="40" t="str">
        <f aca="false" t="array" ref="D1005:D1005">_xlfn.XLOOKUP($A1005,TRIM(SUBSTITUTE('worker file'!$A$2:$A$406,_xlfn.UNICHAR(160)," ")),'worker file'!$Q$2:$Q$406,"Not found")</f>
        <v>Active</v>
      </c>
      <c r="E1005" s="39" t="s">
        <v>634</v>
      </c>
      <c r="F1005" s="38" t="str">
        <f aca="false">_xlfn.XLOOKUP($E1005,$A$5:$A$8,$B$5:$B$8,"")</f>
        <v>Vision – Employee</v>
      </c>
      <c r="G1005" s="38" t="str">
        <f aca="false">_xlfn.XLOOKUP($E1005,$A$5:$A$8,$D$5:$D$8,"")</f>
        <v>Pre-tax Section 125 (exempt from FIT/SIT/FICA)</v>
      </c>
      <c r="H1005" s="38" t="str">
        <f aca="false">_xlfn.XLOOKUP($E1005,$A$5:$A$8,$E$5:$E$8,"")</f>
        <v>Flat</v>
      </c>
      <c r="I1005" s="44" t="str">
        <f aca="false">IF($H1005="Percent",_xlfn.XLOOKUP($E1005,$A$5:$A$8,$F$5:$F$8,""),"")</f>
        <v/>
      </c>
      <c r="J1005" s="42" t="n">
        <f aca="false">IF($H1005="Flat",_xlfn.XLOOKUP($E1005,$A$5:$A$8,$F$5:$F$8,""),"")</f>
        <v>30</v>
      </c>
      <c r="K1005" s="38" t="str">
        <f aca="false">_xlfn.XLOOKUP($E1005,$A$5:$A$8,$G$5:$G$8,"")</f>
        <v>Per pay period</v>
      </c>
      <c r="L1005" s="38" t="str">
        <f aca="false">_xlfn.XLOOKUP($E1005,$A$5:$A$8,$H$5:$H$8,"")</f>
        <v>Every pay period (ongoing)</v>
      </c>
      <c r="M1005" s="43" t="n">
        <f aca="false" t="array" ref="M1005:M1005">MAX(_xlfn.XLOOKUP($A1005,TRIM(SUBSTITUTE('worker file'!$A$2:$A$406,_xlfn.UNICHAR(160)," ")),'worker file'!$M$2:$M$406,0),_xlfn.XLOOKUP($B1005,TRIM('pay group &amp; schedule'!$A$2:$A$6),'pay group &amp; schedule'!$D$2:$D$6,0))</f>
        <v>46311</v>
      </c>
      <c r="N1005" s="43" t="str">
        <f aca="false" t="array" ref="N1005:N1005">_xlfn.LET(_xlpm.t,_xlfn.XLOOKUP($A1005,TRIM(SUBSTITUTE('worker file'!$A$2:$A$406,_xlfn.UNICHAR(160)," ")),'worker file'!$N$2:$N$406,""),IF(N(_xlpm.t)=0,"",_xlpm.t))</f>
        <v/>
      </c>
    </row>
    <row r="1006" customFormat="false" ht="15" hidden="false" customHeight="false" outlineLevel="0" collapsed="false">
      <c r="A1006" s="39" t="s">
        <v>442</v>
      </c>
      <c r="B1006" s="40" t="str">
        <f aca="false" t="array" ref="B1006:B1006">_xlfn.XLOOKUP($A1006,TRIM(SUBSTITUTE('worker file'!$A$2:$A$406,_xlfn.UNICHAR(160)," ")),'worker file'!$L$2:$L$406,"Not found")</f>
        <v>US Semi-monthly</v>
      </c>
      <c r="C1006" s="40" t="str">
        <f aca="false" t="array" ref="C1006:C1006">_xlfn.XLOOKUP($A1006,TRIM(SUBSTITUTE('worker file'!$A$2:$A$406,_xlfn.UNICHAR(160)," ")),'worker file'!$D$2:$D$406,"Not found")</f>
        <v>CA</v>
      </c>
      <c r="D1006" s="40" t="str">
        <f aca="false" t="array" ref="D1006:D1006">_xlfn.XLOOKUP($A1006,TRIM(SUBSTITUTE('worker file'!$A$2:$A$406,_xlfn.UNICHAR(160)," ")),'worker file'!$Q$2:$Q$406,"Not found")</f>
        <v>Active</v>
      </c>
      <c r="E1006" s="39" t="s">
        <v>618</v>
      </c>
      <c r="F1006" s="38" t="str">
        <f aca="false">_xlfn.XLOOKUP($E1006,$A$5:$A$8,$B$5:$B$8,"")</f>
        <v>401(k) Employee Deferral</v>
      </c>
      <c r="G1006" s="38" t="str">
        <f aca="false">_xlfn.XLOOKUP($E1006,$A$5:$A$8,$D$5:$D$8,"")</f>
        <v>Pre-tax (exempt from FIT/SIT; subject to FICA)</v>
      </c>
      <c r="H1006" s="38" t="str">
        <f aca="false">_xlfn.XLOOKUP($E1006,$A$5:$A$8,$E$5:$E$8,"")</f>
        <v>Percent</v>
      </c>
      <c r="I1006" s="41" t="n">
        <v>0.06</v>
      </c>
      <c r="J1006" s="42" t="str">
        <f aca="false">IF($H1006="Flat",_xlfn.XLOOKUP($E1006,$A$5:$A$8,$F$5:$F$8,""),"")</f>
        <v/>
      </c>
      <c r="K1006" s="38" t="str">
        <f aca="false">_xlfn.XLOOKUP($E1006,$A$5:$A$8,$G$5:$G$8,"")</f>
        <v>Gross pay</v>
      </c>
      <c r="L1006" s="38" t="str">
        <f aca="false">_xlfn.XLOOKUP($E1006,$A$5:$A$8,$H$5:$H$8,"")</f>
        <v>Every pay period (ongoing)</v>
      </c>
      <c r="M1006" s="43" t="n">
        <f aca="false" t="array" ref="M1006:M1006">MAX(_xlfn.XLOOKUP($A1006,TRIM(SUBSTITUTE('worker file'!$A$2:$A$406,_xlfn.UNICHAR(160)," ")),'worker file'!$M$2:$M$406,0),_xlfn.XLOOKUP($B1006,TRIM('pay group &amp; schedule'!$A$2:$A$6),'pay group &amp; schedule'!$D$2:$D$6,0))</f>
        <v>46311</v>
      </c>
      <c r="N1006" s="43" t="str">
        <f aca="false" t="array" ref="N1006:N1006">_xlfn.LET(_xlpm.t,_xlfn.XLOOKUP($A1006,TRIM(SUBSTITUTE('worker file'!$A$2:$A$406,_xlfn.UNICHAR(160)," ")),'worker file'!$N$2:$N$406,""),IF(N(_xlpm.t)=0,"",_xlpm.t))</f>
        <v/>
      </c>
    </row>
    <row r="1007" customFormat="false" ht="15" hidden="false" customHeight="false" outlineLevel="0" collapsed="false">
      <c r="A1007" s="39" t="s">
        <v>442</v>
      </c>
      <c r="B1007" s="40" t="str">
        <f aca="false" t="array" ref="B1007:B1007">_xlfn.XLOOKUP($A1007,TRIM(SUBSTITUTE('worker file'!$A$2:$A$406,_xlfn.UNICHAR(160)," ")),'worker file'!$L$2:$L$406,"Not found")</f>
        <v>US Semi-monthly</v>
      </c>
      <c r="C1007" s="40" t="str">
        <f aca="false" t="array" ref="C1007:C1007">_xlfn.XLOOKUP($A1007,TRIM(SUBSTITUTE('worker file'!$A$2:$A$406,_xlfn.UNICHAR(160)," ")),'worker file'!$D$2:$D$406,"Not found")</f>
        <v>CA</v>
      </c>
      <c r="D1007" s="40" t="str">
        <f aca="false" t="array" ref="D1007:D1007">_xlfn.XLOOKUP($A1007,TRIM(SUBSTITUTE('worker file'!$A$2:$A$406,_xlfn.UNICHAR(160)," ")),'worker file'!$Q$2:$Q$406,"Not found")</f>
        <v>Active</v>
      </c>
      <c r="E1007" s="39" t="s">
        <v>626</v>
      </c>
      <c r="F1007" s="38" t="str">
        <f aca="false">_xlfn.XLOOKUP($E1007,$A$5:$A$8,$B$5:$B$8,"")</f>
        <v>Medical (Health) – Employee</v>
      </c>
      <c r="G1007" s="38" t="str">
        <f aca="false">_xlfn.XLOOKUP($E1007,$A$5:$A$8,$D$5:$D$8,"")</f>
        <v>Pre-tax Section 125 (exempt from FIT/SIT/FICA)</v>
      </c>
      <c r="H1007" s="38" t="str">
        <f aca="false">_xlfn.XLOOKUP($E1007,$A$5:$A$8,$E$5:$E$8,"")</f>
        <v>Flat</v>
      </c>
      <c r="I1007" s="44" t="str">
        <f aca="false">IF($H1007="Percent",_xlfn.XLOOKUP($E1007,$A$5:$A$8,$F$5:$F$8,""),"")</f>
        <v/>
      </c>
      <c r="J1007" s="42" t="n">
        <f aca="false">IF($H1007="Flat",_xlfn.XLOOKUP($E1007,$A$5:$A$8,$F$5:$F$8,""),"")</f>
        <v>200</v>
      </c>
      <c r="K1007" s="38" t="str">
        <f aca="false">_xlfn.XLOOKUP($E1007,$A$5:$A$8,$G$5:$G$8,"")</f>
        <v>Per pay period</v>
      </c>
      <c r="L1007" s="38" t="str">
        <f aca="false">_xlfn.XLOOKUP($E1007,$A$5:$A$8,$H$5:$H$8,"")</f>
        <v>Every pay period (ongoing)</v>
      </c>
      <c r="M1007" s="43" t="n">
        <f aca="false" t="array" ref="M1007:M1007">MAX(_xlfn.XLOOKUP($A1007,TRIM(SUBSTITUTE('worker file'!$A$2:$A$406,_xlfn.UNICHAR(160)," ")),'worker file'!$M$2:$M$406,0),_xlfn.XLOOKUP($B1007,TRIM('pay group &amp; schedule'!$A$2:$A$6),'pay group &amp; schedule'!$D$2:$D$6,0))</f>
        <v>46311</v>
      </c>
      <c r="N1007" s="43" t="str">
        <f aca="false" t="array" ref="N1007:N1007">_xlfn.LET(_xlpm.t,_xlfn.XLOOKUP($A1007,TRIM(SUBSTITUTE('worker file'!$A$2:$A$406,_xlfn.UNICHAR(160)," ")),'worker file'!$N$2:$N$406,""),IF(N(_xlpm.t)=0,"",_xlpm.t))</f>
        <v/>
      </c>
    </row>
    <row r="1008" customFormat="false" ht="15" hidden="false" customHeight="false" outlineLevel="0" collapsed="false">
      <c r="A1008" s="39" t="s">
        <v>442</v>
      </c>
      <c r="B1008" s="40" t="str">
        <f aca="false" t="array" ref="B1008:B1008">_xlfn.XLOOKUP($A1008,TRIM(SUBSTITUTE('worker file'!$A$2:$A$406,_xlfn.UNICHAR(160)," ")),'worker file'!$L$2:$L$406,"Not found")</f>
        <v>US Semi-monthly</v>
      </c>
      <c r="C1008" s="40" t="str">
        <f aca="false" t="array" ref="C1008:C1008">_xlfn.XLOOKUP($A1008,TRIM(SUBSTITUTE('worker file'!$A$2:$A$406,_xlfn.UNICHAR(160)," ")),'worker file'!$D$2:$D$406,"Not found")</f>
        <v>CA</v>
      </c>
      <c r="D1008" s="40" t="str">
        <f aca="false" t="array" ref="D1008:D1008">_xlfn.XLOOKUP($A1008,TRIM(SUBSTITUTE('worker file'!$A$2:$A$406,_xlfn.UNICHAR(160)," ")),'worker file'!$Q$2:$Q$406,"Not found")</f>
        <v>Active</v>
      </c>
      <c r="E1008" s="39" t="s">
        <v>632</v>
      </c>
      <c r="F1008" s="38" t="str">
        <f aca="false">_xlfn.XLOOKUP($E1008,$A$5:$A$8,$B$5:$B$8,"")</f>
        <v>Dental – Employee</v>
      </c>
      <c r="G1008" s="38" t="str">
        <f aca="false">_xlfn.XLOOKUP($E1008,$A$5:$A$8,$D$5:$D$8,"")</f>
        <v>Pre-tax Section 125 (exempt from FIT/SIT/FICA)</v>
      </c>
      <c r="H1008" s="38" t="str">
        <f aca="false">_xlfn.XLOOKUP($E1008,$A$5:$A$8,$E$5:$E$8,"")</f>
        <v>Flat</v>
      </c>
      <c r="I1008" s="44" t="str">
        <f aca="false">IF($H1008="Percent",_xlfn.XLOOKUP($E1008,$A$5:$A$8,$F$5:$F$8,""),"")</f>
        <v/>
      </c>
      <c r="J1008" s="42" t="n">
        <f aca="false">IF($H1008="Flat",_xlfn.XLOOKUP($E1008,$A$5:$A$8,$F$5:$F$8,""),"")</f>
        <v>44</v>
      </c>
      <c r="K1008" s="38" t="str">
        <f aca="false">_xlfn.XLOOKUP($E1008,$A$5:$A$8,$G$5:$G$8,"")</f>
        <v>Per pay period</v>
      </c>
      <c r="L1008" s="38" t="str">
        <f aca="false">_xlfn.XLOOKUP($E1008,$A$5:$A$8,$H$5:$H$8,"")</f>
        <v>Every pay period (ongoing)</v>
      </c>
      <c r="M1008" s="43" t="n">
        <f aca="false" t="array" ref="M1008:M1008">MAX(_xlfn.XLOOKUP($A1008,TRIM(SUBSTITUTE('worker file'!$A$2:$A$406,_xlfn.UNICHAR(160)," ")),'worker file'!$M$2:$M$406,0),_xlfn.XLOOKUP($B1008,TRIM('pay group &amp; schedule'!$A$2:$A$6),'pay group &amp; schedule'!$D$2:$D$6,0))</f>
        <v>46311</v>
      </c>
      <c r="N1008" s="43" t="str">
        <f aca="false" t="array" ref="N1008:N1008">_xlfn.LET(_xlpm.t,_xlfn.XLOOKUP($A1008,TRIM(SUBSTITUTE('worker file'!$A$2:$A$406,_xlfn.UNICHAR(160)," ")),'worker file'!$N$2:$N$406,""),IF(N(_xlpm.t)=0,"",_xlpm.t))</f>
        <v/>
      </c>
    </row>
    <row r="1009" customFormat="false" ht="15" hidden="false" customHeight="false" outlineLevel="0" collapsed="false">
      <c r="A1009" s="39" t="s">
        <v>442</v>
      </c>
      <c r="B1009" s="40" t="str">
        <f aca="false" t="array" ref="B1009:B1009">_xlfn.XLOOKUP($A1009,TRIM(SUBSTITUTE('worker file'!$A$2:$A$406,_xlfn.UNICHAR(160)," ")),'worker file'!$L$2:$L$406,"Not found")</f>
        <v>US Semi-monthly</v>
      </c>
      <c r="C1009" s="40" t="str">
        <f aca="false" t="array" ref="C1009:C1009">_xlfn.XLOOKUP($A1009,TRIM(SUBSTITUTE('worker file'!$A$2:$A$406,_xlfn.UNICHAR(160)," ")),'worker file'!$D$2:$D$406,"Not found")</f>
        <v>CA</v>
      </c>
      <c r="D1009" s="40" t="str">
        <f aca="false" t="array" ref="D1009:D1009">_xlfn.XLOOKUP($A1009,TRIM(SUBSTITUTE('worker file'!$A$2:$A$406,_xlfn.UNICHAR(160)," ")),'worker file'!$Q$2:$Q$406,"Not found")</f>
        <v>Active</v>
      </c>
      <c r="E1009" s="39" t="s">
        <v>634</v>
      </c>
      <c r="F1009" s="38" t="str">
        <f aca="false">_xlfn.XLOOKUP($E1009,$A$5:$A$8,$B$5:$B$8,"")</f>
        <v>Vision – Employee</v>
      </c>
      <c r="G1009" s="38" t="str">
        <f aca="false">_xlfn.XLOOKUP($E1009,$A$5:$A$8,$D$5:$D$8,"")</f>
        <v>Pre-tax Section 125 (exempt from FIT/SIT/FICA)</v>
      </c>
      <c r="H1009" s="38" t="str">
        <f aca="false">_xlfn.XLOOKUP($E1009,$A$5:$A$8,$E$5:$E$8,"")</f>
        <v>Flat</v>
      </c>
      <c r="I1009" s="44" t="str">
        <f aca="false">IF($H1009="Percent",_xlfn.XLOOKUP($E1009,$A$5:$A$8,$F$5:$F$8,""),"")</f>
        <v/>
      </c>
      <c r="J1009" s="42" t="n">
        <f aca="false">IF($H1009="Flat",_xlfn.XLOOKUP($E1009,$A$5:$A$8,$F$5:$F$8,""),"")</f>
        <v>30</v>
      </c>
      <c r="K1009" s="38" t="str">
        <f aca="false">_xlfn.XLOOKUP($E1009,$A$5:$A$8,$G$5:$G$8,"")</f>
        <v>Per pay period</v>
      </c>
      <c r="L1009" s="38" t="str">
        <f aca="false">_xlfn.XLOOKUP($E1009,$A$5:$A$8,$H$5:$H$8,"")</f>
        <v>Every pay period (ongoing)</v>
      </c>
      <c r="M1009" s="43" t="n">
        <f aca="false" t="array" ref="M1009:M1009">MAX(_xlfn.XLOOKUP($A1009,TRIM(SUBSTITUTE('worker file'!$A$2:$A$406,_xlfn.UNICHAR(160)," ")),'worker file'!$M$2:$M$406,0),_xlfn.XLOOKUP($B1009,TRIM('pay group &amp; schedule'!$A$2:$A$6),'pay group &amp; schedule'!$D$2:$D$6,0))</f>
        <v>46311</v>
      </c>
      <c r="N1009" s="43" t="str">
        <f aca="false" t="array" ref="N1009:N1009">_xlfn.LET(_xlpm.t,_xlfn.XLOOKUP($A1009,TRIM(SUBSTITUTE('worker file'!$A$2:$A$406,_xlfn.UNICHAR(160)," ")),'worker file'!$N$2:$N$406,""),IF(N(_xlpm.t)=0,"",_xlpm.t))</f>
        <v/>
      </c>
    </row>
    <row r="1010" customFormat="false" ht="15" hidden="false" customHeight="false" outlineLevel="0" collapsed="false">
      <c r="A1010" s="39" t="s">
        <v>443</v>
      </c>
      <c r="B1010" s="40" t="str">
        <f aca="false" t="array" ref="B1010:B1010">_xlfn.XLOOKUP($A1010,TRIM(SUBSTITUTE('worker file'!$A$2:$A$406,_xlfn.UNICHAR(160)," ")),'worker file'!$L$2:$L$406,"Not found")</f>
        <v>US Semi-monthly</v>
      </c>
      <c r="C1010" s="40" t="str">
        <f aca="false" t="array" ref="C1010:C1010">_xlfn.XLOOKUP($A1010,TRIM(SUBSTITUTE('worker file'!$A$2:$A$406,_xlfn.UNICHAR(160)," ")),'worker file'!$D$2:$D$406,"Not found")</f>
        <v>WA</v>
      </c>
      <c r="D1010" s="40" t="str">
        <f aca="false" t="array" ref="D1010:D1010">_xlfn.XLOOKUP($A1010,TRIM(SUBSTITUTE('worker file'!$A$2:$A$406,_xlfn.UNICHAR(160)," ")),'worker file'!$Q$2:$Q$406,"Not found")</f>
        <v>Active</v>
      </c>
      <c r="E1010" s="39" t="s">
        <v>618</v>
      </c>
      <c r="F1010" s="38" t="str">
        <f aca="false">_xlfn.XLOOKUP($E1010,$A$5:$A$8,$B$5:$B$8,"")</f>
        <v>401(k) Employee Deferral</v>
      </c>
      <c r="G1010" s="38" t="str">
        <f aca="false">_xlfn.XLOOKUP($E1010,$A$5:$A$8,$D$5:$D$8,"")</f>
        <v>Pre-tax (exempt from FIT/SIT; subject to FICA)</v>
      </c>
      <c r="H1010" s="38" t="str">
        <f aca="false">_xlfn.XLOOKUP($E1010,$A$5:$A$8,$E$5:$E$8,"")</f>
        <v>Percent</v>
      </c>
      <c r="I1010" s="41" t="n">
        <v>0.03</v>
      </c>
      <c r="J1010" s="42" t="str">
        <f aca="false">IF($H1010="Flat",_xlfn.XLOOKUP($E1010,$A$5:$A$8,$F$5:$F$8,""),"")</f>
        <v/>
      </c>
      <c r="K1010" s="38" t="str">
        <f aca="false">_xlfn.XLOOKUP($E1010,$A$5:$A$8,$G$5:$G$8,"")</f>
        <v>Gross pay</v>
      </c>
      <c r="L1010" s="38" t="str">
        <f aca="false">_xlfn.XLOOKUP($E1010,$A$5:$A$8,$H$5:$H$8,"")</f>
        <v>Every pay period (ongoing)</v>
      </c>
      <c r="M1010" s="43" t="n">
        <f aca="false" t="array" ref="M1010:M1010">MAX(_xlfn.XLOOKUP($A1010,TRIM(SUBSTITUTE('worker file'!$A$2:$A$406,_xlfn.UNICHAR(160)," ")),'worker file'!$M$2:$M$406,0),_xlfn.XLOOKUP($B1010,TRIM('pay group &amp; schedule'!$A$2:$A$6),'pay group &amp; schedule'!$D$2:$D$6,0))</f>
        <v>46311</v>
      </c>
      <c r="N1010" s="43" t="str">
        <f aca="false" t="array" ref="N1010:N1010">_xlfn.LET(_xlpm.t,_xlfn.XLOOKUP($A1010,TRIM(SUBSTITUTE('worker file'!$A$2:$A$406,_xlfn.UNICHAR(160)," ")),'worker file'!$N$2:$N$406,""),IF(N(_xlpm.t)=0,"",_xlpm.t))</f>
        <v/>
      </c>
    </row>
    <row r="1011" customFormat="false" ht="15" hidden="false" customHeight="false" outlineLevel="0" collapsed="false">
      <c r="A1011" s="39" t="s">
        <v>443</v>
      </c>
      <c r="B1011" s="40" t="str">
        <f aca="false" t="array" ref="B1011:B1011">_xlfn.XLOOKUP($A1011,TRIM(SUBSTITUTE('worker file'!$A$2:$A$406,_xlfn.UNICHAR(160)," ")),'worker file'!$L$2:$L$406,"Not found")</f>
        <v>US Semi-monthly</v>
      </c>
      <c r="C1011" s="40" t="str">
        <f aca="false" t="array" ref="C1011:C1011">_xlfn.XLOOKUP($A1011,TRIM(SUBSTITUTE('worker file'!$A$2:$A$406,_xlfn.UNICHAR(160)," ")),'worker file'!$D$2:$D$406,"Not found")</f>
        <v>WA</v>
      </c>
      <c r="D1011" s="40" t="str">
        <f aca="false" t="array" ref="D1011:D1011">_xlfn.XLOOKUP($A1011,TRIM(SUBSTITUTE('worker file'!$A$2:$A$406,_xlfn.UNICHAR(160)," ")),'worker file'!$Q$2:$Q$406,"Not found")</f>
        <v>Active</v>
      </c>
      <c r="E1011" s="39" t="s">
        <v>626</v>
      </c>
      <c r="F1011" s="38" t="str">
        <f aca="false">_xlfn.XLOOKUP($E1011,$A$5:$A$8,$B$5:$B$8,"")</f>
        <v>Medical (Health) – Employee</v>
      </c>
      <c r="G1011" s="38" t="str">
        <f aca="false">_xlfn.XLOOKUP($E1011,$A$5:$A$8,$D$5:$D$8,"")</f>
        <v>Pre-tax Section 125 (exempt from FIT/SIT/FICA)</v>
      </c>
      <c r="H1011" s="38" t="str">
        <f aca="false">_xlfn.XLOOKUP($E1011,$A$5:$A$8,$E$5:$E$8,"")</f>
        <v>Flat</v>
      </c>
      <c r="I1011" s="44" t="str">
        <f aca="false">IF($H1011="Percent",_xlfn.XLOOKUP($E1011,$A$5:$A$8,$F$5:$F$8,""),"")</f>
        <v/>
      </c>
      <c r="J1011" s="42" t="n">
        <f aca="false">IF($H1011="Flat",_xlfn.XLOOKUP($E1011,$A$5:$A$8,$F$5:$F$8,""),"")</f>
        <v>200</v>
      </c>
      <c r="K1011" s="38" t="str">
        <f aca="false">_xlfn.XLOOKUP($E1011,$A$5:$A$8,$G$5:$G$8,"")</f>
        <v>Per pay period</v>
      </c>
      <c r="L1011" s="38" t="str">
        <f aca="false">_xlfn.XLOOKUP($E1011,$A$5:$A$8,$H$5:$H$8,"")</f>
        <v>Every pay period (ongoing)</v>
      </c>
      <c r="M1011" s="43" t="n">
        <f aca="false" t="array" ref="M1011:M1011">MAX(_xlfn.XLOOKUP($A1011,TRIM(SUBSTITUTE('worker file'!$A$2:$A$406,_xlfn.UNICHAR(160)," ")),'worker file'!$M$2:$M$406,0),_xlfn.XLOOKUP($B1011,TRIM('pay group &amp; schedule'!$A$2:$A$6),'pay group &amp; schedule'!$D$2:$D$6,0))</f>
        <v>46311</v>
      </c>
      <c r="N1011" s="43" t="str">
        <f aca="false" t="array" ref="N1011:N1011">_xlfn.LET(_xlpm.t,_xlfn.XLOOKUP($A1011,TRIM(SUBSTITUTE('worker file'!$A$2:$A$406,_xlfn.UNICHAR(160)," ")),'worker file'!$N$2:$N$406,""),IF(N(_xlpm.t)=0,"",_xlpm.t))</f>
        <v/>
      </c>
    </row>
    <row r="1012" customFormat="false" ht="15" hidden="false" customHeight="false" outlineLevel="0" collapsed="false">
      <c r="A1012" s="39" t="s">
        <v>443</v>
      </c>
      <c r="B1012" s="40" t="str">
        <f aca="false" t="array" ref="B1012:B1012">_xlfn.XLOOKUP($A1012,TRIM(SUBSTITUTE('worker file'!$A$2:$A$406,_xlfn.UNICHAR(160)," ")),'worker file'!$L$2:$L$406,"Not found")</f>
        <v>US Semi-monthly</v>
      </c>
      <c r="C1012" s="40" t="str">
        <f aca="false" t="array" ref="C1012:C1012">_xlfn.XLOOKUP($A1012,TRIM(SUBSTITUTE('worker file'!$A$2:$A$406,_xlfn.UNICHAR(160)," ")),'worker file'!$D$2:$D$406,"Not found")</f>
        <v>WA</v>
      </c>
      <c r="D1012" s="40" t="str">
        <f aca="false" t="array" ref="D1012:D1012">_xlfn.XLOOKUP($A1012,TRIM(SUBSTITUTE('worker file'!$A$2:$A$406,_xlfn.UNICHAR(160)," ")),'worker file'!$Q$2:$Q$406,"Not found")</f>
        <v>Active</v>
      </c>
      <c r="E1012" s="39" t="s">
        <v>632</v>
      </c>
      <c r="F1012" s="38" t="str">
        <f aca="false">_xlfn.XLOOKUP($E1012,$A$5:$A$8,$B$5:$B$8,"")</f>
        <v>Dental – Employee</v>
      </c>
      <c r="G1012" s="38" t="str">
        <f aca="false">_xlfn.XLOOKUP($E1012,$A$5:$A$8,$D$5:$D$8,"")</f>
        <v>Pre-tax Section 125 (exempt from FIT/SIT/FICA)</v>
      </c>
      <c r="H1012" s="38" t="str">
        <f aca="false">_xlfn.XLOOKUP($E1012,$A$5:$A$8,$E$5:$E$8,"")</f>
        <v>Flat</v>
      </c>
      <c r="I1012" s="44" t="str">
        <f aca="false">IF($H1012="Percent",_xlfn.XLOOKUP($E1012,$A$5:$A$8,$F$5:$F$8,""),"")</f>
        <v/>
      </c>
      <c r="J1012" s="42" t="n">
        <f aca="false">IF($H1012="Flat",_xlfn.XLOOKUP($E1012,$A$5:$A$8,$F$5:$F$8,""),"")</f>
        <v>44</v>
      </c>
      <c r="K1012" s="38" t="str">
        <f aca="false">_xlfn.XLOOKUP($E1012,$A$5:$A$8,$G$5:$G$8,"")</f>
        <v>Per pay period</v>
      </c>
      <c r="L1012" s="38" t="str">
        <f aca="false">_xlfn.XLOOKUP($E1012,$A$5:$A$8,$H$5:$H$8,"")</f>
        <v>Every pay period (ongoing)</v>
      </c>
      <c r="M1012" s="43" t="n">
        <f aca="false" t="array" ref="M1012:M1012">MAX(_xlfn.XLOOKUP($A1012,TRIM(SUBSTITUTE('worker file'!$A$2:$A$406,_xlfn.UNICHAR(160)," ")),'worker file'!$M$2:$M$406,0),_xlfn.XLOOKUP($B1012,TRIM('pay group &amp; schedule'!$A$2:$A$6),'pay group &amp; schedule'!$D$2:$D$6,0))</f>
        <v>46311</v>
      </c>
      <c r="N1012" s="43" t="str">
        <f aca="false" t="array" ref="N1012:N1012">_xlfn.LET(_xlpm.t,_xlfn.XLOOKUP($A1012,TRIM(SUBSTITUTE('worker file'!$A$2:$A$406,_xlfn.UNICHAR(160)," ")),'worker file'!$N$2:$N$406,""),IF(N(_xlpm.t)=0,"",_xlpm.t))</f>
        <v/>
      </c>
    </row>
    <row r="1013" customFormat="false" ht="15" hidden="false" customHeight="false" outlineLevel="0" collapsed="false">
      <c r="A1013" s="39" t="s">
        <v>443</v>
      </c>
      <c r="B1013" s="40" t="str">
        <f aca="false" t="array" ref="B1013:B1013">_xlfn.XLOOKUP($A1013,TRIM(SUBSTITUTE('worker file'!$A$2:$A$406,_xlfn.UNICHAR(160)," ")),'worker file'!$L$2:$L$406,"Not found")</f>
        <v>US Semi-monthly</v>
      </c>
      <c r="C1013" s="40" t="str">
        <f aca="false" t="array" ref="C1013:C1013">_xlfn.XLOOKUP($A1013,TRIM(SUBSTITUTE('worker file'!$A$2:$A$406,_xlfn.UNICHAR(160)," ")),'worker file'!$D$2:$D$406,"Not found")</f>
        <v>WA</v>
      </c>
      <c r="D1013" s="40" t="str">
        <f aca="false" t="array" ref="D1013:D1013">_xlfn.XLOOKUP($A1013,TRIM(SUBSTITUTE('worker file'!$A$2:$A$406,_xlfn.UNICHAR(160)," ")),'worker file'!$Q$2:$Q$406,"Not found")</f>
        <v>Active</v>
      </c>
      <c r="E1013" s="39" t="s">
        <v>634</v>
      </c>
      <c r="F1013" s="38" t="str">
        <f aca="false">_xlfn.XLOOKUP($E1013,$A$5:$A$8,$B$5:$B$8,"")</f>
        <v>Vision – Employee</v>
      </c>
      <c r="G1013" s="38" t="str">
        <f aca="false">_xlfn.XLOOKUP($E1013,$A$5:$A$8,$D$5:$D$8,"")</f>
        <v>Pre-tax Section 125 (exempt from FIT/SIT/FICA)</v>
      </c>
      <c r="H1013" s="38" t="str">
        <f aca="false">_xlfn.XLOOKUP($E1013,$A$5:$A$8,$E$5:$E$8,"")</f>
        <v>Flat</v>
      </c>
      <c r="I1013" s="44" t="str">
        <f aca="false">IF($H1013="Percent",_xlfn.XLOOKUP($E1013,$A$5:$A$8,$F$5:$F$8,""),"")</f>
        <v/>
      </c>
      <c r="J1013" s="42" t="n">
        <f aca="false">IF($H1013="Flat",_xlfn.XLOOKUP($E1013,$A$5:$A$8,$F$5:$F$8,""),"")</f>
        <v>30</v>
      </c>
      <c r="K1013" s="38" t="str">
        <f aca="false">_xlfn.XLOOKUP($E1013,$A$5:$A$8,$G$5:$G$8,"")</f>
        <v>Per pay period</v>
      </c>
      <c r="L1013" s="38" t="str">
        <f aca="false">_xlfn.XLOOKUP($E1013,$A$5:$A$8,$H$5:$H$8,"")</f>
        <v>Every pay period (ongoing)</v>
      </c>
      <c r="M1013" s="43" t="n">
        <f aca="false" t="array" ref="M1013:M1013">MAX(_xlfn.XLOOKUP($A1013,TRIM(SUBSTITUTE('worker file'!$A$2:$A$406,_xlfn.UNICHAR(160)," ")),'worker file'!$M$2:$M$406,0),_xlfn.XLOOKUP($B1013,TRIM('pay group &amp; schedule'!$A$2:$A$6),'pay group &amp; schedule'!$D$2:$D$6,0))</f>
        <v>46311</v>
      </c>
      <c r="N1013" s="43" t="str">
        <f aca="false" t="array" ref="N1013:N1013">_xlfn.LET(_xlpm.t,_xlfn.XLOOKUP($A1013,TRIM(SUBSTITUTE('worker file'!$A$2:$A$406,_xlfn.UNICHAR(160)," ")),'worker file'!$N$2:$N$406,""),IF(N(_xlpm.t)=0,"",_xlpm.t))</f>
        <v/>
      </c>
    </row>
    <row r="1014" customFormat="false" ht="15" hidden="false" customHeight="false" outlineLevel="0" collapsed="false">
      <c r="A1014" s="39" t="s">
        <v>444</v>
      </c>
      <c r="B1014" s="40" t="str">
        <f aca="false" t="array" ref="B1014:B1014">_xlfn.XLOOKUP($A1014,TRIM(SUBSTITUTE('worker file'!$A$2:$A$406,_xlfn.UNICHAR(160)," ")),'worker file'!$L$2:$L$406,"Not found")</f>
        <v>US Semi-monthly</v>
      </c>
      <c r="C1014" s="40" t="str">
        <f aca="false" t="array" ref="C1014:C1014">_xlfn.XLOOKUP($A1014,TRIM(SUBSTITUTE('worker file'!$A$2:$A$406,_xlfn.UNICHAR(160)," ")),'worker file'!$D$2:$D$406,"Not found")</f>
        <v>CA</v>
      </c>
      <c r="D1014" s="40" t="str">
        <f aca="false" t="array" ref="D1014:D1014">_xlfn.XLOOKUP($A1014,TRIM(SUBSTITUTE('worker file'!$A$2:$A$406,_xlfn.UNICHAR(160)," ")),'worker file'!$Q$2:$Q$406,"Not found")</f>
        <v>Active</v>
      </c>
      <c r="E1014" s="39" t="s">
        <v>618</v>
      </c>
      <c r="F1014" s="38" t="str">
        <f aca="false">_xlfn.XLOOKUP($E1014,$A$5:$A$8,$B$5:$B$8,"")</f>
        <v>401(k) Employee Deferral</v>
      </c>
      <c r="G1014" s="38" t="str">
        <f aca="false">_xlfn.XLOOKUP($E1014,$A$5:$A$8,$D$5:$D$8,"")</f>
        <v>Pre-tax (exempt from FIT/SIT; subject to FICA)</v>
      </c>
      <c r="H1014" s="38" t="str">
        <f aca="false">_xlfn.XLOOKUP($E1014,$A$5:$A$8,$E$5:$E$8,"")</f>
        <v>Percent</v>
      </c>
      <c r="I1014" s="41" t="n">
        <v>0</v>
      </c>
      <c r="J1014" s="42" t="str">
        <f aca="false">IF($H1014="Flat",_xlfn.XLOOKUP($E1014,$A$5:$A$8,$F$5:$F$8,""),"")</f>
        <v/>
      </c>
      <c r="K1014" s="38" t="str">
        <f aca="false">_xlfn.XLOOKUP($E1014,$A$5:$A$8,$G$5:$G$8,"")</f>
        <v>Gross pay</v>
      </c>
      <c r="L1014" s="38" t="str">
        <f aca="false">_xlfn.XLOOKUP($E1014,$A$5:$A$8,$H$5:$H$8,"")</f>
        <v>Every pay period (ongoing)</v>
      </c>
      <c r="M1014" s="43" t="n">
        <f aca="false" t="array" ref="M1014:M1014">MAX(_xlfn.XLOOKUP($A1014,TRIM(SUBSTITUTE('worker file'!$A$2:$A$406,_xlfn.UNICHAR(160)," ")),'worker file'!$M$2:$M$406,0),_xlfn.XLOOKUP($B1014,TRIM('pay group &amp; schedule'!$A$2:$A$6),'pay group &amp; schedule'!$D$2:$D$6,0))</f>
        <v>46311</v>
      </c>
      <c r="N1014" s="43" t="str">
        <f aca="false" t="array" ref="N1014:N1014">_xlfn.LET(_xlpm.t,_xlfn.XLOOKUP($A1014,TRIM(SUBSTITUTE('worker file'!$A$2:$A$406,_xlfn.UNICHAR(160)," ")),'worker file'!$N$2:$N$406,""),IF(N(_xlpm.t)=0,"",_xlpm.t))</f>
        <v/>
      </c>
    </row>
    <row r="1015" customFormat="false" ht="15" hidden="false" customHeight="false" outlineLevel="0" collapsed="false">
      <c r="A1015" s="39" t="s">
        <v>444</v>
      </c>
      <c r="B1015" s="40" t="str">
        <f aca="false" t="array" ref="B1015:B1015">_xlfn.XLOOKUP($A1015,TRIM(SUBSTITUTE('worker file'!$A$2:$A$406,_xlfn.UNICHAR(160)," ")),'worker file'!$L$2:$L$406,"Not found")</f>
        <v>US Semi-monthly</v>
      </c>
      <c r="C1015" s="40" t="str">
        <f aca="false" t="array" ref="C1015:C1015">_xlfn.XLOOKUP($A1015,TRIM(SUBSTITUTE('worker file'!$A$2:$A$406,_xlfn.UNICHAR(160)," ")),'worker file'!$D$2:$D$406,"Not found")</f>
        <v>CA</v>
      </c>
      <c r="D1015" s="40" t="str">
        <f aca="false" t="array" ref="D1015:D1015">_xlfn.XLOOKUP($A1015,TRIM(SUBSTITUTE('worker file'!$A$2:$A$406,_xlfn.UNICHAR(160)," ")),'worker file'!$Q$2:$Q$406,"Not found")</f>
        <v>Active</v>
      </c>
      <c r="E1015" s="39" t="s">
        <v>626</v>
      </c>
      <c r="F1015" s="38" t="str">
        <f aca="false">_xlfn.XLOOKUP($E1015,$A$5:$A$8,$B$5:$B$8,"")</f>
        <v>Medical (Health) – Employee</v>
      </c>
      <c r="G1015" s="38" t="str">
        <f aca="false">_xlfn.XLOOKUP($E1015,$A$5:$A$8,$D$5:$D$8,"")</f>
        <v>Pre-tax Section 125 (exempt from FIT/SIT/FICA)</v>
      </c>
      <c r="H1015" s="38" t="str">
        <f aca="false">_xlfn.XLOOKUP($E1015,$A$5:$A$8,$E$5:$E$8,"")</f>
        <v>Flat</v>
      </c>
      <c r="I1015" s="44" t="str">
        <f aca="false">IF($H1015="Percent",_xlfn.XLOOKUP($E1015,$A$5:$A$8,$F$5:$F$8,""),"")</f>
        <v/>
      </c>
      <c r="J1015" s="42" t="n">
        <f aca="false">IF($H1015="Flat",_xlfn.XLOOKUP($E1015,$A$5:$A$8,$F$5:$F$8,""),"")</f>
        <v>200</v>
      </c>
      <c r="K1015" s="38" t="str">
        <f aca="false">_xlfn.XLOOKUP($E1015,$A$5:$A$8,$G$5:$G$8,"")</f>
        <v>Per pay period</v>
      </c>
      <c r="L1015" s="38" t="str">
        <f aca="false">_xlfn.XLOOKUP($E1015,$A$5:$A$8,$H$5:$H$8,"")</f>
        <v>Every pay period (ongoing)</v>
      </c>
      <c r="M1015" s="43" t="n">
        <f aca="false" t="array" ref="M1015:M1015">MAX(_xlfn.XLOOKUP($A1015,TRIM(SUBSTITUTE('worker file'!$A$2:$A$406,_xlfn.UNICHAR(160)," ")),'worker file'!$M$2:$M$406,0),_xlfn.XLOOKUP($B1015,TRIM('pay group &amp; schedule'!$A$2:$A$6),'pay group &amp; schedule'!$D$2:$D$6,0))</f>
        <v>46311</v>
      </c>
      <c r="N1015" s="43" t="str">
        <f aca="false" t="array" ref="N1015:N1015">_xlfn.LET(_xlpm.t,_xlfn.XLOOKUP($A1015,TRIM(SUBSTITUTE('worker file'!$A$2:$A$406,_xlfn.UNICHAR(160)," ")),'worker file'!$N$2:$N$406,""),IF(N(_xlpm.t)=0,"",_xlpm.t))</f>
        <v/>
      </c>
    </row>
    <row r="1016" customFormat="false" ht="15" hidden="false" customHeight="false" outlineLevel="0" collapsed="false">
      <c r="A1016" s="39" t="s">
        <v>444</v>
      </c>
      <c r="B1016" s="40" t="str">
        <f aca="false" t="array" ref="B1016:B1016">_xlfn.XLOOKUP($A1016,TRIM(SUBSTITUTE('worker file'!$A$2:$A$406,_xlfn.UNICHAR(160)," ")),'worker file'!$L$2:$L$406,"Not found")</f>
        <v>US Semi-monthly</v>
      </c>
      <c r="C1016" s="40" t="str">
        <f aca="false" t="array" ref="C1016:C1016">_xlfn.XLOOKUP($A1016,TRIM(SUBSTITUTE('worker file'!$A$2:$A$406,_xlfn.UNICHAR(160)," ")),'worker file'!$D$2:$D$406,"Not found")</f>
        <v>CA</v>
      </c>
      <c r="D1016" s="40" t="str">
        <f aca="false" t="array" ref="D1016:D1016">_xlfn.XLOOKUP($A1016,TRIM(SUBSTITUTE('worker file'!$A$2:$A$406,_xlfn.UNICHAR(160)," ")),'worker file'!$Q$2:$Q$406,"Not found")</f>
        <v>Active</v>
      </c>
      <c r="E1016" s="39" t="s">
        <v>632</v>
      </c>
      <c r="F1016" s="38" t="str">
        <f aca="false">_xlfn.XLOOKUP($E1016,$A$5:$A$8,$B$5:$B$8,"")</f>
        <v>Dental – Employee</v>
      </c>
      <c r="G1016" s="38" t="str">
        <f aca="false">_xlfn.XLOOKUP($E1016,$A$5:$A$8,$D$5:$D$8,"")</f>
        <v>Pre-tax Section 125 (exempt from FIT/SIT/FICA)</v>
      </c>
      <c r="H1016" s="38" t="str">
        <f aca="false">_xlfn.XLOOKUP($E1016,$A$5:$A$8,$E$5:$E$8,"")</f>
        <v>Flat</v>
      </c>
      <c r="I1016" s="44" t="str">
        <f aca="false">IF($H1016="Percent",_xlfn.XLOOKUP($E1016,$A$5:$A$8,$F$5:$F$8,""),"")</f>
        <v/>
      </c>
      <c r="J1016" s="42" t="n">
        <f aca="false">IF($H1016="Flat",_xlfn.XLOOKUP($E1016,$A$5:$A$8,$F$5:$F$8,""),"")</f>
        <v>44</v>
      </c>
      <c r="K1016" s="38" t="str">
        <f aca="false">_xlfn.XLOOKUP($E1016,$A$5:$A$8,$G$5:$G$8,"")</f>
        <v>Per pay period</v>
      </c>
      <c r="L1016" s="38" t="str">
        <f aca="false">_xlfn.XLOOKUP($E1016,$A$5:$A$8,$H$5:$H$8,"")</f>
        <v>Every pay period (ongoing)</v>
      </c>
      <c r="M1016" s="43" t="n">
        <f aca="false" t="array" ref="M1016:M1016">MAX(_xlfn.XLOOKUP($A1016,TRIM(SUBSTITUTE('worker file'!$A$2:$A$406,_xlfn.UNICHAR(160)," ")),'worker file'!$M$2:$M$406,0),_xlfn.XLOOKUP($B1016,TRIM('pay group &amp; schedule'!$A$2:$A$6),'pay group &amp; schedule'!$D$2:$D$6,0))</f>
        <v>46311</v>
      </c>
      <c r="N1016" s="43" t="str">
        <f aca="false" t="array" ref="N1016:N1016">_xlfn.LET(_xlpm.t,_xlfn.XLOOKUP($A1016,TRIM(SUBSTITUTE('worker file'!$A$2:$A$406,_xlfn.UNICHAR(160)," ")),'worker file'!$N$2:$N$406,""),IF(N(_xlpm.t)=0,"",_xlpm.t))</f>
        <v/>
      </c>
    </row>
    <row r="1017" customFormat="false" ht="15" hidden="false" customHeight="false" outlineLevel="0" collapsed="false">
      <c r="A1017" s="39" t="s">
        <v>444</v>
      </c>
      <c r="B1017" s="40" t="str">
        <f aca="false" t="array" ref="B1017:B1017">_xlfn.XLOOKUP($A1017,TRIM(SUBSTITUTE('worker file'!$A$2:$A$406,_xlfn.UNICHAR(160)," ")),'worker file'!$L$2:$L$406,"Not found")</f>
        <v>US Semi-monthly</v>
      </c>
      <c r="C1017" s="40" t="str">
        <f aca="false" t="array" ref="C1017:C1017">_xlfn.XLOOKUP($A1017,TRIM(SUBSTITUTE('worker file'!$A$2:$A$406,_xlfn.UNICHAR(160)," ")),'worker file'!$D$2:$D$406,"Not found")</f>
        <v>CA</v>
      </c>
      <c r="D1017" s="40" t="str">
        <f aca="false" t="array" ref="D1017:D1017">_xlfn.XLOOKUP($A1017,TRIM(SUBSTITUTE('worker file'!$A$2:$A$406,_xlfn.UNICHAR(160)," ")),'worker file'!$Q$2:$Q$406,"Not found")</f>
        <v>Active</v>
      </c>
      <c r="E1017" s="39" t="s">
        <v>634</v>
      </c>
      <c r="F1017" s="38" t="str">
        <f aca="false">_xlfn.XLOOKUP($E1017,$A$5:$A$8,$B$5:$B$8,"")</f>
        <v>Vision – Employee</v>
      </c>
      <c r="G1017" s="38" t="str">
        <f aca="false">_xlfn.XLOOKUP($E1017,$A$5:$A$8,$D$5:$D$8,"")</f>
        <v>Pre-tax Section 125 (exempt from FIT/SIT/FICA)</v>
      </c>
      <c r="H1017" s="38" t="str">
        <f aca="false">_xlfn.XLOOKUP($E1017,$A$5:$A$8,$E$5:$E$8,"")</f>
        <v>Flat</v>
      </c>
      <c r="I1017" s="44" t="str">
        <f aca="false">IF($H1017="Percent",_xlfn.XLOOKUP($E1017,$A$5:$A$8,$F$5:$F$8,""),"")</f>
        <v/>
      </c>
      <c r="J1017" s="42" t="n">
        <f aca="false">IF($H1017="Flat",_xlfn.XLOOKUP($E1017,$A$5:$A$8,$F$5:$F$8,""),"")</f>
        <v>30</v>
      </c>
      <c r="K1017" s="38" t="str">
        <f aca="false">_xlfn.XLOOKUP($E1017,$A$5:$A$8,$G$5:$G$8,"")</f>
        <v>Per pay period</v>
      </c>
      <c r="L1017" s="38" t="str">
        <f aca="false">_xlfn.XLOOKUP($E1017,$A$5:$A$8,$H$5:$H$8,"")</f>
        <v>Every pay period (ongoing)</v>
      </c>
      <c r="M1017" s="43" t="n">
        <f aca="false" t="array" ref="M1017:M1017">MAX(_xlfn.XLOOKUP($A1017,TRIM(SUBSTITUTE('worker file'!$A$2:$A$406,_xlfn.UNICHAR(160)," ")),'worker file'!$M$2:$M$406,0),_xlfn.XLOOKUP($B1017,TRIM('pay group &amp; schedule'!$A$2:$A$6),'pay group &amp; schedule'!$D$2:$D$6,0))</f>
        <v>46311</v>
      </c>
      <c r="N1017" s="43" t="str">
        <f aca="false" t="array" ref="N1017:N1017">_xlfn.LET(_xlpm.t,_xlfn.XLOOKUP($A1017,TRIM(SUBSTITUTE('worker file'!$A$2:$A$406,_xlfn.UNICHAR(160)," ")),'worker file'!$N$2:$N$406,""),IF(N(_xlpm.t)=0,"",_xlpm.t))</f>
        <v/>
      </c>
    </row>
    <row r="1018" customFormat="false" ht="15" hidden="false" customHeight="false" outlineLevel="0" collapsed="false">
      <c r="A1018" s="39" t="s">
        <v>445</v>
      </c>
      <c r="B1018" s="40" t="str">
        <f aca="false" t="array" ref="B1018:B1018">_xlfn.XLOOKUP($A1018,TRIM(SUBSTITUTE('worker file'!$A$2:$A$406,_xlfn.UNICHAR(160)," ")),'worker file'!$L$2:$L$406,"Not found")</f>
        <v>US Semi-monthly</v>
      </c>
      <c r="C1018" s="40" t="str">
        <f aca="false" t="array" ref="C1018:C1018">_xlfn.XLOOKUP($A1018,TRIM(SUBSTITUTE('worker file'!$A$2:$A$406,_xlfn.UNICHAR(160)," ")),'worker file'!$D$2:$D$406,"Not found")</f>
        <v>CA</v>
      </c>
      <c r="D1018" s="40" t="str">
        <f aca="false" t="array" ref="D1018:D1018">_xlfn.XLOOKUP($A1018,TRIM(SUBSTITUTE('worker file'!$A$2:$A$406,_xlfn.UNICHAR(160)," ")),'worker file'!$Q$2:$Q$406,"Not found")</f>
        <v>Active</v>
      </c>
      <c r="E1018" s="39" t="s">
        <v>618</v>
      </c>
      <c r="F1018" s="38" t="str">
        <f aca="false">_xlfn.XLOOKUP($E1018,$A$5:$A$8,$B$5:$B$8,"")</f>
        <v>401(k) Employee Deferral</v>
      </c>
      <c r="G1018" s="38" t="str">
        <f aca="false">_xlfn.XLOOKUP($E1018,$A$5:$A$8,$D$5:$D$8,"")</f>
        <v>Pre-tax (exempt from FIT/SIT; subject to FICA)</v>
      </c>
      <c r="H1018" s="38" t="str">
        <f aca="false">_xlfn.XLOOKUP($E1018,$A$5:$A$8,$E$5:$E$8,"")</f>
        <v>Percent</v>
      </c>
      <c r="I1018" s="41" t="n">
        <v>0.05</v>
      </c>
      <c r="J1018" s="42" t="str">
        <f aca="false">IF($H1018="Flat",_xlfn.XLOOKUP($E1018,$A$5:$A$8,$F$5:$F$8,""),"")</f>
        <v/>
      </c>
      <c r="K1018" s="38" t="str">
        <f aca="false">_xlfn.XLOOKUP($E1018,$A$5:$A$8,$G$5:$G$8,"")</f>
        <v>Gross pay</v>
      </c>
      <c r="L1018" s="38" t="str">
        <f aca="false">_xlfn.XLOOKUP($E1018,$A$5:$A$8,$H$5:$H$8,"")</f>
        <v>Every pay period (ongoing)</v>
      </c>
      <c r="M1018" s="43" t="n">
        <f aca="false" t="array" ref="M1018:M1018">MAX(_xlfn.XLOOKUP($A1018,TRIM(SUBSTITUTE('worker file'!$A$2:$A$406,_xlfn.UNICHAR(160)," ")),'worker file'!$M$2:$M$406,0),_xlfn.XLOOKUP($B1018,TRIM('pay group &amp; schedule'!$A$2:$A$6),'pay group &amp; schedule'!$D$2:$D$6,0))</f>
        <v>46311</v>
      </c>
      <c r="N1018" s="43" t="str">
        <f aca="false" t="array" ref="N1018:N1018">_xlfn.LET(_xlpm.t,_xlfn.XLOOKUP($A1018,TRIM(SUBSTITUTE('worker file'!$A$2:$A$406,_xlfn.UNICHAR(160)," ")),'worker file'!$N$2:$N$406,""),IF(N(_xlpm.t)=0,"",_xlpm.t))</f>
        <v/>
      </c>
    </row>
    <row r="1019" customFormat="false" ht="15" hidden="false" customHeight="false" outlineLevel="0" collapsed="false">
      <c r="A1019" s="39" t="s">
        <v>445</v>
      </c>
      <c r="B1019" s="40" t="str">
        <f aca="false" t="array" ref="B1019:B1019">_xlfn.XLOOKUP($A1019,TRIM(SUBSTITUTE('worker file'!$A$2:$A$406,_xlfn.UNICHAR(160)," ")),'worker file'!$L$2:$L$406,"Not found")</f>
        <v>US Semi-monthly</v>
      </c>
      <c r="C1019" s="40" t="str">
        <f aca="false" t="array" ref="C1019:C1019">_xlfn.XLOOKUP($A1019,TRIM(SUBSTITUTE('worker file'!$A$2:$A$406,_xlfn.UNICHAR(160)," ")),'worker file'!$D$2:$D$406,"Not found")</f>
        <v>CA</v>
      </c>
      <c r="D1019" s="40" t="str">
        <f aca="false" t="array" ref="D1019:D1019">_xlfn.XLOOKUP($A1019,TRIM(SUBSTITUTE('worker file'!$A$2:$A$406,_xlfn.UNICHAR(160)," ")),'worker file'!$Q$2:$Q$406,"Not found")</f>
        <v>Active</v>
      </c>
      <c r="E1019" s="39" t="s">
        <v>626</v>
      </c>
      <c r="F1019" s="38" t="str">
        <f aca="false">_xlfn.XLOOKUP($E1019,$A$5:$A$8,$B$5:$B$8,"")</f>
        <v>Medical (Health) – Employee</v>
      </c>
      <c r="G1019" s="38" t="str">
        <f aca="false">_xlfn.XLOOKUP($E1019,$A$5:$A$8,$D$5:$D$8,"")</f>
        <v>Pre-tax Section 125 (exempt from FIT/SIT/FICA)</v>
      </c>
      <c r="H1019" s="38" t="str">
        <f aca="false">_xlfn.XLOOKUP($E1019,$A$5:$A$8,$E$5:$E$8,"")</f>
        <v>Flat</v>
      </c>
      <c r="I1019" s="44" t="str">
        <f aca="false">IF($H1019="Percent",_xlfn.XLOOKUP($E1019,$A$5:$A$8,$F$5:$F$8,""),"")</f>
        <v/>
      </c>
      <c r="J1019" s="42" t="n">
        <f aca="false">IF($H1019="Flat",_xlfn.XLOOKUP($E1019,$A$5:$A$8,$F$5:$F$8,""),"")</f>
        <v>200</v>
      </c>
      <c r="K1019" s="38" t="str">
        <f aca="false">_xlfn.XLOOKUP($E1019,$A$5:$A$8,$G$5:$G$8,"")</f>
        <v>Per pay period</v>
      </c>
      <c r="L1019" s="38" t="str">
        <f aca="false">_xlfn.XLOOKUP($E1019,$A$5:$A$8,$H$5:$H$8,"")</f>
        <v>Every pay period (ongoing)</v>
      </c>
      <c r="M1019" s="43" t="n">
        <f aca="false" t="array" ref="M1019:M1019">MAX(_xlfn.XLOOKUP($A1019,TRIM(SUBSTITUTE('worker file'!$A$2:$A$406,_xlfn.UNICHAR(160)," ")),'worker file'!$M$2:$M$406,0),_xlfn.XLOOKUP($B1019,TRIM('pay group &amp; schedule'!$A$2:$A$6),'pay group &amp; schedule'!$D$2:$D$6,0))</f>
        <v>46311</v>
      </c>
      <c r="N1019" s="43" t="str">
        <f aca="false" t="array" ref="N1019:N1019">_xlfn.LET(_xlpm.t,_xlfn.XLOOKUP($A1019,TRIM(SUBSTITUTE('worker file'!$A$2:$A$406,_xlfn.UNICHAR(160)," ")),'worker file'!$N$2:$N$406,""),IF(N(_xlpm.t)=0,"",_xlpm.t))</f>
        <v/>
      </c>
    </row>
    <row r="1020" customFormat="false" ht="15" hidden="false" customHeight="false" outlineLevel="0" collapsed="false">
      <c r="A1020" s="39" t="s">
        <v>445</v>
      </c>
      <c r="B1020" s="40" t="str">
        <f aca="false" t="array" ref="B1020:B1020">_xlfn.XLOOKUP($A1020,TRIM(SUBSTITUTE('worker file'!$A$2:$A$406,_xlfn.UNICHAR(160)," ")),'worker file'!$L$2:$L$406,"Not found")</f>
        <v>US Semi-monthly</v>
      </c>
      <c r="C1020" s="40" t="str">
        <f aca="false" t="array" ref="C1020:C1020">_xlfn.XLOOKUP($A1020,TRIM(SUBSTITUTE('worker file'!$A$2:$A$406,_xlfn.UNICHAR(160)," ")),'worker file'!$D$2:$D$406,"Not found")</f>
        <v>CA</v>
      </c>
      <c r="D1020" s="40" t="str">
        <f aca="false" t="array" ref="D1020:D1020">_xlfn.XLOOKUP($A1020,TRIM(SUBSTITUTE('worker file'!$A$2:$A$406,_xlfn.UNICHAR(160)," ")),'worker file'!$Q$2:$Q$406,"Not found")</f>
        <v>Active</v>
      </c>
      <c r="E1020" s="39" t="s">
        <v>632</v>
      </c>
      <c r="F1020" s="38" t="str">
        <f aca="false">_xlfn.XLOOKUP($E1020,$A$5:$A$8,$B$5:$B$8,"")</f>
        <v>Dental – Employee</v>
      </c>
      <c r="G1020" s="38" t="str">
        <f aca="false">_xlfn.XLOOKUP($E1020,$A$5:$A$8,$D$5:$D$8,"")</f>
        <v>Pre-tax Section 125 (exempt from FIT/SIT/FICA)</v>
      </c>
      <c r="H1020" s="38" t="str">
        <f aca="false">_xlfn.XLOOKUP($E1020,$A$5:$A$8,$E$5:$E$8,"")</f>
        <v>Flat</v>
      </c>
      <c r="I1020" s="44" t="str">
        <f aca="false">IF($H1020="Percent",_xlfn.XLOOKUP($E1020,$A$5:$A$8,$F$5:$F$8,""),"")</f>
        <v/>
      </c>
      <c r="J1020" s="42" t="n">
        <f aca="false">IF($H1020="Flat",_xlfn.XLOOKUP($E1020,$A$5:$A$8,$F$5:$F$8,""),"")</f>
        <v>44</v>
      </c>
      <c r="K1020" s="38" t="str">
        <f aca="false">_xlfn.XLOOKUP($E1020,$A$5:$A$8,$G$5:$G$8,"")</f>
        <v>Per pay period</v>
      </c>
      <c r="L1020" s="38" t="str">
        <f aca="false">_xlfn.XLOOKUP($E1020,$A$5:$A$8,$H$5:$H$8,"")</f>
        <v>Every pay period (ongoing)</v>
      </c>
      <c r="M1020" s="43" t="n">
        <f aca="false" t="array" ref="M1020:M1020">MAX(_xlfn.XLOOKUP($A1020,TRIM(SUBSTITUTE('worker file'!$A$2:$A$406,_xlfn.UNICHAR(160)," ")),'worker file'!$M$2:$M$406,0),_xlfn.XLOOKUP($B1020,TRIM('pay group &amp; schedule'!$A$2:$A$6),'pay group &amp; schedule'!$D$2:$D$6,0))</f>
        <v>46311</v>
      </c>
      <c r="N1020" s="43" t="str">
        <f aca="false" t="array" ref="N1020:N1020">_xlfn.LET(_xlpm.t,_xlfn.XLOOKUP($A1020,TRIM(SUBSTITUTE('worker file'!$A$2:$A$406,_xlfn.UNICHAR(160)," ")),'worker file'!$N$2:$N$406,""),IF(N(_xlpm.t)=0,"",_xlpm.t))</f>
        <v/>
      </c>
    </row>
    <row r="1021" customFormat="false" ht="15" hidden="false" customHeight="false" outlineLevel="0" collapsed="false">
      <c r="A1021" s="39" t="s">
        <v>445</v>
      </c>
      <c r="B1021" s="40" t="str">
        <f aca="false" t="array" ref="B1021:B1021">_xlfn.XLOOKUP($A1021,TRIM(SUBSTITUTE('worker file'!$A$2:$A$406,_xlfn.UNICHAR(160)," ")),'worker file'!$L$2:$L$406,"Not found")</f>
        <v>US Semi-monthly</v>
      </c>
      <c r="C1021" s="40" t="str">
        <f aca="false" t="array" ref="C1021:C1021">_xlfn.XLOOKUP($A1021,TRIM(SUBSTITUTE('worker file'!$A$2:$A$406,_xlfn.UNICHAR(160)," ")),'worker file'!$D$2:$D$406,"Not found")</f>
        <v>CA</v>
      </c>
      <c r="D1021" s="40" t="str">
        <f aca="false" t="array" ref="D1021:D1021">_xlfn.XLOOKUP($A1021,TRIM(SUBSTITUTE('worker file'!$A$2:$A$406,_xlfn.UNICHAR(160)," ")),'worker file'!$Q$2:$Q$406,"Not found")</f>
        <v>Active</v>
      </c>
      <c r="E1021" s="39" t="s">
        <v>634</v>
      </c>
      <c r="F1021" s="38" t="str">
        <f aca="false">_xlfn.XLOOKUP($E1021,$A$5:$A$8,$B$5:$B$8,"")</f>
        <v>Vision – Employee</v>
      </c>
      <c r="G1021" s="38" t="str">
        <f aca="false">_xlfn.XLOOKUP($E1021,$A$5:$A$8,$D$5:$D$8,"")</f>
        <v>Pre-tax Section 125 (exempt from FIT/SIT/FICA)</v>
      </c>
      <c r="H1021" s="38" t="str">
        <f aca="false">_xlfn.XLOOKUP($E1021,$A$5:$A$8,$E$5:$E$8,"")</f>
        <v>Flat</v>
      </c>
      <c r="I1021" s="44" t="str">
        <f aca="false">IF($H1021="Percent",_xlfn.XLOOKUP($E1021,$A$5:$A$8,$F$5:$F$8,""),"")</f>
        <v/>
      </c>
      <c r="J1021" s="42" t="n">
        <f aca="false">IF($H1021="Flat",_xlfn.XLOOKUP($E1021,$A$5:$A$8,$F$5:$F$8,""),"")</f>
        <v>30</v>
      </c>
      <c r="K1021" s="38" t="str">
        <f aca="false">_xlfn.XLOOKUP($E1021,$A$5:$A$8,$G$5:$G$8,"")</f>
        <v>Per pay period</v>
      </c>
      <c r="L1021" s="38" t="str">
        <f aca="false">_xlfn.XLOOKUP($E1021,$A$5:$A$8,$H$5:$H$8,"")</f>
        <v>Every pay period (ongoing)</v>
      </c>
      <c r="M1021" s="43" t="n">
        <f aca="false" t="array" ref="M1021:M1021">MAX(_xlfn.XLOOKUP($A1021,TRIM(SUBSTITUTE('worker file'!$A$2:$A$406,_xlfn.UNICHAR(160)," ")),'worker file'!$M$2:$M$406,0),_xlfn.XLOOKUP($B1021,TRIM('pay group &amp; schedule'!$A$2:$A$6),'pay group &amp; schedule'!$D$2:$D$6,0))</f>
        <v>46311</v>
      </c>
      <c r="N1021" s="43" t="str">
        <f aca="false" t="array" ref="N1021:N1021">_xlfn.LET(_xlpm.t,_xlfn.XLOOKUP($A1021,TRIM(SUBSTITUTE('worker file'!$A$2:$A$406,_xlfn.UNICHAR(160)," ")),'worker file'!$N$2:$N$406,""),IF(N(_xlpm.t)=0,"",_xlpm.t))</f>
        <v/>
      </c>
    </row>
    <row r="1022" customFormat="false" ht="15" hidden="false" customHeight="false" outlineLevel="0" collapsed="false">
      <c r="A1022" s="39" t="s">
        <v>446</v>
      </c>
      <c r="B1022" s="40" t="str">
        <f aca="false" t="array" ref="B1022:B1022">_xlfn.XLOOKUP($A1022,TRIM(SUBSTITUTE('worker file'!$A$2:$A$406,_xlfn.UNICHAR(160)," ")),'worker file'!$L$2:$L$406,"Not found")</f>
        <v>US Semi-monthly</v>
      </c>
      <c r="C1022" s="40" t="str">
        <f aca="false" t="array" ref="C1022:C1022">_xlfn.XLOOKUP($A1022,TRIM(SUBSTITUTE('worker file'!$A$2:$A$406,_xlfn.UNICHAR(160)," ")),'worker file'!$D$2:$D$406,"Not found")</f>
        <v>TX</v>
      </c>
      <c r="D1022" s="40" t="str">
        <f aca="false" t="array" ref="D1022:D1022">_xlfn.XLOOKUP($A1022,TRIM(SUBSTITUTE('worker file'!$A$2:$A$406,_xlfn.UNICHAR(160)," ")),'worker file'!$Q$2:$Q$406,"Not found")</f>
        <v>Active</v>
      </c>
      <c r="E1022" s="39" t="s">
        <v>618</v>
      </c>
      <c r="F1022" s="38" t="str">
        <f aca="false">_xlfn.XLOOKUP($E1022,$A$5:$A$8,$B$5:$B$8,"")</f>
        <v>401(k) Employee Deferral</v>
      </c>
      <c r="G1022" s="38" t="str">
        <f aca="false">_xlfn.XLOOKUP($E1022,$A$5:$A$8,$D$5:$D$8,"")</f>
        <v>Pre-tax (exempt from FIT/SIT; subject to FICA)</v>
      </c>
      <c r="H1022" s="38" t="str">
        <f aca="false">_xlfn.XLOOKUP($E1022,$A$5:$A$8,$E$5:$E$8,"")</f>
        <v>Percent</v>
      </c>
      <c r="I1022" s="41" t="n">
        <v>0.02</v>
      </c>
      <c r="J1022" s="42" t="str">
        <f aca="false">IF($H1022="Flat",_xlfn.XLOOKUP($E1022,$A$5:$A$8,$F$5:$F$8,""),"")</f>
        <v/>
      </c>
      <c r="K1022" s="38" t="str">
        <f aca="false">_xlfn.XLOOKUP($E1022,$A$5:$A$8,$G$5:$G$8,"")</f>
        <v>Gross pay</v>
      </c>
      <c r="L1022" s="38" t="str">
        <f aca="false">_xlfn.XLOOKUP($E1022,$A$5:$A$8,$H$5:$H$8,"")</f>
        <v>Every pay period (ongoing)</v>
      </c>
      <c r="M1022" s="43" t="n">
        <f aca="false" t="array" ref="M1022:M1022">MAX(_xlfn.XLOOKUP($A1022,TRIM(SUBSTITUTE('worker file'!$A$2:$A$406,_xlfn.UNICHAR(160)," ")),'worker file'!$M$2:$M$406,0),_xlfn.XLOOKUP($B1022,TRIM('pay group &amp; schedule'!$A$2:$A$6),'pay group &amp; schedule'!$D$2:$D$6,0))</f>
        <v>46311</v>
      </c>
      <c r="N1022" s="43" t="str">
        <f aca="false" t="array" ref="N1022:N1022">_xlfn.LET(_xlpm.t,_xlfn.XLOOKUP($A1022,TRIM(SUBSTITUTE('worker file'!$A$2:$A$406,_xlfn.UNICHAR(160)," ")),'worker file'!$N$2:$N$406,""),IF(N(_xlpm.t)=0,"",_xlpm.t))</f>
        <v/>
      </c>
    </row>
    <row r="1023" customFormat="false" ht="15" hidden="false" customHeight="false" outlineLevel="0" collapsed="false">
      <c r="A1023" s="39" t="s">
        <v>446</v>
      </c>
      <c r="B1023" s="40" t="str">
        <f aca="false" t="array" ref="B1023:B1023">_xlfn.XLOOKUP($A1023,TRIM(SUBSTITUTE('worker file'!$A$2:$A$406,_xlfn.UNICHAR(160)," ")),'worker file'!$L$2:$L$406,"Not found")</f>
        <v>US Semi-monthly</v>
      </c>
      <c r="C1023" s="40" t="str">
        <f aca="false" t="array" ref="C1023:C1023">_xlfn.XLOOKUP($A1023,TRIM(SUBSTITUTE('worker file'!$A$2:$A$406,_xlfn.UNICHAR(160)," ")),'worker file'!$D$2:$D$406,"Not found")</f>
        <v>TX</v>
      </c>
      <c r="D1023" s="40" t="str">
        <f aca="false" t="array" ref="D1023:D1023">_xlfn.XLOOKUP($A1023,TRIM(SUBSTITUTE('worker file'!$A$2:$A$406,_xlfn.UNICHAR(160)," ")),'worker file'!$Q$2:$Q$406,"Not found")</f>
        <v>Active</v>
      </c>
      <c r="E1023" s="39" t="s">
        <v>626</v>
      </c>
      <c r="F1023" s="38" t="str">
        <f aca="false">_xlfn.XLOOKUP($E1023,$A$5:$A$8,$B$5:$B$8,"")</f>
        <v>Medical (Health) – Employee</v>
      </c>
      <c r="G1023" s="38" t="str">
        <f aca="false">_xlfn.XLOOKUP($E1023,$A$5:$A$8,$D$5:$D$8,"")</f>
        <v>Pre-tax Section 125 (exempt from FIT/SIT/FICA)</v>
      </c>
      <c r="H1023" s="38" t="str">
        <f aca="false">_xlfn.XLOOKUP($E1023,$A$5:$A$8,$E$5:$E$8,"")</f>
        <v>Flat</v>
      </c>
      <c r="I1023" s="44" t="str">
        <f aca="false">IF($H1023="Percent",_xlfn.XLOOKUP($E1023,$A$5:$A$8,$F$5:$F$8,""),"")</f>
        <v/>
      </c>
      <c r="J1023" s="42" t="n">
        <f aca="false">IF($H1023="Flat",_xlfn.XLOOKUP($E1023,$A$5:$A$8,$F$5:$F$8,""),"")</f>
        <v>200</v>
      </c>
      <c r="K1023" s="38" t="str">
        <f aca="false">_xlfn.XLOOKUP($E1023,$A$5:$A$8,$G$5:$G$8,"")</f>
        <v>Per pay period</v>
      </c>
      <c r="L1023" s="38" t="str">
        <f aca="false">_xlfn.XLOOKUP($E1023,$A$5:$A$8,$H$5:$H$8,"")</f>
        <v>Every pay period (ongoing)</v>
      </c>
      <c r="M1023" s="43" t="n">
        <f aca="false" t="array" ref="M1023:M1023">MAX(_xlfn.XLOOKUP($A1023,TRIM(SUBSTITUTE('worker file'!$A$2:$A$406,_xlfn.UNICHAR(160)," ")),'worker file'!$M$2:$M$406,0),_xlfn.XLOOKUP($B1023,TRIM('pay group &amp; schedule'!$A$2:$A$6),'pay group &amp; schedule'!$D$2:$D$6,0))</f>
        <v>46311</v>
      </c>
      <c r="N1023" s="43" t="str">
        <f aca="false" t="array" ref="N1023:N1023">_xlfn.LET(_xlpm.t,_xlfn.XLOOKUP($A1023,TRIM(SUBSTITUTE('worker file'!$A$2:$A$406,_xlfn.UNICHAR(160)," ")),'worker file'!$N$2:$N$406,""),IF(N(_xlpm.t)=0,"",_xlpm.t))</f>
        <v/>
      </c>
    </row>
    <row r="1024" customFormat="false" ht="15" hidden="false" customHeight="false" outlineLevel="0" collapsed="false">
      <c r="A1024" s="39" t="s">
        <v>446</v>
      </c>
      <c r="B1024" s="40" t="str">
        <f aca="false" t="array" ref="B1024:B1024">_xlfn.XLOOKUP($A1024,TRIM(SUBSTITUTE('worker file'!$A$2:$A$406,_xlfn.UNICHAR(160)," ")),'worker file'!$L$2:$L$406,"Not found")</f>
        <v>US Semi-monthly</v>
      </c>
      <c r="C1024" s="40" t="str">
        <f aca="false" t="array" ref="C1024:C1024">_xlfn.XLOOKUP($A1024,TRIM(SUBSTITUTE('worker file'!$A$2:$A$406,_xlfn.UNICHAR(160)," ")),'worker file'!$D$2:$D$406,"Not found")</f>
        <v>TX</v>
      </c>
      <c r="D1024" s="40" t="str">
        <f aca="false" t="array" ref="D1024:D1024">_xlfn.XLOOKUP($A1024,TRIM(SUBSTITUTE('worker file'!$A$2:$A$406,_xlfn.UNICHAR(160)," ")),'worker file'!$Q$2:$Q$406,"Not found")</f>
        <v>Active</v>
      </c>
      <c r="E1024" s="39" t="s">
        <v>632</v>
      </c>
      <c r="F1024" s="38" t="str">
        <f aca="false">_xlfn.XLOOKUP($E1024,$A$5:$A$8,$B$5:$B$8,"")</f>
        <v>Dental – Employee</v>
      </c>
      <c r="G1024" s="38" t="str">
        <f aca="false">_xlfn.XLOOKUP($E1024,$A$5:$A$8,$D$5:$D$8,"")</f>
        <v>Pre-tax Section 125 (exempt from FIT/SIT/FICA)</v>
      </c>
      <c r="H1024" s="38" t="str">
        <f aca="false">_xlfn.XLOOKUP($E1024,$A$5:$A$8,$E$5:$E$8,"")</f>
        <v>Flat</v>
      </c>
      <c r="I1024" s="44" t="str">
        <f aca="false">IF($H1024="Percent",_xlfn.XLOOKUP($E1024,$A$5:$A$8,$F$5:$F$8,""),"")</f>
        <v/>
      </c>
      <c r="J1024" s="42" t="n">
        <f aca="false">IF($H1024="Flat",_xlfn.XLOOKUP($E1024,$A$5:$A$8,$F$5:$F$8,""),"")</f>
        <v>44</v>
      </c>
      <c r="K1024" s="38" t="str">
        <f aca="false">_xlfn.XLOOKUP($E1024,$A$5:$A$8,$G$5:$G$8,"")</f>
        <v>Per pay period</v>
      </c>
      <c r="L1024" s="38" t="str">
        <f aca="false">_xlfn.XLOOKUP($E1024,$A$5:$A$8,$H$5:$H$8,"")</f>
        <v>Every pay period (ongoing)</v>
      </c>
      <c r="M1024" s="43" t="n">
        <f aca="false" t="array" ref="M1024:M1024">MAX(_xlfn.XLOOKUP($A1024,TRIM(SUBSTITUTE('worker file'!$A$2:$A$406,_xlfn.UNICHAR(160)," ")),'worker file'!$M$2:$M$406,0),_xlfn.XLOOKUP($B1024,TRIM('pay group &amp; schedule'!$A$2:$A$6),'pay group &amp; schedule'!$D$2:$D$6,0))</f>
        <v>46311</v>
      </c>
      <c r="N1024" s="43" t="str">
        <f aca="false" t="array" ref="N1024:N1024">_xlfn.LET(_xlpm.t,_xlfn.XLOOKUP($A1024,TRIM(SUBSTITUTE('worker file'!$A$2:$A$406,_xlfn.UNICHAR(160)," ")),'worker file'!$N$2:$N$406,""),IF(N(_xlpm.t)=0,"",_xlpm.t))</f>
        <v/>
      </c>
    </row>
    <row r="1025" customFormat="false" ht="15" hidden="false" customHeight="false" outlineLevel="0" collapsed="false">
      <c r="A1025" s="39" t="s">
        <v>446</v>
      </c>
      <c r="B1025" s="40" t="str">
        <f aca="false" t="array" ref="B1025:B1025">_xlfn.XLOOKUP($A1025,TRIM(SUBSTITUTE('worker file'!$A$2:$A$406,_xlfn.UNICHAR(160)," ")),'worker file'!$L$2:$L$406,"Not found")</f>
        <v>US Semi-monthly</v>
      </c>
      <c r="C1025" s="40" t="str">
        <f aca="false" t="array" ref="C1025:C1025">_xlfn.XLOOKUP($A1025,TRIM(SUBSTITUTE('worker file'!$A$2:$A$406,_xlfn.UNICHAR(160)," ")),'worker file'!$D$2:$D$406,"Not found")</f>
        <v>TX</v>
      </c>
      <c r="D1025" s="40" t="str">
        <f aca="false" t="array" ref="D1025:D1025">_xlfn.XLOOKUP($A1025,TRIM(SUBSTITUTE('worker file'!$A$2:$A$406,_xlfn.UNICHAR(160)," ")),'worker file'!$Q$2:$Q$406,"Not found")</f>
        <v>Active</v>
      </c>
      <c r="E1025" s="39" t="s">
        <v>634</v>
      </c>
      <c r="F1025" s="38" t="str">
        <f aca="false">_xlfn.XLOOKUP($E1025,$A$5:$A$8,$B$5:$B$8,"")</f>
        <v>Vision – Employee</v>
      </c>
      <c r="G1025" s="38" t="str">
        <f aca="false">_xlfn.XLOOKUP($E1025,$A$5:$A$8,$D$5:$D$8,"")</f>
        <v>Pre-tax Section 125 (exempt from FIT/SIT/FICA)</v>
      </c>
      <c r="H1025" s="38" t="str">
        <f aca="false">_xlfn.XLOOKUP($E1025,$A$5:$A$8,$E$5:$E$8,"")</f>
        <v>Flat</v>
      </c>
      <c r="I1025" s="44" t="str">
        <f aca="false">IF($H1025="Percent",_xlfn.XLOOKUP($E1025,$A$5:$A$8,$F$5:$F$8,""),"")</f>
        <v/>
      </c>
      <c r="J1025" s="42" t="n">
        <f aca="false">IF($H1025="Flat",_xlfn.XLOOKUP($E1025,$A$5:$A$8,$F$5:$F$8,""),"")</f>
        <v>30</v>
      </c>
      <c r="K1025" s="38" t="str">
        <f aca="false">_xlfn.XLOOKUP($E1025,$A$5:$A$8,$G$5:$G$8,"")</f>
        <v>Per pay period</v>
      </c>
      <c r="L1025" s="38" t="str">
        <f aca="false">_xlfn.XLOOKUP($E1025,$A$5:$A$8,$H$5:$H$8,"")</f>
        <v>Every pay period (ongoing)</v>
      </c>
      <c r="M1025" s="43" t="n">
        <f aca="false" t="array" ref="M1025:M1025">MAX(_xlfn.XLOOKUP($A1025,TRIM(SUBSTITUTE('worker file'!$A$2:$A$406,_xlfn.UNICHAR(160)," ")),'worker file'!$M$2:$M$406,0),_xlfn.XLOOKUP($B1025,TRIM('pay group &amp; schedule'!$A$2:$A$6),'pay group &amp; schedule'!$D$2:$D$6,0))</f>
        <v>46311</v>
      </c>
      <c r="N1025" s="43" t="str">
        <f aca="false" t="array" ref="N1025:N1025">_xlfn.LET(_xlpm.t,_xlfn.XLOOKUP($A1025,TRIM(SUBSTITUTE('worker file'!$A$2:$A$406,_xlfn.UNICHAR(160)," ")),'worker file'!$N$2:$N$406,""),IF(N(_xlpm.t)=0,"",_xlpm.t))</f>
        <v/>
      </c>
    </row>
    <row r="1026" customFormat="false" ht="15" hidden="false" customHeight="false" outlineLevel="0" collapsed="false">
      <c r="A1026" s="39" t="s">
        <v>447</v>
      </c>
      <c r="B1026" s="40" t="str">
        <f aca="false" t="array" ref="B1026:B1026">_xlfn.XLOOKUP($A1026,TRIM(SUBSTITUTE('worker file'!$A$2:$A$406,_xlfn.UNICHAR(160)," ")),'worker file'!$L$2:$L$406,"Not found")</f>
        <v>US Semi-monthly</v>
      </c>
      <c r="C1026" s="40" t="str">
        <f aca="false" t="array" ref="C1026:C1026">_xlfn.XLOOKUP($A1026,TRIM(SUBSTITUTE('worker file'!$A$2:$A$406,_xlfn.UNICHAR(160)," ")),'worker file'!$D$2:$D$406,"Not found")</f>
        <v>NY</v>
      </c>
      <c r="D1026" s="40" t="str">
        <f aca="false" t="array" ref="D1026:D1026">_xlfn.XLOOKUP($A1026,TRIM(SUBSTITUTE('worker file'!$A$2:$A$406,_xlfn.UNICHAR(160)," ")),'worker file'!$Q$2:$Q$406,"Not found")</f>
        <v>Active</v>
      </c>
      <c r="E1026" s="39" t="s">
        <v>618</v>
      </c>
      <c r="F1026" s="38" t="str">
        <f aca="false">_xlfn.XLOOKUP($E1026,$A$5:$A$8,$B$5:$B$8,"")</f>
        <v>401(k) Employee Deferral</v>
      </c>
      <c r="G1026" s="38" t="str">
        <f aca="false">_xlfn.XLOOKUP($E1026,$A$5:$A$8,$D$5:$D$8,"")</f>
        <v>Pre-tax (exempt from FIT/SIT; subject to FICA)</v>
      </c>
      <c r="H1026" s="38" t="str">
        <f aca="false">_xlfn.XLOOKUP($E1026,$A$5:$A$8,$E$5:$E$8,"")</f>
        <v>Percent</v>
      </c>
      <c r="I1026" s="41" t="n">
        <v>0.07</v>
      </c>
      <c r="J1026" s="42" t="str">
        <f aca="false">IF($H1026="Flat",_xlfn.XLOOKUP($E1026,$A$5:$A$8,$F$5:$F$8,""),"")</f>
        <v/>
      </c>
      <c r="K1026" s="38" t="str">
        <f aca="false">_xlfn.XLOOKUP($E1026,$A$5:$A$8,$G$5:$G$8,"")</f>
        <v>Gross pay</v>
      </c>
      <c r="L1026" s="38" t="str">
        <f aca="false">_xlfn.XLOOKUP($E1026,$A$5:$A$8,$H$5:$H$8,"")</f>
        <v>Every pay period (ongoing)</v>
      </c>
      <c r="M1026" s="43" t="n">
        <f aca="false" t="array" ref="M1026:M1026">MAX(_xlfn.XLOOKUP($A1026,TRIM(SUBSTITUTE('worker file'!$A$2:$A$406,_xlfn.UNICHAR(160)," ")),'worker file'!$M$2:$M$406,0),_xlfn.XLOOKUP($B1026,TRIM('pay group &amp; schedule'!$A$2:$A$6),'pay group &amp; schedule'!$D$2:$D$6,0))</f>
        <v>46311</v>
      </c>
      <c r="N1026" s="43" t="str">
        <f aca="false" t="array" ref="N1026:N1026">_xlfn.LET(_xlpm.t,_xlfn.XLOOKUP($A1026,TRIM(SUBSTITUTE('worker file'!$A$2:$A$406,_xlfn.UNICHAR(160)," ")),'worker file'!$N$2:$N$406,""),IF(N(_xlpm.t)=0,"",_xlpm.t))</f>
        <v/>
      </c>
    </row>
    <row r="1027" customFormat="false" ht="15" hidden="false" customHeight="false" outlineLevel="0" collapsed="false">
      <c r="A1027" s="39" t="s">
        <v>447</v>
      </c>
      <c r="B1027" s="40" t="str">
        <f aca="false" t="array" ref="B1027:B1027">_xlfn.XLOOKUP($A1027,TRIM(SUBSTITUTE('worker file'!$A$2:$A$406,_xlfn.UNICHAR(160)," ")),'worker file'!$L$2:$L$406,"Not found")</f>
        <v>US Semi-monthly</v>
      </c>
      <c r="C1027" s="40" t="str">
        <f aca="false" t="array" ref="C1027:C1027">_xlfn.XLOOKUP($A1027,TRIM(SUBSTITUTE('worker file'!$A$2:$A$406,_xlfn.UNICHAR(160)," ")),'worker file'!$D$2:$D$406,"Not found")</f>
        <v>NY</v>
      </c>
      <c r="D1027" s="40" t="str">
        <f aca="false" t="array" ref="D1027:D1027">_xlfn.XLOOKUP($A1027,TRIM(SUBSTITUTE('worker file'!$A$2:$A$406,_xlfn.UNICHAR(160)," ")),'worker file'!$Q$2:$Q$406,"Not found")</f>
        <v>Active</v>
      </c>
      <c r="E1027" s="39" t="s">
        <v>626</v>
      </c>
      <c r="F1027" s="38" t="str">
        <f aca="false">_xlfn.XLOOKUP($E1027,$A$5:$A$8,$B$5:$B$8,"")</f>
        <v>Medical (Health) – Employee</v>
      </c>
      <c r="G1027" s="38" t="str">
        <f aca="false">_xlfn.XLOOKUP($E1027,$A$5:$A$8,$D$5:$D$8,"")</f>
        <v>Pre-tax Section 125 (exempt from FIT/SIT/FICA)</v>
      </c>
      <c r="H1027" s="38" t="str">
        <f aca="false">_xlfn.XLOOKUP($E1027,$A$5:$A$8,$E$5:$E$8,"")</f>
        <v>Flat</v>
      </c>
      <c r="I1027" s="44" t="str">
        <f aca="false">IF($H1027="Percent",_xlfn.XLOOKUP($E1027,$A$5:$A$8,$F$5:$F$8,""),"")</f>
        <v/>
      </c>
      <c r="J1027" s="42" t="n">
        <f aca="false">IF($H1027="Flat",_xlfn.XLOOKUP($E1027,$A$5:$A$8,$F$5:$F$8,""),"")</f>
        <v>200</v>
      </c>
      <c r="K1027" s="38" t="str">
        <f aca="false">_xlfn.XLOOKUP($E1027,$A$5:$A$8,$G$5:$G$8,"")</f>
        <v>Per pay period</v>
      </c>
      <c r="L1027" s="38" t="str">
        <f aca="false">_xlfn.XLOOKUP($E1027,$A$5:$A$8,$H$5:$H$8,"")</f>
        <v>Every pay period (ongoing)</v>
      </c>
      <c r="M1027" s="43" t="n">
        <f aca="false" t="array" ref="M1027:M1027">MAX(_xlfn.XLOOKUP($A1027,TRIM(SUBSTITUTE('worker file'!$A$2:$A$406,_xlfn.UNICHAR(160)," ")),'worker file'!$M$2:$M$406,0),_xlfn.XLOOKUP($B1027,TRIM('pay group &amp; schedule'!$A$2:$A$6),'pay group &amp; schedule'!$D$2:$D$6,0))</f>
        <v>46311</v>
      </c>
      <c r="N1027" s="43" t="str">
        <f aca="false" t="array" ref="N1027:N1027">_xlfn.LET(_xlpm.t,_xlfn.XLOOKUP($A1027,TRIM(SUBSTITUTE('worker file'!$A$2:$A$406,_xlfn.UNICHAR(160)," ")),'worker file'!$N$2:$N$406,""),IF(N(_xlpm.t)=0,"",_xlpm.t))</f>
        <v/>
      </c>
    </row>
    <row r="1028" customFormat="false" ht="15" hidden="false" customHeight="false" outlineLevel="0" collapsed="false">
      <c r="A1028" s="39" t="s">
        <v>447</v>
      </c>
      <c r="B1028" s="40" t="str">
        <f aca="false" t="array" ref="B1028:B1028">_xlfn.XLOOKUP($A1028,TRIM(SUBSTITUTE('worker file'!$A$2:$A$406,_xlfn.UNICHAR(160)," ")),'worker file'!$L$2:$L$406,"Not found")</f>
        <v>US Semi-monthly</v>
      </c>
      <c r="C1028" s="40" t="str">
        <f aca="false" t="array" ref="C1028:C1028">_xlfn.XLOOKUP($A1028,TRIM(SUBSTITUTE('worker file'!$A$2:$A$406,_xlfn.UNICHAR(160)," ")),'worker file'!$D$2:$D$406,"Not found")</f>
        <v>NY</v>
      </c>
      <c r="D1028" s="40" t="str">
        <f aca="false" t="array" ref="D1028:D1028">_xlfn.XLOOKUP($A1028,TRIM(SUBSTITUTE('worker file'!$A$2:$A$406,_xlfn.UNICHAR(160)," ")),'worker file'!$Q$2:$Q$406,"Not found")</f>
        <v>Active</v>
      </c>
      <c r="E1028" s="39" t="s">
        <v>632</v>
      </c>
      <c r="F1028" s="38" t="str">
        <f aca="false">_xlfn.XLOOKUP($E1028,$A$5:$A$8,$B$5:$B$8,"")</f>
        <v>Dental – Employee</v>
      </c>
      <c r="G1028" s="38" t="str">
        <f aca="false">_xlfn.XLOOKUP($E1028,$A$5:$A$8,$D$5:$D$8,"")</f>
        <v>Pre-tax Section 125 (exempt from FIT/SIT/FICA)</v>
      </c>
      <c r="H1028" s="38" t="str">
        <f aca="false">_xlfn.XLOOKUP($E1028,$A$5:$A$8,$E$5:$E$8,"")</f>
        <v>Flat</v>
      </c>
      <c r="I1028" s="44" t="str">
        <f aca="false">IF($H1028="Percent",_xlfn.XLOOKUP($E1028,$A$5:$A$8,$F$5:$F$8,""),"")</f>
        <v/>
      </c>
      <c r="J1028" s="42" t="n">
        <f aca="false">IF($H1028="Flat",_xlfn.XLOOKUP($E1028,$A$5:$A$8,$F$5:$F$8,""),"")</f>
        <v>44</v>
      </c>
      <c r="K1028" s="38" t="str">
        <f aca="false">_xlfn.XLOOKUP($E1028,$A$5:$A$8,$G$5:$G$8,"")</f>
        <v>Per pay period</v>
      </c>
      <c r="L1028" s="38" t="str">
        <f aca="false">_xlfn.XLOOKUP($E1028,$A$5:$A$8,$H$5:$H$8,"")</f>
        <v>Every pay period (ongoing)</v>
      </c>
      <c r="M1028" s="43" t="n">
        <f aca="false" t="array" ref="M1028:M1028">MAX(_xlfn.XLOOKUP($A1028,TRIM(SUBSTITUTE('worker file'!$A$2:$A$406,_xlfn.UNICHAR(160)," ")),'worker file'!$M$2:$M$406,0),_xlfn.XLOOKUP($B1028,TRIM('pay group &amp; schedule'!$A$2:$A$6),'pay group &amp; schedule'!$D$2:$D$6,0))</f>
        <v>46311</v>
      </c>
      <c r="N1028" s="43" t="str">
        <f aca="false" t="array" ref="N1028:N1028">_xlfn.LET(_xlpm.t,_xlfn.XLOOKUP($A1028,TRIM(SUBSTITUTE('worker file'!$A$2:$A$406,_xlfn.UNICHAR(160)," ")),'worker file'!$N$2:$N$406,""),IF(N(_xlpm.t)=0,"",_xlpm.t))</f>
        <v/>
      </c>
    </row>
    <row r="1029" customFormat="false" ht="15" hidden="false" customHeight="false" outlineLevel="0" collapsed="false">
      <c r="A1029" s="39" t="s">
        <v>447</v>
      </c>
      <c r="B1029" s="40" t="str">
        <f aca="false" t="array" ref="B1029:B1029">_xlfn.XLOOKUP($A1029,TRIM(SUBSTITUTE('worker file'!$A$2:$A$406,_xlfn.UNICHAR(160)," ")),'worker file'!$L$2:$L$406,"Not found")</f>
        <v>US Semi-monthly</v>
      </c>
      <c r="C1029" s="40" t="str">
        <f aca="false" t="array" ref="C1029:C1029">_xlfn.XLOOKUP($A1029,TRIM(SUBSTITUTE('worker file'!$A$2:$A$406,_xlfn.UNICHAR(160)," ")),'worker file'!$D$2:$D$406,"Not found")</f>
        <v>NY</v>
      </c>
      <c r="D1029" s="40" t="str">
        <f aca="false" t="array" ref="D1029:D1029">_xlfn.XLOOKUP($A1029,TRIM(SUBSTITUTE('worker file'!$A$2:$A$406,_xlfn.UNICHAR(160)," ")),'worker file'!$Q$2:$Q$406,"Not found")</f>
        <v>Active</v>
      </c>
      <c r="E1029" s="39" t="s">
        <v>634</v>
      </c>
      <c r="F1029" s="38" t="str">
        <f aca="false">_xlfn.XLOOKUP($E1029,$A$5:$A$8,$B$5:$B$8,"")</f>
        <v>Vision – Employee</v>
      </c>
      <c r="G1029" s="38" t="str">
        <f aca="false">_xlfn.XLOOKUP($E1029,$A$5:$A$8,$D$5:$D$8,"")</f>
        <v>Pre-tax Section 125 (exempt from FIT/SIT/FICA)</v>
      </c>
      <c r="H1029" s="38" t="str">
        <f aca="false">_xlfn.XLOOKUP($E1029,$A$5:$A$8,$E$5:$E$8,"")</f>
        <v>Flat</v>
      </c>
      <c r="I1029" s="44" t="str">
        <f aca="false">IF($H1029="Percent",_xlfn.XLOOKUP($E1029,$A$5:$A$8,$F$5:$F$8,""),"")</f>
        <v/>
      </c>
      <c r="J1029" s="42" t="n">
        <f aca="false">IF($H1029="Flat",_xlfn.XLOOKUP($E1029,$A$5:$A$8,$F$5:$F$8,""),"")</f>
        <v>30</v>
      </c>
      <c r="K1029" s="38" t="str">
        <f aca="false">_xlfn.XLOOKUP($E1029,$A$5:$A$8,$G$5:$G$8,"")</f>
        <v>Per pay period</v>
      </c>
      <c r="L1029" s="38" t="str">
        <f aca="false">_xlfn.XLOOKUP($E1029,$A$5:$A$8,$H$5:$H$8,"")</f>
        <v>Every pay period (ongoing)</v>
      </c>
      <c r="M1029" s="43" t="n">
        <f aca="false" t="array" ref="M1029:M1029">MAX(_xlfn.XLOOKUP($A1029,TRIM(SUBSTITUTE('worker file'!$A$2:$A$406,_xlfn.UNICHAR(160)," ")),'worker file'!$M$2:$M$406,0),_xlfn.XLOOKUP($B1029,TRIM('pay group &amp; schedule'!$A$2:$A$6),'pay group &amp; schedule'!$D$2:$D$6,0))</f>
        <v>46311</v>
      </c>
      <c r="N1029" s="43" t="str">
        <f aca="false" t="array" ref="N1029:N1029">_xlfn.LET(_xlpm.t,_xlfn.XLOOKUP($A1029,TRIM(SUBSTITUTE('worker file'!$A$2:$A$406,_xlfn.UNICHAR(160)," ")),'worker file'!$N$2:$N$406,""),IF(N(_xlpm.t)=0,"",_xlpm.t))</f>
        <v/>
      </c>
    </row>
    <row r="1030" customFormat="false" ht="15" hidden="false" customHeight="false" outlineLevel="0" collapsed="false">
      <c r="A1030" s="39" t="s">
        <v>448</v>
      </c>
      <c r="B1030" s="40" t="str">
        <f aca="false" t="array" ref="B1030:B1030">_xlfn.XLOOKUP($A1030,TRIM(SUBSTITUTE('worker file'!$A$2:$A$406,_xlfn.UNICHAR(160)," ")),'worker file'!$L$2:$L$406,"Not found")</f>
        <v>US Semi-monthly</v>
      </c>
      <c r="C1030" s="40" t="str">
        <f aca="false" t="array" ref="C1030:C1030">_xlfn.XLOOKUP($A1030,TRIM(SUBSTITUTE('worker file'!$A$2:$A$406,_xlfn.UNICHAR(160)," ")),'worker file'!$D$2:$D$406,"Not found")</f>
        <v>GA</v>
      </c>
      <c r="D1030" s="40" t="str">
        <f aca="false" t="array" ref="D1030:D1030">_xlfn.XLOOKUP($A1030,TRIM(SUBSTITUTE('worker file'!$A$2:$A$406,_xlfn.UNICHAR(160)," ")),'worker file'!$Q$2:$Q$406,"Not found")</f>
        <v>Active</v>
      </c>
      <c r="E1030" s="39" t="s">
        <v>626</v>
      </c>
      <c r="F1030" s="38" t="str">
        <f aca="false">_xlfn.XLOOKUP($E1030,$A$5:$A$8,$B$5:$B$8,"")</f>
        <v>Medical (Health) – Employee</v>
      </c>
      <c r="G1030" s="38" t="str">
        <f aca="false">_xlfn.XLOOKUP($E1030,$A$5:$A$8,$D$5:$D$8,"")</f>
        <v>Pre-tax Section 125 (exempt from FIT/SIT/FICA)</v>
      </c>
      <c r="H1030" s="38" t="str">
        <f aca="false">_xlfn.XLOOKUP($E1030,$A$5:$A$8,$E$5:$E$8,"")</f>
        <v>Flat</v>
      </c>
      <c r="I1030" s="44" t="str">
        <f aca="false">IF($H1030="Percent",_xlfn.XLOOKUP($E1030,$A$5:$A$8,$F$5:$F$8,""),"")</f>
        <v/>
      </c>
      <c r="J1030" s="42" t="n">
        <f aca="false">IF($H1030="Flat",_xlfn.XLOOKUP($E1030,$A$5:$A$8,$F$5:$F$8,""),"")</f>
        <v>200</v>
      </c>
      <c r="K1030" s="38" t="str">
        <f aca="false">_xlfn.XLOOKUP($E1030,$A$5:$A$8,$G$5:$G$8,"")</f>
        <v>Per pay period</v>
      </c>
      <c r="L1030" s="38" t="str">
        <f aca="false">_xlfn.XLOOKUP($E1030,$A$5:$A$8,$H$5:$H$8,"")</f>
        <v>Every pay period (ongoing)</v>
      </c>
      <c r="M1030" s="43" t="n">
        <f aca="false" t="array" ref="M1030:M1030">MAX(_xlfn.XLOOKUP($A1030,TRIM(SUBSTITUTE('worker file'!$A$2:$A$406,_xlfn.UNICHAR(160)," ")),'worker file'!$M$2:$M$406,0),_xlfn.XLOOKUP($B1030,TRIM('pay group &amp; schedule'!$A$2:$A$6),'pay group &amp; schedule'!$D$2:$D$6,0))</f>
        <v>46311</v>
      </c>
      <c r="N1030" s="43" t="str">
        <f aca="false" t="array" ref="N1030:N1030">_xlfn.LET(_xlpm.t,_xlfn.XLOOKUP($A1030,TRIM(SUBSTITUTE('worker file'!$A$2:$A$406,_xlfn.UNICHAR(160)," ")),'worker file'!$N$2:$N$406,""),IF(N(_xlpm.t)=0,"",_xlpm.t))</f>
        <v/>
      </c>
    </row>
    <row r="1031" customFormat="false" ht="15" hidden="false" customHeight="false" outlineLevel="0" collapsed="false">
      <c r="A1031" s="39" t="s">
        <v>448</v>
      </c>
      <c r="B1031" s="40" t="str">
        <f aca="false" t="array" ref="B1031:B1031">_xlfn.XLOOKUP($A1031,TRIM(SUBSTITUTE('worker file'!$A$2:$A$406,_xlfn.UNICHAR(160)," ")),'worker file'!$L$2:$L$406,"Not found")</f>
        <v>US Semi-monthly</v>
      </c>
      <c r="C1031" s="40" t="str">
        <f aca="false" t="array" ref="C1031:C1031">_xlfn.XLOOKUP($A1031,TRIM(SUBSTITUTE('worker file'!$A$2:$A$406,_xlfn.UNICHAR(160)," ")),'worker file'!$D$2:$D$406,"Not found")</f>
        <v>GA</v>
      </c>
      <c r="D1031" s="40" t="str">
        <f aca="false" t="array" ref="D1031:D1031">_xlfn.XLOOKUP($A1031,TRIM(SUBSTITUTE('worker file'!$A$2:$A$406,_xlfn.UNICHAR(160)," ")),'worker file'!$Q$2:$Q$406,"Not found")</f>
        <v>Active</v>
      </c>
      <c r="E1031" s="39" t="s">
        <v>632</v>
      </c>
      <c r="F1031" s="38" t="str">
        <f aca="false">_xlfn.XLOOKUP($E1031,$A$5:$A$8,$B$5:$B$8,"")</f>
        <v>Dental – Employee</v>
      </c>
      <c r="G1031" s="38" t="str">
        <f aca="false">_xlfn.XLOOKUP($E1031,$A$5:$A$8,$D$5:$D$8,"")</f>
        <v>Pre-tax Section 125 (exempt from FIT/SIT/FICA)</v>
      </c>
      <c r="H1031" s="38" t="str">
        <f aca="false">_xlfn.XLOOKUP($E1031,$A$5:$A$8,$E$5:$E$8,"")</f>
        <v>Flat</v>
      </c>
      <c r="I1031" s="44" t="str">
        <f aca="false">IF($H1031="Percent",_xlfn.XLOOKUP($E1031,$A$5:$A$8,$F$5:$F$8,""),"")</f>
        <v/>
      </c>
      <c r="J1031" s="42" t="n">
        <f aca="false">IF($H1031="Flat",_xlfn.XLOOKUP($E1031,$A$5:$A$8,$F$5:$F$8,""),"")</f>
        <v>44</v>
      </c>
      <c r="K1031" s="38" t="str">
        <f aca="false">_xlfn.XLOOKUP($E1031,$A$5:$A$8,$G$5:$G$8,"")</f>
        <v>Per pay period</v>
      </c>
      <c r="L1031" s="38" t="str">
        <f aca="false">_xlfn.XLOOKUP($E1031,$A$5:$A$8,$H$5:$H$8,"")</f>
        <v>Every pay period (ongoing)</v>
      </c>
      <c r="M1031" s="43" t="n">
        <f aca="false" t="array" ref="M1031:M1031">MAX(_xlfn.XLOOKUP($A1031,TRIM(SUBSTITUTE('worker file'!$A$2:$A$406,_xlfn.UNICHAR(160)," ")),'worker file'!$M$2:$M$406,0),_xlfn.XLOOKUP($B1031,TRIM('pay group &amp; schedule'!$A$2:$A$6),'pay group &amp; schedule'!$D$2:$D$6,0))</f>
        <v>46311</v>
      </c>
      <c r="N1031" s="43" t="str">
        <f aca="false" t="array" ref="N1031:N1031">_xlfn.LET(_xlpm.t,_xlfn.XLOOKUP($A1031,TRIM(SUBSTITUTE('worker file'!$A$2:$A$406,_xlfn.UNICHAR(160)," ")),'worker file'!$N$2:$N$406,""),IF(N(_xlpm.t)=0,"",_xlpm.t))</f>
        <v/>
      </c>
    </row>
    <row r="1032" customFormat="false" ht="15" hidden="false" customHeight="false" outlineLevel="0" collapsed="false">
      <c r="A1032" s="39" t="s">
        <v>448</v>
      </c>
      <c r="B1032" s="40" t="str">
        <f aca="false" t="array" ref="B1032:B1032">_xlfn.XLOOKUP($A1032,TRIM(SUBSTITUTE('worker file'!$A$2:$A$406,_xlfn.UNICHAR(160)," ")),'worker file'!$L$2:$L$406,"Not found")</f>
        <v>US Semi-monthly</v>
      </c>
      <c r="C1032" s="40" t="str">
        <f aca="false" t="array" ref="C1032:C1032">_xlfn.XLOOKUP($A1032,TRIM(SUBSTITUTE('worker file'!$A$2:$A$406,_xlfn.UNICHAR(160)," ")),'worker file'!$D$2:$D$406,"Not found")</f>
        <v>GA</v>
      </c>
      <c r="D1032" s="40" t="str">
        <f aca="false" t="array" ref="D1032:D1032">_xlfn.XLOOKUP($A1032,TRIM(SUBSTITUTE('worker file'!$A$2:$A$406,_xlfn.UNICHAR(160)," ")),'worker file'!$Q$2:$Q$406,"Not found")</f>
        <v>Active</v>
      </c>
      <c r="E1032" s="39" t="s">
        <v>634</v>
      </c>
      <c r="F1032" s="38" t="str">
        <f aca="false">_xlfn.XLOOKUP($E1032,$A$5:$A$8,$B$5:$B$8,"")</f>
        <v>Vision – Employee</v>
      </c>
      <c r="G1032" s="38" t="str">
        <f aca="false">_xlfn.XLOOKUP($E1032,$A$5:$A$8,$D$5:$D$8,"")</f>
        <v>Pre-tax Section 125 (exempt from FIT/SIT/FICA)</v>
      </c>
      <c r="H1032" s="38" t="str">
        <f aca="false">_xlfn.XLOOKUP($E1032,$A$5:$A$8,$E$5:$E$8,"")</f>
        <v>Flat</v>
      </c>
      <c r="I1032" s="44" t="str">
        <f aca="false">IF($H1032="Percent",_xlfn.XLOOKUP($E1032,$A$5:$A$8,$F$5:$F$8,""),"")</f>
        <v/>
      </c>
      <c r="J1032" s="42" t="n">
        <f aca="false">IF($H1032="Flat",_xlfn.XLOOKUP($E1032,$A$5:$A$8,$F$5:$F$8,""),"")</f>
        <v>30</v>
      </c>
      <c r="K1032" s="38" t="str">
        <f aca="false">_xlfn.XLOOKUP($E1032,$A$5:$A$8,$G$5:$G$8,"")</f>
        <v>Per pay period</v>
      </c>
      <c r="L1032" s="38" t="str">
        <f aca="false">_xlfn.XLOOKUP($E1032,$A$5:$A$8,$H$5:$H$8,"")</f>
        <v>Every pay period (ongoing)</v>
      </c>
      <c r="M1032" s="43" t="n">
        <f aca="false" t="array" ref="M1032:M1032">MAX(_xlfn.XLOOKUP($A1032,TRIM(SUBSTITUTE('worker file'!$A$2:$A$406,_xlfn.UNICHAR(160)," ")),'worker file'!$M$2:$M$406,0),_xlfn.XLOOKUP($B1032,TRIM('pay group &amp; schedule'!$A$2:$A$6),'pay group &amp; schedule'!$D$2:$D$6,0))</f>
        <v>46311</v>
      </c>
      <c r="N1032" s="43" t="str">
        <f aca="false" t="array" ref="N1032:N1032">_xlfn.LET(_xlpm.t,_xlfn.XLOOKUP($A1032,TRIM(SUBSTITUTE('worker file'!$A$2:$A$406,_xlfn.UNICHAR(160)," ")),'worker file'!$N$2:$N$406,""),IF(N(_xlpm.t)=0,"",_xlpm.t))</f>
        <v/>
      </c>
    </row>
    <row r="1033" customFormat="false" ht="15" hidden="false" customHeight="false" outlineLevel="0" collapsed="false">
      <c r="A1033" s="39" t="s">
        <v>449</v>
      </c>
      <c r="B1033" s="40" t="str">
        <f aca="false" t="array" ref="B1033:B1033">_xlfn.XLOOKUP($A1033,TRIM(SUBSTITUTE('worker file'!$A$2:$A$406,_xlfn.UNICHAR(160)," ")),'worker file'!$L$2:$L$406,"Not found")</f>
        <v>US Biweekly</v>
      </c>
      <c r="C1033" s="40" t="str">
        <f aca="false" t="array" ref="C1033:C1033">_xlfn.XLOOKUP($A1033,TRIM(SUBSTITUTE('worker file'!$A$2:$A$406,_xlfn.UNICHAR(160)," ")),'worker file'!$D$2:$D$406,"Not found")</f>
        <v>TX</v>
      </c>
      <c r="D1033" s="40" t="str">
        <f aca="false" t="array" ref="D1033:D1033">_xlfn.XLOOKUP($A1033,TRIM(SUBSTITUTE('worker file'!$A$2:$A$406,_xlfn.UNICHAR(160)," ")),'worker file'!$Q$2:$Q$406,"Not found")</f>
        <v>Active</v>
      </c>
      <c r="E1033" s="39" t="s">
        <v>618</v>
      </c>
      <c r="F1033" s="38" t="str">
        <f aca="false">_xlfn.XLOOKUP($E1033,$A$5:$A$8,$B$5:$B$8,"")</f>
        <v>401(k) Employee Deferral</v>
      </c>
      <c r="G1033" s="38" t="str">
        <f aca="false">_xlfn.XLOOKUP($E1033,$A$5:$A$8,$D$5:$D$8,"")</f>
        <v>Pre-tax (exempt from FIT/SIT; subject to FICA)</v>
      </c>
      <c r="H1033" s="38" t="str">
        <f aca="false">_xlfn.XLOOKUP($E1033,$A$5:$A$8,$E$5:$E$8,"")</f>
        <v>Percent</v>
      </c>
      <c r="I1033" s="41" t="n">
        <v>0.01</v>
      </c>
      <c r="J1033" s="42" t="str">
        <f aca="false">IF($H1033="Flat",_xlfn.XLOOKUP($E1033,$A$5:$A$8,$F$5:$F$8,""),"")</f>
        <v/>
      </c>
      <c r="K1033" s="38" t="str">
        <f aca="false">_xlfn.XLOOKUP($E1033,$A$5:$A$8,$G$5:$G$8,"")</f>
        <v>Gross pay</v>
      </c>
      <c r="L1033" s="38" t="str">
        <f aca="false">_xlfn.XLOOKUP($E1033,$A$5:$A$8,$H$5:$H$8,"")</f>
        <v>Every pay period (ongoing)</v>
      </c>
      <c r="M1033" s="43" t="n">
        <f aca="false" t="array" ref="M1033:M1033">MAX(_xlfn.XLOOKUP($A1033,TRIM(SUBSTITUTE('worker file'!$A$2:$A$406,_xlfn.UNICHAR(160)," ")),'worker file'!$M$2:$M$406,0),_xlfn.XLOOKUP($B1033,TRIM('pay group &amp; schedule'!$A$2:$A$6),'pay group &amp; schedule'!$D$2:$D$6,0))</f>
        <v>46299</v>
      </c>
      <c r="N1033" s="43" t="str">
        <f aca="false" t="array" ref="N1033:N1033">_xlfn.LET(_xlpm.t,_xlfn.XLOOKUP($A1033,TRIM(SUBSTITUTE('worker file'!$A$2:$A$406,_xlfn.UNICHAR(160)," ")),'worker file'!$N$2:$N$406,""),IF(N(_xlpm.t)=0,"",_xlpm.t))</f>
        <v/>
      </c>
    </row>
    <row r="1034" customFormat="false" ht="15" hidden="false" customHeight="false" outlineLevel="0" collapsed="false">
      <c r="A1034" s="39" t="s">
        <v>449</v>
      </c>
      <c r="B1034" s="40" t="str">
        <f aca="false" t="array" ref="B1034:B1034">_xlfn.XLOOKUP($A1034,TRIM(SUBSTITUTE('worker file'!$A$2:$A$406,_xlfn.UNICHAR(160)," ")),'worker file'!$L$2:$L$406,"Not found")</f>
        <v>US Biweekly</v>
      </c>
      <c r="C1034" s="40" t="str">
        <f aca="false" t="array" ref="C1034:C1034">_xlfn.XLOOKUP($A1034,TRIM(SUBSTITUTE('worker file'!$A$2:$A$406,_xlfn.UNICHAR(160)," ")),'worker file'!$D$2:$D$406,"Not found")</f>
        <v>TX</v>
      </c>
      <c r="D1034" s="40" t="str">
        <f aca="false" t="array" ref="D1034:D1034">_xlfn.XLOOKUP($A1034,TRIM(SUBSTITUTE('worker file'!$A$2:$A$406,_xlfn.UNICHAR(160)," ")),'worker file'!$Q$2:$Q$406,"Not found")</f>
        <v>Active</v>
      </c>
      <c r="E1034" s="39" t="s">
        <v>626</v>
      </c>
      <c r="F1034" s="38" t="str">
        <f aca="false">_xlfn.XLOOKUP($E1034,$A$5:$A$8,$B$5:$B$8,"")</f>
        <v>Medical (Health) – Employee</v>
      </c>
      <c r="G1034" s="38" t="str">
        <f aca="false">_xlfn.XLOOKUP($E1034,$A$5:$A$8,$D$5:$D$8,"")</f>
        <v>Pre-tax Section 125 (exempt from FIT/SIT/FICA)</v>
      </c>
      <c r="H1034" s="38" t="str">
        <f aca="false">_xlfn.XLOOKUP($E1034,$A$5:$A$8,$E$5:$E$8,"")</f>
        <v>Flat</v>
      </c>
      <c r="I1034" s="44" t="str">
        <f aca="false">IF($H1034="Percent",_xlfn.XLOOKUP($E1034,$A$5:$A$8,$F$5:$F$8,""),"")</f>
        <v/>
      </c>
      <c r="J1034" s="42" t="n">
        <f aca="false">IF($H1034="Flat",_xlfn.XLOOKUP($E1034,$A$5:$A$8,$F$5:$F$8,""),"")</f>
        <v>200</v>
      </c>
      <c r="K1034" s="38" t="str">
        <f aca="false">_xlfn.XLOOKUP($E1034,$A$5:$A$8,$G$5:$G$8,"")</f>
        <v>Per pay period</v>
      </c>
      <c r="L1034" s="38" t="str">
        <f aca="false">_xlfn.XLOOKUP($E1034,$A$5:$A$8,$H$5:$H$8,"")</f>
        <v>Every pay period (ongoing)</v>
      </c>
      <c r="M1034" s="43" t="n">
        <f aca="false" t="array" ref="M1034:M1034">MAX(_xlfn.XLOOKUP($A1034,TRIM(SUBSTITUTE('worker file'!$A$2:$A$406,_xlfn.UNICHAR(160)," ")),'worker file'!$M$2:$M$406,0),_xlfn.XLOOKUP($B1034,TRIM('pay group &amp; schedule'!$A$2:$A$6),'pay group &amp; schedule'!$D$2:$D$6,0))</f>
        <v>46299</v>
      </c>
      <c r="N1034" s="43" t="str">
        <f aca="false" t="array" ref="N1034:N1034">_xlfn.LET(_xlpm.t,_xlfn.XLOOKUP($A1034,TRIM(SUBSTITUTE('worker file'!$A$2:$A$406,_xlfn.UNICHAR(160)," ")),'worker file'!$N$2:$N$406,""),IF(N(_xlpm.t)=0,"",_xlpm.t))</f>
        <v/>
      </c>
    </row>
    <row r="1035" customFormat="false" ht="15" hidden="false" customHeight="false" outlineLevel="0" collapsed="false">
      <c r="A1035" s="39" t="s">
        <v>449</v>
      </c>
      <c r="B1035" s="40" t="str">
        <f aca="false" t="array" ref="B1035:B1035">_xlfn.XLOOKUP($A1035,TRIM(SUBSTITUTE('worker file'!$A$2:$A$406,_xlfn.UNICHAR(160)," ")),'worker file'!$L$2:$L$406,"Not found")</f>
        <v>US Biweekly</v>
      </c>
      <c r="C1035" s="40" t="str">
        <f aca="false" t="array" ref="C1035:C1035">_xlfn.XLOOKUP($A1035,TRIM(SUBSTITUTE('worker file'!$A$2:$A$406,_xlfn.UNICHAR(160)," ")),'worker file'!$D$2:$D$406,"Not found")</f>
        <v>TX</v>
      </c>
      <c r="D1035" s="40" t="str">
        <f aca="false" t="array" ref="D1035:D1035">_xlfn.XLOOKUP($A1035,TRIM(SUBSTITUTE('worker file'!$A$2:$A$406,_xlfn.UNICHAR(160)," ")),'worker file'!$Q$2:$Q$406,"Not found")</f>
        <v>Active</v>
      </c>
      <c r="E1035" s="39" t="s">
        <v>632</v>
      </c>
      <c r="F1035" s="38" t="str">
        <f aca="false">_xlfn.XLOOKUP($E1035,$A$5:$A$8,$B$5:$B$8,"")</f>
        <v>Dental – Employee</v>
      </c>
      <c r="G1035" s="38" t="str">
        <f aca="false">_xlfn.XLOOKUP($E1035,$A$5:$A$8,$D$5:$D$8,"")</f>
        <v>Pre-tax Section 125 (exempt from FIT/SIT/FICA)</v>
      </c>
      <c r="H1035" s="38" t="str">
        <f aca="false">_xlfn.XLOOKUP($E1035,$A$5:$A$8,$E$5:$E$8,"")</f>
        <v>Flat</v>
      </c>
      <c r="I1035" s="44" t="str">
        <f aca="false">IF($H1035="Percent",_xlfn.XLOOKUP($E1035,$A$5:$A$8,$F$5:$F$8,""),"")</f>
        <v/>
      </c>
      <c r="J1035" s="42" t="n">
        <f aca="false">IF($H1035="Flat",_xlfn.XLOOKUP($E1035,$A$5:$A$8,$F$5:$F$8,""),"")</f>
        <v>44</v>
      </c>
      <c r="K1035" s="38" t="str">
        <f aca="false">_xlfn.XLOOKUP($E1035,$A$5:$A$8,$G$5:$G$8,"")</f>
        <v>Per pay period</v>
      </c>
      <c r="L1035" s="38" t="str">
        <f aca="false">_xlfn.XLOOKUP($E1035,$A$5:$A$8,$H$5:$H$8,"")</f>
        <v>Every pay period (ongoing)</v>
      </c>
      <c r="M1035" s="43" t="n">
        <f aca="false" t="array" ref="M1035:M1035">MAX(_xlfn.XLOOKUP($A1035,TRIM(SUBSTITUTE('worker file'!$A$2:$A$406,_xlfn.UNICHAR(160)," ")),'worker file'!$M$2:$M$406,0),_xlfn.XLOOKUP($B1035,TRIM('pay group &amp; schedule'!$A$2:$A$6),'pay group &amp; schedule'!$D$2:$D$6,0))</f>
        <v>46299</v>
      </c>
      <c r="N1035" s="43" t="str">
        <f aca="false" t="array" ref="N1035:N1035">_xlfn.LET(_xlpm.t,_xlfn.XLOOKUP($A1035,TRIM(SUBSTITUTE('worker file'!$A$2:$A$406,_xlfn.UNICHAR(160)," ")),'worker file'!$N$2:$N$406,""),IF(N(_xlpm.t)=0,"",_xlpm.t))</f>
        <v/>
      </c>
    </row>
    <row r="1036" customFormat="false" ht="15" hidden="false" customHeight="false" outlineLevel="0" collapsed="false">
      <c r="A1036" s="39" t="s">
        <v>449</v>
      </c>
      <c r="B1036" s="40" t="str">
        <f aca="false" t="array" ref="B1036:B1036">_xlfn.XLOOKUP($A1036,TRIM(SUBSTITUTE('worker file'!$A$2:$A$406,_xlfn.UNICHAR(160)," ")),'worker file'!$L$2:$L$406,"Not found")</f>
        <v>US Biweekly</v>
      </c>
      <c r="C1036" s="40" t="str">
        <f aca="false" t="array" ref="C1036:C1036">_xlfn.XLOOKUP($A1036,TRIM(SUBSTITUTE('worker file'!$A$2:$A$406,_xlfn.UNICHAR(160)," ")),'worker file'!$D$2:$D$406,"Not found")</f>
        <v>TX</v>
      </c>
      <c r="D1036" s="40" t="str">
        <f aca="false" t="array" ref="D1036:D1036">_xlfn.XLOOKUP($A1036,TRIM(SUBSTITUTE('worker file'!$A$2:$A$406,_xlfn.UNICHAR(160)," ")),'worker file'!$Q$2:$Q$406,"Not found")</f>
        <v>Active</v>
      </c>
      <c r="E1036" s="39" t="s">
        <v>634</v>
      </c>
      <c r="F1036" s="38" t="str">
        <f aca="false">_xlfn.XLOOKUP($E1036,$A$5:$A$8,$B$5:$B$8,"")</f>
        <v>Vision – Employee</v>
      </c>
      <c r="G1036" s="38" t="str">
        <f aca="false">_xlfn.XLOOKUP($E1036,$A$5:$A$8,$D$5:$D$8,"")</f>
        <v>Pre-tax Section 125 (exempt from FIT/SIT/FICA)</v>
      </c>
      <c r="H1036" s="38" t="str">
        <f aca="false">_xlfn.XLOOKUP($E1036,$A$5:$A$8,$E$5:$E$8,"")</f>
        <v>Flat</v>
      </c>
      <c r="I1036" s="44" t="str">
        <f aca="false">IF($H1036="Percent",_xlfn.XLOOKUP($E1036,$A$5:$A$8,$F$5:$F$8,""),"")</f>
        <v/>
      </c>
      <c r="J1036" s="42" t="n">
        <f aca="false">IF($H1036="Flat",_xlfn.XLOOKUP($E1036,$A$5:$A$8,$F$5:$F$8,""),"")</f>
        <v>30</v>
      </c>
      <c r="K1036" s="38" t="str">
        <f aca="false">_xlfn.XLOOKUP($E1036,$A$5:$A$8,$G$5:$G$8,"")</f>
        <v>Per pay period</v>
      </c>
      <c r="L1036" s="38" t="str">
        <f aca="false">_xlfn.XLOOKUP($E1036,$A$5:$A$8,$H$5:$H$8,"")</f>
        <v>Every pay period (ongoing)</v>
      </c>
      <c r="M1036" s="43" t="n">
        <f aca="false" t="array" ref="M1036:M1036">MAX(_xlfn.XLOOKUP($A1036,TRIM(SUBSTITUTE('worker file'!$A$2:$A$406,_xlfn.UNICHAR(160)," ")),'worker file'!$M$2:$M$406,0),_xlfn.XLOOKUP($B1036,TRIM('pay group &amp; schedule'!$A$2:$A$6),'pay group &amp; schedule'!$D$2:$D$6,0))</f>
        <v>46299</v>
      </c>
      <c r="N1036" s="43" t="str">
        <f aca="false" t="array" ref="N1036:N1036">_xlfn.LET(_xlpm.t,_xlfn.XLOOKUP($A1036,TRIM(SUBSTITUTE('worker file'!$A$2:$A$406,_xlfn.UNICHAR(160)," ")),'worker file'!$N$2:$N$406,""),IF(N(_xlpm.t)=0,"",_xlpm.t))</f>
        <v/>
      </c>
    </row>
    <row r="1037" customFormat="false" ht="15" hidden="false" customHeight="false" outlineLevel="0" collapsed="false">
      <c r="A1037" s="39" t="s">
        <v>451</v>
      </c>
      <c r="B1037" s="40" t="str">
        <f aca="false" t="array" ref="B1037:B1037">_xlfn.XLOOKUP($A1037,TRIM(SUBSTITUTE('worker file'!$A$2:$A$406,_xlfn.UNICHAR(160)," ")),'worker file'!$L$2:$L$406,"Not found")</f>
        <v>US Semi-monthly</v>
      </c>
      <c r="C1037" s="40" t="str">
        <f aca="false" t="array" ref="C1037:C1037">_xlfn.XLOOKUP($A1037,TRIM(SUBSTITUTE('worker file'!$A$2:$A$406,_xlfn.UNICHAR(160)," ")),'worker file'!$D$2:$D$406,"Not found")</f>
        <v>IL</v>
      </c>
      <c r="D1037" s="40" t="str">
        <f aca="false" t="array" ref="D1037:D1037">_xlfn.XLOOKUP($A1037,TRIM(SUBSTITUTE('worker file'!$A$2:$A$406,_xlfn.UNICHAR(160)," ")),'worker file'!$Q$2:$Q$406,"Not found")</f>
        <v>Active</v>
      </c>
      <c r="E1037" s="39" t="s">
        <v>618</v>
      </c>
      <c r="F1037" s="38" t="str">
        <f aca="false">_xlfn.XLOOKUP($E1037,$A$5:$A$8,$B$5:$B$8,"")</f>
        <v>401(k) Employee Deferral</v>
      </c>
      <c r="G1037" s="38" t="str">
        <f aca="false">_xlfn.XLOOKUP($E1037,$A$5:$A$8,$D$5:$D$8,"")</f>
        <v>Pre-tax (exempt from FIT/SIT; subject to FICA)</v>
      </c>
      <c r="H1037" s="38" t="str">
        <f aca="false">_xlfn.XLOOKUP($E1037,$A$5:$A$8,$E$5:$E$8,"")</f>
        <v>Percent</v>
      </c>
      <c r="I1037" s="41" t="n">
        <v>0.06</v>
      </c>
      <c r="J1037" s="42" t="str">
        <f aca="false">IF($H1037="Flat",_xlfn.XLOOKUP($E1037,$A$5:$A$8,$F$5:$F$8,""),"")</f>
        <v/>
      </c>
      <c r="K1037" s="38" t="str">
        <f aca="false">_xlfn.XLOOKUP($E1037,$A$5:$A$8,$G$5:$G$8,"")</f>
        <v>Gross pay</v>
      </c>
      <c r="L1037" s="38" t="str">
        <f aca="false">_xlfn.XLOOKUP($E1037,$A$5:$A$8,$H$5:$H$8,"")</f>
        <v>Every pay period (ongoing)</v>
      </c>
      <c r="M1037" s="43" t="n">
        <f aca="false" t="array" ref="M1037:M1037">MAX(_xlfn.XLOOKUP($A1037,TRIM(SUBSTITUTE('worker file'!$A$2:$A$406,_xlfn.UNICHAR(160)," ")),'worker file'!$M$2:$M$406,0),_xlfn.XLOOKUP($B1037,TRIM('pay group &amp; schedule'!$A$2:$A$6),'pay group &amp; schedule'!$D$2:$D$6,0))</f>
        <v>46311</v>
      </c>
      <c r="N1037" s="43" t="str">
        <f aca="false" t="array" ref="N1037:N1037">_xlfn.LET(_xlpm.t,_xlfn.XLOOKUP($A1037,TRIM(SUBSTITUTE('worker file'!$A$2:$A$406,_xlfn.UNICHAR(160)," ")),'worker file'!$N$2:$N$406,""),IF(N(_xlpm.t)=0,"",_xlpm.t))</f>
        <v/>
      </c>
    </row>
    <row r="1038" customFormat="false" ht="15" hidden="false" customHeight="false" outlineLevel="0" collapsed="false">
      <c r="A1038" s="39" t="s">
        <v>451</v>
      </c>
      <c r="B1038" s="40" t="str">
        <f aca="false" t="array" ref="B1038:B1038">_xlfn.XLOOKUP($A1038,TRIM(SUBSTITUTE('worker file'!$A$2:$A$406,_xlfn.UNICHAR(160)," ")),'worker file'!$L$2:$L$406,"Not found")</f>
        <v>US Semi-monthly</v>
      </c>
      <c r="C1038" s="40" t="str">
        <f aca="false" t="array" ref="C1038:C1038">_xlfn.XLOOKUP($A1038,TRIM(SUBSTITUTE('worker file'!$A$2:$A$406,_xlfn.UNICHAR(160)," ")),'worker file'!$D$2:$D$406,"Not found")</f>
        <v>IL</v>
      </c>
      <c r="D1038" s="40" t="str">
        <f aca="false" t="array" ref="D1038:D1038">_xlfn.XLOOKUP($A1038,TRIM(SUBSTITUTE('worker file'!$A$2:$A$406,_xlfn.UNICHAR(160)," ")),'worker file'!$Q$2:$Q$406,"Not found")</f>
        <v>Active</v>
      </c>
      <c r="E1038" s="39" t="s">
        <v>626</v>
      </c>
      <c r="F1038" s="38" t="str">
        <f aca="false">_xlfn.XLOOKUP($E1038,$A$5:$A$8,$B$5:$B$8,"")</f>
        <v>Medical (Health) – Employee</v>
      </c>
      <c r="G1038" s="38" t="str">
        <f aca="false">_xlfn.XLOOKUP($E1038,$A$5:$A$8,$D$5:$D$8,"")</f>
        <v>Pre-tax Section 125 (exempt from FIT/SIT/FICA)</v>
      </c>
      <c r="H1038" s="38" t="str">
        <f aca="false">_xlfn.XLOOKUP($E1038,$A$5:$A$8,$E$5:$E$8,"")</f>
        <v>Flat</v>
      </c>
      <c r="I1038" s="44" t="str">
        <f aca="false">IF($H1038="Percent",_xlfn.XLOOKUP($E1038,$A$5:$A$8,$F$5:$F$8,""),"")</f>
        <v/>
      </c>
      <c r="J1038" s="42" t="n">
        <f aca="false">IF($H1038="Flat",_xlfn.XLOOKUP($E1038,$A$5:$A$8,$F$5:$F$8,""),"")</f>
        <v>200</v>
      </c>
      <c r="K1038" s="38" t="str">
        <f aca="false">_xlfn.XLOOKUP($E1038,$A$5:$A$8,$G$5:$G$8,"")</f>
        <v>Per pay period</v>
      </c>
      <c r="L1038" s="38" t="str">
        <f aca="false">_xlfn.XLOOKUP($E1038,$A$5:$A$8,$H$5:$H$8,"")</f>
        <v>Every pay period (ongoing)</v>
      </c>
      <c r="M1038" s="43" t="n">
        <f aca="false" t="array" ref="M1038:M1038">MAX(_xlfn.XLOOKUP($A1038,TRIM(SUBSTITUTE('worker file'!$A$2:$A$406,_xlfn.UNICHAR(160)," ")),'worker file'!$M$2:$M$406,0),_xlfn.XLOOKUP($B1038,TRIM('pay group &amp; schedule'!$A$2:$A$6),'pay group &amp; schedule'!$D$2:$D$6,0))</f>
        <v>46311</v>
      </c>
      <c r="N1038" s="43" t="str">
        <f aca="false" t="array" ref="N1038:N1038">_xlfn.LET(_xlpm.t,_xlfn.XLOOKUP($A1038,TRIM(SUBSTITUTE('worker file'!$A$2:$A$406,_xlfn.UNICHAR(160)," ")),'worker file'!$N$2:$N$406,""),IF(N(_xlpm.t)=0,"",_xlpm.t))</f>
        <v/>
      </c>
    </row>
    <row r="1039" customFormat="false" ht="15" hidden="false" customHeight="false" outlineLevel="0" collapsed="false">
      <c r="A1039" s="39" t="s">
        <v>451</v>
      </c>
      <c r="B1039" s="40" t="str">
        <f aca="false" t="array" ref="B1039:B1039">_xlfn.XLOOKUP($A1039,TRIM(SUBSTITUTE('worker file'!$A$2:$A$406,_xlfn.UNICHAR(160)," ")),'worker file'!$L$2:$L$406,"Not found")</f>
        <v>US Semi-monthly</v>
      </c>
      <c r="C1039" s="40" t="str">
        <f aca="false" t="array" ref="C1039:C1039">_xlfn.XLOOKUP($A1039,TRIM(SUBSTITUTE('worker file'!$A$2:$A$406,_xlfn.UNICHAR(160)," ")),'worker file'!$D$2:$D$406,"Not found")</f>
        <v>IL</v>
      </c>
      <c r="D1039" s="40" t="str">
        <f aca="false" t="array" ref="D1039:D1039">_xlfn.XLOOKUP($A1039,TRIM(SUBSTITUTE('worker file'!$A$2:$A$406,_xlfn.UNICHAR(160)," ")),'worker file'!$Q$2:$Q$406,"Not found")</f>
        <v>Active</v>
      </c>
      <c r="E1039" s="39" t="s">
        <v>632</v>
      </c>
      <c r="F1039" s="38" t="str">
        <f aca="false">_xlfn.XLOOKUP($E1039,$A$5:$A$8,$B$5:$B$8,"")</f>
        <v>Dental – Employee</v>
      </c>
      <c r="G1039" s="38" t="str">
        <f aca="false">_xlfn.XLOOKUP($E1039,$A$5:$A$8,$D$5:$D$8,"")</f>
        <v>Pre-tax Section 125 (exempt from FIT/SIT/FICA)</v>
      </c>
      <c r="H1039" s="38" t="str">
        <f aca="false">_xlfn.XLOOKUP($E1039,$A$5:$A$8,$E$5:$E$8,"")</f>
        <v>Flat</v>
      </c>
      <c r="I1039" s="44" t="str">
        <f aca="false">IF($H1039="Percent",_xlfn.XLOOKUP($E1039,$A$5:$A$8,$F$5:$F$8,""),"")</f>
        <v/>
      </c>
      <c r="J1039" s="42" t="n">
        <f aca="false">IF($H1039="Flat",_xlfn.XLOOKUP($E1039,$A$5:$A$8,$F$5:$F$8,""),"")</f>
        <v>44</v>
      </c>
      <c r="K1039" s="38" t="str">
        <f aca="false">_xlfn.XLOOKUP($E1039,$A$5:$A$8,$G$5:$G$8,"")</f>
        <v>Per pay period</v>
      </c>
      <c r="L1039" s="38" t="str">
        <f aca="false">_xlfn.XLOOKUP($E1039,$A$5:$A$8,$H$5:$H$8,"")</f>
        <v>Every pay period (ongoing)</v>
      </c>
      <c r="M1039" s="43" t="n">
        <f aca="false" t="array" ref="M1039:M1039">MAX(_xlfn.XLOOKUP($A1039,TRIM(SUBSTITUTE('worker file'!$A$2:$A$406,_xlfn.UNICHAR(160)," ")),'worker file'!$M$2:$M$406,0),_xlfn.XLOOKUP($B1039,TRIM('pay group &amp; schedule'!$A$2:$A$6),'pay group &amp; schedule'!$D$2:$D$6,0))</f>
        <v>46311</v>
      </c>
      <c r="N1039" s="43" t="str">
        <f aca="false" t="array" ref="N1039:N1039">_xlfn.LET(_xlpm.t,_xlfn.XLOOKUP($A1039,TRIM(SUBSTITUTE('worker file'!$A$2:$A$406,_xlfn.UNICHAR(160)," ")),'worker file'!$N$2:$N$406,""),IF(N(_xlpm.t)=0,"",_xlpm.t))</f>
        <v/>
      </c>
    </row>
    <row r="1040" customFormat="false" ht="15" hidden="false" customHeight="false" outlineLevel="0" collapsed="false">
      <c r="A1040" s="39" t="s">
        <v>451</v>
      </c>
      <c r="B1040" s="40" t="str">
        <f aca="false" t="array" ref="B1040:B1040">_xlfn.XLOOKUP($A1040,TRIM(SUBSTITUTE('worker file'!$A$2:$A$406,_xlfn.UNICHAR(160)," ")),'worker file'!$L$2:$L$406,"Not found")</f>
        <v>US Semi-monthly</v>
      </c>
      <c r="C1040" s="40" t="str">
        <f aca="false" t="array" ref="C1040:C1040">_xlfn.XLOOKUP($A1040,TRIM(SUBSTITUTE('worker file'!$A$2:$A$406,_xlfn.UNICHAR(160)," ")),'worker file'!$D$2:$D$406,"Not found")</f>
        <v>IL</v>
      </c>
      <c r="D1040" s="40" t="str">
        <f aca="false" t="array" ref="D1040:D1040">_xlfn.XLOOKUP($A1040,TRIM(SUBSTITUTE('worker file'!$A$2:$A$406,_xlfn.UNICHAR(160)," ")),'worker file'!$Q$2:$Q$406,"Not found")</f>
        <v>Active</v>
      </c>
      <c r="E1040" s="39" t="s">
        <v>634</v>
      </c>
      <c r="F1040" s="38" t="str">
        <f aca="false">_xlfn.XLOOKUP($E1040,$A$5:$A$8,$B$5:$B$8,"")</f>
        <v>Vision – Employee</v>
      </c>
      <c r="G1040" s="38" t="str">
        <f aca="false">_xlfn.XLOOKUP($E1040,$A$5:$A$8,$D$5:$D$8,"")</f>
        <v>Pre-tax Section 125 (exempt from FIT/SIT/FICA)</v>
      </c>
      <c r="H1040" s="38" t="str">
        <f aca="false">_xlfn.XLOOKUP($E1040,$A$5:$A$8,$E$5:$E$8,"")</f>
        <v>Flat</v>
      </c>
      <c r="I1040" s="44" t="str">
        <f aca="false">IF($H1040="Percent",_xlfn.XLOOKUP($E1040,$A$5:$A$8,$F$5:$F$8,""),"")</f>
        <v/>
      </c>
      <c r="J1040" s="42" t="n">
        <f aca="false">IF($H1040="Flat",_xlfn.XLOOKUP($E1040,$A$5:$A$8,$F$5:$F$8,""),"")</f>
        <v>30</v>
      </c>
      <c r="K1040" s="38" t="str">
        <f aca="false">_xlfn.XLOOKUP($E1040,$A$5:$A$8,$G$5:$G$8,"")</f>
        <v>Per pay period</v>
      </c>
      <c r="L1040" s="38" t="str">
        <f aca="false">_xlfn.XLOOKUP($E1040,$A$5:$A$8,$H$5:$H$8,"")</f>
        <v>Every pay period (ongoing)</v>
      </c>
      <c r="M1040" s="43" t="n">
        <f aca="false" t="array" ref="M1040:M1040">MAX(_xlfn.XLOOKUP($A1040,TRIM(SUBSTITUTE('worker file'!$A$2:$A$406,_xlfn.UNICHAR(160)," ")),'worker file'!$M$2:$M$406,0),_xlfn.XLOOKUP($B1040,TRIM('pay group &amp; schedule'!$A$2:$A$6),'pay group &amp; schedule'!$D$2:$D$6,0))</f>
        <v>46311</v>
      </c>
      <c r="N1040" s="43" t="str">
        <f aca="false" t="array" ref="N1040:N1040">_xlfn.LET(_xlpm.t,_xlfn.XLOOKUP($A1040,TRIM(SUBSTITUTE('worker file'!$A$2:$A$406,_xlfn.UNICHAR(160)," ")),'worker file'!$N$2:$N$406,""),IF(N(_xlpm.t)=0,"",_xlpm.t))</f>
        <v/>
      </c>
    </row>
    <row r="1041" customFormat="false" ht="15" hidden="false" customHeight="false" outlineLevel="0" collapsed="false">
      <c r="A1041" s="39" t="s">
        <v>452</v>
      </c>
      <c r="B1041" s="40" t="str">
        <f aca="false" t="array" ref="B1041:B1041">_xlfn.XLOOKUP($A1041,TRIM(SUBSTITUTE('worker file'!$A$2:$A$406,_xlfn.UNICHAR(160)," ")),'worker file'!$L$2:$L$406,"Not found")</f>
        <v>US Biweekly</v>
      </c>
      <c r="C1041" s="40" t="str">
        <f aca="false" t="array" ref="C1041:C1041">_xlfn.XLOOKUP($A1041,TRIM(SUBSTITUTE('worker file'!$A$2:$A$406,_xlfn.UNICHAR(160)," ")),'worker file'!$D$2:$D$406,"Not found")</f>
        <v>TX</v>
      </c>
      <c r="D1041" s="40" t="str">
        <f aca="false" t="array" ref="D1041:D1041">_xlfn.XLOOKUP($A1041,TRIM(SUBSTITUTE('worker file'!$A$2:$A$406,_xlfn.UNICHAR(160)," ")),'worker file'!$Q$2:$Q$406,"Not found")</f>
        <v>Active</v>
      </c>
      <c r="E1041" s="39" t="s">
        <v>618</v>
      </c>
      <c r="F1041" s="38" t="str">
        <f aca="false">_xlfn.XLOOKUP($E1041,$A$5:$A$8,$B$5:$B$8,"")</f>
        <v>401(k) Employee Deferral</v>
      </c>
      <c r="G1041" s="38" t="str">
        <f aca="false">_xlfn.XLOOKUP($E1041,$A$5:$A$8,$D$5:$D$8,"")</f>
        <v>Pre-tax (exempt from FIT/SIT; subject to FICA)</v>
      </c>
      <c r="H1041" s="38" t="str">
        <f aca="false">_xlfn.XLOOKUP($E1041,$A$5:$A$8,$E$5:$E$8,"")</f>
        <v>Percent</v>
      </c>
      <c r="I1041" s="41" t="n">
        <v>0.03</v>
      </c>
      <c r="J1041" s="42" t="str">
        <f aca="false">IF($H1041="Flat",_xlfn.XLOOKUP($E1041,$A$5:$A$8,$F$5:$F$8,""),"")</f>
        <v/>
      </c>
      <c r="K1041" s="38" t="str">
        <f aca="false">_xlfn.XLOOKUP($E1041,$A$5:$A$8,$G$5:$G$8,"")</f>
        <v>Gross pay</v>
      </c>
      <c r="L1041" s="38" t="str">
        <f aca="false">_xlfn.XLOOKUP($E1041,$A$5:$A$8,$H$5:$H$8,"")</f>
        <v>Every pay period (ongoing)</v>
      </c>
      <c r="M1041" s="43" t="n">
        <f aca="false" t="array" ref="M1041:M1041">MAX(_xlfn.XLOOKUP($A1041,TRIM(SUBSTITUTE('worker file'!$A$2:$A$406,_xlfn.UNICHAR(160)," ")),'worker file'!$M$2:$M$406,0),_xlfn.XLOOKUP($B1041,TRIM('pay group &amp; schedule'!$A$2:$A$6),'pay group &amp; schedule'!$D$2:$D$6,0))</f>
        <v>46299</v>
      </c>
      <c r="N1041" s="43" t="str">
        <f aca="false" t="array" ref="N1041:N1041">_xlfn.LET(_xlpm.t,_xlfn.XLOOKUP($A1041,TRIM(SUBSTITUTE('worker file'!$A$2:$A$406,_xlfn.UNICHAR(160)," ")),'worker file'!$N$2:$N$406,""),IF(N(_xlpm.t)=0,"",_xlpm.t))</f>
        <v/>
      </c>
    </row>
    <row r="1042" customFormat="false" ht="15" hidden="false" customHeight="false" outlineLevel="0" collapsed="false">
      <c r="A1042" s="39" t="s">
        <v>452</v>
      </c>
      <c r="B1042" s="40" t="str">
        <f aca="false" t="array" ref="B1042:B1042">_xlfn.XLOOKUP($A1042,TRIM(SUBSTITUTE('worker file'!$A$2:$A$406,_xlfn.UNICHAR(160)," ")),'worker file'!$L$2:$L$406,"Not found")</f>
        <v>US Biweekly</v>
      </c>
      <c r="C1042" s="40" t="str">
        <f aca="false" t="array" ref="C1042:C1042">_xlfn.XLOOKUP($A1042,TRIM(SUBSTITUTE('worker file'!$A$2:$A$406,_xlfn.UNICHAR(160)," ")),'worker file'!$D$2:$D$406,"Not found")</f>
        <v>TX</v>
      </c>
      <c r="D1042" s="40" t="str">
        <f aca="false" t="array" ref="D1042:D1042">_xlfn.XLOOKUP($A1042,TRIM(SUBSTITUTE('worker file'!$A$2:$A$406,_xlfn.UNICHAR(160)," ")),'worker file'!$Q$2:$Q$406,"Not found")</f>
        <v>Active</v>
      </c>
      <c r="E1042" s="39" t="s">
        <v>626</v>
      </c>
      <c r="F1042" s="38" t="str">
        <f aca="false">_xlfn.XLOOKUP($E1042,$A$5:$A$8,$B$5:$B$8,"")</f>
        <v>Medical (Health) – Employee</v>
      </c>
      <c r="G1042" s="38" t="str">
        <f aca="false">_xlfn.XLOOKUP($E1042,$A$5:$A$8,$D$5:$D$8,"")</f>
        <v>Pre-tax Section 125 (exempt from FIT/SIT/FICA)</v>
      </c>
      <c r="H1042" s="38" t="str">
        <f aca="false">_xlfn.XLOOKUP($E1042,$A$5:$A$8,$E$5:$E$8,"")</f>
        <v>Flat</v>
      </c>
      <c r="I1042" s="44" t="str">
        <f aca="false">IF($H1042="Percent",_xlfn.XLOOKUP($E1042,$A$5:$A$8,$F$5:$F$8,""),"")</f>
        <v/>
      </c>
      <c r="J1042" s="42" t="n">
        <f aca="false">IF($H1042="Flat",_xlfn.XLOOKUP($E1042,$A$5:$A$8,$F$5:$F$8,""),"")</f>
        <v>200</v>
      </c>
      <c r="K1042" s="38" t="str">
        <f aca="false">_xlfn.XLOOKUP($E1042,$A$5:$A$8,$G$5:$G$8,"")</f>
        <v>Per pay period</v>
      </c>
      <c r="L1042" s="38" t="str">
        <f aca="false">_xlfn.XLOOKUP($E1042,$A$5:$A$8,$H$5:$H$8,"")</f>
        <v>Every pay period (ongoing)</v>
      </c>
      <c r="M1042" s="43" t="n">
        <f aca="false" t="array" ref="M1042:M1042">MAX(_xlfn.XLOOKUP($A1042,TRIM(SUBSTITUTE('worker file'!$A$2:$A$406,_xlfn.UNICHAR(160)," ")),'worker file'!$M$2:$M$406,0),_xlfn.XLOOKUP($B1042,TRIM('pay group &amp; schedule'!$A$2:$A$6),'pay group &amp; schedule'!$D$2:$D$6,0))</f>
        <v>46299</v>
      </c>
      <c r="N1042" s="43" t="str">
        <f aca="false" t="array" ref="N1042:N1042">_xlfn.LET(_xlpm.t,_xlfn.XLOOKUP($A1042,TRIM(SUBSTITUTE('worker file'!$A$2:$A$406,_xlfn.UNICHAR(160)," ")),'worker file'!$N$2:$N$406,""),IF(N(_xlpm.t)=0,"",_xlpm.t))</f>
        <v/>
      </c>
    </row>
    <row r="1043" customFormat="false" ht="15" hidden="false" customHeight="false" outlineLevel="0" collapsed="false">
      <c r="A1043" s="39" t="s">
        <v>452</v>
      </c>
      <c r="B1043" s="40" t="str">
        <f aca="false" t="array" ref="B1043:B1043">_xlfn.XLOOKUP($A1043,TRIM(SUBSTITUTE('worker file'!$A$2:$A$406,_xlfn.UNICHAR(160)," ")),'worker file'!$L$2:$L$406,"Not found")</f>
        <v>US Biweekly</v>
      </c>
      <c r="C1043" s="40" t="str">
        <f aca="false" t="array" ref="C1043:C1043">_xlfn.XLOOKUP($A1043,TRIM(SUBSTITUTE('worker file'!$A$2:$A$406,_xlfn.UNICHAR(160)," ")),'worker file'!$D$2:$D$406,"Not found")</f>
        <v>TX</v>
      </c>
      <c r="D1043" s="40" t="str">
        <f aca="false" t="array" ref="D1043:D1043">_xlfn.XLOOKUP($A1043,TRIM(SUBSTITUTE('worker file'!$A$2:$A$406,_xlfn.UNICHAR(160)," ")),'worker file'!$Q$2:$Q$406,"Not found")</f>
        <v>Active</v>
      </c>
      <c r="E1043" s="39" t="s">
        <v>632</v>
      </c>
      <c r="F1043" s="38" t="str">
        <f aca="false">_xlfn.XLOOKUP($E1043,$A$5:$A$8,$B$5:$B$8,"")</f>
        <v>Dental – Employee</v>
      </c>
      <c r="G1043" s="38" t="str">
        <f aca="false">_xlfn.XLOOKUP($E1043,$A$5:$A$8,$D$5:$D$8,"")</f>
        <v>Pre-tax Section 125 (exempt from FIT/SIT/FICA)</v>
      </c>
      <c r="H1043" s="38" t="str">
        <f aca="false">_xlfn.XLOOKUP($E1043,$A$5:$A$8,$E$5:$E$8,"")</f>
        <v>Flat</v>
      </c>
      <c r="I1043" s="44" t="str">
        <f aca="false">IF($H1043="Percent",_xlfn.XLOOKUP($E1043,$A$5:$A$8,$F$5:$F$8,""),"")</f>
        <v/>
      </c>
      <c r="J1043" s="42" t="n">
        <f aca="false">IF($H1043="Flat",_xlfn.XLOOKUP($E1043,$A$5:$A$8,$F$5:$F$8,""),"")</f>
        <v>44</v>
      </c>
      <c r="K1043" s="38" t="str">
        <f aca="false">_xlfn.XLOOKUP($E1043,$A$5:$A$8,$G$5:$G$8,"")</f>
        <v>Per pay period</v>
      </c>
      <c r="L1043" s="38" t="str">
        <f aca="false">_xlfn.XLOOKUP($E1043,$A$5:$A$8,$H$5:$H$8,"")</f>
        <v>Every pay period (ongoing)</v>
      </c>
      <c r="M1043" s="43" t="n">
        <f aca="false" t="array" ref="M1043:M1043">MAX(_xlfn.XLOOKUP($A1043,TRIM(SUBSTITUTE('worker file'!$A$2:$A$406,_xlfn.UNICHAR(160)," ")),'worker file'!$M$2:$M$406,0),_xlfn.XLOOKUP($B1043,TRIM('pay group &amp; schedule'!$A$2:$A$6),'pay group &amp; schedule'!$D$2:$D$6,0))</f>
        <v>46299</v>
      </c>
      <c r="N1043" s="43" t="str">
        <f aca="false" t="array" ref="N1043:N1043">_xlfn.LET(_xlpm.t,_xlfn.XLOOKUP($A1043,TRIM(SUBSTITUTE('worker file'!$A$2:$A$406,_xlfn.UNICHAR(160)," ")),'worker file'!$N$2:$N$406,""),IF(N(_xlpm.t)=0,"",_xlpm.t))</f>
        <v/>
      </c>
    </row>
    <row r="1044" customFormat="false" ht="15" hidden="false" customHeight="false" outlineLevel="0" collapsed="false">
      <c r="A1044" s="39" t="s">
        <v>452</v>
      </c>
      <c r="B1044" s="40" t="str">
        <f aca="false" t="array" ref="B1044:B1044">_xlfn.XLOOKUP($A1044,TRIM(SUBSTITUTE('worker file'!$A$2:$A$406,_xlfn.UNICHAR(160)," ")),'worker file'!$L$2:$L$406,"Not found")</f>
        <v>US Biweekly</v>
      </c>
      <c r="C1044" s="40" t="str">
        <f aca="false" t="array" ref="C1044:C1044">_xlfn.XLOOKUP($A1044,TRIM(SUBSTITUTE('worker file'!$A$2:$A$406,_xlfn.UNICHAR(160)," ")),'worker file'!$D$2:$D$406,"Not found")</f>
        <v>TX</v>
      </c>
      <c r="D1044" s="40" t="str">
        <f aca="false" t="array" ref="D1044:D1044">_xlfn.XLOOKUP($A1044,TRIM(SUBSTITUTE('worker file'!$A$2:$A$406,_xlfn.UNICHAR(160)," ")),'worker file'!$Q$2:$Q$406,"Not found")</f>
        <v>Active</v>
      </c>
      <c r="E1044" s="39" t="s">
        <v>634</v>
      </c>
      <c r="F1044" s="38" t="str">
        <f aca="false">_xlfn.XLOOKUP($E1044,$A$5:$A$8,$B$5:$B$8,"")</f>
        <v>Vision – Employee</v>
      </c>
      <c r="G1044" s="38" t="str">
        <f aca="false">_xlfn.XLOOKUP($E1044,$A$5:$A$8,$D$5:$D$8,"")</f>
        <v>Pre-tax Section 125 (exempt from FIT/SIT/FICA)</v>
      </c>
      <c r="H1044" s="38" t="str">
        <f aca="false">_xlfn.XLOOKUP($E1044,$A$5:$A$8,$E$5:$E$8,"")</f>
        <v>Flat</v>
      </c>
      <c r="I1044" s="44" t="str">
        <f aca="false">IF($H1044="Percent",_xlfn.XLOOKUP($E1044,$A$5:$A$8,$F$5:$F$8,""),"")</f>
        <v/>
      </c>
      <c r="J1044" s="42" t="n">
        <f aca="false">IF($H1044="Flat",_xlfn.XLOOKUP($E1044,$A$5:$A$8,$F$5:$F$8,""),"")</f>
        <v>30</v>
      </c>
      <c r="K1044" s="38" t="str">
        <f aca="false">_xlfn.XLOOKUP($E1044,$A$5:$A$8,$G$5:$G$8,"")</f>
        <v>Per pay period</v>
      </c>
      <c r="L1044" s="38" t="str">
        <f aca="false">_xlfn.XLOOKUP($E1044,$A$5:$A$8,$H$5:$H$8,"")</f>
        <v>Every pay period (ongoing)</v>
      </c>
      <c r="M1044" s="43" t="n">
        <f aca="false" t="array" ref="M1044:M1044">MAX(_xlfn.XLOOKUP($A1044,TRIM(SUBSTITUTE('worker file'!$A$2:$A$406,_xlfn.UNICHAR(160)," ")),'worker file'!$M$2:$M$406,0),_xlfn.XLOOKUP($B1044,TRIM('pay group &amp; schedule'!$A$2:$A$6),'pay group &amp; schedule'!$D$2:$D$6,0))</f>
        <v>46299</v>
      </c>
      <c r="N1044" s="43" t="str">
        <f aca="false" t="array" ref="N1044:N1044">_xlfn.LET(_xlpm.t,_xlfn.XLOOKUP($A1044,TRIM(SUBSTITUTE('worker file'!$A$2:$A$406,_xlfn.UNICHAR(160)," ")),'worker file'!$N$2:$N$406,""),IF(N(_xlpm.t)=0,"",_xlpm.t))</f>
        <v/>
      </c>
    </row>
    <row r="1045" customFormat="false" ht="15" hidden="false" customHeight="false" outlineLevel="0" collapsed="false">
      <c r="A1045" s="39" t="s">
        <v>453</v>
      </c>
      <c r="B1045" s="40" t="str">
        <f aca="false" t="array" ref="B1045:B1045">_xlfn.XLOOKUP($A1045,TRIM(SUBSTITUTE('worker file'!$A$2:$A$406,_xlfn.UNICHAR(160)," ")),'worker file'!$L$2:$L$406,"Not found")</f>
        <v>US Semi-monthly</v>
      </c>
      <c r="C1045" s="40" t="str">
        <f aca="false" t="array" ref="C1045:C1045">_xlfn.XLOOKUP($A1045,TRIM(SUBSTITUTE('worker file'!$A$2:$A$406,_xlfn.UNICHAR(160)," ")),'worker file'!$D$2:$D$406,"Not found")</f>
        <v>WA</v>
      </c>
      <c r="D1045" s="40" t="str">
        <f aca="false" t="array" ref="D1045:D1045">_xlfn.XLOOKUP($A1045,TRIM(SUBSTITUTE('worker file'!$A$2:$A$406,_xlfn.UNICHAR(160)," ")),'worker file'!$Q$2:$Q$406,"Not found")</f>
        <v>Active</v>
      </c>
      <c r="E1045" s="39" t="s">
        <v>618</v>
      </c>
      <c r="F1045" s="38" t="str">
        <f aca="false">_xlfn.XLOOKUP($E1045,$A$5:$A$8,$B$5:$B$8,"")</f>
        <v>401(k) Employee Deferral</v>
      </c>
      <c r="G1045" s="38" t="str">
        <f aca="false">_xlfn.XLOOKUP($E1045,$A$5:$A$8,$D$5:$D$8,"")</f>
        <v>Pre-tax (exempt from FIT/SIT; subject to FICA)</v>
      </c>
      <c r="H1045" s="38" t="str">
        <f aca="false">_xlfn.XLOOKUP($E1045,$A$5:$A$8,$E$5:$E$8,"")</f>
        <v>Percent</v>
      </c>
      <c r="I1045" s="41" t="n">
        <v>0</v>
      </c>
      <c r="J1045" s="42" t="str">
        <f aca="false">IF($H1045="Flat",_xlfn.XLOOKUP($E1045,$A$5:$A$8,$F$5:$F$8,""),"")</f>
        <v/>
      </c>
      <c r="K1045" s="38" t="str">
        <f aca="false">_xlfn.XLOOKUP($E1045,$A$5:$A$8,$G$5:$G$8,"")</f>
        <v>Gross pay</v>
      </c>
      <c r="L1045" s="38" t="str">
        <f aca="false">_xlfn.XLOOKUP($E1045,$A$5:$A$8,$H$5:$H$8,"")</f>
        <v>Every pay period (ongoing)</v>
      </c>
      <c r="M1045" s="43" t="n">
        <f aca="false" t="array" ref="M1045:M1045">MAX(_xlfn.XLOOKUP($A1045,TRIM(SUBSTITUTE('worker file'!$A$2:$A$406,_xlfn.UNICHAR(160)," ")),'worker file'!$M$2:$M$406,0),_xlfn.XLOOKUP($B1045,TRIM('pay group &amp; schedule'!$A$2:$A$6),'pay group &amp; schedule'!$D$2:$D$6,0))</f>
        <v>46311</v>
      </c>
      <c r="N1045" s="43" t="str">
        <f aca="false" t="array" ref="N1045:N1045">_xlfn.LET(_xlpm.t,_xlfn.XLOOKUP($A1045,TRIM(SUBSTITUTE('worker file'!$A$2:$A$406,_xlfn.UNICHAR(160)," ")),'worker file'!$N$2:$N$406,""),IF(N(_xlpm.t)=0,"",_xlpm.t))</f>
        <v/>
      </c>
    </row>
    <row r="1046" customFormat="false" ht="15" hidden="false" customHeight="false" outlineLevel="0" collapsed="false">
      <c r="A1046" s="39" t="s">
        <v>453</v>
      </c>
      <c r="B1046" s="40" t="str">
        <f aca="false" t="array" ref="B1046:B1046">_xlfn.XLOOKUP($A1046,TRIM(SUBSTITUTE('worker file'!$A$2:$A$406,_xlfn.UNICHAR(160)," ")),'worker file'!$L$2:$L$406,"Not found")</f>
        <v>US Semi-monthly</v>
      </c>
      <c r="C1046" s="40" t="str">
        <f aca="false" t="array" ref="C1046:C1046">_xlfn.XLOOKUP($A1046,TRIM(SUBSTITUTE('worker file'!$A$2:$A$406,_xlfn.UNICHAR(160)," ")),'worker file'!$D$2:$D$406,"Not found")</f>
        <v>WA</v>
      </c>
      <c r="D1046" s="40" t="str">
        <f aca="false" t="array" ref="D1046:D1046">_xlfn.XLOOKUP($A1046,TRIM(SUBSTITUTE('worker file'!$A$2:$A$406,_xlfn.UNICHAR(160)," ")),'worker file'!$Q$2:$Q$406,"Not found")</f>
        <v>Active</v>
      </c>
      <c r="E1046" s="39" t="s">
        <v>626</v>
      </c>
      <c r="F1046" s="38" t="str">
        <f aca="false">_xlfn.XLOOKUP($E1046,$A$5:$A$8,$B$5:$B$8,"")</f>
        <v>Medical (Health) – Employee</v>
      </c>
      <c r="G1046" s="38" t="str">
        <f aca="false">_xlfn.XLOOKUP($E1046,$A$5:$A$8,$D$5:$D$8,"")</f>
        <v>Pre-tax Section 125 (exempt from FIT/SIT/FICA)</v>
      </c>
      <c r="H1046" s="38" t="str">
        <f aca="false">_xlfn.XLOOKUP($E1046,$A$5:$A$8,$E$5:$E$8,"")</f>
        <v>Flat</v>
      </c>
      <c r="I1046" s="44" t="str">
        <f aca="false">IF($H1046="Percent",_xlfn.XLOOKUP($E1046,$A$5:$A$8,$F$5:$F$8,""),"")</f>
        <v/>
      </c>
      <c r="J1046" s="42" t="n">
        <f aca="false">IF($H1046="Flat",_xlfn.XLOOKUP($E1046,$A$5:$A$8,$F$5:$F$8,""),"")</f>
        <v>200</v>
      </c>
      <c r="K1046" s="38" t="str">
        <f aca="false">_xlfn.XLOOKUP($E1046,$A$5:$A$8,$G$5:$G$8,"")</f>
        <v>Per pay period</v>
      </c>
      <c r="L1046" s="38" t="str">
        <f aca="false">_xlfn.XLOOKUP($E1046,$A$5:$A$8,$H$5:$H$8,"")</f>
        <v>Every pay period (ongoing)</v>
      </c>
      <c r="M1046" s="43" t="n">
        <f aca="false" t="array" ref="M1046:M1046">MAX(_xlfn.XLOOKUP($A1046,TRIM(SUBSTITUTE('worker file'!$A$2:$A$406,_xlfn.UNICHAR(160)," ")),'worker file'!$M$2:$M$406,0),_xlfn.XLOOKUP($B1046,TRIM('pay group &amp; schedule'!$A$2:$A$6),'pay group &amp; schedule'!$D$2:$D$6,0))</f>
        <v>46311</v>
      </c>
      <c r="N1046" s="43" t="str">
        <f aca="false" t="array" ref="N1046:N1046">_xlfn.LET(_xlpm.t,_xlfn.XLOOKUP($A1046,TRIM(SUBSTITUTE('worker file'!$A$2:$A$406,_xlfn.UNICHAR(160)," ")),'worker file'!$N$2:$N$406,""),IF(N(_xlpm.t)=0,"",_xlpm.t))</f>
        <v/>
      </c>
    </row>
    <row r="1047" customFormat="false" ht="15" hidden="false" customHeight="false" outlineLevel="0" collapsed="false">
      <c r="A1047" s="39" t="s">
        <v>453</v>
      </c>
      <c r="B1047" s="40" t="str">
        <f aca="false" t="array" ref="B1047:B1047">_xlfn.XLOOKUP($A1047,TRIM(SUBSTITUTE('worker file'!$A$2:$A$406,_xlfn.UNICHAR(160)," ")),'worker file'!$L$2:$L$406,"Not found")</f>
        <v>US Semi-monthly</v>
      </c>
      <c r="C1047" s="40" t="str">
        <f aca="false" t="array" ref="C1047:C1047">_xlfn.XLOOKUP($A1047,TRIM(SUBSTITUTE('worker file'!$A$2:$A$406,_xlfn.UNICHAR(160)," ")),'worker file'!$D$2:$D$406,"Not found")</f>
        <v>WA</v>
      </c>
      <c r="D1047" s="40" t="str">
        <f aca="false" t="array" ref="D1047:D1047">_xlfn.XLOOKUP($A1047,TRIM(SUBSTITUTE('worker file'!$A$2:$A$406,_xlfn.UNICHAR(160)," ")),'worker file'!$Q$2:$Q$406,"Not found")</f>
        <v>Active</v>
      </c>
      <c r="E1047" s="39" t="s">
        <v>632</v>
      </c>
      <c r="F1047" s="38" t="str">
        <f aca="false">_xlfn.XLOOKUP($E1047,$A$5:$A$8,$B$5:$B$8,"")</f>
        <v>Dental – Employee</v>
      </c>
      <c r="G1047" s="38" t="str">
        <f aca="false">_xlfn.XLOOKUP($E1047,$A$5:$A$8,$D$5:$D$8,"")</f>
        <v>Pre-tax Section 125 (exempt from FIT/SIT/FICA)</v>
      </c>
      <c r="H1047" s="38" t="str">
        <f aca="false">_xlfn.XLOOKUP($E1047,$A$5:$A$8,$E$5:$E$8,"")</f>
        <v>Flat</v>
      </c>
      <c r="I1047" s="44" t="str">
        <f aca="false">IF($H1047="Percent",_xlfn.XLOOKUP($E1047,$A$5:$A$8,$F$5:$F$8,""),"")</f>
        <v/>
      </c>
      <c r="J1047" s="42" t="n">
        <f aca="false">IF($H1047="Flat",_xlfn.XLOOKUP($E1047,$A$5:$A$8,$F$5:$F$8,""),"")</f>
        <v>44</v>
      </c>
      <c r="K1047" s="38" t="str">
        <f aca="false">_xlfn.XLOOKUP($E1047,$A$5:$A$8,$G$5:$G$8,"")</f>
        <v>Per pay period</v>
      </c>
      <c r="L1047" s="38" t="str">
        <f aca="false">_xlfn.XLOOKUP($E1047,$A$5:$A$8,$H$5:$H$8,"")</f>
        <v>Every pay period (ongoing)</v>
      </c>
      <c r="M1047" s="43" t="n">
        <f aca="false" t="array" ref="M1047:M1047">MAX(_xlfn.XLOOKUP($A1047,TRIM(SUBSTITUTE('worker file'!$A$2:$A$406,_xlfn.UNICHAR(160)," ")),'worker file'!$M$2:$M$406,0),_xlfn.XLOOKUP($B1047,TRIM('pay group &amp; schedule'!$A$2:$A$6),'pay group &amp; schedule'!$D$2:$D$6,0))</f>
        <v>46311</v>
      </c>
      <c r="N1047" s="43" t="str">
        <f aca="false" t="array" ref="N1047:N1047">_xlfn.LET(_xlpm.t,_xlfn.XLOOKUP($A1047,TRIM(SUBSTITUTE('worker file'!$A$2:$A$406,_xlfn.UNICHAR(160)," ")),'worker file'!$N$2:$N$406,""),IF(N(_xlpm.t)=0,"",_xlpm.t))</f>
        <v/>
      </c>
    </row>
    <row r="1048" customFormat="false" ht="15" hidden="false" customHeight="false" outlineLevel="0" collapsed="false">
      <c r="A1048" s="39" t="s">
        <v>453</v>
      </c>
      <c r="B1048" s="40" t="str">
        <f aca="false" t="array" ref="B1048:B1048">_xlfn.XLOOKUP($A1048,TRIM(SUBSTITUTE('worker file'!$A$2:$A$406,_xlfn.UNICHAR(160)," ")),'worker file'!$L$2:$L$406,"Not found")</f>
        <v>US Semi-monthly</v>
      </c>
      <c r="C1048" s="40" t="str">
        <f aca="false" t="array" ref="C1048:C1048">_xlfn.XLOOKUP($A1048,TRIM(SUBSTITUTE('worker file'!$A$2:$A$406,_xlfn.UNICHAR(160)," ")),'worker file'!$D$2:$D$406,"Not found")</f>
        <v>WA</v>
      </c>
      <c r="D1048" s="40" t="str">
        <f aca="false" t="array" ref="D1048:D1048">_xlfn.XLOOKUP($A1048,TRIM(SUBSTITUTE('worker file'!$A$2:$A$406,_xlfn.UNICHAR(160)," ")),'worker file'!$Q$2:$Q$406,"Not found")</f>
        <v>Active</v>
      </c>
      <c r="E1048" s="39" t="s">
        <v>634</v>
      </c>
      <c r="F1048" s="38" t="str">
        <f aca="false">_xlfn.XLOOKUP($E1048,$A$5:$A$8,$B$5:$B$8,"")</f>
        <v>Vision – Employee</v>
      </c>
      <c r="G1048" s="38" t="str">
        <f aca="false">_xlfn.XLOOKUP($E1048,$A$5:$A$8,$D$5:$D$8,"")</f>
        <v>Pre-tax Section 125 (exempt from FIT/SIT/FICA)</v>
      </c>
      <c r="H1048" s="38" t="str">
        <f aca="false">_xlfn.XLOOKUP($E1048,$A$5:$A$8,$E$5:$E$8,"")</f>
        <v>Flat</v>
      </c>
      <c r="I1048" s="44" t="str">
        <f aca="false">IF($H1048="Percent",_xlfn.XLOOKUP($E1048,$A$5:$A$8,$F$5:$F$8,""),"")</f>
        <v/>
      </c>
      <c r="J1048" s="42" t="n">
        <f aca="false">IF($H1048="Flat",_xlfn.XLOOKUP($E1048,$A$5:$A$8,$F$5:$F$8,""),"")</f>
        <v>30</v>
      </c>
      <c r="K1048" s="38" t="str">
        <f aca="false">_xlfn.XLOOKUP($E1048,$A$5:$A$8,$G$5:$G$8,"")</f>
        <v>Per pay period</v>
      </c>
      <c r="L1048" s="38" t="str">
        <f aca="false">_xlfn.XLOOKUP($E1048,$A$5:$A$8,$H$5:$H$8,"")</f>
        <v>Every pay period (ongoing)</v>
      </c>
      <c r="M1048" s="43" t="n">
        <f aca="false" t="array" ref="M1048:M1048">MAX(_xlfn.XLOOKUP($A1048,TRIM(SUBSTITUTE('worker file'!$A$2:$A$406,_xlfn.UNICHAR(160)," ")),'worker file'!$M$2:$M$406,0),_xlfn.XLOOKUP($B1048,TRIM('pay group &amp; schedule'!$A$2:$A$6),'pay group &amp; schedule'!$D$2:$D$6,0))</f>
        <v>46311</v>
      </c>
      <c r="N1048" s="43" t="str">
        <f aca="false" t="array" ref="N1048:N1048">_xlfn.LET(_xlpm.t,_xlfn.XLOOKUP($A1048,TRIM(SUBSTITUTE('worker file'!$A$2:$A$406,_xlfn.UNICHAR(160)," ")),'worker file'!$N$2:$N$406,""),IF(N(_xlpm.t)=0,"",_xlpm.t))</f>
        <v/>
      </c>
    </row>
    <row r="1049" customFormat="false" ht="15" hidden="false" customHeight="false" outlineLevel="0" collapsed="false">
      <c r="A1049" s="39" t="s">
        <v>454</v>
      </c>
      <c r="B1049" s="40" t="str">
        <f aca="false" t="array" ref="B1049:B1049">_xlfn.XLOOKUP($A1049,TRIM(SUBSTITUTE('worker file'!$A$2:$A$406,_xlfn.UNICHAR(160)," ")),'worker file'!$L$2:$L$406,"Not found")</f>
        <v>US Semi-monthly</v>
      </c>
      <c r="C1049" s="40" t="str">
        <f aca="false" t="array" ref="C1049:C1049">_xlfn.XLOOKUP($A1049,TRIM(SUBSTITUTE('worker file'!$A$2:$A$406,_xlfn.UNICHAR(160)," ")),'worker file'!$D$2:$D$406,"Not found")</f>
        <v>CA</v>
      </c>
      <c r="D1049" s="40" t="str">
        <f aca="false" t="array" ref="D1049:D1049">_xlfn.XLOOKUP($A1049,TRIM(SUBSTITUTE('worker file'!$A$2:$A$406,_xlfn.UNICHAR(160)," ")),'worker file'!$Q$2:$Q$406,"Not found")</f>
        <v>Active</v>
      </c>
      <c r="E1049" s="39" t="s">
        <v>618</v>
      </c>
      <c r="F1049" s="38" t="str">
        <f aca="false">_xlfn.XLOOKUP($E1049,$A$5:$A$8,$B$5:$B$8,"")</f>
        <v>401(k) Employee Deferral</v>
      </c>
      <c r="G1049" s="38" t="str">
        <f aca="false">_xlfn.XLOOKUP($E1049,$A$5:$A$8,$D$5:$D$8,"")</f>
        <v>Pre-tax (exempt from FIT/SIT; subject to FICA)</v>
      </c>
      <c r="H1049" s="38" t="str">
        <f aca="false">_xlfn.XLOOKUP($E1049,$A$5:$A$8,$E$5:$E$8,"")</f>
        <v>Percent</v>
      </c>
      <c r="I1049" s="41" t="n">
        <v>0.05</v>
      </c>
      <c r="J1049" s="42" t="str">
        <f aca="false">IF($H1049="Flat",_xlfn.XLOOKUP($E1049,$A$5:$A$8,$F$5:$F$8,""),"")</f>
        <v/>
      </c>
      <c r="K1049" s="38" t="str">
        <f aca="false">_xlfn.XLOOKUP($E1049,$A$5:$A$8,$G$5:$G$8,"")</f>
        <v>Gross pay</v>
      </c>
      <c r="L1049" s="38" t="str">
        <f aca="false">_xlfn.XLOOKUP($E1049,$A$5:$A$8,$H$5:$H$8,"")</f>
        <v>Every pay period (ongoing)</v>
      </c>
      <c r="M1049" s="43" t="n">
        <f aca="false" t="array" ref="M1049:M1049">MAX(_xlfn.XLOOKUP($A1049,TRIM(SUBSTITUTE('worker file'!$A$2:$A$406,_xlfn.UNICHAR(160)," ")),'worker file'!$M$2:$M$406,0),_xlfn.XLOOKUP($B1049,TRIM('pay group &amp; schedule'!$A$2:$A$6),'pay group &amp; schedule'!$D$2:$D$6,0))</f>
        <v>46311</v>
      </c>
      <c r="N1049" s="43" t="str">
        <f aca="false" t="array" ref="N1049:N1049">_xlfn.LET(_xlpm.t,_xlfn.XLOOKUP($A1049,TRIM(SUBSTITUTE('worker file'!$A$2:$A$406,_xlfn.UNICHAR(160)," ")),'worker file'!$N$2:$N$406,""),IF(N(_xlpm.t)=0,"",_xlpm.t))</f>
        <v/>
      </c>
    </row>
    <row r="1050" customFormat="false" ht="15" hidden="false" customHeight="false" outlineLevel="0" collapsed="false">
      <c r="A1050" s="39" t="s">
        <v>454</v>
      </c>
      <c r="B1050" s="40" t="str">
        <f aca="false" t="array" ref="B1050:B1050">_xlfn.XLOOKUP($A1050,TRIM(SUBSTITUTE('worker file'!$A$2:$A$406,_xlfn.UNICHAR(160)," ")),'worker file'!$L$2:$L$406,"Not found")</f>
        <v>US Semi-monthly</v>
      </c>
      <c r="C1050" s="40" t="str">
        <f aca="false" t="array" ref="C1050:C1050">_xlfn.XLOOKUP($A1050,TRIM(SUBSTITUTE('worker file'!$A$2:$A$406,_xlfn.UNICHAR(160)," ")),'worker file'!$D$2:$D$406,"Not found")</f>
        <v>CA</v>
      </c>
      <c r="D1050" s="40" t="str">
        <f aca="false" t="array" ref="D1050:D1050">_xlfn.XLOOKUP($A1050,TRIM(SUBSTITUTE('worker file'!$A$2:$A$406,_xlfn.UNICHAR(160)," ")),'worker file'!$Q$2:$Q$406,"Not found")</f>
        <v>Active</v>
      </c>
      <c r="E1050" s="39" t="s">
        <v>626</v>
      </c>
      <c r="F1050" s="38" t="str">
        <f aca="false">_xlfn.XLOOKUP($E1050,$A$5:$A$8,$B$5:$B$8,"")</f>
        <v>Medical (Health) – Employee</v>
      </c>
      <c r="G1050" s="38" t="str">
        <f aca="false">_xlfn.XLOOKUP($E1050,$A$5:$A$8,$D$5:$D$8,"")</f>
        <v>Pre-tax Section 125 (exempt from FIT/SIT/FICA)</v>
      </c>
      <c r="H1050" s="38" t="str">
        <f aca="false">_xlfn.XLOOKUP($E1050,$A$5:$A$8,$E$5:$E$8,"")</f>
        <v>Flat</v>
      </c>
      <c r="I1050" s="44" t="str">
        <f aca="false">IF($H1050="Percent",_xlfn.XLOOKUP($E1050,$A$5:$A$8,$F$5:$F$8,""),"")</f>
        <v/>
      </c>
      <c r="J1050" s="42" t="n">
        <f aca="false">IF($H1050="Flat",_xlfn.XLOOKUP($E1050,$A$5:$A$8,$F$5:$F$8,""),"")</f>
        <v>200</v>
      </c>
      <c r="K1050" s="38" t="str">
        <f aca="false">_xlfn.XLOOKUP($E1050,$A$5:$A$8,$G$5:$G$8,"")</f>
        <v>Per pay period</v>
      </c>
      <c r="L1050" s="38" t="str">
        <f aca="false">_xlfn.XLOOKUP($E1050,$A$5:$A$8,$H$5:$H$8,"")</f>
        <v>Every pay period (ongoing)</v>
      </c>
      <c r="M1050" s="43" t="n">
        <f aca="false" t="array" ref="M1050:M1050">MAX(_xlfn.XLOOKUP($A1050,TRIM(SUBSTITUTE('worker file'!$A$2:$A$406,_xlfn.UNICHAR(160)," ")),'worker file'!$M$2:$M$406,0),_xlfn.XLOOKUP($B1050,TRIM('pay group &amp; schedule'!$A$2:$A$6),'pay group &amp; schedule'!$D$2:$D$6,0))</f>
        <v>46311</v>
      </c>
      <c r="N1050" s="43" t="str">
        <f aca="false" t="array" ref="N1050:N1050">_xlfn.LET(_xlpm.t,_xlfn.XLOOKUP($A1050,TRIM(SUBSTITUTE('worker file'!$A$2:$A$406,_xlfn.UNICHAR(160)," ")),'worker file'!$N$2:$N$406,""),IF(N(_xlpm.t)=0,"",_xlpm.t))</f>
        <v/>
      </c>
    </row>
    <row r="1051" customFormat="false" ht="15" hidden="false" customHeight="false" outlineLevel="0" collapsed="false">
      <c r="A1051" s="39" t="s">
        <v>454</v>
      </c>
      <c r="B1051" s="40" t="str">
        <f aca="false" t="array" ref="B1051:B1051">_xlfn.XLOOKUP($A1051,TRIM(SUBSTITUTE('worker file'!$A$2:$A$406,_xlfn.UNICHAR(160)," ")),'worker file'!$L$2:$L$406,"Not found")</f>
        <v>US Semi-monthly</v>
      </c>
      <c r="C1051" s="40" t="str">
        <f aca="false" t="array" ref="C1051:C1051">_xlfn.XLOOKUP($A1051,TRIM(SUBSTITUTE('worker file'!$A$2:$A$406,_xlfn.UNICHAR(160)," ")),'worker file'!$D$2:$D$406,"Not found")</f>
        <v>CA</v>
      </c>
      <c r="D1051" s="40" t="str">
        <f aca="false" t="array" ref="D1051:D1051">_xlfn.XLOOKUP($A1051,TRIM(SUBSTITUTE('worker file'!$A$2:$A$406,_xlfn.UNICHAR(160)," ")),'worker file'!$Q$2:$Q$406,"Not found")</f>
        <v>Active</v>
      </c>
      <c r="E1051" s="39" t="s">
        <v>632</v>
      </c>
      <c r="F1051" s="38" t="str">
        <f aca="false">_xlfn.XLOOKUP($E1051,$A$5:$A$8,$B$5:$B$8,"")</f>
        <v>Dental – Employee</v>
      </c>
      <c r="G1051" s="38" t="str">
        <f aca="false">_xlfn.XLOOKUP($E1051,$A$5:$A$8,$D$5:$D$8,"")</f>
        <v>Pre-tax Section 125 (exempt from FIT/SIT/FICA)</v>
      </c>
      <c r="H1051" s="38" t="str">
        <f aca="false">_xlfn.XLOOKUP($E1051,$A$5:$A$8,$E$5:$E$8,"")</f>
        <v>Flat</v>
      </c>
      <c r="I1051" s="44" t="str">
        <f aca="false">IF($H1051="Percent",_xlfn.XLOOKUP($E1051,$A$5:$A$8,$F$5:$F$8,""),"")</f>
        <v/>
      </c>
      <c r="J1051" s="42" t="n">
        <f aca="false">IF($H1051="Flat",_xlfn.XLOOKUP($E1051,$A$5:$A$8,$F$5:$F$8,""),"")</f>
        <v>44</v>
      </c>
      <c r="K1051" s="38" t="str">
        <f aca="false">_xlfn.XLOOKUP($E1051,$A$5:$A$8,$G$5:$G$8,"")</f>
        <v>Per pay period</v>
      </c>
      <c r="L1051" s="38" t="str">
        <f aca="false">_xlfn.XLOOKUP($E1051,$A$5:$A$8,$H$5:$H$8,"")</f>
        <v>Every pay period (ongoing)</v>
      </c>
      <c r="M1051" s="43" t="n">
        <f aca="false" t="array" ref="M1051:M1051">MAX(_xlfn.XLOOKUP($A1051,TRIM(SUBSTITUTE('worker file'!$A$2:$A$406,_xlfn.UNICHAR(160)," ")),'worker file'!$M$2:$M$406,0),_xlfn.XLOOKUP($B1051,TRIM('pay group &amp; schedule'!$A$2:$A$6),'pay group &amp; schedule'!$D$2:$D$6,0))</f>
        <v>46311</v>
      </c>
      <c r="N1051" s="43" t="str">
        <f aca="false" t="array" ref="N1051:N1051">_xlfn.LET(_xlpm.t,_xlfn.XLOOKUP($A1051,TRIM(SUBSTITUTE('worker file'!$A$2:$A$406,_xlfn.UNICHAR(160)," ")),'worker file'!$N$2:$N$406,""),IF(N(_xlpm.t)=0,"",_xlpm.t))</f>
        <v/>
      </c>
    </row>
    <row r="1052" customFormat="false" ht="15" hidden="false" customHeight="false" outlineLevel="0" collapsed="false">
      <c r="A1052" s="39" t="s">
        <v>454</v>
      </c>
      <c r="B1052" s="40" t="str">
        <f aca="false" t="array" ref="B1052:B1052">_xlfn.XLOOKUP($A1052,TRIM(SUBSTITUTE('worker file'!$A$2:$A$406,_xlfn.UNICHAR(160)," ")),'worker file'!$L$2:$L$406,"Not found")</f>
        <v>US Semi-monthly</v>
      </c>
      <c r="C1052" s="40" t="str">
        <f aca="false" t="array" ref="C1052:C1052">_xlfn.XLOOKUP($A1052,TRIM(SUBSTITUTE('worker file'!$A$2:$A$406,_xlfn.UNICHAR(160)," ")),'worker file'!$D$2:$D$406,"Not found")</f>
        <v>CA</v>
      </c>
      <c r="D1052" s="40" t="str">
        <f aca="false" t="array" ref="D1052:D1052">_xlfn.XLOOKUP($A1052,TRIM(SUBSTITUTE('worker file'!$A$2:$A$406,_xlfn.UNICHAR(160)," ")),'worker file'!$Q$2:$Q$406,"Not found")</f>
        <v>Active</v>
      </c>
      <c r="E1052" s="39" t="s">
        <v>634</v>
      </c>
      <c r="F1052" s="38" t="str">
        <f aca="false">_xlfn.XLOOKUP($E1052,$A$5:$A$8,$B$5:$B$8,"")</f>
        <v>Vision – Employee</v>
      </c>
      <c r="G1052" s="38" t="str">
        <f aca="false">_xlfn.XLOOKUP($E1052,$A$5:$A$8,$D$5:$D$8,"")</f>
        <v>Pre-tax Section 125 (exempt from FIT/SIT/FICA)</v>
      </c>
      <c r="H1052" s="38" t="str">
        <f aca="false">_xlfn.XLOOKUP($E1052,$A$5:$A$8,$E$5:$E$8,"")</f>
        <v>Flat</v>
      </c>
      <c r="I1052" s="44" t="str">
        <f aca="false">IF($H1052="Percent",_xlfn.XLOOKUP($E1052,$A$5:$A$8,$F$5:$F$8,""),"")</f>
        <v/>
      </c>
      <c r="J1052" s="42" t="n">
        <f aca="false">IF($H1052="Flat",_xlfn.XLOOKUP($E1052,$A$5:$A$8,$F$5:$F$8,""),"")</f>
        <v>30</v>
      </c>
      <c r="K1052" s="38" t="str">
        <f aca="false">_xlfn.XLOOKUP($E1052,$A$5:$A$8,$G$5:$G$8,"")</f>
        <v>Per pay period</v>
      </c>
      <c r="L1052" s="38" t="str">
        <f aca="false">_xlfn.XLOOKUP($E1052,$A$5:$A$8,$H$5:$H$8,"")</f>
        <v>Every pay period (ongoing)</v>
      </c>
      <c r="M1052" s="43" t="n">
        <f aca="false" t="array" ref="M1052:M1052">MAX(_xlfn.XLOOKUP($A1052,TRIM(SUBSTITUTE('worker file'!$A$2:$A$406,_xlfn.UNICHAR(160)," ")),'worker file'!$M$2:$M$406,0),_xlfn.XLOOKUP($B1052,TRIM('pay group &amp; schedule'!$A$2:$A$6),'pay group &amp; schedule'!$D$2:$D$6,0))</f>
        <v>46311</v>
      </c>
      <c r="N1052" s="43" t="str">
        <f aca="false" t="array" ref="N1052:N1052">_xlfn.LET(_xlpm.t,_xlfn.XLOOKUP($A1052,TRIM(SUBSTITUTE('worker file'!$A$2:$A$406,_xlfn.UNICHAR(160)," ")),'worker file'!$N$2:$N$406,""),IF(N(_xlpm.t)=0,"",_xlpm.t))</f>
        <v/>
      </c>
    </row>
    <row r="1053" customFormat="false" ht="15" hidden="false" customHeight="false" outlineLevel="0" collapsed="false">
      <c r="A1053" s="39" t="s">
        <v>455</v>
      </c>
      <c r="B1053" s="40" t="str">
        <f aca="false" t="array" ref="B1053:B1053">_xlfn.XLOOKUP($A1053,TRIM(SUBSTITUTE('worker file'!$A$2:$A$406,_xlfn.UNICHAR(160)," ")),'worker file'!$L$2:$L$406,"Not found")</f>
        <v>US Semi-monthly</v>
      </c>
      <c r="C1053" s="40" t="str">
        <f aca="false" t="array" ref="C1053:C1053">_xlfn.XLOOKUP($A1053,TRIM(SUBSTITUTE('worker file'!$A$2:$A$406,_xlfn.UNICHAR(160)," ")),'worker file'!$D$2:$D$406,"Not found")</f>
        <v>CA</v>
      </c>
      <c r="D1053" s="40" t="str">
        <f aca="false" t="array" ref="D1053:D1053">_xlfn.XLOOKUP($A1053,TRIM(SUBSTITUTE('worker file'!$A$2:$A$406,_xlfn.UNICHAR(160)," ")),'worker file'!$Q$2:$Q$406,"Not found")</f>
        <v>Active</v>
      </c>
      <c r="E1053" s="39" t="s">
        <v>618</v>
      </c>
      <c r="F1053" s="38" t="str">
        <f aca="false">_xlfn.XLOOKUP($E1053,$A$5:$A$8,$B$5:$B$8,"")</f>
        <v>401(k) Employee Deferral</v>
      </c>
      <c r="G1053" s="38" t="str">
        <f aca="false">_xlfn.XLOOKUP($E1053,$A$5:$A$8,$D$5:$D$8,"")</f>
        <v>Pre-tax (exempt from FIT/SIT; subject to FICA)</v>
      </c>
      <c r="H1053" s="38" t="str">
        <f aca="false">_xlfn.XLOOKUP($E1053,$A$5:$A$8,$E$5:$E$8,"")</f>
        <v>Percent</v>
      </c>
      <c r="I1053" s="41" t="n">
        <v>0.02</v>
      </c>
      <c r="J1053" s="42" t="str">
        <f aca="false">IF($H1053="Flat",_xlfn.XLOOKUP($E1053,$A$5:$A$8,$F$5:$F$8,""),"")</f>
        <v/>
      </c>
      <c r="K1053" s="38" t="str">
        <f aca="false">_xlfn.XLOOKUP($E1053,$A$5:$A$8,$G$5:$G$8,"")</f>
        <v>Gross pay</v>
      </c>
      <c r="L1053" s="38" t="str">
        <f aca="false">_xlfn.XLOOKUP($E1053,$A$5:$A$8,$H$5:$H$8,"")</f>
        <v>Every pay period (ongoing)</v>
      </c>
      <c r="M1053" s="43" t="n">
        <f aca="false" t="array" ref="M1053:M1053">MAX(_xlfn.XLOOKUP($A1053,TRIM(SUBSTITUTE('worker file'!$A$2:$A$406,_xlfn.UNICHAR(160)," ")),'worker file'!$M$2:$M$406,0),_xlfn.XLOOKUP($B1053,TRIM('pay group &amp; schedule'!$A$2:$A$6),'pay group &amp; schedule'!$D$2:$D$6,0))</f>
        <v>46311</v>
      </c>
      <c r="N1053" s="43" t="str">
        <f aca="false" t="array" ref="N1053:N1053">_xlfn.LET(_xlpm.t,_xlfn.XLOOKUP($A1053,TRIM(SUBSTITUTE('worker file'!$A$2:$A$406,_xlfn.UNICHAR(160)," ")),'worker file'!$N$2:$N$406,""),IF(N(_xlpm.t)=0,"",_xlpm.t))</f>
        <v/>
      </c>
    </row>
    <row r="1054" customFormat="false" ht="15" hidden="false" customHeight="false" outlineLevel="0" collapsed="false">
      <c r="A1054" s="39" t="s">
        <v>455</v>
      </c>
      <c r="B1054" s="40" t="str">
        <f aca="false" t="array" ref="B1054:B1054">_xlfn.XLOOKUP($A1054,TRIM(SUBSTITUTE('worker file'!$A$2:$A$406,_xlfn.UNICHAR(160)," ")),'worker file'!$L$2:$L$406,"Not found")</f>
        <v>US Semi-monthly</v>
      </c>
      <c r="C1054" s="40" t="str">
        <f aca="false" t="array" ref="C1054:C1054">_xlfn.XLOOKUP($A1054,TRIM(SUBSTITUTE('worker file'!$A$2:$A$406,_xlfn.UNICHAR(160)," ")),'worker file'!$D$2:$D$406,"Not found")</f>
        <v>CA</v>
      </c>
      <c r="D1054" s="40" t="str">
        <f aca="false" t="array" ref="D1054:D1054">_xlfn.XLOOKUP($A1054,TRIM(SUBSTITUTE('worker file'!$A$2:$A$406,_xlfn.UNICHAR(160)," ")),'worker file'!$Q$2:$Q$406,"Not found")</f>
        <v>Active</v>
      </c>
      <c r="E1054" s="39" t="s">
        <v>626</v>
      </c>
      <c r="F1054" s="38" t="str">
        <f aca="false">_xlfn.XLOOKUP($E1054,$A$5:$A$8,$B$5:$B$8,"")</f>
        <v>Medical (Health) – Employee</v>
      </c>
      <c r="G1054" s="38" t="str">
        <f aca="false">_xlfn.XLOOKUP($E1054,$A$5:$A$8,$D$5:$D$8,"")</f>
        <v>Pre-tax Section 125 (exempt from FIT/SIT/FICA)</v>
      </c>
      <c r="H1054" s="38" t="str">
        <f aca="false">_xlfn.XLOOKUP($E1054,$A$5:$A$8,$E$5:$E$8,"")</f>
        <v>Flat</v>
      </c>
      <c r="I1054" s="44" t="str">
        <f aca="false">IF($H1054="Percent",_xlfn.XLOOKUP($E1054,$A$5:$A$8,$F$5:$F$8,""),"")</f>
        <v/>
      </c>
      <c r="J1054" s="42" t="n">
        <f aca="false">IF($H1054="Flat",_xlfn.XLOOKUP($E1054,$A$5:$A$8,$F$5:$F$8,""),"")</f>
        <v>200</v>
      </c>
      <c r="K1054" s="38" t="str">
        <f aca="false">_xlfn.XLOOKUP($E1054,$A$5:$A$8,$G$5:$G$8,"")</f>
        <v>Per pay period</v>
      </c>
      <c r="L1054" s="38" t="str">
        <f aca="false">_xlfn.XLOOKUP($E1054,$A$5:$A$8,$H$5:$H$8,"")</f>
        <v>Every pay period (ongoing)</v>
      </c>
      <c r="M1054" s="43" t="n">
        <f aca="false" t="array" ref="M1054:M1054">MAX(_xlfn.XLOOKUP($A1054,TRIM(SUBSTITUTE('worker file'!$A$2:$A$406,_xlfn.UNICHAR(160)," ")),'worker file'!$M$2:$M$406,0),_xlfn.XLOOKUP($B1054,TRIM('pay group &amp; schedule'!$A$2:$A$6),'pay group &amp; schedule'!$D$2:$D$6,0))</f>
        <v>46311</v>
      </c>
      <c r="N1054" s="43" t="str">
        <f aca="false" t="array" ref="N1054:N1054">_xlfn.LET(_xlpm.t,_xlfn.XLOOKUP($A1054,TRIM(SUBSTITUTE('worker file'!$A$2:$A$406,_xlfn.UNICHAR(160)," ")),'worker file'!$N$2:$N$406,""),IF(N(_xlpm.t)=0,"",_xlpm.t))</f>
        <v/>
      </c>
    </row>
    <row r="1055" customFormat="false" ht="15" hidden="false" customHeight="false" outlineLevel="0" collapsed="false">
      <c r="A1055" s="39" t="s">
        <v>455</v>
      </c>
      <c r="B1055" s="40" t="str">
        <f aca="false" t="array" ref="B1055:B1055">_xlfn.XLOOKUP($A1055,TRIM(SUBSTITUTE('worker file'!$A$2:$A$406,_xlfn.UNICHAR(160)," ")),'worker file'!$L$2:$L$406,"Not found")</f>
        <v>US Semi-monthly</v>
      </c>
      <c r="C1055" s="40" t="str">
        <f aca="false" t="array" ref="C1055:C1055">_xlfn.XLOOKUP($A1055,TRIM(SUBSTITUTE('worker file'!$A$2:$A$406,_xlfn.UNICHAR(160)," ")),'worker file'!$D$2:$D$406,"Not found")</f>
        <v>CA</v>
      </c>
      <c r="D1055" s="40" t="str">
        <f aca="false" t="array" ref="D1055:D1055">_xlfn.XLOOKUP($A1055,TRIM(SUBSTITUTE('worker file'!$A$2:$A$406,_xlfn.UNICHAR(160)," ")),'worker file'!$Q$2:$Q$406,"Not found")</f>
        <v>Active</v>
      </c>
      <c r="E1055" s="39" t="s">
        <v>632</v>
      </c>
      <c r="F1055" s="38" t="str">
        <f aca="false">_xlfn.XLOOKUP($E1055,$A$5:$A$8,$B$5:$B$8,"")</f>
        <v>Dental – Employee</v>
      </c>
      <c r="G1055" s="38" t="str">
        <f aca="false">_xlfn.XLOOKUP($E1055,$A$5:$A$8,$D$5:$D$8,"")</f>
        <v>Pre-tax Section 125 (exempt from FIT/SIT/FICA)</v>
      </c>
      <c r="H1055" s="38" t="str">
        <f aca="false">_xlfn.XLOOKUP($E1055,$A$5:$A$8,$E$5:$E$8,"")</f>
        <v>Flat</v>
      </c>
      <c r="I1055" s="44" t="str">
        <f aca="false">IF($H1055="Percent",_xlfn.XLOOKUP($E1055,$A$5:$A$8,$F$5:$F$8,""),"")</f>
        <v/>
      </c>
      <c r="J1055" s="42" t="n">
        <f aca="false">IF($H1055="Flat",_xlfn.XLOOKUP($E1055,$A$5:$A$8,$F$5:$F$8,""),"")</f>
        <v>44</v>
      </c>
      <c r="K1055" s="38" t="str">
        <f aca="false">_xlfn.XLOOKUP($E1055,$A$5:$A$8,$G$5:$G$8,"")</f>
        <v>Per pay period</v>
      </c>
      <c r="L1055" s="38" t="str">
        <f aca="false">_xlfn.XLOOKUP($E1055,$A$5:$A$8,$H$5:$H$8,"")</f>
        <v>Every pay period (ongoing)</v>
      </c>
      <c r="M1055" s="43" t="n">
        <f aca="false" t="array" ref="M1055:M1055">MAX(_xlfn.XLOOKUP($A1055,TRIM(SUBSTITUTE('worker file'!$A$2:$A$406,_xlfn.UNICHAR(160)," ")),'worker file'!$M$2:$M$406,0),_xlfn.XLOOKUP($B1055,TRIM('pay group &amp; schedule'!$A$2:$A$6),'pay group &amp; schedule'!$D$2:$D$6,0))</f>
        <v>46311</v>
      </c>
      <c r="N1055" s="43" t="str">
        <f aca="false" t="array" ref="N1055:N1055">_xlfn.LET(_xlpm.t,_xlfn.XLOOKUP($A1055,TRIM(SUBSTITUTE('worker file'!$A$2:$A$406,_xlfn.UNICHAR(160)," ")),'worker file'!$N$2:$N$406,""),IF(N(_xlpm.t)=0,"",_xlpm.t))</f>
        <v/>
      </c>
    </row>
    <row r="1056" customFormat="false" ht="15" hidden="false" customHeight="false" outlineLevel="0" collapsed="false">
      <c r="A1056" s="39" t="s">
        <v>455</v>
      </c>
      <c r="B1056" s="40" t="str">
        <f aca="false" t="array" ref="B1056:B1056">_xlfn.XLOOKUP($A1056,TRIM(SUBSTITUTE('worker file'!$A$2:$A$406,_xlfn.UNICHAR(160)," ")),'worker file'!$L$2:$L$406,"Not found")</f>
        <v>US Semi-monthly</v>
      </c>
      <c r="C1056" s="40" t="str">
        <f aca="false" t="array" ref="C1056:C1056">_xlfn.XLOOKUP($A1056,TRIM(SUBSTITUTE('worker file'!$A$2:$A$406,_xlfn.UNICHAR(160)," ")),'worker file'!$D$2:$D$406,"Not found")</f>
        <v>CA</v>
      </c>
      <c r="D1056" s="40" t="str">
        <f aca="false" t="array" ref="D1056:D1056">_xlfn.XLOOKUP($A1056,TRIM(SUBSTITUTE('worker file'!$A$2:$A$406,_xlfn.UNICHAR(160)," ")),'worker file'!$Q$2:$Q$406,"Not found")</f>
        <v>Active</v>
      </c>
      <c r="E1056" s="39" t="s">
        <v>634</v>
      </c>
      <c r="F1056" s="38" t="str">
        <f aca="false">_xlfn.XLOOKUP($E1056,$A$5:$A$8,$B$5:$B$8,"")</f>
        <v>Vision – Employee</v>
      </c>
      <c r="G1056" s="38" t="str">
        <f aca="false">_xlfn.XLOOKUP($E1056,$A$5:$A$8,$D$5:$D$8,"")</f>
        <v>Pre-tax Section 125 (exempt from FIT/SIT/FICA)</v>
      </c>
      <c r="H1056" s="38" t="str">
        <f aca="false">_xlfn.XLOOKUP($E1056,$A$5:$A$8,$E$5:$E$8,"")</f>
        <v>Flat</v>
      </c>
      <c r="I1056" s="44" t="str">
        <f aca="false">IF($H1056="Percent",_xlfn.XLOOKUP($E1056,$A$5:$A$8,$F$5:$F$8,""),"")</f>
        <v/>
      </c>
      <c r="J1056" s="42" t="n">
        <f aca="false">IF($H1056="Flat",_xlfn.XLOOKUP($E1056,$A$5:$A$8,$F$5:$F$8,""),"")</f>
        <v>30</v>
      </c>
      <c r="K1056" s="38" t="str">
        <f aca="false">_xlfn.XLOOKUP($E1056,$A$5:$A$8,$G$5:$G$8,"")</f>
        <v>Per pay period</v>
      </c>
      <c r="L1056" s="38" t="str">
        <f aca="false">_xlfn.XLOOKUP($E1056,$A$5:$A$8,$H$5:$H$8,"")</f>
        <v>Every pay period (ongoing)</v>
      </c>
      <c r="M1056" s="43" t="n">
        <f aca="false" t="array" ref="M1056:M1056">MAX(_xlfn.XLOOKUP($A1056,TRIM(SUBSTITUTE('worker file'!$A$2:$A$406,_xlfn.UNICHAR(160)," ")),'worker file'!$M$2:$M$406,0),_xlfn.XLOOKUP($B1056,TRIM('pay group &amp; schedule'!$A$2:$A$6),'pay group &amp; schedule'!$D$2:$D$6,0))</f>
        <v>46311</v>
      </c>
      <c r="N1056" s="43" t="str">
        <f aca="false" t="array" ref="N1056:N1056">_xlfn.LET(_xlpm.t,_xlfn.XLOOKUP($A1056,TRIM(SUBSTITUTE('worker file'!$A$2:$A$406,_xlfn.UNICHAR(160)," ")),'worker file'!$N$2:$N$406,""),IF(N(_xlpm.t)=0,"",_xlpm.t))</f>
        <v/>
      </c>
    </row>
    <row r="1057" customFormat="false" ht="15" hidden="false" customHeight="false" outlineLevel="0" collapsed="false">
      <c r="A1057" s="39" t="s">
        <v>456</v>
      </c>
      <c r="B1057" s="40" t="str">
        <f aca="false" t="array" ref="B1057:B1057">_xlfn.XLOOKUP($A1057,TRIM(SUBSTITUTE('worker file'!$A$2:$A$406,_xlfn.UNICHAR(160)," ")),'worker file'!$L$2:$L$406,"Not found")</f>
        <v>US Semi-monthly</v>
      </c>
      <c r="C1057" s="40" t="str">
        <f aca="false" t="array" ref="C1057:C1057">_xlfn.XLOOKUP($A1057,TRIM(SUBSTITUTE('worker file'!$A$2:$A$406,_xlfn.UNICHAR(160)," ")),'worker file'!$D$2:$D$406,"Not found")</f>
        <v>CA</v>
      </c>
      <c r="D1057" s="40" t="str">
        <f aca="false" t="array" ref="D1057:D1057">_xlfn.XLOOKUP($A1057,TRIM(SUBSTITUTE('worker file'!$A$2:$A$406,_xlfn.UNICHAR(160)," ")),'worker file'!$Q$2:$Q$406,"Not found")</f>
        <v>Active</v>
      </c>
      <c r="E1057" s="39" t="s">
        <v>618</v>
      </c>
      <c r="F1057" s="38" t="str">
        <f aca="false">_xlfn.XLOOKUP($E1057,$A$5:$A$8,$B$5:$B$8,"")</f>
        <v>401(k) Employee Deferral</v>
      </c>
      <c r="G1057" s="38" t="str">
        <f aca="false">_xlfn.XLOOKUP($E1057,$A$5:$A$8,$D$5:$D$8,"")</f>
        <v>Pre-tax (exempt from FIT/SIT; subject to FICA)</v>
      </c>
      <c r="H1057" s="38" t="str">
        <f aca="false">_xlfn.XLOOKUP($E1057,$A$5:$A$8,$E$5:$E$8,"")</f>
        <v>Percent</v>
      </c>
      <c r="I1057" s="41" t="n">
        <v>0.07</v>
      </c>
      <c r="J1057" s="42" t="str">
        <f aca="false">IF($H1057="Flat",_xlfn.XLOOKUP($E1057,$A$5:$A$8,$F$5:$F$8,""),"")</f>
        <v/>
      </c>
      <c r="K1057" s="38" t="str">
        <f aca="false">_xlfn.XLOOKUP($E1057,$A$5:$A$8,$G$5:$G$8,"")</f>
        <v>Gross pay</v>
      </c>
      <c r="L1057" s="38" t="str">
        <f aca="false">_xlfn.XLOOKUP($E1057,$A$5:$A$8,$H$5:$H$8,"")</f>
        <v>Every pay period (ongoing)</v>
      </c>
      <c r="M1057" s="43" t="n">
        <f aca="false" t="array" ref="M1057:M1057">MAX(_xlfn.XLOOKUP($A1057,TRIM(SUBSTITUTE('worker file'!$A$2:$A$406,_xlfn.UNICHAR(160)," ")),'worker file'!$M$2:$M$406,0),_xlfn.XLOOKUP($B1057,TRIM('pay group &amp; schedule'!$A$2:$A$6),'pay group &amp; schedule'!$D$2:$D$6,0))</f>
        <v>46311</v>
      </c>
      <c r="N1057" s="43" t="str">
        <f aca="false" t="array" ref="N1057:N1057">_xlfn.LET(_xlpm.t,_xlfn.XLOOKUP($A1057,TRIM(SUBSTITUTE('worker file'!$A$2:$A$406,_xlfn.UNICHAR(160)," ")),'worker file'!$N$2:$N$406,""),IF(N(_xlpm.t)=0,"",_xlpm.t))</f>
        <v/>
      </c>
    </row>
    <row r="1058" customFormat="false" ht="15" hidden="false" customHeight="false" outlineLevel="0" collapsed="false">
      <c r="A1058" s="39" t="s">
        <v>456</v>
      </c>
      <c r="B1058" s="40" t="str">
        <f aca="false" t="array" ref="B1058:B1058">_xlfn.XLOOKUP($A1058,TRIM(SUBSTITUTE('worker file'!$A$2:$A$406,_xlfn.UNICHAR(160)," ")),'worker file'!$L$2:$L$406,"Not found")</f>
        <v>US Semi-monthly</v>
      </c>
      <c r="C1058" s="40" t="str">
        <f aca="false" t="array" ref="C1058:C1058">_xlfn.XLOOKUP($A1058,TRIM(SUBSTITUTE('worker file'!$A$2:$A$406,_xlfn.UNICHAR(160)," ")),'worker file'!$D$2:$D$406,"Not found")</f>
        <v>CA</v>
      </c>
      <c r="D1058" s="40" t="str">
        <f aca="false" t="array" ref="D1058:D1058">_xlfn.XLOOKUP($A1058,TRIM(SUBSTITUTE('worker file'!$A$2:$A$406,_xlfn.UNICHAR(160)," ")),'worker file'!$Q$2:$Q$406,"Not found")</f>
        <v>Active</v>
      </c>
      <c r="E1058" s="39" t="s">
        <v>626</v>
      </c>
      <c r="F1058" s="38" t="str">
        <f aca="false">_xlfn.XLOOKUP($E1058,$A$5:$A$8,$B$5:$B$8,"")</f>
        <v>Medical (Health) – Employee</v>
      </c>
      <c r="G1058" s="38" t="str">
        <f aca="false">_xlfn.XLOOKUP($E1058,$A$5:$A$8,$D$5:$D$8,"")</f>
        <v>Pre-tax Section 125 (exempt from FIT/SIT/FICA)</v>
      </c>
      <c r="H1058" s="38" t="str">
        <f aca="false">_xlfn.XLOOKUP($E1058,$A$5:$A$8,$E$5:$E$8,"")</f>
        <v>Flat</v>
      </c>
      <c r="I1058" s="44" t="str">
        <f aca="false">IF($H1058="Percent",_xlfn.XLOOKUP($E1058,$A$5:$A$8,$F$5:$F$8,""),"")</f>
        <v/>
      </c>
      <c r="J1058" s="42" t="n">
        <f aca="false">IF($H1058="Flat",_xlfn.XLOOKUP($E1058,$A$5:$A$8,$F$5:$F$8,""),"")</f>
        <v>200</v>
      </c>
      <c r="K1058" s="38" t="str">
        <f aca="false">_xlfn.XLOOKUP($E1058,$A$5:$A$8,$G$5:$G$8,"")</f>
        <v>Per pay period</v>
      </c>
      <c r="L1058" s="38" t="str">
        <f aca="false">_xlfn.XLOOKUP($E1058,$A$5:$A$8,$H$5:$H$8,"")</f>
        <v>Every pay period (ongoing)</v>
      </c>
      <c r="M1058" s="43" t="n">
        <f aca="false" t="array" ref="M1058:M1058">MAX(_xlfn.XLOOKUP($A1058,TRIM(SUBSTITUTE('worker file'!$A$2:$A$406,_xlfn.UNICHAR(160)," ")),'worker file'!$M$2:$M$406,0),_xlfn.XLOOKUP($B1058,TRIM('pay group &amp; schedule'!$A$2:$A$6),'pay group &amp; schedule'!$D$2:$D$6,0))</f>
        <v>46311</v>
      </c>
      <c r="N1058" s="43" t="str">
        <f aca="false" t="array" ref="N1058:N1058">_xlfn.LET(_xlpm.t,_xlfn.XLOOKUP($A1058,TRIM(SUBSTITUTE('worker file'!$A$2:$A$406,_xlfn.UNICHAR(160)," ")),'worker file'!$N$2:$N$406,""),IF(N(_xlpm.t)=0,"",_xlpm.t))</f>
        <v/>
      </c>
    </row>
    <row r="1059" customFormat="false" ht="15" hidden="false" customHeight="false" outlineLevel="0" collapsed="false">
      <c r="A1059" s="39" t="s">
        <v>456</v>
      </c>
      <c r="B1059" s="40" t="str">
        <f aca="false" t="array" ref="B1059:B1059">_xlfn.XLOOKUP($A1059,TRIM(SUBSTITUTE('worker file'!$A$2:$A$406,_xlfn.UNICHAR(160)," ")),'worker file'!$L$2:$L$406,"Not found")</f>
        <v>US Semi-monthly</v>
      </c>
      <c r="C1059" s="40" t="str">
        <f aca="false" t="array" ref="C1059:C1059">_xlfn.XLOOKUP($A1059,TRIM(SUBSTITUTE('worker file'!$A$2:$A$406,_xlfn.UNICHAR(160)," ")),'worker file'!$D$2:$D$406,"Not found")</f>
        <v>CA</v>
      </c>
      <c r="D1059" s="40" t="str">
        <f aca="false" t="array" ref="D1059:D1059">_xlfn.XLOOKUP($A1059,TRIM(SUBSTITUTE('worker file'!$A$2:$A$406,_xlfn.UNICHAR(160)," ")),'worker file'!$Q$2:$Q$406,"Not found")</f>
        <v>Active</v>
      </c>
      <c r="E1059" s="39" t="s">
        <v>632</v>
      </c>
      <c r="F1059" s="38" t="str">
        <f aca="false">_xlfn.XLOOKUP($E1059,$A$5:$A$8,$B$5:$B$8,"")</f>
        <v>Dental – Employee</v>
      </c>
      <c r="G1059" s="38" t="str">
        <f aca="false">_xlfn.XLOOKUP($E1059,$A$5:$A$8,$D$5:$D$8,"")</f>
        <v>Pre-tax Section 125 (exempt from FIT/SIT/FICA)</v>
      </c>
      <c r="H1059" s="38" t="str">
        <f aca="false">_xlfn.XLOOKUP($E1059,$A$5:$A$8,$E$5:$E$8,"")</f>
        <v>Flat</v>
      </c>
      <c r="I1059" s="44" t="str">
        <f aca="false">IF($H1059="Percent",_xlfn.XLOOKUP($E1059,$A$5:$A$8,$F$5:$F$8,""),"")</f>
        <v/>
      </c>
      <c r="J1059" s="42" t="n">
        <f aca="false">IF($H1059="Flat",_xlfn.XLOOKUP($E1059,$A$5:$A$8,$F$5:$F$8,""),"")</f>
        <v>44</v>
      </c>
      <c r="K1059" s="38" t="str">
        <f aca="false">_xlfn.XLOOKUP($E1059,$A$5:$A$8,$G$5:$G$8,"")</f>
        <v>Per pay period</v>
      </c>
      <c r="L1059" s="38" t="str">
        <f aca="false">_xlfn.XLOOKUP($E1059,$A$5:$A$8,$H$5:$H$8,"")</f>
        <v>Every pay period (ongoing)</v>
      </c>
      <c r="M1059" s="43" t="n">
        <f aca="false" t="array" ref="M1059:M1059">MAX(_xlfn.XLOOKUP($A1059,TRIM(SUBSTITUTE('worker file'!$A$2:$A$406,_xlfn.UNICHAR(160)," ")),'worker file'!$M$2:$M$406,0),_xlfn.XLOOKUP($B1059,TRIM('pay group &amp; schedule'!$A$2:$A$6),'pay group &amp; schedule'!$D$2:$D$6,0))</f>
        <v>46311</v>
      </c>
      <c r="N1059" s="43" t="str">
        <f aca="false" t="array" ref="N1059:N1059">_xlfn.LET(_xlpm.t,_xlfn.XLOOKUP($A1059,TRIM(SUBSTITUTE('worker file'!$A$2:$A$406,_xlfn.UNICHAR(160)," ")),'worker file'!$N$2:$N$406,""),IF(N(_xlpm.t)=0,"",_xlpm.t))</f>
        <v/>
      </c>
    </row>
    <row r="1060" customFormat="false" ht="15" hidden="false" customHeight="false" outlineLevel="0" collapsed="false">
      <c r="A1060" s="39" t="s">
        <v>456</v>
      </c>
      <c r="B1060" s="40" t="str">
        <f aca="false" t="array" ref="B1060:B1060">_xlfn.XLOOKUP($A1060,TRIM(SUBSTITUTE('worker file'!$A$2:$A$406,_xlfn.UNICHAR(160)," ")),'worker file'!$L$2:$L$406,"Not found")</f>
        <v>US Semi-monthly</v>
      </c>
      <c r="C1060" s="40" t="str">
        <f aca="false" t="array" ref="C1060:C1060">_xlfn.XLOOKUP($A1060,TRIM(SUBSTITUTE('worker file'!$A$2:$A$406,_xlfn.UNICHAR(160)," ")),'worker file'!$D$2:$D$406,"Not found")</f>
        <v>CA</v>
      </c>
      <c r="D1060" s="40" t="str">
        <f aca="false" t="array" ref="D1060:D1060">_xlfn.XLOOKUP($A1060,TRIM(SUBSTITUTE('worker file'!$A$2:$A$406,_xlfn.UNICHAR(160)," ")),'worker file'!$Q$2:$Q$406,"Not found")</f>
        <v>Active</v>
      </c>
      <c r="E1060" s="39" t="s">
        <v>634</v>
      </c>
      <c r="F1060" s="38" t="str">
        <f aca="false">_xlfn.XLOOKUP($E1060,$A$5:$A$8,$B$5:$B$8,"")</f>
        <v>Vision – Employee</v>
      </c>
      <c r="G1060" s="38" t="str">
        <f aca="false">_xlfn.XLOOKUP($E1060,$A$5:$A$8,$D$5:$D$8,"")</f>
        <v>Pre-tax Section 125 (exempt from FIT/SIT/FICA)</v>
      </c>
      <c r="H1060" s="38" t="str">
        <f aca="false">_xlfn.XLOOKUP($E1060,$A$5:$A$8,$E$5:$E$8,"")</f>
        <v>Flat</v>
      </c>
      <c r="I1060" s="44" t="str">
        <f aca="false">IF($H1060="Percent",_xlfn.XLOOKUP($E1060,$A$5:$A$8,$F$5:$F$8,""),"")</f>
        <v/>
      </c>
      <c r="J1060" s="42" t="n">
        <f aca="false">IF($H1060="Flat",_xlfn.XLOOKUP($E1060,$A$5:$A$8,$F$5:$F$8,""),"")</f>
        <v>30</v>
      </c>
      <c r="K1060" s="38" t="str">
        <f aca="false">_xlfn.XLOOKUP($E1060,$A$5:$A$8,$G$5:$G$8,"")</f>
        <v>Per pay period</v>
      </c>
      <c r="L1060" s="38" t="str">
        <f aca="false">_xlfn.XLOOKUP($E1060,$A$5:$A$8,$H$5:$H$8,"")</f>
        <v>Every pay period (ongoing)</v>
      </c>
      <c r="M1060" s="43" t="n">
        <f aca="false" t="array" ref="M1060:M1060">MAX(_xlfn.XLOOKUP($A1060,TRIM(SUBSTITUTE('worker file'!$A$2:$A$406,_xlfn.UNICHAR(160)," ")),'worker file'!$M$2:$M$406,0),_xlfn.XLOOKUP($B1060,TRIM('pay group &amp; schedule'!$A$2:$A$6),'pay group &amp; schedule'!$D$2:$D$6,0))</f>
        <v>46311</v>
      </c>
      <c r="N1060" s="43" t="str">
        <f aca="false" t="array" ref="N1060:N1060">_xlfn.LET(_xlpm.t,_xlfn.XLOOKUP($A1060,TRIM(SUBSTITUTE('worker file'!$A$2:$A$406,_xlfn.UNICHAR(160)," ")),'worker file'!$N$2:$N$406,""),IF(N(_xlpm.t)=0,"",_xlpm.t))</f>
        <v/>
      </c>
    </row>
    <row r="1061" customFormat="false" ht="15" hidden="false" customHeight="false" outlineLevel="0" collapsed="false">
      <c r="A1061" s="39" t="s">
        <v>457</v>
      </c>
      <c r="B1061" s="40" t="str">
        <f aca="false" t="array" ref="B1061:B1061">_xlfn.XLOOKUP($A1061,TRIM(SUBSTITUTE('worker file'!$A$2:$A$406,_xlfn.UNICHAR(160)," ")),'worker file'!$L$2:$L$406,"Not found")</f>
        <v>US Semi-monthly</v>
      </c>
      <c r="C1061" s="40" t="str">
        <f aca="false" t="array" ref="C1061:C1061">_xlfn.XLOOKUP($A1061,TRIM(SUBSTITUTE('worker file'!$A$2:$A$406,_xlfn.UNICHAR(160)," ")),'worker file'!$D$2:$D$406,"Not found")</f>
        <v>CA</v>
      </c>
      <c r="D1061" s="40" t="str">
        <f aca="false" t="array" ref="D1061:D1061">_xlfn.XLOOKUP($A1061,TRIM(SUBSTITUTE('worker file'!$A$2:$A$406,_xlfn.UNICHAR(160)," ")),'worker file'!$Q$2:$Q$406,"Not found")</f>
        <v>Active</v>
      </c>
      <c r="E1061" s="39" t="s">
        <v>618</v>
      </c>
      <c r="F1061" s="38" t="str">
        <f aca="false">_xlfn.XLOOKUP($E1061,$A$5:$A$8,$B$5:$B$8,"")</f>
        <v>401(k) Employee Deferral</v>
      </c>
      <c r="G1061" s="38" t="str">
        <f aca="false">_xlfn.XLOOKUP($E1061,$A$5:$A$8,$D$5:$D$8,"")</f>
        <v>Pre-tax (exempt from FIT/SIT; subject to FICA)</v>
      </c>
      <c r="H1061" s="38" t="str">
        <f aca="false">_xlfn.XLOOKUP($E1061,$A$5:$A$8,$E$5:$E$8,"")</f>
        <v>Percent</v>
      </c>
      <c r="I1061" s="41" t="n">
        <v>0.04</v>
      </c>
      <c r="J1061" s="42" t="str">
        <f aca="false">IF($H1061="Flat",_xlfn.XLOOKUP($E1061,$A$5:$A$8,$F$5:$F$8,""),"")</f>
        <v/>
      </c>
      <c r="K1061" s="38" t="str">
        <f aca="false">_xlfn.XLOOKUP($E1061,$A$5:$A$8,$G$5:$G$8,"")</f>
        <v>Gross pay</v>
      </c>
      <c r="L1061" s="38" t="str">
        <f aca="false">_xlfn.XLOOKUP($E1061,$A$5:$A$8,$H$5:$H$8,"")</f>
        <v>Every pay period (ongoing)</v>
      </c>
      <c r="M1061" s="43" t="n">
        <f aca="false" t="array" ref="M1061:M1061">MAX(_xlfn.XLOOKUP($A1061,TRIM(SUBSTITUTE('worker file'!$A$2:$A$406,_xlfn.UNICHAR(160)," ")),'worker file'!$M$2:$M$406,0),_xlfn.XLOOKUP($B1061,TRIM('pay group &amp; schedule'!$A$2:$A$6),'pay group &amp; schedule'!$D$2:$D$6,0))</f>
        <v>46311</v>
      </c>
      <c r="N1061" s="43" t="str">
        <f aca="false" t="array" ref="N1061:N1061">_xlfn.LET(_xlpm.t,_xlfn.XLOOKUP($A1061,TRIM(SUBSTITUTE('worker file'!$A$2:$A$406,_xlfn.UNICHAR(160)," ")),'worker file'!$N$2:$N$406,""),IF(N(_xlpm.t)=0,"",_xlpm.t))</f>
        <v/>
      </c>
    </row>
    <row r="1062" customFormat="false" ht="15" hidden="false" customHeight="false" outlineLevel="0" collapsed="false">
      <c r="A1062" s="39" t="s">
        <v>457</v>
      </c>
      <c r="B1062" s="40" t="str">
        <f aca="false" t="array" ref="B1062:B1062">_xlfn.XLOOKUP($A1062,TRIM(SUBSTITUTE('worker file'!$A$2:$A$406,_xlfn.UNICHAR(160)," ")),'worker file'!$L$2:$L$406,"Not found")</f>
        <v>US Semi-monthly</v>
      </c>
      <c r="C1062" s="40" t="str">
        <f aca="false" t="array" ref="C1062:C1062">_xlfn.XLOOKUP($A1062,TRIM(SUBSTITUTE('worker file'!$A$2:$A$406,_xlfn.UNICHAR(160)," ")),'worker file'!$D$2:$D$406,"Not found")</f>
        <v>CA</v>
      </c>
      <c r="D1062" s="40" t="str">
        <f aca="false" t="array" ref="D1062:D1062">_xlfn.XLOOKUP($A1062,TRIM(SUBSTITUTE('worker file'!$A$2:$A$406,_xlfn.UNICHAR(160)," ")),'worker file'!$Q$2:$Q$406,"Not found")</f>
        <v>Active</v>
      </c>
      <c r="E1062" s="39" t="s">
        <v>626</v>
      </c>
      <c r="F1062" s="38" t="str">
        <f aca="false">_xlfn.XLOOKUP($E1062,$A$5:$A$8,$B$5:$B$8,"")</f>
        <v>Medical (Health) – Employee</v>
      </c>
      <c r="G1062" s="38" t="str">
        <f aca="false">_xlfn.XLOOKUP($E1062,$A$5:$A$8,$D$5:$D$8,"")</f>
        <v>Pre-tax Section 125 (exempt from FIT/SIT/FICA)</v>
      </c>
      <c r="H1062" s="38" t="str">
        <f aca="false">_xlfn.XLOOKUP($E1062,$A$5:$A$8,$E$5:$E$8,"")</f>
        <v>Flat</v>
      </c>
      <c r="I1062" s="44" t="str">
        <f aca="false">IF($H1062="Percent",_xlfn.XLOOKUP($E1062,$A$5:$A$8,$F$5:$F$8,""),"")</f>
        <v/>
      </c>
      <c r="J1062" s="42" t="n">
        <f aca="false">IF($H1062="Flat",_xlfn.XLOOKUP($E1062,$A$5:$A$8,$F$5:$F$8,""),"")</f>
        <v>200</v>
      </c>
      <c r="K1062" s="38" t="str">
        <f aca="false">_xlfn.XLOOKUP($E1062,$A$5:$A$8,$G$5:$G$8,"")</f>
        <v>Per pay period</v>
      </c>
      <c r="L1062" s="38" t="str">
        <f aca="false">_xlfn.XLOOKUP($E1062,$A$5:$A$8,$H$5:$H$8,"")</f>
        <v>Every pay period (ongoing)</v>
      </c>
      <c r="M1062" s="43" t="n">
        <f aca="false" t="array" ref="M1062:M1062">MAX(_xlfn.XLOOKUP($A1062,TRIM(SUBSTITUTE('worker file'!$A$2:$A$406,_xlfn.UNICHAR(160)," ")),'worker file'!$M$2:$M$406,0),_xlfn.XLOOKUP($B1062,TRIM('pay group &amp; schedule'!$A$2:$A$6),'pay group &amp; schedule'!$D$2:$D$6,0))</f>
        <v>46311</v>
      </c>
      <c r="N1062" s="43" t="str">
        <f aca="false" t="array" ref="N1062:N1062">_xlfn.LET(_xlpm.t,_xlfn.XLOOKUP($A1062,TRIM(SUBSTITUTE('worker file'!$A$2:$A$406,_xlfn.UNICHAR(160)," ")),'worker file'!$N$2:$N$406,""),IF(N(_xlpm.t)=0,"",_xlpm.t))</f>
        <v/>
      </c>
    </row>
    <row r="1063" customFormat="false" ht="15" hidden="false" customHeight="false" outlineLevel="0" collapsed="false">
      <c r="A1063" s="39" t="s">
        <v>457</v>
      </c>
      <c r="B1063" s="40" t="str">
        <f aca="false" t="array" ref="B1063:B1063">_xlfn.XLOOKUP($A1063,TRIM(SUBSTITUTE('worker file'!$A$2:$A$406,_xlfn.UNICHAR(160)," ")),'worker file'!$L$2:$L$406,"Not found")</f>
        <v>US Semi-monthly</v>
      </c>
      <c r="C1063" s="40" t="str">
        <f aca="false" t="array" ref="C1063:C1063">_xlfn.XLOOKUP($A1063,TRIM(SUBSTITUTE('worker file'!$A$2:$A$406,_xlfn.UNICHAR(160)," ")),'worker file'!$D$2:$D$406,"Not found")</f>
        <v>CA</v>
      </c>
      <c r="D1063" s="40" t="str">
        <f aca="false" t="array" ref="D1063:D1063">_xlfn.XLOOKUP($A1063,TRIM(SUBSTITUTE('worker file'!$A$2:$A$406,_xlfn.UNICHAR(160)," ")),'worker file'!$Q$2:$Q$406,"Not found")</f>
        <v>Active</v>
      </c>
      <c r="E1063" s="39" t="s">
        <v>632</v>
      </c>
      <c r="F1063" s="38" t="str">
        <f aca="false">_xlfn.XLOOKUP($E1063,$A$5:$A$8,$B$5:$B$8,"")</f>
        <v>Dental – Employee</v>
      </c>
      <c r="G1063" s="38" t="str">
        <f aca="false">_xlfn.XLOOKUP($E1063,$A$5:$A$8,$D$5:$D$8,"")</f>
        <v>Pre-tax Section 125 (exempt from FIT/SIT/FICA)</v>
      </c>
      <c r="H1063" s="38" t="str">
        <f aca="false">_xlfn.XLOOKUP($E1063,$A$5:$A$8,$E$5:$E$8,"")</f>
        <v>Flat</v>
      </c>
      <c r="I1063" s="44" t="str">
        <f aca="false">IF($H1063="Percent",_xlfn.XLOOKUP($E1063,$A$5:$A$8,$F$5:$F$8,""),"")</f>
        <v/>
      </c>
      <c r="J1063" s="42" t="n">
        <f aca="false">IF($H1063="Flat",_xlfn.XLOOKUP($E1063,$A$5:$A$8,$F$5:$F$8,""),"")</f>
        <v>44</v>
      </c>
      <c r="K1063" s="38" t="str">
        <f aca="false">_xlfn.XLOOKUP($E1063,$A$5:$A$8,$G$5:$G$8,"")</f>
        <v>Per pay period</v>
      </c>
      <c r="L1063" s="38" t="str">
        <f aca="false">_xlfn.XLOOKUP($E1063,$A$5:$A$8,$H$5:$H$8,"")</f>
        <v>Every pay period (ongoing)</v>
      </c>
      <c r="M1063" s="43" t="n">
        <f aca="false" t="array" ref="M1063:M1063">MAX(_xlfn.XLOOKUP($A1063,TRIM(SUBSTITUTE('worker file'!$A$2:$A$406,_xlfn.UNICHAR(160)," ")),'worker file'!$M$2:$M$406,0),_xlfn.XLOOKUP($B1063,TRIM('pay group &amp; schedule'!$A$2:$A$6),'pay group &amp; schedule'!$D$2:$D$6,0))</f>
        <v>46311</v>
      </c>
      <c r="N1063" s="43" t="str">
        <f aca="false" t="array" ref="N1063:N1063">_xlfn.LET(_xlpm.t,_xlfn.XLOOKUP($A1063,TRIM(SUBSTITUTE('worker file'!$A$2:$A$406,_xlfn.UNICHAR(160)," ")),'worker file'!$N$2:$N$406,""),IF(N(_xlpm.t)=0,"",_xlpm.t))</f>
        <v/>
      </c>
    </row>
    <row r="1064" customFormat="false" ht="15" hidden="false" customHeight="false" outlineLevel="0" collapsed="false">
      <c r="A1064" s="39" t="s">
        <v>457</v>
      </c>
      <c r="B1064" s="40" t="str">
        <f aca="false" t="array" ref="B1064:B1064">_xlfn.XLOOKUP($A1064,TRIM(SUBSTITUTE('worker file'!$A$2:$A$406,_xlfn.UNICHAR(160)," ")),'worker file'!$L$2:$L$406,"Not found")</f>
        <v>US Semi-monthly</v>
      </c>
      <c r="C1064" s="40" t="str">
        <f aca="false" t="array" ref="C1064:C1064">_xlfn.XLOOKUP($A1064,TRIM(SUBSTITUTE('worker file'!$A$2:$A$406,_xlfn.UNICHAR(160)," ")),'worker file'!$D$2:$D$406,"Not found")</f>
        <v>CA</v>
      </c>
      <c r="D1064" s="40" t="str">
        <f aca="false" t="array" ref="D1064:D1064">_xlfn.XLOOKUP($A1064,TRIM(SUBSTITUTE('worker file'!$A$2:$A$406,_xlfn.UNICHAR(160)," ")),'worker file'!$Q$2:$Q$406,"Not found")</f>
        <v>Active</v>
      </c>
      <c r="E1064" s="39" t="s">
        <v>634</v>
      </c>
      <c r="F1064" s="38" t="str">
        <f aca="false">_xlfn.XLOOKUP($E1064,$A$5:$A$8,$B$5:$B$8,"")</f>
        <v>Vision – Employee</v>
      </c>
      <c r="G1064" s="38" t="str">
        <f aca="false">_xlfn.XLOOKUP($E1064,$A$5:$A$8,$D$5:$D$8,"")</f>
        <v>Pre-tax Section 125 (exempt from FIT/SIT/FICA)</v>
      </c>
      <c r="H1064" s="38" t="str">
        <f aca="false">_xlfn.XLOOKUP($E1064,$A$5:$A$8,$E$5:$E$8,"")</f>
        <v>Flat</v>
      </c>
      <c r="I1064" s="44" t="str">
        <f aca="false">IF($H1064="Percent",_xlfn.XLOOKUP($E1064,$A$5:$A$8,$F$5:$F$8,""),"")</f>
        <v/>
      </c>
      <c r="J1064" s="42" t="n">
        <f aca="false">IF($H1064="Flat",_xlfn.XLOOKUP($E1064,$A$5:$A$8,$F$5:$F$8,""),"")</f>
        <v>30</v>
      </c>
      <c r="K1064" s="38" t="str">
        <f aca="false">_xlfn.XLOOKUP($E1064,$A$5:$A$8,$G$5:$G$8,"")</f>
        <v>Per pay period</v>
      </c>
      <c r="L1064" s="38" t="str">
        <f aca="false">_xlfn.XLOOKUP($E1064,$A$5:$A$8,$H$5:$H$8,"")</f>
        <v>Every pay period (ongoing)</v>
      </c>
      <c r="M1064" s="43" t="n">
        <f aca="false" t="array" ref="M1064:M1064">MAX(_xlfn.XLOOKUP($A1064,TRIM(SUBSTITUTE('worker file'!$A$2:$A$406,_xlfn.UNICHAR(160)," ")),'worker file'!$M$2:$M$406,0),_xlfn.XLOOKUP($B1064,TRIM('pay group &amp; schedule'!$A$2:$A$6),'pay group &amp; schedule'!$D$2:$D$6,0))</f>
        <v>46311</v>
      </c>
      <c r="N1064" s="43" t="str">
        <f aca="false" t="array" ref="N1064:N1064">_xlfn.LET(_xlpm.t,_xlfn.XLOOKUP($A1064,TRIM(SUBSTITUTE('worker file'!$A$2:$A$406,_xlfn.UNICHAR(160)," ")),'worker file'!$N$2:$N$406,""),IF(N(_xlpm.t)=0,"",_xlpm.t))</f>
        <v/>
      </c>
    </row>
    <row r="1065" customFormat="false" ht="15" hidden="false" customHeight="false" outlineLevel="0" collapsed="false">
      <c r="A1065" s="39" t="s">
        <v>458</v>
      </c>
      <c r="B1065" s="40" t="str">
        <f aca="false" t="array" ref="B1065:B1065">_xlfn.XLOOKUP($A1065,TRIM(SUBSTITUTE('worker file'!$A$2:$A$406,_xlfn.UNICHAR(160)," ")),'worker file'!$L$2:$L$406,"Not found")</f>
        <v>US Semi-monthly</v>
      </c>
      <c r="C1065" s="40" t="str">
        <f aca="false" t="array" ref="C1065:C1065">_xlfn.XLOOKUP($A1065,TRIM(SUBSTITUTE('worker file'!$A$2:$A$406,_xlfn.UNICHAR(160)," ")),'worker file'!$D$2:$D$406,"Not found")</f>
        <v>IL</v>
      </c>
      <c r="D1065" s="40" t="str">
        <f aca="false" t="array" ref="D1065:D1065">_xlfn.XLOOKUP($A1065,TRIM(SUBSTITUTE('worker file'!$A$2:$A$406,_xlfn.UNICHAR(160)," ")),'worker file'!$Q$2:$Q$406,"Not found")</f>
        <v>Active</v>
      </c>
      <c r="E1065" s="39" t="s">
        <v>618</v>
      </c>
      <c r="F1065" s="38" t="str">
        <f aca="false">_xlfn.XLOOKUP($E1065,$A$5:$A$8,$B$5:$B$8,"")</f>
        <v>401(k) Employee Deferral</v>
      </c>
      <c r="G1065" s="38" t="str">
        <f aca="false">_xlfn.XLOOKUP($E1065,$A$5:$A$8,$D$5:$D$8,"")</f>
        <v>Pre-tax (exempt from FIT/SIT; subject to FICA)</v>
      </c>
      <c r="H1065" s="38" t="str">
        <f aca="false">_xlfn.XLOOKUP($E1065,$A$5:$A$8,$E$5:$E$8,"")</f>
        <v>Percent</v>
      </c>
      <c r="I1065" s="41" t="n">
        <v>0.01</v>
      </c>
      <c r="J1065" s="42" t="str">
        <f aca="false">IF($H1065="Flat",_xlfn.XLOOKUP($E1065,$A$5:$A$8,$F$5:$F$8,""),"")</f>
        <v/>
      </c>
      <c r="K1065" s="38" t="str">
        <f aca="false">_xlfn.XLOOKUP($E1065,$A$5:$A$8,$G$5:$G$8,"")</f>
        <v>Gross pay</v>
      </c>
      <c r="L1065" s="38" t="str">
        <f aca="false">_xlfn.XLOOKUP($E1065,$A$5:$A$8,$H$5:$H$8,"")</f>
        <v>Every pay period (ongoing)</v>
      </c>
      <c r="M1065" s="43" t="n">
        <f aca="false" t="array" ref="M1065:M1065">MAX(_xlfn.XLOOKUP($A1065,TRIM(SUBSTITUTE('worker file'!$A$2:$A$406,_xlfn.UNICHAR(160)," ")),'worker file'!$M$2:$M$406,0),_xlfn.XLOOKUP($B1065,TRIM('pay group &amp; schedule'!$A$2:$A$6),'pay group &amp; schedule'!$D$2:$D$6,0))</f>
        <v>46311</v>
      </c>
      <c r="N1065" s="43" t="str">
        <f aca="false" t="array" ref="N1065:N1065">_xlfn.LET(_xlpm.t,_xlfn.XLOOKUP($A1065,TRIM(SUBSTITUTE('worker file'!$A$2:$A$406,_xlfn.UNICHAR(160)," ")),'worker file'!$N$2:$N$406,""),IF(N(_xlpm.t)=0,"",_xlpm.t))</f>
        <v/>
      </c>
    </row>
    <row r="1066" customFormat="false" ht="15" hidden="false" customHeight="false" outlineLevel="0" collapsed="false">
      <c r="A1066" s="39" t="s">
        <v>458</v>
      </c>
      <c r="B1066" s="40" t="str">
        <f aca="false" t="array" ref="B1066:B1066">_xlfn.XLOOKUP($A1066,TRIM(SUBSTITUTE('worker file'!$A$2:$A$406,_xlfn.UNICHAR(160)," ")),'worker file'!$L$2:$L$406,"Not found")</f>
        <v>US Semi-monthly</v>
      </c>
      <c r="C1066" s="40" t="str">
        <f aca="false" t="array" ref="C1066:C1066">_xlfn.XLOOKUP($A1066,TRIM(SUBSTITUTE('worker file'!$A$2:$A$406,_xlfn.UNICHAR(160)," ")),'worker file'!$D$2:$D$406,"Not found")</f>
        <v>IL</v>
      </c>
      <c r="D1066" s="40" t="str">
        <f aca="false" t="array" ref="D1066:D1066">_xlfn.XLOOKUP($A1066,TRIM(SUBSTITUTE('worker file'!$A$2:$A$406,_xlfn.UNICHAR(160)," ")),'worker file'!$Q$2:$Q$406,"Not found")</f>
        <v>Active</v>
      </c>
      <c r="E1066" s="39" t="s">
        <v>626</v>
      </c>
      <c r="F1066" s="38" t="str">
        <f aca="false">_xlfn.XLOOKUP($E1066,$A$5:$A$8,$B$5:$B$8,"")</f>
        <v>Medical (Health) – Employee</v>
      </c>
      <c r="G1066" s="38" t="str">
        <f aca="false">_xlfn.XLOOKUP($E1066,$A$5:$A$8,$D$5:$D$8,"")</f>
        <v>Pre-tax Section 125 (exempt from FIT/SIT/FICA)</v>
      </c>
      <c r="H1066" s="38" t="str">
        <f aca="false">_xlfn.XLOOKUP($E1066,$A$5:$A$8,$E$5:$E$8,"")</f>
        <v>Flat</v>
      </c>
      <c r="I1066" s="44" t="str">
        <f aca="false">IF($H1066="Percent",_xlfn.XLOOKUP($E1066,$A$5:$A$8,$F$5:$F$8,""),"")</f>
        <v/>
      </c>
      <c r="J1066" s="42" t="n">
        <f aca="false">IF($H1066="Flat",_xlfn.XLOOKUP($E1066,$A$5:$A$8,$F$5:$F$8,""),"")</f>
        <v>200</v>
      </c>
      <c r="K1066" s="38" t="str">
        <f aca="false">_xlfn.XLOOKUP($E1066,$A$5:$A$8,$G$5:$G$8,"")</f>
        <v>Per pay period</v>
      </c>
      <c r="L1066" s="38" t="str">
        <f aca="false">_xlfn.XLOOKUP($E1066,$A$5:$A$8,$H$5:$H$8,"")</f>
        <v>Every pay period (ongoing)</v>
      </c>
      <c r="M1066" s="43" t="n">
        <f aca="false" t="array" ref="M1066:M1066">MAX(_xlfn.XLOOKUP($A1066,TRIM(SUBSTITUTE('worker file'!$A$2:$A$406,_xlfn.UNICHAR(160)," ")),'worker file'!$M$2:$M$406,0),_xlfn.XLOOKUP($B1066,TRIM('pay group &amp; schedule'!$A$2:$A$6),'pay group &amp; schedule'!$D$2:$D$6,0))</f>
        <v>46311</v>
      </c>
      <c r="N1066" s="43" t="str">
        <f aca="false" t="array" ref="N1066:N1066">_xlfn.LET(_xlpm.t,_xlfn.XLOOKUP($A1066,TRIM(SUBSTITUTE('worker file'!$A$2:$A$406,_xlfn.UNICHAR(160)," ")),'worker file'!$N$2:$N$406,""),IF(N(_xlpm.t)=0,"",_xlpm.t))</f>
        <v/>
      </c>
    </row>
    <row r="1067" customFormat="false" ht="15" hidden="false" customHeight="false" outlineLevel="0" collapsed="false">
      <c r="A1067" s="39" t="s">
        <v>458</v>
      </c>
      <c r="B1067" s="40" t="str">
        <f aca="false" t="array" ref="B1067:B1067">_xlfn.XLOOKUP($A1067,TRIM(SUBSTITUTE('worker file'!$A$2:$A$406,_xlfn.UNICHAR(160)," ")),'worker file'!$L$2:$L$406,"Not found")</f>
        <v>US Semi-monthly</v>
      </c>
      <c r="C1067" s="40" t="str">
        <f aca="false" t="array" ref="C1067:C1067">_xlfn.XLOOKUP($A1067,TRIM(SUBSTITUTE('worker file'!$A$2:$A$406,_xlfn.UNICHAR(160)," ")),'worker file'!$D$2:$D$406,"Not found")</f>
        <v>IL</v>
      </c>
      <c r="D1067" s="40" t="str">
        <f aca="false" t="array" ref="D1067:D1067">_xlfn.XLOOKUP($A1067,TRIM(SUBSTITUTE('worker file'!$A$2:$A$406,_xlfn.UNICHAR(160)," ")),'worker file'!$Q$2:$Q$406,"Not found")</f>
        <v>Active</v>
      </c>
      <c r="E1067" s="39" t="s">
        <v>632</v>
      </c>
      <c r="F1067" s="38" t="str">
        <f aca="false">_xlfn.XLOOKUP($E1067,$A$5:$A$8,$B$5:$B$8,"")</f>
        <v>Dental – Employee</v>
      </c>
      <c r="G1067" s="38" t="str">
        <f aca="false">_xlfn.XLOOKUP($E1067,$A$5:$A$8,$D$5:$D$8,"")</f>
        <v>Pre-tax Section 125 (exempt from FIT/SIT/FICA)</v>
      </c>
      <c r="H1067" s="38" t="str">
        <f aca="false">_xlfn.XLOOKUP($E1067,$A$5:$A$8,$E$5:$E$8,"")</f>
        <v>Flat</v>
      </c>
      <c r="I1067" s="44" t="str">
        <f aca="false">IF($H1067="Percent",_xlfn.XLOOKUP($E1067,$A$5:$A$8,$F$5:$F$8,""),"")</f>
        <v/>
      </c>
      <c r="J1067" s="42" t="n">
        <f aca="false">IF($H1067="Flat",_xlfn.XLOOKUP($E1067,$A$5:$A$8,$F$5:$F$8,""),"")</f>
        <v>44</v>
      </c>
      <c r="K1067" s="38" t="str">
        <f aca="false">_xlfn.XLOOKUP($E1067,$A$5:$A$8,$G$5:$G$8,"")</f>
        <v>Per pay period</v>
      </c>
      <c r="L1067" s="38" t="str">
        <f aca="false">_xlfn.XLOOKUP($E1067,$A$5:$A$8,$H$5:$H$8,"")</f>
        <v>Every pay period (ongoing)</v>
      </c>
      <c r="M1067" s="43" t="n">
        <f aca="false" t="array" ref="M1067:M1067">MAX(_xlfn.XLOOKUP($A1067,TRIM(SUBSTITUTE('worker file'!$A$2:$A$406,_xlfn.UNICHAR(160)," ")),'worker file'!$M$2:$M$406,0),_xlfn.XLOOKUP($B1067,TRIM('pay group &amp; schedule'!$A$2:$A$6),'pay group &amp; schedule'!$D$2:$D$6,0))</f>
        <v>46311</v>
      </c>
      <c r="N1067" s="43" t="str">
        <f aca="false" t="array" ref="N1067:N1067">_xlfn.LET(_xlpm.t,_xlfn.XLOOKUP($A1067,TRIM(SUBSTITUTE('worker file'!$A$2:$A$406,_xlfn.UNICHAR(160)," ")),'worker file'!$N$2:$N$406,""),IF(N(_xlpm.t)=0,"",_xlpm.t))</f>
        <v/>
      </c>
    </row>
    <row r="1068" customFormat="false" ht="15" hidden="false" customHeight="false" outlineLevel="0" collapsed="false">
      <c r="A1068" s="39" t="s">
        <v>458</v>
      </c>
      <c r="B1068" s="40" t="str">
        <f aca="false" t="array" ref="B1068:B1068">_xlfn.XLOOKUP($A1068,TRIM(SUBSTITUTE('worker file'!$A$2:$A$406,_xlfn.UNICHAR(160)," ")),'worker file'!$L$2:$L$406,"Not found")</f>
        <v>US Semi-monthly</v>
      </c>
      <c r="C1068" s="40" t="str">
        <f aca="false" t="array" ref="C1068:C1068">_xlfn.XLOOKUP($A1068,TRIM(SUBSTITUTE('worker file'!$A$2:$A$406,_xlfn.UNICHAR(160)," ")),'worker file'!$D$2:$D$406,"Not found")</f>
        <v>IL</v>
      </c>
      <c r="D1068" s="40" t="str">
        <f aca="false" t="array" ref="D1068:D1068">_xlfn.XLOOKUP($A1068,TRIM(SUBSTITUTE('worker file'!$A$2:$A$406,_xlfn.UNICHAR(160)," ")),'worker file'!$Q$2:$Q$406,"Not found")</f>
        <v>Active</v>
      </c>
      <c r="E1068" s="39" t="s">
        <v>634</v>
      </c>
      <c r="F1068" s="38" t="str">
        <f aca="false">_xlfn.XLOOKUP($E1068,$A$5:$A$8,$B$5:$B$8,"")</f>
        <v>Vision – Employee</v>
      </c>
      <c r="G1068" s="38" t="str">
        <f aca="false">_xlfn.XLOOKUP($E1068,$A$5:$A$8,$D$5:$D$8,"")</f>
        <v>Pre-tax Section 125 (exempt from FIT/SIT/FICA)</v>
      </c>
      <c r="H1068" s="38" t="str">
        <f aca="false">_xlfn.XLOOKUP($E1068,$A$5:$A$8,$E$5:$E$8,"")</f>
        <v>Flat</v>
      </c>
      <c r="I1068" s="44" t="str">
        <f aca="false">IF($H1068="Percent",_xlfn.XLOOKUP($E1068,$A$5:$A$8,$F$5:$F$8,""),"")</f>
        <v/>
      </c>
      <c r="J1068" s="42" t="n">
        <f aca="false">IF($H1068="Flat",_xlfn.XLOOKUP($E1068,$A$5:$A$8,$F$5:$F$8,""),"")</f>
        <v>30</v>
      </c>
      <c r="K1068" s="38" t="str">
        <f aca="false">_xlfn.XLOOKUP($E1068,$A$5:$A$8,$G$5:$G$8,"")</f>
        <v>Per pay period</v>
      </c>
      <c r="L1068" s="38" t="str">
        <f aca="false">_xlfn.XLOOKUP($E1068,$A$5:$A$8,$H$5:$H$8,"")</f>
        <v>Every pay period (ongoing)</v>
      </c>
      <c r="M1068" s="43" t="n">
        <f aca="false" t="array" ref="M1068:M1068">MAX(_xlfn.XLOOKUP($A1068,TRIM(SUBSTITUTE('worker file'!$A$2:$A$406,_xlfn.UNICHAR(160)," ")),'worker file'!$M$2:$M$406,0),_xlfn.XLOOKUP($B1068,TRIM('pay group &amp; schedule'!$A$2:$A$6),'pay group &amp; schedule'!$D$2:$D$6,0))</f>
        <v>46311</v>
      </c>
      <c r="N1068" s="43" t="str">
        <f aca="false" t="array" ref="N1068:N1068">_xlfn.LET(_xlpm.t,_xlfn.XLOOKUP($A1068,TRIM(SUBSTITUTE('worker file'!$A$2:$A$406,_xlfn.UNICHAR(160)," ")),'worker file'!$N$2:$N$406,""),IF(N(_xlpm.t)=0,"",_xlpm.t))</f>
        <v/>
      </c>
    </row>
    <row r="1069" customFormat="false" ht="15" hidden="false" customHeight="false" outlineLevel="0" collapsed="false">
      <c r="A1069" s="39" t="s">
        <v>461</v>
      </c>
      <c r="B1069" s="40" t="str">
        <f aca="false" t="array" ref="B1069:B1069">_xlfn.XLOOKUP($A1069,TRIM(SUBSTITUTE('worker file'!$A$2:$A$406,_xlfn.UNICHAR(160)," ")),'worker file'!$L$2:$L$406,"Not found")</f>
        <v>US Semi-monthly</v>
      </c>
      <c r="C1069" s="40" t="str">
        <f aca="false" t="array" ref="C1069:C1069">_xlfn.XLOOKUP($A1069,TRIM(SUBSTITUTE('worker file'!$A$2:$A$406,_xlfn.UNICHAR(160)," ")),'worker file'!$D$2:$D$406,"Not found")</f>
        <v>MA</v>
      </c>
      <c r="D1069" s="40" t="str">
        <f aca="false" t="array" ref="D1069:D1069">_xlfn.XLOOKUP($A1069,TRIM(SUBSTITUTE('worker file'!$A$2:$A$406,_xlfn.UNICHAR(160)," ")),'worker file'!$Q$2:$Q$406,"Not found")</f>
        <v>Active</v>
      </c>
      <c r="E1069" s="39" t="s">
        <v>626</v>
      </c>
      <c r="F1069" s="38" t="str">
        <f aca="false">_xlfn.XLOOKUP($E1069,$A$5:$A$8,$B$5:$B$8,"")</f>
        <v>Medical (Health) – Employee</v>
      </c>
      <c r="G1069" s="38" t="str">
        <f aca="false">_xlfn.XLOOKUP($E1069,$A$5:$A$8,$D$5:$D$8,"")</f>
        <v>Pre-tax Section 125 (exempt from FIT/SIT/FICA)</v>
      </c>
      <c r="H1069" s="38" t="str">
        <f aca="false">_xlfn.XLOOKUP($E1069,$A$5:$A$8,$E$5:$E$8,"")</f>
        <v>Flat</v>
      </c>
      <c r="I1069" s="44" t="str">
        <f aca="false">IF($H1069="Percent",_xlfn.XLOOKUP($E1069,$A$5:$A$8,$F$5:$F$8,""),"")</f>
        <v/>
      </c>
      <c r="J1069" s="42" t="n">
        <f aca="false">IF($H1069="Flat",_xlfn.XLOOKUP($E1069,$A$5:$A$8,$F$5:$F$8,""),"")</f>
        <v>200</v>
      </c>
      <c r="K1069" s="38" t="str">
        <f aca="false">_xlfn.XLOOKUP($E1069,$A$5:$A$8,$G$5:$G$8,"")</f>
        <v>Per pay period</v>
      </c>
      <c r="L1069" s="38" t="str">
        <f aca="false">_xlfn.XLOOKUP($E1069,$A$5:$A$8,$H$5:$H$8,"")</f>
        <v>Every pay period (ongoing)</v>
      </c>
      <c r="M1069" s="43" t="n">
        <f aca="false" t="array" ref="M1069:M1069">MAX(_xlfn.XLOOKUP($A1069,TRIM(SUBSTITUTE('worker file'!$A$2:$A$406,_xlfn.UNICHAR(160)," ")),'worker file'!$M$2:$M$406,0),_xlfn.XLOOKUP($B1069,TRIM('pay group &amp; schedule'!$A$2:$A$6),'pay group &amp; schedule'!$D$2:$D$6,0))</f>
        <v>46311</v>
      </c>
      <c r="N1069" s="43" t="str">
        <f aca="false" t="array" ref="N1069:N1069">_xlfn.LET(_xlpm.t,_xlfn.XLOOKUP($A1069,TRIM(SUBSTITUTE('worker file'!$A$2:$A$406,_xlfn.UNICHAR(160)," ")),'worker file'!$N$2:$N$406,""),IF(N(_xlpm.t)=0,"",_xlpm.t))</f>
        <v/>
      </c>
    </row>
    <row r="1070" customFormat="false" ht="15" hidden="false" customHeight="false" outlineLevel="0" collapsed="false">
      <c r="A1070" s="39" t="s">
        <v>461</v>
      </c>
      <c r="B1070" s="40" t="str">
        <f aca="false" t="array" ref="B1070:B1070">_xlfn.XLOOKUP($A1070,TRIM(SUBSTITUTE('worker file'!$A$2:$A$406,_xlfn.UNICHAR(160)," ")),'worker file'!$L$2:$L$406,"Not found")</f>
        <v>US Semi-monthly</v>
      </c>
      <c r="C1070" s="40" t="str">
        <f aca="false" t="array" ref="C1070:C1070">_xlfn.XLOOKUP($A1070,TRIM(SUBSTITUTE('worker file'!$A$2:$A$406,_xlfn.UNICHAR(160)," ")),'worker file'!$D$2:$D$406,"Not found")</f>
        <v>MA</v>
      </c>
      <c r="D1070" s="40" t="str">
        <f aca="false" t="array" ref="D1070:D1070">_xlfn.XLOOKUP($A1070,TRIM(SUBSTITUTE('worker file'!$A$2:$A$406,_xlfn.UNICHAR(160)," ")),'worker file'!$Q$2:$Q$406,"Not found")</f>
        <v>Active</v>
      </c>
      <c r="E1070" s="39" t="s">
        <v>632</v>
      </c>
      <c r="F1070" s="38" t="str">
        <f aca="false">_xlfn.XLOOKUP($E1070,$A$5:$A$8,$B$5:$B$8,"")</f>
        <v>Dental – Employee</v>
      </c>
      <c r="G1070" s="38" t="str">
        <f aca="false">_xlfn.XLOOKUP($E1070,$A$5:$A$8,$D$5:$D$8,"")</f>
        <v>Pre-tax Section 125 (exempt from FIT/SIT/FICA)</v>
      </c>
      <c r="H1070" s="38" t="str">
        <f aca="false">_xlfn.XLOOKUP($E1070,$A$5:$A$8,$E$5:$E$8,"")</f>
        <v>Flat</v>
      </c>
      <c r="I1070" s="44" t="str">
        <f aca="false">IF($H1070="Percent",_xlfn.XLOOKUP($E1070,$A$5:$A$8,$F$5:$F$8,""),"")</f>
        <v/>
      </c>
      <c r="J1070" s="42" t="n">
        <f aca="false">IF($H1070="Flat",_xlfn.XLOOKUP($E1070,$A$5:$A$8,$F$5:$F$8,""),"")</f>
        <v>44</v>
      </c>
      <c r="K1070" s="38" t="str">
        <f aca="false">_xlfn.XLOOKUP($E1070,$A$5:$A$8,$G$5:$G$8,"")</f>
        <v>Per pay period</v>
      </c>
      <c r="L1070" s="38" t="str">
        <f aca="false">_xlfn.XLOOKUP($E1070,$A$5:$A$8,$H$5:$H$8,"")</f>
        <v>Every pay period (ongoing)</v>
      </c>
      <c r="M1070" s="43" t="n">
        <f aca="false" t="array" ref="M1070:M1070">MAX(_xlfn.XLOOKUP($A1070,TRIM(SUBSTITUTE('worker file'!$A$2:$A$406,_xlfn.UNICHAR(160)," ")),'worker file'!$M$2:$M$406,0),_xlfn.XLOOKUP($B1070,TRIM('pay group &amp; schedule'!$A$2:$A$6),'pay group &amp; schedule'!$D$2:$D$6,0))</f>
        <v>46311</v>
      </c>
      <c r="N1070" s="43" t="str">
        <f aca="false" t="array" ref="N1070:N1070">_xlfn.LET(_xlpm.t,_xlfn.XLOOKUP($A1070,TRIM(SUBSTITUTE('worker file'!$A$2:$A$406,_xlfn.UNICHAR(160)," ")),'worker file'!$N$2:$N$406,""),IF(N(_xlpm.t)=0,"",_xlpm.t))</f>
        <v/>
      </c>
    </row>
    <row r="1071" customFormat="false" ht="15" hidden="false" customHeight="false" outlineLevel="0" collapsed="false">
      <c r="A1071" s="39" t="s">
        <v>461</v>
      </c>
      <c r="B1071" s="40" t="str">
        <f aca="false" t="array" ref="B1071:B1071">_xlfn.XLOOKUP($A1071,TRIM(SUBSTITUTE('worker file'!$A$2:$A$406,_xlfn.UNICHAR(160)," ")),'worker file'!$L$2:$L$406,"Not found")</f>
        <v>US Semi-monthly</v>
      </c>
      <c r="C1071" s="40" t="str">
        <f aca="false" t="array" ref="C1071:C1071">_xlfn.XLOOKUP($A1071,TRIM(SUBSTITUTE('worker file'!$A$2:$A$406,_xlfn.UNICHAR(160)," ")),'worker file'!$D$2:$D$406,"Not found")</f>
        <v>MA</v>
      </c>
      <c r="D1071" s="40" t="str">
        <f aca="false" t="array" ref="D1071:D1071">_xlfn.XLOOKUP($A1071,TRIM(SUBSTITUTE('worker file'!$A$2:$A$406,_xlfn.UNICHAR(160)," ")),'worker file'!$Q$2:$Q$406,"Not found")</f>
        <v>Active</v>
      </c>
      <c r="E1071" s="39" t="s">
        <v>634</v>
      </c>
      <c r="F1071" s="38" t="str">
        <f aca="false">_xlfn.XLOOKUP($E1071,$A$5:$A$8,$B$5:$B$8,"")</f>
        <v>Vision – Employee</v>
      </c>
      <c r="G1071" s="38" t="str">
        <f aca="false">_xlfn.XLOOKUP($E1071,$A$5:$A$8,$D$5:$D$8,"")</f>
        <v>Pre-tax Section 125 (exempt from FIT/SIT/FICA)</v>
      </c>
      <c r="H1071" s="38" t="str">
        <f aca="false">_xlfn.XLOOKUP($E1071,$A$5:$A$8,$E$5:$E$8,"")</f>
        <v>Flat</v>
      </c>
      <c r="I1071" s="44" t="str">
        <f aca="false">IF($H1071="Percent",_xlfn.XLOOKUP($E1071,$A$5:$A$8,$F$5:$F$8,""),"")</f>
        <v/>
      </c>
      <c r="J1071" s="42" t="n">
        <f aca="false">IF($H1071="Flat",_xlfn.XLOOKUP($E1071,$A$5:$A$8,$F$5:$F$8,""),"")</f>
        <v>30</v>
      </c>
      <c r="K1071" s="38" t="str">
        <f aca="false">_xlfn.XLOOKUP($E1071,$A$5:$A$8,$G$5:$G$8,"")</f>
        <v>Per pay period</v>
      </c>
      <c r="L1071" s="38" t="str">
        <f aca="false">_xlfn.XLOOKUP($E1071,$A$5:$A$8,$H$5:$H$8,"")</f>
        <v>Every pay period (ongoing)</v>
      </c>
      <c r="M1071" s="43" t="n">
        <f aca="false" t="array" ref="M1071:M1071">MAX(_xlfn.XLOOKUP($A1071,TRIM(SUBSTITUTE('worker file'!$A$2:$A$406,_xlfn.UNICHAR(160)," ")),'worker file'!$M$2:$M$406,0),_xlfn.XLOOKUP($B1071,TRIM('pay group &amp; schedule'!$A$2:$A$6),'pay group &amp; schedule'!$D$2:$D$6,0))</f>
        <v>46311</v>
      </c>
      <c r="N1071" s="43" t="str">
        <f aca="false" t="array" ref="N1071:N1071">_xlfn.LET(_xlpm.t,_xlfn.XLOOKUP($A1071,TRIM(SUBSTITUTE('worker file'!$A$2:$A$406,_xlfn.UNICHAR(160)," ")),'worker file'!$N$2:$N$406,""),IF(N(_xlpm.t)=0,"",_xlpm.t))</f>
        <v/>
      </c>
    </row>
    <row r="1072" customFormat="false" ht="15" hidden="false" customHeight="false" outlineLevel="0" collapsed="false">
      <c r="A1072" s="39" t="s">
        <v>462</v>
      </c>
      <c r="B1072" s="40" t="str">
        <f aca="false" t="array" ref="B1072:B1072">_xlfn.XLOOKUP($A1072,TRIM(SUBSTITUTE('worker file'!$A$2:$A$406,_xlfn.UNICHAR(160)," ")),'worker file'!$L$2:$L$406,"Not found")</f>
        <v>US Semi-monthly</v>
      </c>
      <c r="C1072" s="40" t="str">
        <f aca="false" t="array" ref="C1072:C1072">_xlfn.XLOOKUP($A1072,TRIM(SUBSTITUTE('worker file'!$A$2:$A$406,_xlfn.UNICHAR(160)," ")),'worker file'!$D$2:$D$406,"Not found")</f>
        <v>CA</v>
      </c>
      <c r="D1072" s="40" t="str">
        <f aca="false" t="array" ref="D1072:D1072">_xlfn.XLOOKUP($A1072,TRIM(SUBSTITUTE('worker file'!$A$2:$A$406,_xlfn.UNICHAR(160)," ")),'worker file'!$Q$2:$Q$406,"Not found")</f>
        <v>Active</v>
      </c>
      <c r="E1072" s="39" t="s">
        <v>618</v>
      </c>
      <c r="F1072" s="38" t="str">
        <f aca="false">_xlfn.XLOOKUP($E1072,$A$5:$A$8,$B$5:$B$8,"")</f>
        <v>401(k) Employee Deferral</v>
      </c>
      <c r="G1072" s="38" t="str">
        <f aca="false">_xlfn.XLOOKUP($E1072,$A$5:$A$8,$D$5:$D$8,"")</f>
        <v>Pre-tax (exempt from FIT/SIT; subject to FICA)</v>
      </c>
      <c r="H1072" s="38" t="str">
        <f aca="false">_xlfn.XLOOKUP($E1072,$A$5:$A$8,$E$5:$E$8,"")</f>
        <v>Percent</v>
      </c>
      <c r="I1072" s="41" t="n">
        <v>0.03</v>
      </c>
      <c r="J1072" s="42" t="str">
        <f aca="false">IF($H1072="Flat",_xlfn.XLOOKUP($E1072,$A$5:$A$8,$F$5:$F$8,""),"")</f>
        <v/>
      </c>
      <c r="K1072" s="38" t="str">
        <f aca="false">_xlfn.XLOOKUP($E1072,$A$5:$A$8,$G$5:$G$8,"")</f>
        <v>Gross pay</v>
      </c>
      <c r="L1072" s="38" t="str">
        <f aca="false">_xlfn.XLOOKUP($E1072,$A$5:$A$8,$H$5:$H$8,"")</f>
        <v>Every pay period (ongoing)</v>
      </c>
      <c r="M1072" s="43" t="n">
        <f aca="false" t="array" ref="M1072:M1072">MAX(_xlfn.XLOOKUP($A1072,TRIM(SUBSTITUTE('worker file'!$A$2:$A$406,_xlfn.UNICHAR(160)," ")),'worker file'!$M$2:$M$406,0),_xlfn.XLOOKUP($B1072,TRIM('pay group &amp; schedule'!$A$2:$A$6),'pay group &amp; schedule'!$D$2:$D$6,0))</f>
        <v>46311</v>
      </c>
      <c r="N1072" s="43" t="str">
        <f aca="false" t="array" ref="N1072:N1072">_xlfn.LET(_xlpm.t,_xlfn.XLOOKUP($A1072,TRIM(SUBSTITUTE('worker file'!$A$2:$A$406,_xlfn.UNICHAR(160)," ")),'worker file'!$N$2:$N$406,""),IF(N(_xlpm.t)=0,"",_xlpm.t))</f>
        <v/>
      </c>
    </row>
    <row r="1073" customFormat="false" ht="15" hidden="false" customHeight="false" outlineLevel="0" collapsed="false">
      <c r="A1073" s="39" t="s">
        <v>462</v>
      </c>
      <c r="B1073" s="40" t="str">
        <f aca="false" t="array" ref="B1073:B1073">_xlfn.XLOOKUP($A1073,TRIM(SUBSTITUTE('worker file'!$A$2:$A$406,_xlfn.UNICHAR(160)," ")),'worker file'!$L$2:$L$406,"Not found")</f>
        <v>US Semi-monthly</v>
      </c>
      <c r="C1073" s="40" t="str">
        <f aca="false" t="array" ref="C1073:C1073">_xlfn.XLOOKUP($A1073,TRIM(SUBSTITUTE('worker file'!$A$2:$A$406,_xlfn.UNICHAR(160)," ")),'worker file'!$D$2:$D$406,"Not found")</f>
        <v>CA</v>
      </c>
      <c r="D1073" s="40" t="str">
        <f aca="false" t="array" ref="D1073:D1073">_xlfn.XLOOKUP($A1073,TRIM(SUBSTITUTE('worker file'!$A$2:$A$406,_xlfn.UNICHAR(160)," ")),'worker file'!$Q$2:$Q$406,"Not found")</f>
        <v>Active</v>
      </c>
      <c r="E1073" s="39" t="s">
        <v>626</v>
      </c>
      <c r="F1073" s="38" t="str">
        <f aca="false">_xlfn.XLOOKUP($E1073,$A$5:$A$8,$B$5:$B$8,"")</f>
        <v>Medical (Health) – Employee</v>
      </c>
      <c r="G1073" s="38" t="str">
        <f aca="false">_xlfn.XLOOKUP($E1073,$A$5:$A$8,$D$5:$D$8,"")</f>
        <v>Pre-tax Section 125 (exempt from FIT/SIT/FICA)</v>
      </c>
      <c r="H1073" s="38" t="str">
        <f aca="false">_xlfn.XLOOKUP($E1073,$A$5:$A$8,$E$5:$E$8,"")</f>
        <v>Flat</v>
      </c>
      <c r="I1073" s="44" t="str">
        <f aca="false">IF($H1073="Percent",_xlfn.XLOOKUP($E1073,$A$5:$A$8,$F$5:$F$8,""),"")</f>
        <v/>
      </c>
      <c r="J1073" s="42" t="n">
        <f aca="false">IF($H1073="Flat",_xlfn.XLOOKUP($E1073,$A$5:$A$8,$F$5:$F$8,""),"")</f>
        <v>200</v>
      </c>
      <c r="K1073" s="38" t="str">
        <f aca="false">_xlfn.XLOOKUP($E1073,$A$5:$A$8,$G$5:$G$8,"")</f>
        <v>Per pay period</v>
      </c>
      <c r="L1073" s="38" t="str">
        <f aca="false">_xlfn.XLOOKUP($E1073,$A$5:$A$8,$H$5:$H$8,"")</f>
        <v>Every pay period (ongoing)</v>
      </c>
      <c r="M1073" s="43" t="n">
        <f aca="false" t="array" ref="M1073:M1073">MAX(_xlfn.XLOOKUP($A1073,TRIM(SUBSTITUTE('worker file'!$A$2:$A$406,_xlfn.UNICHAR(160)," ")),'worker file'!$M$2:$M$406,0),_xlfn.XLOOKUP($B1073,TRIM('pay group &amp; schedule'!$A$2:$A$6),'pay group &amp; schedule'!$D$2:$D$6,0))</f>
        <v>46311</v>
      </c>
      <c r="N1073" s="43" t="str">
        <f aca="false" t="array" ref="N1073:N1073">_xlfn.LET(_xlpm.t,_xlfn.XLOOKUP($A1073,TRIM(SUBSTITUTE('worker file'!$A$2:$A$406,_xlfn.UNICHAR(160)," ")),'worker file'!$N$2:$N$406,""),IF(N(_xlpm.t)=0,"",_xlpm.t))</f>
        <v/>
      </c>
    </row>
    <row r="1074" customFormat="false" ht="15" hidden="false" customHeight="false" outlineLevel="0" collapsed="false">
      <c r="A1074" s="39" t="s">
        <v>462</v>
      </c>
      <c r="B1074" s="40" t="str">
        <f aca="false" t="array" ref="B1074:B1074">_xlfn.XLOOKUP($A1074,TRIM(SUBSTITUTE('worker file'!$A$2:$A$406,_xlfn.UNICHAR(160)," ")),'worker file'!$L$2:$L$406,"Not found")</f>
        <v>US Semi-monthly</v>
      </c>
      <c r="C1074" s="40" t="str">
        <f aca="false" t="array" ref="C1074:C1074">_xlfn.XLOOKUP($A1074,TRIM(SUBSTITUTE('worker file'!$A$2:$A$406,_xlfn.UNICHAR(160)," ")),'worker file'!$D$2:$D$406,"Not found")</f>
        <v>CA</v>
      </c>
      <c r="D1074" s="40" t="str">
        <f aca="false" t="array" ref="D1074:D1074">_xlfn.XLOOKUP($A1074,TRIM(SUBSTITUTE('worker file'!$A$2:$A$406,_xlfn.UNICHAR(160)," ")),'worker file'!$Q$2:$Q$406,"Not found")</f>
        <v>Active</v>
      </c>
      <c r="E1074" s="39" t="s">
        <v>632</v>
      </c>
      <c r="F1074" s="38" t="str">
        <f aca="false">_xlfn.XLOOKUP($E1074,$A$5:$A$8,$B$5:$B$8,"")</f>
        <v>Dental – Employee</v>
      </c>
      <c r="G1074" s="38" t="str">
        <f aca="false">_xlfn.XLOOKUP($E1074,$A$5:$A$8,$D$5:$D$8,"")</f>
        <v>Pre-tax Section 125 (exempt from FIT/SIT/FICA)</v>
      </c>
      <c r="H1074" s="38" t="str">
        <f aca="false">_xlfn.XLOOKUP($E1074,$A$5:$A$8,$E$5:$E$8,"")</f>
        <v>Flat</v>
      </c>
      <c r="I1074" s="44" t="str">
        <f aca="false">IF($H1074="Percent",_xlfn.XLOOKUP($E1074,$A$5:$A$8,$F$5:$F$8,""),"")</f>
        <v/>
      </c>
      <c r="J1074" s="42" t="n">
        <f aca="false">IF($H1074="Flat",_xlfn.XLOOKUP($E1074,$A$5:$A$8,$F$5:$F$8,""),"")</f>
        <v>44</v>
      </c>
      <c r="K1074" s="38" t="str">
        <f aca="false">_xlfn.XLOOKUP($E1074,$A$5:$A$8,$G$5:$G$8,"")</f>
        <v>Per pay period</v>
      </c>
      <c r="L1074" s="38" t="str">
        <f aca="false">_xlfn.XLOOKUP($E1074,$A$5:$A$8,$H$5:$H$8,"")</f>
        <v>Every pay period (ongoing)</v>
      </c>
      <c r="M1074" s="43" t="n">
        <f aca="false" t="array" ref="M1074:M1074">MAX(_xlfn.XLOOKUP($A1074,TRIM(SUBSTITUTE('worker file'!$A$2:$A$406,_xlfn.UNICHAR(160)," ")),'worker file'!$M$2:$M$406,0),_xlfn.XLOOKUP($B1074,TRIM('pay group &amp; schedule'!$A$2:$A$6),'pay group &amp; schedule'!$D$2:$D$6,0))</f>
        <v>46311</v>
      </c>
      <c r="N1074" s="43" t="str">
        <f aca="false" t="array" ref="N1074:N1074">_xlfn.LET(_xlpm.t,_xlfn.XLOOKUP($A1074,TRIM(SUBSTITUTE('worker file'!$A$2:$A$406,_xlfn.UNICHAR(160)," ")),'worker file'!$N$2:$N$406,""),IF(N(_xlpm.t)=0,"",_xlpm.t))</f>
        <v/>
      </c>
    </row>
    <row r="1075" customFormat="false" ht="15" hidden="false" customHeight="false" outlineLevel="0" collapsed="false">
      <c r="A1075" s="39" t="s">
        <v>462</v>
      </c>
      <c r="B1075" s="40" t="str">
        <f aca="false" t="array" ref="B1075:B1075">_xlfn.XLOOKUP($A1075,TRIM(SUBSTITUTE('worker file'!$A$2:$A$406,_xlfn.UNICHAR(160)," ")),'worker file'!$L$2:$L$406,"Not found")</f>
        <v>US Semi-monthly</v>
      </c>
      <c r="C1075" s="40" t="str">
        <f aca="false" t="array" ref="C1075:C1075">_xlfn.XLOOKUP($A1075,TRIM(SUBSTITUTE('worker file'!$A$2:$A$406,_xlfn.UNICHAR(160)," ")),'worker file'!$D$2:$D$406,"Not found")</f>
        <v>CA</v>
      </c>
      <c r="D1075" s="40" t="str">
        <f aca="false" t="array" ref="D1075:D1075">_xlfn.XLOOKUP($A1075,TRIM(SUBSTITUTE('worker file'!$A$2:$A$406,_xlfn.UNICHAR(160)," ")),'worker file'!$Q$2:$Q$406,"Not found")</f>
        <v>Active</v>
      </c>
      <c r="E1075" s="39" t="s">
        <v>634</v>
      </c>
      <c r="F1075" s="38" t="str">
        <f aca="false">_xlfn.XLOOKUP($E1075,$A$5:$A$8,$B$5:$B$8,"")</f>
        <v>Vision – Employee</v>
      </c>
      <c r="G1075" s="38" t="str">
        <f aca="false">_xlfn.XLOOKUP($E1075,$A$5:$A$8,$D$5:$D$8,"")</f>
        <v>Pre-tax Section 125 (exempt from FIT/SIT/FICA)</v>
      </c>
      <c r="H1075" s="38" t="str">
        <f aca="false">_xlfn.XLOOKUP($E1075,$A$5:$A$8,$E$5:$E$8,"")</f>
        <v>Flat</v>
      </c>
      <c r="I1075" s="44" t="str">
        <f aca="false">IF($H1075="Percent",_xlfn.XLOOKUP($E1075,$A$5:$A$8,$F$5:$F$8,""),"")</f>
        <v/>
      </c>
      <c r="J1075" s="42" t="n">
        <f aca="false">IF($H1075="Flat",_xlfn.XLOOKUP($E1075,$A$5:$A$8,$F$5:$F$8,""),"")</f>
        <v>30</v>
      </c>
      <c r="K1075" s="38" t="str">
        <f aca="false">_xlfn.XLOOKUP($E1075,$A$5:$A$8,$G$5:$G$8,"")</f>
        <v>Per pay period</v>
      </c>
      <c r="L1075" s="38" t="str">
        <f aca="false">_xlfn.XLOOKUP($E1075,$A$5:$A$8,$H$5:$H$8,"")</f>
        <v>Every pay period (ongoing)</v>
      </c>
      <c r="M1075" s="43" t="n">
        <f aca="false" t="array" ref="M1075:M1075">MAX(_xlfn.XLOOKUP($A1075,TRIM(SUBSTITUTE('worker file'!$A$2:$A$406,_xlfn.UNICHAR(160)," ")),'worker file'!$M$2:$M$406,0),_xlfn.XLOOKUP($B1075,TRIM('pay group &amp; schedule'!$A$2:$A$6),'pay group &amp; schedule'!$D$2:$D$6,0))</f>
        <v>46311</v>
      </c>
      <c r="N1075" s="43" t="str">
        <f aca="false" t="array" ref="N1075:N1075">_xlfn.LET(_xlpm.t,_xlfn.XLOOKUP($A1075,TRIM(SUBSTITUTE('worker file'!$A$2:$A$406,_xlfn.UNICHAR(160)," ")),'worker file'!$N$2:$N$406,""),IF(N(_xlpm.t)=0,"",_xlpm.t))</f>
        <v/>
      </c>
    </row>
    <row r="1076" customFormat="false" ht="15" hidden="false" customHeight="false" outlineLevel="0" collapsed="false">
      <c r="A1076" s="39" t="s">
        <v>463</v>
      </c>
      <c r="B1076" s="40" t="str">
        <f aca="false" t="array" ref="B1076:B1076">_xlfn.XLOOKUP($A1076,TRIM(SUBSTITUTE('worker file'!$A$2:$A$406,_xlfn.UNICHAR(160)," ")),'worker file'!$L$2:$L$406,"Not found")</f>
        <v>US Biweekly</v>
      </c>
      <c r="C1076" s="40" t="str">
        <f aca="false" t="array" ref="C1076:C1076">_xlfn.XLOOKUP($A1076,TRIM(SUBSTITUTE('worker file'!$A$2:$A$406,_xlfn.UNICHAR(160)," ")),'worker file'!$D$2:$D$406,"Not found")</f>
        <v>TX</v>
      </c>
      <c r="D1076" s="40" t="str">
        <f aca="false" t="array" ref="D1076:D1076">_xlfn.XLOOKUP($A1076,TRIM(SUBSTITUTE('worker file'!$A$2:$A$406,_xlfn.UNICHAR(160)," ")),'worker file'!$Q$2:$Q$406,"Not found")</f>
        <v>Active</v>
      </c>
      <c r="E1076" s="39" t="s">
        <v>618</v>
      </c>
      <c r="F1076" s="38" t="str">
        <f aca="false">_xlfn.XLOOKUP($E1076,$A$5:$A$8,$B$5:$B$8,"")</f>
        <v>401(k) Employee Deferral</v>
      </c>
      <c r="G1076" s="38" t="str">
        <f aca="false">_xlfn.XLOOKUP($E1076,$A$5:$A$8,$D$5:$D$8,"")</f>
        <v>Pre-tax (exempt from FIT/SIT; subject to FICA)</v>
      </c>
      <c r="H1076" s="38" t="str">
        <f aca="false">_xlfn.XLOOKUP($E1076,$A$5:$A$8,$E$5:$E$8,"")</f>
        <v>Percent</v>
      </c>
      <c r="I1076" s="41" t="n">
        <v>0</v>
      </c>
      <c r="J1076" s="42" t="str">
        <f aca="false">IF($H1076="Flat",_xlfn.XLOOKUP($E1076,$A$5:$A$8,$F$5:$F$8,""),"")</f>
        <v/>
      </c>
      <c r="K1076" s="38" t="str">
        <f aca="false">_xlfn.XLOOKUP($E1076,$A$5:$A$8,$G$5:$G$8,"")</f>
        <v>Gross pay</v>
      </c>
      <c r="L1076" s="38" t="str">
        <f aca="false">_xlfn.XLOOKUP($E1076,$A$5:$A$8,$H$5:$H$8,"")</f>
        <v>Every pay period (ongoing)</v>
      </c>
      <c r="M1076" s="43" t="n">
        <f aca="false" t="array" ref="M1076:M1076">MAX(_xlfn.XLOOKUP($A1076,TRIM(SUBSTITUTE('worker file'!$A$2:$A$406,_xlfn.UNICHAR(160)," ")),'worker file'!$M$2:$M$406,0),_xlfn.XLOOKUP($B1076,TRIM('pay group &amp; schedule'!$A$2:$A$6),'pay group &amp; schedule'!$D$2:$D$6,0))</f>
        <v>46299</v>
      </c>
      <c r="N1076" s="43" t="str">
        <f aca="false" t="array" ref="N1076:N1076">_xlfn.LET(_xlpm.t,_xlfn.XLOOKUP($A1076,TRIM(SUBSTITUTE('worker file'!$A$2:$A$406,_xlfn.UNICHAR(160)," ")),'worker file'!$N$2:$N$406,""),IF(N(_xlpm.t)=0,"",_xlpm.t))</f>
        <v/>
      </c>
    </row>
    <row r="1077" customFormat="false" ht="15" hidden="false" customHeight="false" outlineLevel="0" collapsed="false">
      <c r="A1077" s="39" t="s">
        <v>463</v>
      </c>
      <c r="B1077" s="40" t="str">
        <f aca="false" t="array" ref="B1077:B1077">_xlfn.XLOOKUP($A1077,TRIM(SUBSTITUTE('worker file'!$A$2:$A$406,_xlfn.UNICHAR(160)," ")),'worker file'!$L$2:$L$406,"Not found")</f>
        <v>US Biweekly</v>
      </c>
      <c r="C1077" s="40" t="str">
        <f aca="false" t="array" ref="C1077:C1077">_xlfn.XLOOKUP($A1077,TRIM(SUBSTITUTE('worker file'!$A$2:$A$406,_xlfn.UNICHAR(160)," ")),'worker file'!$D$2:$D$406,"Not found")</f>
        <v>TX</v>
      </c>
      <c r="D1077" s="40" t="str">
        <f aca="false" t="array" ref="D1077:D1077">_xlfn.XLOOKUP($A1077,TRIM(SUBSTITUTE('worker file'!$A$2:$A$406,_xlfn.UNICHAR(160)," ")),'worker file'!$Q$2:$Q$406,"Not found")</f>
        <v>Active</v>
      </c>
      <c r="E1077" s="39" t="s">
        <v>626</v>
      </c>
      <c r="F1077" s="38" t="str">
        <f aca="false">_xlfn.XLOOKUP($E1077,$A$5:$A$8,$B$5:$B$8,"")</f>
        <v>Medical (Health) – Employee</v>
      </c>
      <c r="G1077" s="38" t="str">
        <f aca="false">_xlfn.XLOOKUP($E1077,$A$5:$A$8,$D$5:$D$8,"")</f>
        <v>Pre-tax Section 125 (exempt from FIT/SIT/FICA)</v>
      </c>
      <c r="H1077" s="38" t="str">
        <f aca="false">_xlfn.XLOOKUP($E1077,$A$5:$A$8,$E$5:$E$8,"")</f>
        <v>Flat</v>
      </c>
      <c r="I1077" s="44" t="str">
        <f aca="false">IF($H1077="Percent",_xlfn.XLOOKUP($E1077,$A$5:$A$8,$F$5:$F$8,""),"")</f>
        <v/>
      </c>
      <c r="J1077" s="42" t="n">
        <f aca="false">IF($H1077="Flat",_xlfn.XLOOKUP($E1077,$A$5:$A$8,$F$5:$F$8,""),"")</f>
        <v>200</v>
      </c>
      <c r="K1077" s="38" t="str">
        <f aca="false">_xlfn.XLOOKUP($E1077,$A$5:$A$8,$G$5:$G$8,"")</f>
        <v>Per pay period</v>
      </c>
      <c r="L1077" s="38" t="str">
        <f aca="false">_xlfn.XLOOKUP($E1077,$A$5:$A$8,$H$5:$H$8,"")</f>
        <v>Every pay period (ongoing)</v>
      </c>
      <c r="M1077" s="43" t="n">
        <f aca="false" t="array" ref="M1077:M1077">MAX(_xlfn.XLOOKUP($A1077,TRIM(SUBSTITUTE('worker file'!$A$2:$A$406,_xlfn.UNICHAR(160)," ")),'worker file'!$M$2:$M$406,0),_xlfn.XLOOKUP($B1077,TRIM('pay group &amp; schedule'!$A$2:$A$6),'pay group &amp; schedule'!$D$2:$D$6,0))</f>
        <v>46299</v>
      </c>
      <c r="N1077" s="43" t="str">
        <f aca="false" t="array" ref="N1077:N1077">_xlfn.LET(_xlpm.t,_xlfn.XLOOKUP($A1077,TRIM(SUBSTITUTE('worker file'!$A$2:$A$406,_xlfn.UNICHAR(160)," ")),'worker file'!$N$2:$N$406,""),IF(N(_xlpm.t)=0,"",_xlpm.t))</f>
        <v/>
      </c>
    </row>
    <row r="1078" customFormat="false" ht="15" hidden="false" customHeight="false" outlineLevel="0" collapsed="false">
      <c r="A1078" s="39" t="s">
        <v>463</v>
      </c>
      <c r="B1078" s="40" t="str">
        <f aca="false" t="array" ref="B1078:B1078">_xlfn.XLOOKUP($A1078,TRIM(SUBSTITUTE('worker file'!$A$2:$A$406,_xlfn.UNICHAR(160)," ")),'worker file'!$L$2:$L$406,"Not found")</f>
        <v>US Biweekly</v>
      </c>
      <c r="C1078" s="40" t="str">
        <f aca="false" t="array" ref="C1078:C1078">_xlfn.XLOOKUP($A1078,TRIM(SUBSTITUTE('worker file'!$A$2:$A$406,_xlfn.UNICHAR(160)," ")),'worker file'!$D$2:$D$406,"Not found")</f>
        <v>TX</v>
      </c>
      <c r="D1078" s="40" t="str">
        <f aca="false" t="array" ref="D1078:D1078">_xlfn.XLOOKUP($A1078,TRIM(SUBSTITUTE('worker file'!$A$2:$A$406,_xlfn.UNICHAR(160)," ")),'worker file'!$Q$2:$Q$406,"Not found")</f>
        <v>Active</v>
      </c>
      <c r="E1078" s="39" t="s">
        <v>632</v>
      </c>
      <c r="F1078" s="38" t="str">
        <f aca="false">_xlfn.XLOOKUP($E1078,$A$5:$A$8,$B$5:$B$8,"")</f>
        <v>Dental – Employee</v>
      </c>
      <c r="G1078" s="38" t="str">
        <f aca="false">_xlfn.XLOOKUP($E1078,$A$5:$A$8,$D$5:$D$8,"")</f>
        <v>Pre-tax Section 125 (exempt from FIT/SIT/FICA)</v>
      </c>
      <c r="H1078" s="38" t="str">
        <f aca="false">_xlfn.XLOOKUP($E1078,$A$5:$A$8,$E$5:$E$8,"")</f>
        <v>Flat</v>
      </c>
      <c r="I1078" s="44" t="str">
        <f aca="false">IF($H1078="Percent",_xlfn.XLOOKUP($E1078,$A$5:$A$8,$F$5:$F$8,""),"")</f>
        <v/>
      </c>
      <c r="J1078" s="42" t="n">
        <f aca="false">IF($H1078="Flat",_xlfn.XLOOKUP($E1078,$A$5:$A$8,$F$5:$F$8,""),"")</f>
        <v>44</v>
      </c>
      <c r="K1078" s="38" t="str">
        <f aca="false">_xlfn.XLOOKUP($E1078,$A$5:$A$8,$G$5:$G$8,"")</f>
        <v>Per pay period</v>
      </c>
      <c r="L1078" s="38" t="str">
        <f aca="false">_xlfn.XLOOKUP($E1078,$A$5:$A$8,$H$5:$H$8,"")</f>
        <v>Every pay period (ongoing)</v>
      </c>
      <c r="M1078" s="43" t="n">
        <f aca="false" t="array" ref="M1078:M1078">MAX(_xlfn.XLOOKUP($A1078,TRIM(SUBSTITUTE('worker file'!$A$2:$A$406,_xlfn.UNICHAR(160)," ")),'worker file'!$M$2:$M$406,0),_xlfn.XLOOKUP($B1078,TRIM('pay group &amp; schedule'!$A$2:$A$6),'pay group &amp; schedule'!$D$2:$D$6,0))</f>
        <v>46299</v>
      </c>
      <c r="N1078" s="43" t="str">
        <f aca="false" t="array" ref="N1078:N1078">_xlfn.LET(_xlpm.t,_xlfn.XLOOKUP($A1078,TRIM(SUBSTITUTE('worker file'!$A$2:$A$406,_xlfn.UNICHAR(160)," ")),'worker file'!$N$2:$N$406,""),IF(N(_xlpm.t)=0,"",_xlpm.t))</f>
        <v/>
      </c>
    </row>
    <row r="1079" customFormat="false" ht="15" hidden="false" customHeight="false" outlineLevel="0" collapsed="false">
      <c r="A1079" s="39" t="s">
        <v>463</v>
      </c>
      <c r="B1079" s="40" t="str">
        <f aca="false" t="array" ref="B1079:B1079">_xlfn.XLOOKUP($A1079,TRIM(SUBSTITUTE('worker file'!$A$2:$A$406,_xlfn.UNICHAR(160)," ")),'worker file'!$L$2:$L$406,"Not found")</f>
        <v>US Biweekly</v>
      </c>
      <c r="C1079" s="40" t="str">
        <f aca="false" t="array" ref="C1079:C1079">_xlfn.XLOOKUP($A1079,TRIM(SUBSTITUTE('worker file'!$A$2:$A$406,_xlfn.UNICHAR(160)," ")),'worker file'!$D$2:$D$406,"Not found")</f>
        <v>TX</v>
      </c>
      <c r="D1079" s="40" t="str">
        <f aca="false" t="array" ref="D1079:D1079">_xlfn.XLOOKUP($A1079,TRIM(SUBSTITUTE('worker file'!$A$2:$A$406,_xlfn.UNICHAR(160)," ")),'worker file'!$Q$2:$Q$406,"Not found")</f>
        <v>Active</v>
      </c>
      <c r="E1079" s="39" t="s">
        <v>634</v>
      </c>
      <c r="F1079" s="38" t="str">
        <f aca="false">_xlfn.XLOOKUP($E1079,$A$5:$A$8,$B$5:$B$8,"")</f>
        <v>Vision – Employee</v>
      </c>
      <c r="G1079" s="38" t="str">
        <f aca="false">_xlfn.XLOOKUP($E1079,$A$5:$A$8,$D$5:$D$8,"")</f>
        <v>Pre-tax Section 125 (exempt from FIT/SIT/FICA)</v>
      </c>
      <c r="H1079" s="38" t="str">
        <f aca="false">_xlfn.XLOOKUP($E1079,$A$5:$A$8,$E$5:$E$8,"")</f>
        <v>Flat</v>
      </c>
      <c r="I1079" s="44" t="str">
        <f aca="false">IF($H1079="Percent",_xlfn.XLOOKUP($E1079,$A$5:$A$8,$F$5:$F$8,""),"")</f>
        <v/>
      </c>
      <c r="J1079" s="42" t="n">
        <f aca="false">IF($H1079="Flat",_xlfn.XLOOKUP($E1079,$A$5:$A$8,$F$5:$F$8,""),"")</f>
        <v>30</v>
      </c>
      <c r="K1079" s="38" t="str">
        <f aca="false">_xlfn.XLOOKUP($E1079,$A$5:$A$8,$G$5:$G$8,"")</f>
        <v>Per pay period</v>
      </c>
      <c r="L1079" s="38" t="str">
        <f aca="false">_xlfn.XLOOKUP($E1079,$A$5:$A$8,$H$5:$H$8,"")</f>
        <v>Every pay period (ongoing)</v>
      </c>
      <c r="M1079" s="43" t="n">
        <f aca="false" t="array" ref="M1079:M1079">MAX(_xlfn.XLOOKUP($A1079,TRIM(SUBSTITUTE('worker file'!$A$2:$A$406,_xlfn.UNICHAR(160)," ")),'worker file'!$M$2:$M$406,0),_xlfn.XLOOKUP($B1079,TRIM('pay group &amp; schedule'!$A$2:$A$6),'pay group &amp; schedule'!$D$2:$D$6,0))</f>
        <v>46299</v>
      </c>
      <c r="N1079" s="43" t="str">
        <f aca="false" t="array" ref="N1079:N1079">_xlfn.LET(_xlpm.t,_xlfn.XLOOKUP($A1079,TRIM(SUBSTITUTE('worker file'!$A$2:$A$406,_xlfn.UNICHAR(160)," ")),'worker file'!$N$2:$N$406,""),IF(N(_xlpm.t)=0,"",_xlpm.t))</f>
        <v/>
      </c>
    </row>
    <row r="1080" customFormat="false" ht="15" hidden="false" customHeight="false" outlineLevel="0" collapsed="false">
      <c r="A1080" s="39" t="s">
        <v>464</v>
      </c>
      <c r="B1080" s="40" t="str">
        <f aca="false" t="array" ref="B1080:B1080">_xlfn.XLOOKUP($A1080,TRIM(SUBSTITUTE('worker file'!$A$2:$A$406,_xlfn.UNICHAR(160)," ")),'worker file'!$L$2:$L$406,"Not found")</f>
        <v>US Semi-monthly</v>
      </c>
      <c r="C1080" s="40" t="str">
        <f aca="false" t="array" ref="C1080:C1080">_xlfn.XLOOKUP($A1080,TRIM(SUBSTITUTE('worker file'!$A$2:$A$406,_xlfn.UNICHAR(160)," ")),'worker file'!$D$2:$D$406,"Not found")</f>
        <v>CA</v>
      </c>
      <c r="D1080" s="40" t="str">
        <f aca="false" t="array" ref="D1080:D1080">_xlfn.XLOOKUP($A1080,TRIM(SUBSTITUTE('worker file'!$A$2:$A$406,_xlfn.UNICHAR(160)," ")),'worker file'!$Q$2:$Q$406,"Not found")</f>
        <v>Active</v>
      </c>
      <c r="E1080" s="39" t="s">
        <v>618</v>
      </c>
      <c r="F1080" s="38" t="str">
        <f aca="false">_xlfn.XLOOKUP($E1080,$A$5:$A$8,$B$5:$B$8,"")</f>
        <v>401(k) Employee Deferral</v>
      </c>
      <c r="G1080" s="38" t="str">
        <f aca="false">_xlfn.XLOOKUP($E1080,$A$5:$A$8,$D$5:$D$8,"")</f>
        <v>Pre-tax (exempt from FIT/SIT; subject to FICA)</v>
      </c>
      <c r="H1080" s="38" t="str">
        <f aca="false">_xlfn.XLOOKUP($E1080,$A$5:$A$8,$E$5:$E$8,"")</f>
        <v>Percent</v>
      </c>
      <c r="I1080" s="41" t="n">
        <v>0.05</v>
      </c>
      <c r="J1080" s="42" t="str">
        <f aca="false">IF($H1080="Flat",_xlfn.XLOOKUP($E1080,$A$5:$A$8,$F$5:$F$8,""),"")</f>
        <v/>
      </c>
      <c r="K1080" s="38" t="str">
        <f aca="false">_xlfn.XLOOKUP($E1080,$A$5:$A$8,$G$5:$G$8,"")</f>
        <v>Gross pay</v>
      </c>
      <c r="L1080" s="38" t="str">
        <f aca="false">_xlfn.XLOOKUP($E1080,$A$5:$A$8,$H$5:$H$8,"")</f>
        <v>Every pay period (ongoing)</v>
      </c>
      <c r="M1080" s="43" t="n">
        <f aca="false" t="array" ref="M1080:M1080">MAX(_xlfn.XLOOKUP($A1080,TRIM(SUBSTITUTE('worker file'!$A$2:$A$406,_xlfn.UNICHAR(160)," ")),'worker file'!$M$2:$M$406,0),_xlfn.XLOOKUP($B1080,TRIM('pay group &amp; schedule'!$A$2:$A$6),'pay group &amp; schedule'!$D$2:$D$6,0))</f>
        <v>46311</v>
      </c>
      <c r="N1080" s="43" t="str">
        <f aca="false" t="array" ref="N1080:N1080">_xlfn.LET(_xlpm.t,_xlfn.XLOOKUP($A1080,TRIM(SUBSTITUTE('worker file'!$A$2:$A$406,_xlfn.UNICHAR(160)," ")),'worker file'!$N$2:$N$406,""),IF(N(_xlpm.t)=0,"",_xlpm.t))</f>
        <v/>
      </c>
    </row>
    <row r="1081" customFormat="false" ht="15" hidden="false" customHeight="false" outlineLevel="0" collapsed="false">
      <c r="A1081" s="39" t="s">
        <v>464</v>
      </c>
      <c r="B1081" s="40" t="str">
        <f aca="false" t="array" ref="B1081:B1081">_xlfn.XLOOKUP($A1081,TRIM(SUBSTITUTE('worker file'!$A$2:$A$406,_xlfn.UNICHAR(160)," ")),'worker file'!$L$2:$L$406,"Not found")</f>
        <v>US Semi-monthly</v>
      </c>
      <c r="C1081" s="40" t="str">
        <f aca="false" t="array" ref="C1081:C1081">_xlfn.XLOOKUP($A1081,TRIM(SUBSTITUTE('worker file'!$A$2:$A$406,_xlfn.UNICHAR(160)," ")),'worker file'!$D$2:$D$406,"Not found")</f>
        <v>CA</v>
      </c>
      <c r="D1081" s="40" t="str">
        <f aca="false" t="array" ref="D1081:D1081">_xlfn.XLOOKUP($A1081,TRIM(SUBSTITUTE('worker file'!$A$2:$A$406,_xlfn.UNICHAR(160)," ")),'worker file'!$Q$2:$Q$406,"Not found")</f>
        <v>Active</v>
      </c>
      <c r="E1081" s="39" t="s">
        <v>626</v>
      </c>
      <c r="F1081" s="38" t="str">
        <f aca="false">_xlfn.XLOOKUP($E1081,$A$5:$A$8,$B$5:$B$8,"")</f>
        <v>Medical (Health) – Employee</v>
      </c>
      <c r="G1081" s="38" t="str">
        <f aca="false">_xlfn.XLOOKUP($E1081,$A$5:$A$8,$D$5:$D$8,"")</f>
        <v>Pre-tax Section 125 (exempt from FIT/SIT/FICA)</v>
      </c>
      <c r="H1081" s="38" t="str">
        <f aca="false">_xlfn.XLOOKUP($E1081,$A$5:$A$8,$E$5:$E$8,"")</f>
        <v>Flat</v>
      </c>
      <c r="I1081" s="44" t="str">
        <f aca="false">IF($H1081="Percent",_xlfn.XLOOKUP($E1081,$A$5:$A$8,$F$5:$F$8,""),"")</f>
        <v/>
      </c>
      <c r="J1081" s="42" t="n">
        <f aca="false">IF($H1081="Flat",_xlfn.XLOOKUP($E1081,$A$5:$A$8,$F$5:$F$8,""),"")</f>
        <v>200</v>
      </c>
      <c r="K1081" s="38" t="str">
        <f aca="false">_xlfn.XLOOKUP($E1081,$A$5:$A$8,$G$5:$G$8,"")</f>
        <v>Per pay period</v>
      </c>
      <c r="L1081" s="38" t="str">
        <f aca="false">_xlfn.XLOOKUP($E1081,$A$5:$A$8,$H$5:$H$8,"")</f>
        <v>Every pay period (ongoing)</v>
      </c>
      <c r="M1081" s="43" t="n">
        <f aca="false" t="array" ref="M1081:M1081">MAX(_xlfn.XLOOKUP($A1081,TRIM(SUBSTITUTE('worker file'!$A$2:$A$406,_xlfn.UNICHAR(160)," ")),'worker file'!$M$2:$M$406,0),_xlfn.XLOOKUP($B1081,TRIM('pay group &amp; schedule'!$A$2:$A$6),'pay group &amp; schedule'!$D$2:$D$6,0))</f>
        <v>46311</v>
      </c>
      <c r="N1081" s="43" t="str">
        <f aca="false" t="array" ref="N1081:N1081">_xlfn.LET(_xlpm.t,_xlfn.XLOOKUP($A1081,TRIM(SUBSTITUTE('worker file'!$A$2:$A$406,_xlfn.UNICHAR(160)," ")),'worker file'!$N$2:$N$406,""),IF(N(_xlpm.t)=0,"",_xlpm.t))</f>
        <v/>
      </c>
    </row>
    <row r="1082" customFormat="false" ht="15" hidden="false" customHeight="false" outlineLevel="0" collapsed="false">
      <c r="A1082" s="39" t="s">
        <v>464</v>
      </c>
      <c r="B1082" s="40" t="str">
        <f aca="false" t="array" ref="B1082:B1082">_xlfn.XLOOKUP($A1082,TRIM(SUBSTITUTE('worker file'!$A$2:$A$406,_xlfn.UNICHAR(160)," ")),'worker file'!$L$2:$L$406,"Not found")</f>
        <v>US Semi-monthly</v>
      </c>
      <c r="C1082" s="40" t="str">
        <f aca="false" t="array" ref="C1082:C1082">_xlfn.XLOOKUP($A1082,TRIM(SUBSTITUTE('worker file'!$A$2:$A$406,_xlfn.UNICHAR(160)," ")),'worker file'!$D$2:$D$406,"Not found")</f>
        <v>CA</v>
      </c>
      <c r="D1082" s="40" t="str">
        <f aca="false" t="array" ref="D1082:D1082">_xlfn.XLOOKUP($A1082,TRIM(SUBSTITUTE('worker file'!$A$2:$A$406,_xlfn.UNICHAR(160)," ")),'worker file'!$Q$2:$Q$406,"Not found")</f>
        <v>Active</v>
      </c>
      <c r="E1082" s="39" t="s">
        <v>632</v>
      </c>
      <c r="F1082" s="38" t="str">
        <f aca="false">_xlfn.XLOOKUP($E1082,$A$5:$A$8,$B$5:$B$8,"")</f>
        <v>Dental – Employee</v>
      </c>
      <c r="G1082" s="38" t="str">
        <f aca="false">_xlfn.XLOOKUP($E1082,$A$5:$A$8,$D$5:$D$8,"")</f>
        <v>Pre-tax Section 125 (exempt from FIT/SIT/FICA)</v>
      </c>
      <c r="H1082" s="38" t="str">
        <f aca="false">_xlfn.XLOOKUP($E1082,$A$5:$A$8,$E$5:$E$8,"")</f>
        <v>Flat</v>
      </c>
      <c r="I1082" s="44" t="str">
        <f aca="false">IF($H1082="Percent",_xlfn.XLOOKUP($E1082,$A$5:$A$8,$F$5:$F$8,""),"")</f>
        <v/>
      </c>
      <c r="J1082" s="42" t="n">
        <f aca="false">IF($H1082="Flat",_xlfn.XLOOKUP($E1082,$A$5:$A$8,$F$5:$F$8,""),"")</f>
        <v>44</v>
      </c>
      <c r="K1082" s="38" t="str">
        <f aca="false">_xlfn.XLOOKUP($E1082,$A$5:$A$8,$G$5:$G$8,"")</f>
        <v>Per pay period</v>
      </c>
      <c r="L1082" s="38" t="str">
        <f aca="false">_xlfn.XLOOKUP($E1082,$A$5:$A$8,$H$5:$H$8,"")</f>
        <v>Every pay period (ongoing)</v>
      </c>
      <c r="M1082" s="43" t="n">
        <f aca="false" t="array" ref="M1082:M1082">MAX(_xlfn.XLOOKUP($A1082,TRIM(SUBSTITUTE('worker file'!$A$2:$A$406,_xlfn.UNICHAR(160)," ")),'worker file'!$M$2:$M$406,0),_xlfn.XLOOKUP($B1082,TRIM('pay group &amp; schedule'!$A$2:$A$6),'pay group &amp; schedule'!$D$2:$D$6,0))</f>
        <v>46311</v>
      </c>
      <c r="N1082" s="43" t="str">
        <f aca="false" t="array" ref="N1082:N1082">_xlfn.LET(_xlpm.t,_xlfn.XLOOKUP($A1082,TRIM(SUBSTITUTE('worker file'!$A$2:$A$406,_xlfn.UNICHAR(160)," ")),'worker file'!$N$2:$N$406,""),IF(N(_xlpm.t)=0,"",_xlpm.t))</f>
        <v/>
      </c>
    </row>
    <row r="1083" customFormat="false" ht="15" hidden="false" customHeight="false" outlineLevel="0" collapsed="false">
      <c r="A1083" s="39" t="s">
        <v>464</v>
      </c>
      <c r="B1083" s="40" t="str">
        <f aca="false" t="array" ref="B1083:B1083">_xlfn.XLOOKUP($A1083,TRIM(SUBSTITUTE('worker file'!$A$2:$A$406,_xlfn.UNICHAR(160)," ")),'worker file'!$L$2:$L$406,"Not found")</f>
        <v>US Semi-monthly</v>
      </c>
      <c r="C1083" s="40" t="str">
        <f aca="false" t="array" ref="C1083:C1083">_xlfn.XLOOKUP($A1083,TRIM(SUBSTITUTE('worker file'!$A$2:$A$406,_xlfn.UNICHAR(160)," ")),'worker file'!$D$2:$D$406,"Not found")</f>
        <v>CA</v>
      </c>
      <c r="D1083" s="40" t="str">
        <f aca="false" t="array" ref="D1083:D1083">_xlfn.XLOOKUP($A1083,TRIM(SUBSTITUTE('worker file'!$A$2:$A$406,_xlfn.UNICHAR(160)," ")),'worker file'!$Q$2:$Q$406,"Not found")</f>
        <v>Active</v>
      </c>
      <c r="E1083" s="39" t="s">
        <v>634</v>
      </c>
      <c r="F1083" s="38" t="str">
        <f aca="false">_xlfn.XLOOKUP($E1083,$A$5:$A$8,$B$5:$B$8,"")</f>
        <v>Vision – Employee</v>
      </c>
      <c r="G1083" s="38" t="str">
        <f aca="false">_xlfn.XLOOKUP($E1083,$A$5:$A$8,$D$5:$D$8,"")</f>
        <v>Pre-tax Section 125 (exempt from FIT/SIT/FICA)</v>
      </c>
      <c r="H1083" s="38" t="str">
        <f aca="false">_xlfn.XLOOKUP($E1083,$A$5:$A$8,$E$5:$E$8,"")</f>
        <v>Flat</v>
      </c>
      <c r="I1083" s="44" t="str">
        <f aca="false">IF($H1083="Percent",_xlfn.XLOOKUP($E1083,$A$5:$A$8,$F$5:$F$8,""),"")</f>
        <v/>
      </c>
      <c r="J1083" s="42" t="n">
        <f aca="false">IF($H1083="Flat",_xlfn.XLOOKUP($E1083,$A$5:$A$8,$F$5:$F$8,""),"")</f>
        <v>30</v>
      </c>
      <c r="K1083" s="38" t="str">
        <f aca="false">_xlfn.XLOOKUP($E1083,$A$5:$A$8,$G$5:$G$8,"")</f>
        <v>Per pay period</v>
      </c>
      <c r="L1083" s="38" t="str">
        <f aca="false">_xlfn.XLOOKUP($E1083,$A$5:$A$8,$H$5:$H$8,"")</f>
        <v>Every pay period (ongoing)</v>
      </c>
      <c r="M1083" s="43" t="n">
        <f aca="false" t="array" ref="M1083:M1083">MAX(_xlfn.XLOOKUP($A1083,TRIM(SUBSTITUTE('worker file'!$A$2:$A$406,_xlfn.UNICHAR(160)," ")),'worker file'!$M$2:$M$406,0),_xlfn.XLOOKUP($B1083,TRIM('pay group &amp; schedule'!$A$2:$A$6),'pay group &amp; schedule'!$D$2:$D$6,0))</f>
        <v>46311</v>
      </c>
      <c r="N1083" s="43" t="str">
        <f aca="false" t="array" ref="N1083:N1083">_xlfn.LET(_xlpm.t,_xlfn.XLOOKUP($A1083,TRIM(SUBSTITUTE('worker file'!$A$2:$A$406,_xlfn.UNICHAR(160)," ")),'worker file'!$N$2:$N$406,""),IF(N(_xlpm.t)=0,"",_xlpm.t))</f>
        <v/>
      </c>
    </row>
    <row r="1084" customFormat="false" ht="15" hidden="false" customHeight="false" outlineLevel="0" collapsed="false">
      <c r="A1084" s="39" t="s">
        <v>465</v>
      </c>
      <c r="B1084" s="40" t="str">
        <f aca="false" t="array" ref="B1084:B1084">_xlfn.XLOOKUP($A1084,TRIM(SUBSTITUTE('worker file'!$A$2:$A$406,_xlfn.UNICHAR(160)," ")),'worker file'!$L$2:$L$406,"Not found")</f>
        <v>US Semi-monthly</v>
      </c>
      <c r="C1084" s="40" t="str">
        <f aca="false" t="array" ref="C1084:C1084">_xlfn.XLOOKUP($A1084,TRIM(SUBSTITUTE('worker file'!$A$2:$A$406,_xlfn.UNICHAR(160)," ")),'worker file'!$D$2:$D$406,"Not found")</f>
        <v>CA</v>
      </c>
      <c r="D1084" s="40" t="str">
        <f aca="false" t="array" ref="D1084:D1084">_xlfn.XLOOKUP($A1084,TRIM(SUBSTITUTE('worker file'!$A$2:$A$406,_xlfn.UNICHAR(160)," ")),'worker file'!$Q$2:$Q$406,"Not found")</f>
        <v>Active</v>
      </c>
      <c r="E1084" s="39" t="s">
        <v>618</v>
      </c>
      <c r="F1084" s="38" t="str">
        <f aca="false">_xlfn.XLOOKUP($E1084,$A$5:$A$8,$B$5:$B$8,"")</f>
        <v>401(k) Employee Deferral</v>
      </c>
      <c r="G1084" s="38" t="str">
        <f aca="false">_xlfn.XLOOKUP($E1084,$A$5:$A$8,$D$5:$D$8,"")</f>
        <v>Pre-tax (exempt from FIT/SIT; subject to FICA)</v>
      </c>
      <c r="H1084" s="38" t="str">
        <f aca="false">_xlfn.XLOOKUP($E1084,$A$5:$A$8,$E$5:$E$8,"")</f>
        <v>Percent</v>
      </c>
      <c r="I1084" s="41" t="n">
        <v>0.02</v>
      </c>
      <c r="J1084" s="42" t="str">
        <f aca="false">IF($H1084="Flat",_xlfn.XLOOKUP($E1084,$A$5:$A$8,$F$5:$F$8,""),"")</f>
        <v/>
      </c>
      <c r="K1084" s="38" t="str">
        <f aca="false">_xlfn.XLOOKUP($E1084,$A$5:$A$8,$G$5:$G$8,"")</f>
        <v>Gross pay</v>
      </c>
      <c r="L1084" s="38" t="str">
        <f aca="false">_xlfn.XLOOKUP($E1084,$A$5:$A$8,$H$5:$H$8,"")</f>
        <v>Every pay period (ongoing)</v>
      </c>
      <c r="M1084" s="43" t="n">
        <f aca="false" t="array" ref="M1084:M1084">MAX(_xlfn.XLOOKUP($A1084,TRIM(SUBSTITUTE('worker file'!$A$2:$A$406,_xlfn.UNICHAR(160)," ")),'worker file'!$M$2:$M$406,0),_xlfn.XLOOKUP($B1084,TRIM('pay group &amp; schedule'!$A$2:$A$6),'pay group &amp; schedule'!$D$2:$D$6,0))</f>
        <v>46311</v>
      </c>
      <c r="N1084" s="43" t="str">
        <f aca="false" t="array" ref="N1084:N1084">_xlfn.LET(_xlpm.t,_xlfn.XLOOKUP($A1084,TRIM(SUBSTITUTE('worker file'!$A$2:$A$406,_xlfn.UNICHAR(160)," ")),'worker file'!$N$2:$N$406,""),IF(N(_xlpm.t)=0,"",_xlpm.t))</f>
        <v/>
      </c>
    </row>
    <row r="1085" customFormat="false" ht="15" hidden="false" customHeight="false" outlineLevel="0" collapsed="false">
      <c r="A1085" s="39" t="s">
        <v>465</v>
      </c>
      <c r="B1085" s="40" t="str">
        <f aca="false" t="array" ref="B1085:B1085">_xlfn.XLOOKUP($A1085,TRIM(SUBSTITUTE('worker file'!$A$2:$A$406,_xlfn.UNICHAR(160)," ")),'worker file'!$L$2:$L$406,"Not found")</f>
        <v>US Semi-monthly</v>
      </c>
      <c r="C1085" s="40" t="str">
        <f aca="false" t="array" ref="C1085:C1085">_xlfn.XLOOKUP($A1085,TRIM(SUBSTITUTE('worker file'!$A$2:$A$406,_xlfn.UNICHAR(160)," ")),'worker file'!$D$2:$D$406,"Not found")</f>
        <v>CA</v>
      </c>
      <c r="D1085" s="40" t="str">
        <f aca="false" t="array" ref="D1085:D1085">_xlfn.XLOOKUP($A1085,TRIM(SUBSTITUTE('worker file'!$A$2:$A$406,_xlfn.UNICHAR(160)," ")),'worker file'!$Q$2:$Q$406,"Not found")</f>
        <v>Active</v>
      </c>
      <c r="E1085" s="39" t="s">
        <v>626</v>
      </c>
      <c r="F1085" s="38" t="str">
        <f aca="false">_xlfn.XLOOKUP($E1085,$A$5:$A$8,$B$5:$B$8,"")</f>
        <v>Medical (Health) – Employee</v>
      </c>
      <c r="G1085" s="38" t="str">
        <f aca="false">_xlfn.XLOOKUP($E1085,$A$5:$A$8,$D$5:$D$8,"")</f>
        <v>Pre-tax Section 125 (exempt from FIT/SIT/FICA)</v>
      </c>
      <c r="H1085" s="38" t="str">
        <f aca="false">_xlfn.XLOOKUP($E1085,$A$5:$A$8,$E$5:$E$8,"")</f>
        <v>Flat</v>
      </c>
      <c r="I1085" s="44" t="str">
        <f aca="false">IF($H1085="Percent",_xlfn.XLOOKUP($E1085,$A$5:$A$8,$F$5:$F$8,""),"")</f>
        <v/>
      </c>
      <c r="J1085" s="42" t="n">
        <f aca="false">IF($H1085="Flat",_xlfn.XLOOKUP($E1085,$A$5:$A$8,$F$5:$F$8,""),"")</f>
        <v>200</v>
      </c>
      <c r="K1085" s="38" t="str">
        <f aca="false">_xlfn.XLOOKUP($E1085,$A$5:$A$8,$G$5:$G$8,"")</f>
        <v>Per pay period</v>
      </c>
      <c r="L1085" s="38" t="str">
        <f aca="false">_xlfn.XLOOKUP($E1085,$A$5:$A$8,$H$5:$H$8,"")</f>
        <v>Every pay period (ongoing)</v>
      </c>
      <c r="M1085" s="43" t="n">
        <f aca="false" t="array" ref="M1085:M1085">MAX(_xlfn.XLOOKUP($A1085,TRIM(SUBSTITUTE('worker file'!$A$2:$A$406,_xlfn.UNICHAR(160)," ")),'worker file'!$M$2:$M$406,0),_xlfn.XLOOKUP($B1085,TRIM('pay group &amp; schedule'!$A$2:$A$6),'pay group &amp; schedule'!$D$2:$D$6,0))</f>
        <v>46311</v>
      </c>
      <c r="N1085" s="43" t="str">
        <f aca="false" t="array" ref="N1085:N1085">_xlfn.LET(_xlpm.t,_xlfn.XLOOKUP($A1085,TRIM(SUBSTITUTE('worker file'!$A$2:$A$406,_xlfn.UNICHAR(160)," ")),'worker file'!$N$2:$N$406,""),IF(N(_xlpm.t)=0,"",_xlpm.t))</f>
        <v/>
      </c>
    </row>
    <row r="1086" customFormat="false" ht="15" hidden="false" customHeight="false" outlineLevel="0" collapsed="false">
      <c r="A1086" s="39" t="s">
        <v>465</v>
      </c>
      <c r="B1086" s="40" t="str">
        <f aca="false" t="array" ref="B1086:B1086">_xlfn.XLOOKUP($A1086,TRIM(SUBSTITUTE('worker file'!$A$2:$A$406,_xlfn.UNICHAR(160)," ")),'worker file'!$L$2:$L$406,"Not found")</f>
        <v>US Semi-monthly</v>
      </c>
      <c r="C1086" s="40" t="str">
        <f aca="false" t="array" ref="C1086:C1086">_xlfn.XLOOKUP($A1086,TRIM(SUBSTITUTE('worker file'!$A$2:$A$406,_xlfn.UNICHAR(160)," ")),'worker file'!$D$2:$D$406,"Not found")</f>
        <v>CA</v>
      </c>
      <c r="D1086" s="40" t="str">
        <f aca="false" t="array" ref="D1086:D1086">_xlfn.XLOOKUP($A1086,TRIM(SUBSTITUTE('worker file'!$A$2:$A$406,_xlfn.UNICHAR(160)," ")),'worker file'!$Q$2:$Q$406,"Not found")</f>
        <v>Active</v>
      </c>
      <c r="E1086" s="39" t="s">
        <v>632</v>
      </c>
      <c r="F1086" s="38" t="str">
        <f aca="false">_xlfn.XLOOKUP($E1086,$A$5:$A$8,$B$5:$B$8,"")</f>
        <v>Dental – Employee</v>
      </c>
      <c r="G1086" s="38" t="str">
        <f aca="false">_xlfn.XLOOKUP($E1086,$A$5:$A$8,$D$5:$D$8,"")</f>
        <v>Pre-tax Section 125 (exempt from FIT/SIT/FICA)</v>
      </c>
      <c r="H1086" s="38" t="str">
        <f aca="false">_xlfn.XLOOKUP($E1086,$A$5:$A$8,$E$5:$E$8,"")</f>
        <v>Flat</v>
      </c>
      <c r="I1086" s="44" t="str">
        <f aca="false">IF($H1086="Percent",_xlfn.XLOOKUP($E1086,$A$5:$A$8,$F$5:$F$8,""),"")</f>
        <v/>
      </c>
      <c r="J1086" s="42" t="n">
        <f aca="false">IF($H1086="Flat",_xlfn.XLOOKUP($E1086,$A$5:$A$8,$F$5:$F$8,""),"")</f>
        <v>44</v>
      </c>
      <c r="K1086" s="38" t="str">
        <f aca="false">_xlfn.XLOOKUP($E1086,$A$5:$A$8,$G$5:$G$8,"")</f>
        <v>Per pay period</v>
      </c>
      <c r="L1086" s="38" t="str">
        <f aca="false">_xlfn.XLOOKUP($E1086,$A$5:$A$8,$H$5:$H$8,"")</f>
        <v>Every pay period (ongoing)</v>
      </c>
      <c r="M1086" s="43" t="n">
        <f aca="false" t="array" ref="M1086:M1086">MAX(_xlfn.XLOOKUP($A1086,TRIM(SUBSTITUTE('worker file'!$A$2:$A$406,_xlfn.UNICHAR(160)," ")),'worker file'!$M$2:$M$406,0),_xlfn.XLOOKUP($B1086,TRIM('pay group &amp; schedule'!$A$2:$A$6),'pay group &amp; schedule'!$D$2:$D$6,0))</f>
        <v>46311</v>
      </c>
      <c r="N1086" s="43" t="str">
        <f aca="false" t="array" ref="N1086:N1086">_xlfn.LET(_xlpm.t,_xlfn.XLOOKUP($A1086,TRIM(SUBSTITUTE('worker file'!$A$2:$A$406,_xlfn.UNICHAR(160)," ")),'worker file'!$N$2:$N$406,""),IF(N(_xlpm.t)=0,"",_xlpm.t))</f>
        <v/>
      </c>
    </row>
    <row r="1087" customFormat="false" ht="15" hidden="false" customHeight="false" outlineLevel="0" collapsed="false">
      <c r="A1087" s="39" t="s">
        <v>465</v>
      </c>
      <c r="B1087" s="40" t="str">
        <f aca="false" t="array" ref="B1087:B1087">_xlfn.XLOOKUP($A1087,TRIM(SUBSTITUTE('worker file'!$A$2:$A$406,_xlfn.UNICHAR(160)," ")),'worker file'!$L$2:$L$406,"Not found")</f>
        <v>US Semi-monthly</v>
      </c>
      <c r="C1087" s="40" t="str">
        <f aca="false" t="array" ref="C1087:C1087">_xlfn.XLOOKUP($A1087,TRIM(SUBSTITUTE('worker file'!$A$2:$A$406,_xlfn.UNICHAR(160)," ")),'worker file'!$D$2:$D$406,"Not found")</f>
        <v>CA</v>
      </c>
      <c r="D1087" s="40" t="str">
        <f aca="false" t="array" ref="D1087:D1087">_xlfn.XLOOKUP($A1087,TRIM(SUBSTITUTE('worker file'!$A$2:$A$406,_xlfn.UNICHAR(160)," ")),'worker file'!$Q$2:$Q$406,"Not found")</f>
        <v>Active</v>
      </c>
      <c r="E1087" s="39" t="s">
        <v>634</v>
      </c>
      <c r="F1087" s="38" t="str">
        <f aca="false">_xlfn.XLOOKUP($E1087,$A$5:$A$8,$B$5:$B$8,"")</f>
        <v>Vision – Employee</v>
      </c>
      <c r="G1087" s="38" t="str">
        <f aca="false">_xlfn.XLOOKUP($E1087,$A$5:$A$8,$D$5:$D$8,"")</f>
        <v>Pre-tax Section 125 (exempt from FIT/SIT/FICA)</v>
      </c>
      <c r="H1087" s="38" t="str">
        <f aca="false">_xlfn.XLOOKUP($E1087,$A$5:$A$8,$E$5:$E$8,"")</f>
        <v>Flat</v>
      </c>
      <c r="I1087" s="44" t="str">
        <f aca="false">IF($H1087="Percent",_xlfn.XLOOKUP($E1087,$A$5:$A$8,$F$5:$F$8,""),"")</f>
        <v/>
      </c>
      <c r="J1087" s="42" t="n">
        <f aca="false">IF($H1087="Flat",_xlfn.XLOOKUP($E1087,$A$5:$A$8,$F$5:$F$8,""),"")</f>
        <v>30</v>
      </c>
      <c r="K1087" s="38" t="str">
        <f aca="false">_xlfn.XLOOKUP($E1087,$A$5:$A$8,$G$5:$G$8,"")</f>
        <v>Per pay period</v>
      </c>
      <c r="L1087" s="38" t="str">
        <f aca="false">_xlfn.XLOOKUP($E1087,$A$5:$A$8,$H$5:$H$8,"")</f>
        <v>Every pay period (ongoing)</v>
      </c>
      <c r="M1087" s="43" t="n">
        <f aca="false" t="array" ref="M1087:M1087">MAX(_xlfn.XLOOKUP($A1087,TRIM(SUBSTITUTE('worker file'!$A$2:$A$406,_xlfn.UNICHAR(160)," ")),'worker file'!$M$2:$M$406,0),_xlfn.XLOOKUP($B1087,TRIM('pay group &amp; schedule'!$A$2:$A$6),'pay group &amp; schedule'!$D$2:$D$6,0))</f>
        <v>46311</v>
      </c>
      <c r="N1087" s="43" t="str">
        <f aca="false" t="array" ref="N1087:N1087">_xlfn.LET(_xlpm.t,_xlfn.XLOOKUP($A1087,TRIM(SUBSTITUTE('worker file'!$A$2:$A$406,_xlfn.UNICHAR(160)," ")),'worker file'!$N$2:$N$406,""),IF(N(_xlpm.t)=0,"",_xlpm.t))</f>
        <v/>
      </c>
    </row>
    <row r="1088" customFormat="false" ht="15" hidden="false" customHeight="false" outlineLevel="0" collapsed="false">
      <c r="A1088" s="39" t="s">
        <v>466</v>
      </c>
      <c r="B1088" s="40" t="str">
        <f aca="false" t="array" ref="B1088:B1088">_xlfn.XLOOKUP($A1088,TRIM(SUBSTITUTE('worker file'!$A$2:$A$406,_xlfn.UNICHAR(160)," ")),'worker file'!$L$2:$L$406,"Not found")</f>
        <v>US Semi-monthly</v>
      </c>
      <c r="C1088" s="40" t="str">
        <f aca="false" t="array" ref="C1088:C1088">_xlfn.XLOOKUP($A1088,TRIM(SUBSTITUTE('worker file'!$A$2:$A$406,_xlfn.UNICHAR(160)," ")),'worker file'!$D$2:$D$406,"Not found")</f>
        <v>WA</v>
      </c>
      <c r="D1088" s="40" t="str">
        <f aca="false" t="array" ref="D1088:D1088">_xlfn.XLOOKUP($A1088,TRIM(SUBSTITUTE('worker file'!$A$2:$A$406,_xlfn.UNICHAR(160)," ")),'worker file'!$Q$2:$Q$406,"Not found")</f>
        <v>Active</v>
      </c>
      <c r="E1088" s="39" t="s">
        <v>618</v>
      </c>
      <c r="F1088" s="38" t="str">
        <f aca="false">_xlfn.XLOOKUP($E1088,$A$5:$A$8,$B$5:$B$8,"")</f>
        <v>401(k) Employee Deferral</v>
      </c>
      <c r="G1088" s="38" t="str">
        <f aca="false">_xlfn.XLOOKUP($E1088,$A$5:$A$8,$D$5:$D$8,"")</f>
        <v>Pre-tax (exempt from FIT/SIT; subject to FICA)</v>
      </c>
      <c r="H1088" s="38" t="str">
        <f aca="false">_xlfn.XLOOKUP($E1088,$A$5:$A$8,$E$5:$E$8,"")</f>
        <v>Percent</v>
      </c>
      <c r="I1088" s="41" t="n">
        <v>0.07</v>
      </c>
      <c r="J1088" s="42" t="str">
        <f aca="false">IF($H1088="Flat",_xlfn.XLOOKUP($E1088,$A$5:$A$8,$F$5:$F$8,""),"")</f>
        <v/>
      </c>
      <c r="K1088" s="38" t="str">
        <f aca="false">_xlfn.XLOOKUP($E1088,$A$5:$A$8,$G$5:$G$8,"")</f>
        <v>Gross pay</v>
      </c>
      <c r="L1088" s="38" t="str">
        <f aca="false">_xlfn.XLOOKUP($E1088,$A$5:$A$8,$H$5:$H$8,"")</f>
        <v>Every pay period (ongoing)</v>
      </c>
      <c r="M1088" s="43" t="n">
        <f aca="false" t="array" ref="M1088:M1088">MAX(_xlfn.XLOOKUP($A1088,TRIM(SUBSTITUTE('worker file'!$A$2:$A$406,_xlfn.UNICHAR(160)," ")),'worker file'!$M$2:$M$406,0),_xlfn.XLOOKUP($B1088,TRIM('pay group &amp; schedule'!$A$2:$A$6),'pay group &amp; schedule'!$D$2:$D$6,0))</f>
        <v>46311</v>
      </c>
      <c r="N1088" s="43" t="str">
        <f aca="false" t="array" ref="N1088:N1088">_xlfn.LET(_xlpm.t,_xlfn.XLOOKUP($A1088,TRIM(SUBSTITUTE('worker file'!$A$2:$A$406,_xlfn.UNICHAR(160)," ")),'worker file'!$N$2:$N$406,""),IF(N(_xlpm.t)=0,"",_xlpm.t))</f>
        <v/>
      </c>
    </row>
    <row r="1089" customFormat="false" ht="15" hidden="false" customHeight="false" outlineLevel="0" collapsed="false">
      <c r="A1089" s="39" t="s">
        <v>466</v>
      </c>
      <c r="B1089" s="40" t="str">
        <f aca="false" t="array" ref="B1089:B1089">_xlfn.XLOOKUP($A1089,TRIM(SUBSTITUTE('worker file'!$A$2:$A$406,_xlfn.UNICHAR(160)," ")),'worker file'!$L$2:$L$406,"Not found")</f>
        <v>US Semi-monthly</v>
      </c>
      <c r="C1089" s="40" t="str">
        <f aca="false" t="array" ref="C1089:C1089">_xlfn.XLOOKUP($A1089,TRIM(SUBSTITUTE('worker file'!$A$2:$A$406,_xlfn.UNICHAR(160)," ")),'worker file'!$D$2:$D$406,"Not found")</f>
        <v>WA</v>
      </c>
      <c r="D1089" s="40" t="str">
        <f aca="false" t="array" ref="D1089:D1089">_xlfn.XLOOKUP($A1089,TRIM(SUBSTITUTE('worker file'!$A$2:$A$406,_xlfn.UNICHAR(160)," ")),'worker file'!$Q$2:$Q$406,"Not found")</f>
        <v>Active</v>
      </c>
      <c r="E1089" s="39" t="s">
        <v>626</v>
      </c>
      <c r="F1089" s="38" t="str">
        <f aca="false">_xlfn.XLOOKUP($E1089,$A$5:$A$8,$B$5:$B$8,"")</f>
        <v>Medical (Health) – Employee</v>
      </c>
      <c r="G1089" s="38" t="str">
        <f aca="false">_xlfn.XLOOKUP($E1089,$A$5:$A$8,$D$5:$D$8,"")</f>
        <v>Pre-tax Section 125 (exempt from FIT/SIT/FICA)</v>
      </c>
      <c r="H1089" s="38" t="str">
        <f aca="false">_xlfn.XLOOKUP($E1089,$A$5:$A$8,$E$5:$E$8,"")</f>
        <v>Flat</v>
      </c>
      <c r="I1089" s="44" t="str">
        <f aca="false">IF($H1089="Percent",_xlfn.XLOOKUP($E1089,$A$5:$A$8,$F$5:$F$8,""),"")</f>
        <v/>
      </c>
      <c r="J1089" s="42" t="n">
        <f aca="false">IF($H1089="Flat",_xlfn.XLOOKUP($E1089,$A$5:$A$8,$F$5:$F$8,""),"")</f>
        <v>200</v>
      </c>
      <c r="K1089" s="38" t="str">
        <f aca="false">_xlfn.XLOOKUP($E1089,$A$5:$A$8,$G$5:$G$8,"")</f>
        <v>Per pay period</v>
      </c>
      <c r="L1089" s="38" t="str">
        <f aca="false">_xlfn.XLOOKUP($E1089,$A$5:$A$8,$H$5:$H$8,"")</f>
        <v>Every pay period (ongoing)</v>
      </c>
      <c r="M1089" s="43" t="n">
        <f aca="false" t="array" ref="M1089:M1089">MAX(_xlfn.XLOOKUP($A1089,TRIM(SUBSTITUTE('worker file'!$A$2:$A$406,_xlfn.UNICHAR(160)," ")),'worker file'!$M$2:$M$406,0),_xlfn.XLOOKUP($B1089,TRIM('pay group &amp; schedule'!$A$2:$A$6),'pay group &amp; schedule'!$D$2:$D$6,0))</f>
        <v>46311</v>
      </c>
      <c r="N1089" s="43" t="str">
        <f aca="false" t="array" ref="N1089:N1089">_xlfn.LET(_xlpm.t,_xlfn.XLOOKUP($A1089,TRIM(SUBSTITUTE('worker file'!$A$2:$A$406,_xlfn.UNICHAR(160)," ")),'worker file'!$N$2:$N$406,""),IF(N(_xlpm.t)=0,"",_xlpm.t))</f>
        <v/>
      </c>
    </row>
    <row r="1090" customFormat="false" ht="15" hidden="false" customHeight="false" outlineLevel="0" collapsed="false">
      <c r="A1090" s="39" t="s">
        <v>466</v>
      </c>
      <c r="B1090" s="40" t="str">
        <f aca="false" t="array" ref="B1090:B1090">_xlfn.XLOOKUP($A1090,TRIM(SUBSTITUTE('worker file'!$A$2:$A$406,_xlfn.UNICHAR(160)," ")),'worker file'!$L$2:$L$406,"Not found")</f>
        <v>US Semi-monthly</v>
      </c>
      <c r="C1090" s="40" t="str">
        <f aca="false" t="array" ref="C1090:C1090">_xlfn.XLOOKUP($A1090,TRIM(SUBSTITUTE('worker file'!$A$2:$A$406,_xlfn.UNICHAR(160)," ")),'worker file'!$D$2:$D$406,"Not found")</f>
        <v>WA</v>
      </c>
      <c r="D1090" s="40" t="str">
        <f aca="false" t="array" ref="D1090:D1090">_xlfn.XLOOKUP($A1090,TRIM(SUBSTITUTE('worker file'!$A$2:$A$406,_xlfn.UNICHAR(160)," ")),'worker file'!$Q$2:$Q$406,"Not found")</f>
        <v>Active</v>
      </c>
      <c r="E1090" s="39" t="s">
        <v>632</v>
      </c>
      <c r="F1090" s="38" t="str">
        <f aca="false">_xlfn.XLOOKUP($E1090,$A$5:$A$8,$B$5:$B$8,"")</f>
        <v>Dental – Employee</v>
      </c>
      <c r="G1090" s="38" t="str">
        <f aca="false">_xlfn.XLOOKUP($E1090,$A$5:$A$8,$D$5:$D$8,"")</f>
        <v>Pre-tax Section 125 (exempt from FIT/SIT/FICA)</v>
      </c>
      <c r="H1090" s="38" t="str">
        <f aca="false">_xlfn.XLOOKUP($E1090,$A$5:$A$8,$E$5:$E$8,"")</f>
        <v>Flat</v>
      </c>
      <c r="I1090" s="44" t="str">
        <f aca="false">IF($H1090="Percent",_xlfn.XLOOKUP($E1090,$A$5:$A$8,$F$5:$F$8,""),"")</f>
        <v/>
      </c>
      <c r="J1090" s="42" t="n">
        <f aca="false">IF($H1090="Flat",_xlfn.XLOOKUP($E1090,$A$5:$A$8,$F$5:$F$8,""),"")</f>
        <v>44</v>
      </c>
      <c r="K1090" s="38" t="str">
        <f aca="false">_xlfn.XLOOKUP($E1090,$A$5:$A$8,$G$5:$G$8,"")</f>
        <v>Per pay period</v>
      </c>
      <c r="L1090" s="38" t="str">
        <f aca="false">_xlfn.XLOOKUP($E1090,$A$5:$A$8,$H$5:$H$8,"")</f>
        <v>Every pay period (ongoing)</v>
      </c>
      <c r="M1090" s="43" t="n">
        <f aca="false" t="array" ref="M1090:M1090">MAX(_xlfn.XLOOKUP($A1090,TRIM(SUBSTITUTE('worker file'!$A$2:$A$406,_xlfn.UNICHAR(160)," ")),'worker file'!$M$2:$M$406,0),_xlfn.XLOOKUP($B1090,TRIM('pay group &amp; schedule'!$A$2:$A$6),'pay group &amp; schedule'!$D$2:$D$6,0))</f>
        <v>46311</v>
      </c>
      <c r="N1090" s="43" t="str">
        <f aca="false" t="array" ref="N1090:N1090">_xlfn.LET(_xlpm.t,_xlfn.XLOOKUP($A1090,TRIM(SUBSTITUTE('worker file'!$A$2:$A$406,_xlfn.UNICHAR(160)," ")),'worker file'!$N$2:$N$406,""),IF(N(_xlpm.t)=0,"",_xlpm.t))</f>
        <v/>
      </c>
    </row>
    <row r="1091" customFormat="false" ht="15" hidden="false" customHeight="false" outlineLevel="0" collapsed="false">
      <c r="A1091" s="39" t="s">
        <v>466</v>
      </c>
      <c r="B1091" s="40" t="str">
        <f aca="false" t="array" ref="B1091:B1091">_xlfn.XLOOKUP($A1091,TRIM(SUBSTITUTE('worker file'!$A$2:$A$406,_xlfn.UNICHAR(160)," ")),'worker file'!$L$2:$L$406,"Not found")</f>
        <v>US Semi-monthly</v>
      </c>
      <c r="C1091" s="40" t="str">
        <f aca="false" t="array" ref="C1091:C1091">_xlfn.XLOOKUP($A1091,TRIM(SUBSTITUTE('worker file'!$A$2:$A$406,_xlfn.UNICHAR(160)," ")),'worker file'!$D$2:$D$406,"Not found")</f>
        <v>WA</v>
      </c>
      <c r="D1091" s="40" t="str">
        <f aca="false" t="array" ref="D1091:D1091">_xlfn.XLOOKUP($A1091,TRIM(SUBSTITUTE('worker file'!$A$2:$A$406,_xlfn.UNICHAR(160)," ")),'worker file'!$Q$2:$Q$406,"Not found")</f>
        <v>Active</v>
      </c>
      <c r="E1091" s="39" t="s">
        <v>634</v>
      </c>
      <c r="F1091" s="38" t="str">
        <f aca="false">_xlfn.XLOOKUP($E1091,$A$5:$A$8,$B$5:$B$8,"")</f>
        <v>Vision – Employee</v>
      </c>
      <c r="G1091" s="38" t="str">
        <f aca="false">_xlfn.XLOOKUP($E1091,$A$5:$A$8,$D$5:$D$8,"")</f>
        <v>Pre-tax Section 125 (exempt from FIT/SIT/FICA)</v>
      </c>
      <c r="H1091" s="38" t="str">
        <f aca="false">_xlfn.XLOOKUP($E1091,$A$5:$A$8,$E$5:$E$8,"")</f>
        <v>Flat</v>
      </c>
      <c r="I1091" s="44" t="str">
        <f aca="false">IF($H1091="Percent",_xlfn.XLOOKUP($E1091,$A$5:$A$8,$F$5:$F$8,""),"")</f>
        <v/>
      </c>
      <c r="J1091" s="42" t="n">
        <f aca="false">IF($H1091="Flat",_xlfn.XLOOKUP($E1091,$A$5:$A$8,$F$5:$F$8,""),"")</f>
        <v>30</v>
      </c>
      <c r="K1091" s="38" t="str">
        <f aca="false">_xlfn.XLOOKUP($E1091,$A$5:$A$8,$G$5:$G$8,"")</f>
        <v>Per pay period</v>
      </c>
      <c r="L1091" s="38" t="str">
        <f aca="false">_xlfn.XLOOKUP($E1091,$A$5:$A$8,$H$5:$H$8,"")</f>
        <v>Every pay period (ongoing)</v>
      </c>
      <c r="M1091" s="43" t="n">
        <f aca="false" t="array" ref="M1091:M1091">MAX(_xlfn.XLOOKUP($A1091,TRIM(SUBSTITUTE('worker file'!$A$2:$A$406,_xlfn.UNICHAR(160)," ")),'worker file'!$M$2:$M$406,0),_xlfn.XLOOKUP($B1091,TRIM('pay group &amp; schedule'!$A$2:$A$6),'pay group &amp; schedule'!$D$2:$D$6,0))</f>
        <v>46311</v>
      </c>
      <c r="N1091" s="43" t="str">
        <f aca="false" t="array" ref="N1091:N1091">_xlfn.LET(_xlpm.t,_xlfn.XLOOKUP($A1091,TRIM(SUBSTITUTE('worker file'!$A$2:$A$406,_xlfn.UNICHAR(160)," ")),'worker file'!$N$2:$N$406,""),IF(N(_xlpm.t)=0,"",_xlpm.t))</f>
        <v/>
      </c>
    </row>
    <row r="1092" customFormat="false" ht="15" hidden="false" customHeight="false" outlineLevel="0" collapsed="false">
      <c r="A1092" s="39" t="s">
        <v>472</v>
      </c>
      <c r="B1092" s="40" t="str">
        <f aca="false" t="array" ref="B1092:B1092">_xlfn.XLOOKUP($A1092,TRIM(SUBSTITUTE('worker file'!$A$2:$A$406,_xlfn.UNICHAR(160)," ")),'worker file'!$L$2:$L$406,"Not found")</f>
        <v>US Semi-monthly</v>
      </c>
      <c r="C1092" s="40" t="str">
        <f aca="false" t="array" ref="C1092:C1092">_xlfn.XLOOKUP($A1092,TRIM(SUBSTITUTE('worker file'!$A$2:$A$406,_xlfn.UNICHAR(160)," ")),'worker file'!$D$2:$D$406,"Not found")</f>
        <v>WA</v>
      </c>
      <c r="D1092" s="40" t="str">
        <f aca="false" t="array" ref="D1092:D1092">_xlfn.XLOOKUP($A1092,TRIM(SUBSTITUTE('worker file'!$A$2:$A$406,_xlfn.UNICHAR(160)," ")),'worker file'!$Q$2:$Q$406,"Not found")</f>
        <v>New Hire</v>
      </c>
      <c r="E1092" s="39" t="s">
        <v>618</v>
      </c>
      <c r="F1092" s="38" t="str">
        <f aca="false">_xlfn.XLOOKUP($E1092,$A$5:$A$8,$B$5:$B$8,"")</f>
        <v>401(k) Employee Deferral</v>
      </c>
      <c r="G1092" s="38" t="str">
        <f aca="false">_xlfn.XLOOKUP($E1092,$A$5:$A$8,$D$5:$D$8,"")</f>
        <v>Pre-tax (exempt from FIT/SIT; subject to FICA)</v>
      </c>
      <c r="H1092" s="38" t="str">
        <f aca="false">_xlfn.XLOOKUP($E1092,$A$5:$A$8,$E$5:$E$8,"")</f>
        <v>Percent</v>
      </c>
      <c r="I1092" s="41" t="n">
        <v>0.04</v>
      </c>
      <c r="J1092" s="42" t="str">
        <f aca="false">IF($H1092="Flat",_xlfn.XLOOKUP($E1092,$A$5:$A$8,$F$5:$F$8,""),"")</f>
        <v/>
      </c>
      <c r="K1092" s="38" t="str">
        <f aca="false">_xlfn.XLOOKUP($E1092,$A$5:$A$8,$G$5:$G$8,"")</f>
        <v>Gross pay</v>
      </c>
      <c r="L1092" s="38" t="str">
        <f aca="false">_xlfn.XLOOKUP($E1092,$A$5:$A$8,$H$5:$H$8,"")</f>
        <v>Every pay period (ongoing)</v>
      </c>
      <c r="M1092" s="43" t="n">
        <f aca="false" t="array" ref="M1092:M1092">MAX(_xlfn.XLOOKUP($A1092,TRIM(SUBSTITUTE('worker file'!$A$2:$A$406,_xlfn.UNICHAR(160)," ")),'worker file'!$M$2:$M$406,0),_xlfn.XLOOKUP($B1092,TRIM('pay group &amp; schedule'!$A$2:$A$6),'pay group &amp; schedule'!$D$2:$D$6,0))</f>
        <v>46314</v>
      </c>
      <c r="N1092" s="43" t="str">
        <f aca="false" t="array" ref="N1092:N1092">_xlfn.LET(_xlpm.t,_xlfn.XLOOKUP($A1092,TRIM(SUBSTITUTE('worker file'!$A$2:$A$406,_xlfn.UNICHAR(160)," ")),'worker file'!$N$2:$N$406,""),IF(N(_xlpm.t)=0,"",_xlpm.t))</f>
        <v/>
      </c>
      <c r="O1092" s="0" t="s">
        <v>647</v>
      </c>
    </row>
    <row r="1093" customFormat="false" ht="15" hidden="false" customHeight="false" outlineLevel="0" collapsed="false">
      <c r="A1093" s="39" t="s">
        <v>472</v>
      </c>
      <c r="B1093" s="40" t="str">
        <f aca="false" t="array" ref="B1093:B1093">_xlfn.XLOOKUP($A1093,TRIM(SUBSTITUTE('worker file'!$A$2:$A$406,_xlfn.UNICHAR(160)," ")),'worker file'!$L$2:$L$406,"Not found")</f>
        <v>US Semi-monthly</v>
      </c>
      <c r="C1093" s="40" t="str">
        <f aca="false" t="array" ref="C1093:C1093">_xlfn.XLOOKUP($A1093,TRIM(SUBSTITUTE('worker file'!$A$2:$A$406,_xlfn.UNICHAR(160)," ")),'worker file'!$D$2:$D$406,"Not found")</f>
        <v>WA</v>
      </c>
      <c r="D1093" s="40" t="str">
        <f aca="false" t="array" ref="D1093:D1093">_xlfn.XLOOKUP($A1093,TRIM(SUBSTITUTE('worker file'!$A$2:$A$406,_xlfn.UNICHAR(160)," ")),'worker file'!$Q$2:$Q$406,"Not found")</f>
        <v>New Hire</v>
      </c>
      <c r="E1093" s="39" t="s">
        <v>626</v>
      </c>
      <c r="F1093" s="38" t="str">
        <f aca="false">_xlfn.XLOOKUP($E1093,$A$5:$A$8,$B$5:$B$8,"")</f>
        <v>Medical (Health) – Employee</v>
      </c>
      <c r="G1093" s="38" t="str">
        <f aca="false">_xlfn.XLOOKUP($E1093,$A$5:$A$8,$D$5:$D$8,"")</f>
        <v>Pre-tax Section 125 (exempt from FIT/SIT/FICA)</v>
      </c>
      <c r="H1093" s="38" t="str">
        <f aca="false">_xlfn.XLOOKUP($E1093,$A$5:$A$8,$E$5:$E$8,"")</f>
        <v>Flat</v>
      </c>
      <c r="I1093" s="44" t="str">
        <f aca="false">IF($H1093="Percent",_xlfn.XLOOKUP($E1093,$A$5:$A$8,$F$5:$F$8,""),"")</f>
        <v/>
      </c>
      <c r="J1093" s="42" t="n">
        <f aca="false">IF($H1093="Flat",_xlfn.XLOOKUP($E1093,$A$5:$A$8,$F$5:$F$8,""),"")</f>
        <v>200</v>
      </c>
      <c r="K1093" s="38" t="str">
        <f aca="false">_xlfn.XLOOKUP($E1093,$A$5:$A$8,$G$5:$G$8,"")</f>
        <v>Per pay period</v>
      </c>
      <c r="L1093" s="38" t="str">
        <f aca="false">_xlfn.XLOOKUP($E1093,$A$5:$A$8,$H$5:$H$8,"")</f>
        <v>Every pay period (ongoing)</v>
      </c>
      <c r="M1093" s="43" t="n">
        <f aca="false" t="array" ref="M1093:M1093">MAX(_xlfn.XLOOKUP($A1093,TRIM(SUBSTITUTE('worker file'!$A$2:$A$406,_xlfn.UNICHAR(160)," ")),'worker file'!$M$2:$M$406,0),_xlfn.XLOOKUP($B1093,TRIM('pay group &amp; schedule'!$A$2:$A$6),'pay group &amp; schedule'!$D$2:$D$6,0))</f>
        <v>46314</v>
      </c>
      <c r="N1093" s="43" t="str">
        <f aca="false" t="array" ref="N1093:N1093">_xlfn.LET(_xlpm.t,_xlfn.XLOOKUP($A1093,TRIM(SUBSTITUTE('worker file'!$A$2:$A$406,_xlfn.UNICHAR(160)," ")),'worker file'!$N$2:$N$406,""),IF(N(_xlpm.t)=0,"",_xlpm.t))</f>
        <v/>
      </c>
      <c r="O1093" s="0" t="s">
        <v>647</v>
      </c>
    </row>
    <row r="1094" customFormat="false" ht="15" hidden="false" customHeight="false" outlineLevel="0" collapsed="false">
      <c r="A1094" s="39" t="s">
        <v>472</v>
      </c>
      <c r="B1094" s="40" t="str">
        <f aca="false" t="array" ref="B1094:B1094">_xlfn.XLOOKUP($A1094,TRIM(SUBSTITUTE('worker file'!$A$2:$A$406,_xlfn.UNICHAR(160)," ")),'worker file'!$L$2:$L$406,"Not found")</f>
        <v>US Semi-monthly</v>
      </c>
      <c r="C1094" s="40" t="str">
        <f aca="false" t="array" ref="C1094:C1094">_xlfn.XLOOKUP($A1094,TRIM(SUBSTITUTE('worker file'!$A$2:$A$406,_xlfn.UNICHAR(160)," ")),'worker file'!$D$2:$D$406,"Not found")</f>
        <v>WA</v>
      </c>
      <c r="D1094" s="40" t="str">
        <f aca="false" t="array" ref="D1094:D1094">_xlfn.XLOOKUP($A1094,TRIM(SUBSTITUTE('worker file'!$A$2:$A$406,_xlfn.UNICHAR(160)," ")),'worker file'!$Q$2:$Q$406,"Not found")</f>
        <v>New Hire</v>
      </c>
      <c r="E1094" s="39" t="s">
        <v>632</v>
      </c>
      <c r="F1094" s="38" t="str">
        <f aca="false">_xlfn.XLOOKUP($E1094,$A$5:$A$8,$B$5:$B$8,"")</f>
        <v>Dental – Employee</v>
      </c>
      <c r="G1094" s="38" t="str">
        <f aca="false">_xlfn.XLOOKUP($E1094,$A$5:$A$8,$D$5:$D$8,"")</f>
        <v>Pre-tax Section 125 (exempt from FIT/SIT/FICA)</v>
      </c>
      <c r="H1094" s="38" t="str">
        <f aca="false">_xlfn.XLOOKUP($E1094,$A$5:$A$8,$E$5:$E$8,"")</f>
        <v>Flat</v>
      </c>
      <c r="I1094" s="44" t="str">
        <f aca="false">IF($H1094="Percent",_xlfn.XLOOKUP($E1094,$A$5:$A$8,$F$5:$F$8,""),"")</f>
        <v/>
      </c>
      <c r="J1094" s="42" t="n">
        <f aca="false">IF($H1094="Flat",_xlfn.XLOOKUP($E1094,$A$5:$A$8,$F$5:$F$8,""),"")</f>
        <v>44</v>
      </c>
      <c r="K1094" s="38" t="str">
        <f aca="false">_xlfn.XLOOKUP($E1094,$A$5:$A$8,$G$5:$G$8,"")</f>
        <v>Per pay period</v>
      </c>
      <c r="L1094" s="38" t="str">
        <f aca="false">_xlfn.XLOOKUP($E1094,$A$5:$A$8,$H$5:$H$8,"")</f>
        <v>Every pay period (ongoing)</v>
      </c>
      <c r="M1094" s="43" t="n">
        <f aca="false" t="array" ref="M1094:M1094">MAX(_xlfn.XLOOKUP($A1094,TRIM(SUBSTITUTE('worker file'!$A$2:$A$406,_xlfn.UNICHAR(160)," ")),'worker file'!$M$2:$M$406,0),_xlfn.XLOOKUP($B1094,TRIM('pay group &amp; schedule'!$A$2:$A$6),'pay group &amp; schedule'!$D$2:$D$6,0))</f>
        <v>46314</v>
      </c>
      <c r="N1094" s="43" t="str">
        <f aca="false" t="array" ref="N1094:N1094">_xlfn.LET(_xlpm.t,_xlfn.XLOOKUP($A1094,TRIM(SUBSTITUTE('worker file'!$A$2:$A$406,_xlfn.UNICHAR(160)," ")),'worker file'!$N$2:$N$406,""),IF(N(_xlpm.t)=0,"",_xlpm.t))</f>
        <v/>
      </c>
      <c r="O1094" s="0" t="s">
        <v>647</v>
      </c>
    </row>
    <row r="1095" customFormat="false" ht="15" hidden="false" customHeight="false" outlineLevel="0" collapsed="false">
      <c r="A1095" s="39" t="s">
        <v>472</v>
      </c>
      <c r="B1095" s="40" t="str">
        <f aca="false" t="array" ref="B1095:B1095">_xlfn.XLOOKUP($A1095,TRIM(SUBSTITUTE('worker file'!$A$2:$A$406,_xlfn.UNICHAR(160)," ")),'worker file'!$L$2:$L$406,"Not found")</f>
        <v>US Semi-monthly</v>
      </c>
      <c r="C1095" s="40" t="str">
        <f aca="false" t="array" ref="C1095:C1095">_xlfn.XLOOKUP($A1095,TRIM(SUBSTITUTE('worker file'!$A$2:$A$406,_xlfn.UNICHAR(160)," ")),'worker file'!$D$2:$D$406,"Not found")</f>
        <v>WA</v>
      </c>
      <c r="D1095" s="40" t="str">
        <f aca="false" t="array" ref="D1095:D1095">_xlfn.XLOOKUP($A1095,TRIM(SUBSTITUTE('worker file'!$A$2:$A$406,_xlfn.UNICHAR(160)," ")),'worker file'!$Q$2:$Q$406,"Not found")</f>
        <v>New Hire</v>
      </c>
      <c r="E1095" s="39" t="s">
        <v>634</v>
      </c>
      <c r="F1095" s="38" t="str">
        <f aca="false">_xlfn.XLOOKUP($E1095,$A$5:$A$8,$B$5:$B$8,"")</f>
        <v>Vision – Employee</v>
      </c>
      <c r="G1095" s="38" t="str">
        <f aca="false">_xlfn.XLOOKUP($E1095,$A$5:$A$8,$D$5:$D$8,"")</f>
        <v>Pre-tax Section 125 (exempt from FIT/SIT/FICA)</v>
      </c>
      <c r="H1095" s="38" t="str">
        <f aca="false">_xlfn.XLOOKUP($E1095,$A$5:$A$8,$E$5:$E$8,"")</f>
        <v>Flat</v>
      </c>
      <c r="I1095" s="44" t="str">
        <f aca="false">IF($H1095="Percent",_xlfn.XLOOKUP($E1095,$A$5:$A$8,$F$5:$F$8,""),"")</f>
        <v/>
      </c>
      <c r="J1095" s="42" t="n">
        <f aca="false">IF($H1095="Flat",_xlfn.XLOOKUP($E1095,$A$5:$A$8,$F$5:$F$8,""),"")</f>
        <v>30</v>
      </c>
      <c r="K1095" s="38" t="str">
        <f aca="false">_xlfn.XLOOKUP($E1095,$A$5:$A$8,$G$5:$G$8,"")</f>
        <v>Per pay period</v>
      </c>
      <c r="L1095" s="38" t="str">
        <f aca="false">_xlfn.XLOOKUP($E1095,$A$5:$A$8,$H$5:$H$8,"")</f>
        <v>Every pay period (ongoing)</v>
      </c>
      <c r="M1095" s="43" t="n">
        <f aca="false" t="array" ref="M1095:M1095">MAX(_xlfn.XLOOKUP($A1095,TRIM(SUBSTITUTE('worker file'!$A$2:$A$406,_xlfn.UNICHAR(160)," ")),'worker file'!$M$2:$M$406,0),_xlfn.XLOOKUP($B1095,TRIM('pay group &amp; schedule'!$A$2:$A$6),'pay group &amp; schedule'!$D$2:$D$6,0))</f>
        <v>46314</v>
      </c>
      <c r="N1095" s="43" t="str">
        <f aca="false" t="array" ref="N1095:N1095">_xlfn.LET(_xlpm.t,_xlfn.XLOOKUP($A1095,TRIM(SUBSTITUTE('worker file'!$A$2:$A$406,_xlfn.UNICHAR(160)," ")),'worker file'!$N$2:$N$406,""),IF(N(_xlpm.t)=0,"",_xlpm.t))</f>
        <v/>
      </c>
      <c r="O1095" s="0" t="s">
        <v>647</v>
      </c>
    </row>
    <row r="1096" customFormat="false" ht="15" hidden="false" customHeight="false" outlineLevel="0" collapsed="false">
      <c r="A1096" s="39" t="s">
        <v>473</v>
      </c>
      <c r="B1096" s="40" t="str">
        <f aca="false" t="array" ref="B1096:B1096">_xlfn.XLOOKUP($A1096,TRIM(SUBSTITUTE('worker file'!$A$2:$A$406,_xlfn.UNICHAR(160)," ")),'worker file'!$L$2:$L$406,"Not found")</f>
        <v>US Semi-monthly</v>
      </c>
      <c r="C1096" s="40" t="str">
        <f aca="false" t="array" ref="C1096:C1096">_xlfn.XLOOKUP($A1096,TRIM(SUBSTITUTE('worker file'!$A$2:$A$406,_xlfn.UNICHAR(160)," ")),'worker file'!$D$2:$D$406,"Not found")</f>
        <v>TX</v>
      </c>
      <c r="D1096" s="40" t="str">
        <f aca="false" t="array" ref="D1096:D1096">_xlfn.XLOOKUP($A1096,TRIM(SUBSTITUTE('worker file'!$A$2:$A$406,_xlfn.UNICHAR(160)," ")),'worker file'!$Q$2:$Q$406,"Not found")</f>
        <v>New Hire</v>
      </c>
      <c r="E1096" s="39" t="s">
        <v>618</v>
      </c>
      <c r="F1096" s="38" t="str">
        <f aca="false">_xlfn.XLOOKUP($E1096,$A$5:$A$8,$B$5:$B$8,"")</f>
        <v>401(k) Employee Deferral</v>
      </c>
      <c r="G1096" s="38" t="str">
        <f aca="false">_xlfn.XLOOKUP($E1096,$A$5:$A$8,$D$5:$D$8,"")</f>
        <v>Pre-tax (exempt from FIT/SIT; subject to FICA)</v>
      </c>
      <c r="H1096" s="38" t="str">
        <f aca="false">_xlfn.XLOOKUP($E1096,$A$5:$A$8,$E$5:$E$8,"")</f>
        <v>Percent</v>
      </c>
      <c r="I1096" s="41" t="n">
        <v>0.01</v>
      </c>
      <c r="J1096" s="42" t="str">
        <f aca="false">IF($H1096="Flat",_xlfn.XLOOKUP($E1096,$A$5:$A$8,$F$5:$F$8,""),"")</f>
        <v/>
      </c>
      <c r="K1096" s="38" t="str">
        <f aca="false">_xlfn.XLOOKUP($E1096,$A$5:$A$8,$G$5:$G$8,"")</f>
        <v>Gross pay</v>
      </c>
      <c r="L1096" s="38" t="str">
        <f aca="false">_xlfn.XLOOKUP($E1096,$A$5:$A$8,$H$5:$H$8,"")</f>
        <v>Every pay period (ongoing)</v>
      </c>
      <c r="M1096" s="43" t="n">
        <f aca="false" t="array" ref="M1096:M1096">MAX(_xlfn.XLOOKUP($A1096,TRIM(SUBSTITUTE('worker file'!$A$2:$A$406,_xlfn.UNICHAR(160)," ")),'worker file'!$M$2:$M$406,0),_xlfn.XLOOKUP($B1096,TRIM('pay group &amp; schedule'!$A$2:$A$6),'pay group &amp; schedule'!$D$2:$D$6,0))</f>
        <v>46313</v>
      </c>
      <c r="N1096" s="43" t="str">
        <f aca="false" t="array" ref="N1096:N1096">_xlfn.LET(_xlpm.t,_xlfn.XLOOKUP($A1096,TRIM(SUBSTITUTE('worker file'!$A$2:$A$406,_xlfn.UNICHAR(160)," ")),'worker file'!$N$2:$N$406,""),IF(N(_xlpm.t)=0,"",_xlpm.t))</f>
        <v/>
      </c>
      <c r="O1096" s="0" t="s">
        <v>647</v>
      </c>
    </row>
    <row r="1097" customFormat="false" ht="15" hidden="false" customHeight="false" outlineLevel="0" collapsed="false">
      <c r="A1097" s="39" t="s">
        <v>473</v>
      </c>
      <c r="B1097" s="40" t="str">
        <f aca="false" t="array" ref="B1097:B1097">_xlfn.XLOOKUP($A1097,TRIM(SUBSTITUTE('worker file'!$A$2:$A$406,_xlfn.UNICHAR(160)," ")),'worker file'!$L$2:$L$406,"Not found")</f>
        <v>US Semi-monthly</v>
      </c>
      <c r="C1097" s="40" t="str">
        <f aca="false" t="array" ref="C1097:C1097">_xlfn.XLOOKUP($A1097,TRIM(SUBSTITUTE('worker file'!$A$2:$A$406,_xlfn.UNICHAR(160)," ")),'worker file'!$D$2:$D$406,"Not found")</f>
        <v>TX</v>
      </c>
      <c r="D1097" s="40" t="str">
        <f aca="false" t="array" ref="D1097:D1097">_xlfn.XLOOKUP($A1097,TRIM(SUBSTITUTE('worker file'!$A$2:$A$406,_xlfn.UNICHAR(160)," ")),'worker file'!$Q$2:$Q$406,"Not found")</f>
        <v>New Hire</v>
      </c>
      <c r="E1097" s="39" t="s">
        <v>626</v>
      </c>
      <c r="F1097" s="38" t="str">
        <f aca="false">_xlfn.XLOOKUP($E1097,$A$5:$A$8,$B$5:$B$8,"")</f>
        <v>Medical (Health) – Employee</v>
      </c>
      <c r="G1097" s="38" t="str">
        <f aca="false">_xlfn.XLOOKUP($E1097,$A$5:$A$8,$D$5:$D$8,"")</f>
        <v>Pre-tax Section 125 (exempt from FIT/SIT/FICA)</v>
      </c>
      <c r="H1097" s="38" t="str">
        <f aca="false">_xlfn.XLOOKUP($E1097,$A$5:$A$8,$E$5:$E$8,"")</f>
        <v>Flat</v>
      </c>
      <c r="I1097" s="44" t="str">
        <f aca="false">IF($H1097="Percent",_xlfn.XLOOKUP($E1097,$A$5:$A$8,$F$5:$F$8,""),"")</f>
        <v/>
      </c>
      <c r="J1097" s="42" t="n">
        <f aca="false">IF($H1097="Flat",_xlfn.XLOOKUP($E1097,$A$5:$A$8,$F$5:$F$8,""),"")</f>
        <v>200</v>
      </c>
      <c r="K1097" s="38" t="str">
        <f aca="false">_xlfn.XLOOKUP($E1097,$A$5:$A$8,$G$5:$G$8,"")</f>
        <v>Per pay period</v>
      </c>
      <c r="L1097" s="38" t="str">
        <f aca="false">_xlfn.XLOOKUP($E1097,$A$5:$A$8,$H$5:$H$8,"")</f>
        <v>Every pay period (ongoing)</v>
      </c>
      <c r="M1097" s="43" t="n">
        <f aca="false" t="array" ref="M1097:M1097">MAX(_xlfn.XLOOKUP($A1097,TRIM(SUBSTITUTE('worker file'!$A$2:$A$406,_xlfn.UNICHAR(160)," ")),'worker file'!$M$2:$M$406,0),_xlfn.XLOOKUP($B1097,TRIM('pay group &amp; schedule'!$A$2:$A$6),'pay group &amp; schedule'!$D$2:$D$6,0))</f>
        <v>46313</v>
      </c>
      <c r="N1097" s="43" t="str">
        <f aca="false" t="array" ref="N1097:N1097">_xlfn.LET(_xlpm.t,_xlfn.XLOOKUP($A1097,TRIM(SUBSTITUTE('worker file'!$A$2:$A$406,_xlfn.UNICHAR(160)," ")),'worker file'!$N$2:$N$406,""),IF(N(_xlpm.t)=0,"",_xlpm.t))</f>
        <v/>
      </c>
      <c r="O1097" s="0" t="s">
        <v>647</v>
      </c>
    </row>
    <row r="1098" customFormat="false" ht="15" hidden="false" customHeight="false" outlineLevel="0" collapsed="false">
      <c r="A1098" s="39" t="s">
        <v>473</v>
      </c>
      <c r="B1098" s="40" t="str">
        <f aca="false" t="array" ref="B1098:B1098">_xlfn.XLOOKUP($A1098,TRIM(SUBSTITUTE('worker file'!$A$2:$A$406,_xlfn.UNICHAR(160)," ")),'worker file'!$L$2:$L$406,"Not found")</f>
        <v>US Semi-monthly</v>
      </c>
      <c r="C1098" s="40" t="str">
        <f aca="false" t="array" ref="C1098:C1098">_xlfn.XLOOKUP($A1098,TRIM(SUBSTITUTE('worker file'!$A$2:$A$406,_xlfn.UNICHAR(160)," ")),'worker file'!$D$2:$D$406,"Not found")</f>
        <v>TX</v>
      </c>
      <c r="D1098" s="40" t="str">
        <f aca="false" t="array" ref="D1098:D1098">_xlfn.XLOOKUP($A1098,TRIM(SUBSTITUTE('worker file'!$A$2:$A$406,_xlfn.UNICHAR(160)," ")),'worker file'!$Q$2:$Q$406,"Not found")</f>
        <v>New Hire</v>
      </c>
      <c r="E1098" s="39" t="s">
        <v>632</v>
      </c>
      <c r="F1098" s="38" t="str">
        <f aca="false">_xlfn.XLOOKUP($E1098,$A$5:$A$8,$B$5:$B$8,"")</f>
        <v>Dental – Employee</v>
      </c>
      <c r="G1098" s="38" t="str">
        <f aca="false">_xlfn.XLOOKUP($E1098,$A$5:$A$8,$D$5:$D$8,"")</f>
        <v>Pre-tax Section 125 (exempt from FIT/SIT/FICA)</v>
      </c>
      <c r="H1098" s="38" t="str">
        <f aca="false">_xlfn.XLOOKUP($E1098,$A$5:$A$8,$E$5:$E$8,"")</f>
        <v>Flat</v>
      </c>
      <c r="I1098" s="44" t="str">
        <f aca="false">IF($H1098="Percent",_xlfn.XLOOKUP($E1098,$A$5:$A$8,$F$5:$F$8,""),"")</f>
        <v/>
      </c>
      <c r="J1098" s="42" t="n">
        <f aca="false">IF($H1098="Flat",_xlfn.XLOOKUP($E1098,$A$5:$A$8,$F$5:$F$8,""),"")</f>
        <v>44</v>
      </c>
      <c r="K1098" s="38" t="str">
        <f aca="false">_xlfn.XLOOKUP($E1098,$A$5:$A$8,$G$5:$G$8,"")</f>
        <v>Per pay period</v>
      </c>
      <c r="L1098" s="38" t="str">
        <f aca="false">_xlfn.XLOOKUP($E1098,$A$5:$A$8,$H$5:$H$8,"")</f>
        <v>Every pay period (ongoing)</v>
      </c>
      <c r="M1098" s="43" t="n">
        <f aca="false" t="array" ref="M1098:M1098">MAX(_xlfn.XLOOKUP($A1098,TRIM(SUBSTITUTE('worker file'!$A$2:$A$406,_xlfn.UNICHAR(160)," ")),'worker file'!$M$2:$M$406,0),_xlfn.XLOOKUP($B1098,TRIM('pay group &amp; schedule'!$A$2:$A$6),'pay group &amp; schedule'!$D$2:$D$6,0))</f>
        <v>46313</v>
      </c>
      <c r="N1098" s="43" t="str">
        <f aca="false" t="array" ref="N1098:N1098">_xlfn.LET(_xlpm.t,_xlfn.XLOOKUP($A1098,TRIM(SUBSTITUTE('worker file'!$A$2:$A$406,_xlfn.UNICHAR(160)," ")),'worker file'!$N$2:$N$406,""),IF(N(_xlpm.t)=0,"",_xlpm.t))</f>
        <v/>
      </c>
      <c r="O1098" s="0" t="s">
        <v>647</v>
      </c>
    </row>
    <row r="1099" customFormat="false" ht="15" hidden="false" customHeight="false" outlineLevel="0" collapsed="false">
      <c r="A1099" s="39" t="s">
        <v>473</v>
      </c>
      <c r="B1099" s="40" t="str">
        <f aca="false" t="array" ref="B1099:B1099">_xlfn.XLOOKUP($A1099,TRIM(SUBSTITUTE('worker file'!$A$2:$A$406,_xlfn.UNICHAR(160)," ")),'worker file'!$L$2:$L$406,"Not found")</f>
        <v>US Semi-monthly</v>
      </c>
      <c r="C1099" s="40" t="str">
        <f aca="false" t="array" ref="C1099:C1099">_xlfn.XLOOKUP($A1099,TRIM(SUBSTITUTE('worker file'!$A$2:$A$406,_xlfn.UNICHAR(160)," ")),'worker file'!$D$2:$D$406,"Not found")</f>
        <v>TX</v>
      </c>
      <c r="D1099" s="40" t="str">
        <f aca="false" t="array" ref="D1099:D1099">_xlfn.XLOOKUP($A1099,TRIM(SUBSTITUTE('worker file'!$A$2:$A$406,_xlfn.UNICHAR(160)," ")),'worker file'!$Q$2:$Q$406,"Not found")</f>
        <v>New Hire</v>
      </c>
      <c r="E1099" s="39" t="s">
        <v>634</v>
      </c>
      <c r="F1099" s="38" t="str">
        <f aca="false">_xlfn.XLOOKUP($E1099,$A$5:$A$8,$B$5:$B$8,"")</f>
        <v>Vision – Employee</v>
      </c>
      <c r="G1099" s="38" t="str">
        <f aca="false">_xlfn.XLOOKUP($E1099,$A$5:$A$8,$D$5:$D$8,"")</f>
        <v>Pre-tax Section 125 (exempt from FIT/SIT/FICA)</v>
      </c>
      <c r="H1099" s="38" t="str">
        <f aca="false">_xlfn.XLOOKUP($E1099,$A$5:$A$8,$E$5:$E$8,"")</f>
        <v>Flat</v>
      </c>
      <c r="I1099" s="44" t="str">
        <f aca="false">IF($H1099="Percent",_xlfn.XLOOKUP($E1099,$A$5:$A$8,$F$5:$F$8,""),"")</f>
        <v/>
      </c>
      <c r="J1099" s="42" t="n">
        <f aca="false">IF($H1099="Flat",_xlfn.XLOOKUP($E1099,$A$5:$A$8,$F$5:$F$8,""),"")</f>
        <v>30</v>
      </c>
      <c r="K1099" s="38" t="str">
        <f aca="false">_xlfn.XLOOKUP($E1099,$A$5:$A$8,$G$5:$G$8,"")</f>
        <v>Per pay period</v>
      </c>
      <c r="L1099" s="38" t="str">
        <f aca="false">_xlfn.XLOOKUP($E1099,$A$5:$A$8,$H$5:$H$8,"")</f>
        <v>Every pay period (ongoing)</v>
      </c>
      <c r="M1099" s="43" t="n">
        <f aca="false" t="array" ref="M1099:M1099">MAX(_xlfn.XLOOKUP($A1099,TRIM(SUBSTITUTE('worker file'!$A$2:$A$406,_xlfn.UNICHAR(160)," ")),'worker file'!$M$2:$M$406,0),_xlfn.XLOOKUP($B1099,TRIM('pay group &amp; schedule'!$A$2:$A$6),'pay group &amp; schedule'!$D$2:$D$6,0))</f>
        <v>46313</v>
      </c>
      <c r="N1099" s="43" t="str">
        <f aca="false" t="array" ref="N1099:N1099">_xlfn.LET(_xlpm.t,_xlfn.XLOOKUP($A1099,TRIM(SUBSTITUTE('worker file'!$A$2:$A$406,_xlfn.UNICHAR(160)," ")),'worker file'!$N$2:$N$406,""),IF(N(_xlpm.t)=0,"",_xlpm.t))</f>
        <v/>
      </c>
      <c r="O1099" s="0" t="s">
        <v>647</v>
      </c>
    </row>
    <row r="1100" customFormat="false" ht="15" hidden="false" customHeight="false" outlineLevel="0" collapsed="false">
      <c r="A1100" s="39" t="s">
        <v>474</v>
      </c>
      <c r="B1100" s="40" t="str">
        <f aca="false" t="array" ref="B1100:B1100">_xlfn.XLOOKUP($A1100,TRIM(SUBSTITUTE('worker file'!$A$2:$A$406,_xlfn.UNICHAR(160)," ")),'worker file'!$L$2:$L$406,"Not found")</f>
        <v>US Semi-monthly</v>
      </c>
      <c r="C1100" s="40" t="str">
        <f aca="false" t="array" ref="C1100:C1100">_xlfn.XLOOKUP($A1100,TRIM(SUBSTITUTE('worker file'!$A$2:$A$406,_xlfn.UNICHAR(160)," ")),'worker file'!$D$2:$D$406,"Not found")</f>
        <v>WA</v>
      </c>
      <c r="D1100" s="40" t="str">
        <f aca="false" t="array" ref="D1100:D1100">_xlfn.XLOOKUP($A1100,TRIM(SUBSTITUTE('worker file'!$A$2:$A$406,_xlfn.UNICHAR(160)," ")),'worker file'!$Q$2:$Q$406,"Not found")</f>
        <v>New Hire</v>
      </c>
      <c r="E1100" s="39" t="s">
        <v>618</v>
      </c>
      <c r="F1100" s="38" t="str">
        <f aca="false">_xlfn.XLOOKUP($E1100,$A$5:$A$8,$B$5:$B$8,"")</f>
        <v>401(k) Employee Deferral</v>
      </c>
      <c r="G1100" s="38" t="str">
        <f aca="false">_xlfn.XLOOKUP($E1100,$A$5:$A$8,$D$5:$D$8,"")</f>
        <v>Pre-tax (exempt from FIT/SIT; subject to FICA)</v>
      </c>
      <c r="H1100" s="38" t="str">
        <f aca="false">_xlfn.XLOOKUP($E1100,$A$5:$A$8,$E$5:$E$8,"")</f>
        <v>Percent</v>
      </c>
      <c r="I1100" s="41" t="n">
        <v>0.06</v>
      </c>
      <c r="J1100" s="42" t="str">
        <f aca="false">IF($H1100="Flat",_xlfn.XLOOKUP($E1100,$A$5:$A$8,$F$5:$F$8,""),"")</f>
        <v/>
      </c>
      <c r="K1100" s="38" t="str">
        <f aca="false">_xlfn.XLOOKUP($E1100,$A$5:$A$8,$G$5:$G$8,"")</f>
        <v>Gross pay</v>
      </c>
      <c r="L1100" s="38" t="str">
        <f aca="false">_xlfn.XLOOKUP($E1100,$A$5:$A$8,$H$5:$H$8,"")</f>
        <v>Every pay period (ongoing)</v>
      </c>
      <c r="M1100" s="43" t="n">
        <f aca="false" t="array" ref="M1100:M1100">MAX(_xlfn.XLOOKUP($A1100,TRIM(SUBSTITUTE('worker file'!$A$2:$A$406,_xlfn.UNICHAR(160)," ")),'worker file'!$M$2:$M$406,0),_xlfn.XLOOKUP($B1100,TRIM('pay group &amp; schedule'!$A$2:$A$6),'pay group &amp; schedule'!$D$2:$D$6,0))</f>
        <v>46315</v>
      </c>
      <c r="N1100" s="43" t="str">
        <f aca="false" t="array" ref="N1100:N1100">_xlfn.LET(_xlpm.t,_xlfn.XLOOKUP($A1100,TRIM(SUBSTITUTE('worker file'!$A$2:$A$406,_xlfn.UNICHAR(160)," ")),'worker file'!$N$2:$N$406,""),IF(N(_xlpm.t)=0,"",_xlpm.t))</f>
        <v/>
      </c>
      <c r="O1100" s="0" t="s">
        <v>647</v>
      </c>
    </row>
    <row r="1101" customFormat="false" ht="15" hidden="false" customHeight="false" outlineLevel="0" collapsed="false">
      <c r="A1101" s="39" t="s">
        <v>474</v>
      </c>
      <c r="B1101" s="40" t="str">
        <f aca="false" t="array" ref="B1101:B1101">_xlfn.XLOOKUP($A1101,TRIM(SUBSTITUTE('worker file'!$A$2:$A$406,_xlfn.UNICHAR(160)," ")),'worker file'!$L$2:$L$406,"Not found")</f>
        <v>US Semi-monthly</v>
      </c>
      <c r="C1101" s="40" t="str">
        <f aca="false" t="array" ref="C1101:C1101">_xlfn.XLOOKUP($A1101,TRIM(SUBSTITUTE('worker file'!$A$2:$A$406,_xlfn.UNICHAR(160)," ")),'worker file'!$D$2:$D$406,"Not found")</f>
        <v>WA</v>
      </c>
      <c r="D1101" s="40" t="str">
        <f aca="false" t="array" ref="D1101:D1101">_xlfn.XLOOKUP($A1101,TRIM(SUBSTITUTE('worker file'!$A$2:$A$406,_xlfn.UNICHAR(160)," ")),'worker file'!$Q$2:$Q$406,"Not found")</f>
        <v>New Hire</v>
      </c>
      <c r="E1101" s="39" t="s">
        <v>626</v>
      </c>
      <c r="F1101" s="38" t="str">
        <f aca="false">_xlfn.XLOOKUP($E1101,$A$5:$A$8,$B$5:$B$8,"")</f>
        <v>Medical (Health) – Employee</v>
      </c>
      <c r="G1101" s="38" t="str">
        <f aca="false">_xlfn.XLOOKUP($E1101,$A$5:$A$8,$D$5:$D$8,"")</f>
        <v>Pre-tax Section 125 (exempt from FIT/SIT/FICA)</v>
      </c>
      <c r="H1101" s="38" t="str">
        <f aca="false">_xlfn.XLOOKUP($E1101,$A$5:$A$8,$E$5:$E$8,"")</f>
        <v>Flat</v>
      </c>
      <c r="I1101" s="44" t="str">
        <f aca="false">IF($H1101="Percent",_xlfn.XLOOKUP($E1101,$A$5:$A$8,$F$5:$F$8,""),"")</f>
        <v/>
      </c>
      <c r="J1101" s="42" t="n">
        <f aca="false">IF($H1101="Flat",_xlfn.XLOOKUP($E1101,$A$5:$A$8,$F$5:$F$8,""),"")</f>
        <v>200</v>
      </c>
      <c r="K1101" s="38" t="str">
        <f aca="false">_xlfn.XLOOKUP($E1101,$A$5:$A$8,$G$5:$G$8,"")</f>
        <v>Per pay period</v>
      </c>
      <c r="L1101" s="38" t="str">
        <f aca="false">_xlfn.XLOOKUP($E1101,$A$5:$A$8,$H$5:$H$8,"")</f>
        <v>Every pay period (ongoing)</v>
      </c>
      <c r="M1101" s="43" t="n">
        <f aca="false" t="array" ref="M1101:M1101">MAX(_xlfn.XLOOKUP($A1101,TRIM(SUBSTITUTE('worker file'!$A$2:$A$406,_xlfn.UNICHAR(160)," ")),'worker file'!$M$2:$M$406,0),_xlfn.XLOOKUP($B1101,TRIM('pay group &amp; schedule'!$A$2:$A$6),'pay group &amp; schedule'!$D$2:$D$6,0))</f>
        <v>46315</v>
      </c>
      <c r="N1101" s="43" t="str">
        <f aca="false" t="array" ref="N1101:N1101">_xlfn.LET(_xlpm.t,_xlfn.XLOOKUP($A1101,TRIM(SUBSTITUTE('worker file'!$A$2:$A$406,_xlfn.UNICHAR(160)," ")),'worker file'!$N$2:$N$406,""),IF(N(_xlpm.t)=0,"",_xlpm.t))</f>
        <v/>
      </c>
      <c r="O1101" s="0" t="s">
        <v>647</v>
      </c>
    </row>
    <row r="1102" customFormat="false" ht="15" hidden="false" customHeight="false" outlineLevel="0" collapsed="false">
      <c r="A1102" s="39" t="s">
        <v>474</v>
      </c>
      <c r="B1102" s="40" t="str">
        <f aca="false" t="array" ref="B1102:B1102">_xlfn.XLOOKUP($A1102,TRIM(SUBSTITUTE('worker file'!$A$2:$A$406,_xlfn.UNICHAR(160)," ")),'worker file'!$L$2:$L$406,"Not found")</f>
        <v>US Semi-monthly</v>
      </c>
      <c r="C1102" s="40" t="str">
        <f aca="false" t="array" ref="C1102:C1102">_xlfn.XLOOKUP($A1102,TRIM(SUBSTITUTE('worker file'!$A$2:$A$406,_xlfn.UNICHAR(160)," ")),'worker file'!$D$2:$D$406,"Not found")</f>
        <v>WA</v>
      </c>
      <c r="D1102" s="40" t="str">
        <f aca="false" t="array" ref="D1102:D1102">_xlfn.XLOOKUP($A1102,TRIM(SUBSTITUTE('worker file'!$A$2:$A$406,_xlfn.UNICHAR(160)," ")),'worker file'!$Q$2:$Q$406,"Not found")</f>
        <v>New Hire</v>
      </c>
      <c r="E1102" s="39" t="s">
        <v>632</v>
      </c>
      <c r="F1102" s="38" t="str">
        <f aca="false">_xlfn.XLOOKUP($E1102,$A$5:$A$8,$B$5:$B$8,"")</f>
        <v>Dental – Employee</v>
      </c>
      <c r="G1102" s="38" t="str">
        <f aca="false">_xlfn.XLOOKUP($E1102,$A$5:$A$8,$D$5:$D$8,"")</f>
        <v>Pre-tax Section 125 (exempt from FIT/SIT/FICA)</v>
      </c>
      <c r="H1102" s="38" t="str">
        <f aca="false">_xlfn.XLOOKUP($E1102,$A$5:$A$8,$E$5:$E$8,"")</f>
        <v>Flat</v>
      </c>
      <c r="I1102" s="44" t="str">
        <f aca="false">IF($H1102="Percent",_xlfn.XLOOKUP($E1102,$A$5:$A$8,$F$5:$F$8,""),"")</f>
        <v/>
      </c>
      <c r="J1102" s="42" t="n">
        <f aca="false">IF($H1102="Flat",_xlfn.XLOOKUP($E1102,$A$5:$A$8,$F$5:$F$8,""),"")</f>
        <v>44</v>
      </c>
      <c r="K1102" s="38" t="str">
        <f aca="false">_xlfn.XLOOKUP($E1102,$A$5:$A$8,$G$5:$G$8,"")</f>
        <v>Per pay period</v>
      </c>
      <c r="L1102" s="38" t="str">
        <f aca="false">_xlfn.XLOOKUP($E1102,$A$5:$A$8,$H$5:$H$8,"")</f>
        <v>Every pay period (ongoing)</v>
      </c>
      <c r="M1102" s="43" t="n">
        <f aca="false" t="array" ref="M1102:M1102">MAX(_xlfn.XLOOKUP($A1102,TRIM(SUBSTITUTE('worker file'!$A$2:$A$406,_xlfn.UNICHAR(160)," ")),'worker file'!$M$2:$M$406,0),_xlfn.XLOOKUP($B1102,TRIM('pay group &amp; schedule'!$A$2:$A$6),'pay group &amp; schedule'!$D$2:$D$6,0))</f>
        <v>46315</v>
      </c>
      <c r="N1102" s="43" t="str">
        <f aca="false" t="array" ref="N1102:N1102">_xlfn.LET(_xlpm.t,_xlfn.XLOOKUP($A1102,TRIM(SUBSTITUTE('worker file'!$A$2:$A$406,_xlfn.UNICHAR(160)," ")),'worker file'!$N$2:$N$406,""),IF(N(_xlpm.t)=0,"",_xlpm.t))</f>
        <v/>
      </c>
      <c r="O1102" s="0" t="s">
        <v>647</v>
      </c>
    </row>
    <row r="1103" customFormat="false" ht="15" hidden="false" customHeight="false" outlineLevel="0" collapsed="false">
      <c r="A1103" s="39" t="s">
        <v>474</v>
      </c>
      <c r="B1103" s="40" t="str">
        <f aca="false" t="array" ref="B1103:B1103">_xlfn.XLOOKUP($A1103,TRIM(SUBSTITUTE('worker file'!$A$2:$A$406,_xlfn.UNICHAR(160)," ")),'worker file'!$L$2:$L$406,"Not found")</f>
        <v>US Semi-monthly</v>
      </c>
      <c r="C1103" s="40" t="str">
        <f aca="false" t="array" ref="C1103:C1103">_xlfn.XLOOKUP($A1103,TRIM(SUBSTITUTE('worker file'!$A$2:$A$406,_xlfn.UNICHAR(160)," ")),'worker file'!$D$2:$D$406,"Not found")</f>
        <v>WA</v>
      </c>
      <c r="D1103" s="40" t="str">
        <f aca="false" t="array" ref="D1103:D1103">_xlfn.XLOOKUP($A1103,TRIM(SUBSTITUTE('worker file'!$A$2:$A$406,_xlfn.UNICHAR(160)," ")),'worker file'!$Q$2:$Q$406,"Not found")</f>
        <v>New Hire</v>
      </c>
      <c r="E1103" s="39" t="s">
        <v>634</v>
      </c>
      <c r="F1103" s="38" t="str">
        <f aca="false">_xlfn.XLOOKUP($E1103,$A$5:$A$8,$B$5:$B$8,"")</f>
        <v>Vision – Employee</v>
      </c>
      <c r="G1103" s="38" t="str">
        <f aca="false">_xlfn.XLOOKUP($E1103,$A$5:$A$8,$D$5:$D$8,"")</f>
        <v>Pre-tax Section 125 (exempt from FIT/SIT/FICA)</v>
      </c>
      <c r="H1103" s="38" t="str">
        <f aca="false">_xlfn.XLOOKUP($E1103,$A$5:$A$8,$E$5:$E$8,"")</f>
        <v>Flat</v>
      </c>
      <c r="I1103" s="44" t="str">
        <f aca="false">IF($H1103="Percent",_xlfn.XLOOKUP($E1103,$A$5:$A$8,$F$5:$F$8,""),"")</f>
        <v/>
      </c>
      <c r="J1103" s="42" t="n">
        <f aca="false">IF($H1103="Flat",_xlfn.XLOOKUP($E1103,$A$5:$A$8,$F$5:$F$8,""),"")</f>
        <v>30</v>
      </c>
      <c r="K1103" s="38" t="str">
        <f aca="false">_xlfn.XLOOKUP($E1103,$A$5:$A$8,$G$5:$G$8,"")</f>
        <v>Per pay period</v>
      </c>
      <c r="L1103" s="38" t="str">
        <f aca="false">_xlfn.XLOOKUP($E1103,$A$5:$A$8,$H$5:$H$8,"")</f>
        <v>Every pay period (ongoing)</v>
      </c>
      <c r="M1103" s="43" t="n">
        <f aca="false" t="array" ref="M1103:M1103">MAX(_xlfn.XLOOKUP($A1103,TRIM(SUBSTITUTE('worker file'!$A$2:$A$406,_xlfn.UNICHAR(160)," ")),'worker file'!$M$2:$M$406,0),_xlfn.XLOOKUP($B1103,TRIM('pay group &amp; schedule'!$A$2:$A$6),'pay group &amp; schedule'!$D$2:$D$6,0))</f>
        <v>46315</v>
      </c>
      <c r="N1103" s="43" t="str">
        <f aca="false" t="array" ref="N1103:N1103">_xlfn.LET(_xlpm.t,_xlfn.XLOOKUP($A1103,TRIM(SUBSTITUTE('worker file'!$A$2:$A$406,_xlfn.UNICHAR(160)," ")),'worker file'!$N$2:$N$406,""),IF(N(_xlpm.t)=0,"",_xlpm.t))</f>
        <v/>
      </c>
      <c r="O1103" s="0" t="s">
        <v>647</v>
      </c>
    </row>
    <row r="1104" customFormat="false" ht="15" hidden="false" customHeight="false" outlineLevel="0" collapsed="false">
      <c r="A1104" s="39" t="s">
        <v>475</v>
      </c>
      <c r="B1104" s="40" t="str">
        <f aca="false" t="array" ref="B1104:B1104">_xlfn.XLOOKUP($A1104,TRIM(SUBSTITUTE('worker file'!$A$2:$A$406,_xlfn.UNICHAR(160)," ")),'worker file'!$L$2:$L$406,"Not found")</f>
        <v>US Semi-monthly</v>
      </c>
      <c r="C1104" s="40" t="str">
        <f aca="false" t="array" ref="C1104:C1104">_xlfn.XLOOKUP($A1104,TRIM(SUBSTITUTE('worker file'!$A$2:$A$406,_xlfn.UNICHAR(160)," ")),'worker file'!$D$2:$D$406,"Not found")</f>
        <v>WA</v>
      </c>
      <c r="D1104" s="40" t="str">
        <f aca="false" t="array" ref="D1104:D1104">_xlfn.XLOOKUP($A1104,TRIM(SUBSTITUTE('worker file'!$A$2:$A$406,_xlfn.UNICHAR(160)," ")),'worker file'!$Q$2:$Q$406,"Not found")</f>
        <v>New Hire</v>
      </c>
      <c r="E1104" s="39" t="s">
        <v>618</v>
      </c>
      <c r="F1104" s="38" t="str">
        <f aca="false">_xlfn.XLOOKUP($E1104,$A$5:$A$8,$B$5:$B$8,"")</f>
        <v>401(k) Employee Deferral</v>
      </c>
      <c r="G1104" s="38" t="str">
        <f aca="false">_xlfn.XLOOKUP($E1104,$A$5:$A$8,$D$5:$D$8,"")</f>
        <v>Pre-tax (exempt from FIT/SIT; subject to FICA)</v>
      </c>
      <c r="H1104" s="38" t="str">
        <f aca="false">_xlfn.XLOOKUP($E1104,$A$5:$A$8,$E$5:$E$8,"")</f>
        <v>Percent</v>
      </c>
      <c r="I1104" s="41" t="n">
        <v>0.03</v>
      </c>
      <c r="J1104" s="42" t="str">
        <f aca="false">IF($H1104="Flat",_xlfn.XLOOKUP($E1104,$A$5:$A$8,$F$5:$F$8,""),"")</f>
        <v/>
      </c>
      <c r="K1104" s="38" t="str">
        <f aca="false">_xlfn.XLOOKUP($E1104,$A$5:$A$8,$G$5:$G$8,"")</f>
        <v>Gross pay</v>
      </c>
      <c r="L1104" s="38" t="str">
        <f aca="false">_xlfn.XLOOKUP($E1104,$A$5:$A$8,$H$5:$H$8,"")</f>
        <v>Every pay period (ongoing)</v>
      </c>
      <c r="M1104" s="43" t="n">
        <f aca="false" t="array" ref="M1104:M1104">MAX(_xlfn.XLOOKUP($A1104,TRIM(SUBSTITUTE('worker file'!$A$2:$A$406,_xlfn.UNICHAR(160)," ")),'worker file'!$M$2:$M$406,0),_xlfn.XLOOKUP($B1104,TRIM('pay group &amp; schedule'!$A$2:$A$6),'pay group &amp; schedule'!$D$2:$D$6,0))</f>
        <v>46321</v>
      </c>
      <c r="N1104" s="43" t="str">
        <f aca="false" t="array" ref="N1104:N1104">_xlfn.LET(_xlpm.t,_xlfn.XLOOKUP($A1104,TRIM(SUBSTITUTE('worker file'!$A$2:$A$406,_xlfn.UNICHAR(160)," ")),'worker file'!$N$2:$N$406,""),IF(N(_xlpm.t)=0,"",_xlpm.t))</f>
        <v/>
      </c>
      <c r="O1104" s="0" t="s">
        <v>647</v>
      </c>
    </row>
    <row r="1105" customFormat="false" ht="15" hidden="false" customHeight="false" outlineLevel="0" collapsed="false">
      <c r="A1105" s="39" t="s">
        <v>475</v>
      </c>
      <c r="B1105" s="40" t="str">
        <f aca="false" t="array" ref="B1105:B1105">_xlfn.XLOOKUP($A1105,TRIM(SUBSTITUTE('worker file'!$A$2:$A$406,_xlfn.UNICHAR(160)," ")),'worker file'!$L$2:$L$406,"Not found")</f>
        <v>US Semi-monthly</v>
      </c>
      <c r="C1105" s="40" t="str">
        <f aca="false" t="array" ref="C1105:C1105">_xlfn.XLOOKUP($A1105,TRIM(SUBSTITUTE('worker file'!$A$2:$A$406,_xlfn.UNICHAR(160)," ")),'worker file'!$D$2:$D$406,"Not found")</f>
        <v>WA</v>
      </c>
      <c r="D1105" s="40" t="str">
        <f aca="false" t="array" ref="D1105:D1105">_xlfn.XLOOKUP($A1105,TRIM(SUBSTITUTE('worker file'!$A$2:$A$406,_xlfn.UNICHAR(160)," ")),'worker file'!$Q$2:$Q$406,"Not found")</f>
        <v>New Hire</v>
      </c>
      <c r="E1105" s="39" t="s">
        <v>626</v>
      </c>
      <c r="F1105" s="38" t="str">
        <f aca="false">_xlfn.XLOOKUP($E1105,$A$5:$A$8,$B$5:$B$8,"")</f>
        <v>Medical (Health) – Employee</v>
      </c>
      <c r="G1105" s="38" t="str">
        <f aca="false">_xlfn.XLOOKUP($E1105,$A$5:$A$8,$D$5:$D$8,"")</f>
        <v>Pre-tax Section 125 (exempt from FIT/SIT/FICA)</v>
      </c>
      <c r="H1105" s="38" t="str">
        <f aca="false">_xlfn.XLOOKUP($E1105,$A$5:$A$8,$E$5:$E$8,"")</f>
        <v>Flat</v>
      </c>
      <c r="I1105" s="44" t="str">
        <f aca="false">IF($H1105="Percent",_xlfn.XLOOKUP($E1105,$A$5:$A$8,$F$5:$F$8,""),"")</f>
        <v/>
      </c>
      <c r="J1105" s="42" t="n">
        <f aca="false">IF($H1105="Flat",_xlfn.XLOOKUP($E1105,$A$5:$A$8,$F$5:$F$8,""),"")</f>
        <v>200</v>
      </c>
      <c r="K1105" s="38" t="str">
        <f aca="false">_xlfn.XLOOKUP($E1105,$A$5:$A$8,$G$5:$G$8,"")</f>
        <v>Per pay period</v>
      </c>
      <c r="L1105" s="38" t="str">
        <f aca="false">_xlfn.XLOOKUP($E1105,$A$5:$A$8,$H$5:$H$8,"")</f>
        <v>Every pay period (ongoing)</v>
      </c>
      <c r="M1105" s="43" t="n">
        <f aca="false" t="array" ref="M1105:M1105">MAX(_xlfn.XLOOKUP($A1105,TRIM(SUBSTITUTE('worker file'!$A$2:$A$406,_xlfn.UNICHAR(160)," ")),'worker file'!$M$2:$M$406,0),_xlfn.XLOOKUP($B1105,TRIM('pay group &amp; schedule'!$A$2:$A$6),'pay group &amp; schedule'!$D$2:$D$6,0))</f>
        <v>46321</v>
      </c>
      <c r="N1105" s="43" t="str">
        <f aca="false" t="array" ref="N1105:N1105">_xlfn.LET(_xlpm.t,_xlfn.XLOOKUP($A1105,TRIM(SUBSTITUTE('worker file'!$A$2:$A$406,_xlfn.UNICHAR(160)," ")),'worker file'!$N$2:$N$406,""),IF(N(_xlpm.t)=0,"",_xlpm.t))</f>
        <v/>
      </c>
      <c r="O1105" s="0" t="s">
        <v>647</v>
      </c>
    </row>
    <row r="1106" customFormat="false" ht="15" hidden="false" customHeight="false" outlineLevel="0" collapsed="false">
      <c r="A1106" s="39" t="s">
        <v>475</v>
      </c>
      <c r="B1106" s="40" t="str">
        <f aca="false" t="array" ref="B1106:B1106">_xlfn.XLOOKUP($A1106,TRIM(SUBSTITUTE('worker file'!$A$2:$A$406,_xlfn.UNICHAR(160)," ")),'worker file'!$L$2:$L$406,"Not found")</f>
        <v>US Semi-monthly</v>
      </c>
      <c r="C1106" s="40" t="str">
        <f aca="false" t="array" ref="C1106:C1106">_xlfn.XLOOKUP($A1106,TRIM(SUBSTITUTE('worker file'!$A$2:$A$406,_xlfn.UNICHAR(160)," ")),'worker file'!$D$2:$D$406,"Not found")</f>
        <v>WA</v>
      </c>
      <c r="D1106" s="40" t="str">
        <f aca="false" t="array" ref="D1106:D1106">_xlfn.XLOOKUP($A1106,TRIM(SUBSTITUTE('worker file'!$A$2:$A$406,_xlfn.UNICHAR(160)," ")),'worker file'!$Q$2:$Q$406,"Not found")</f>
        <v>New Hire</v>
      </c>
      <c r="E1106" s="39" t="s">
        <v>632</v>
      </c>
      <c r="F1106" s="38" t="str">
        <f aca="false">_xlfn.XLOOKUP($E1106,$A$5:$A$8,$B$5:$B$8,"")</f>
        <v>Dental – Employee</v>
      </c>
      <c r="G1106" s="38" t="str">
        <f aca="false">_xlfn.XLOOKUP($E1106,$A$5:$A$8,$D$5:$D$8,"")</f>
        <v>Pre-tax Section 125 (exempt from FIT/SIT/FICA)</v>
      </c>
      <c r="H1106" s="38" t="str">
        <f aca="false">_xlfn.XLOOKUP($E1106,$A$5:$A$8,$E$5:$E$8,"")</f>
        <v>Flat</v>
      </c>
      <c r="I1106" s="44" t="str">
        <f aca="false">IF($H1106="Percent",_xlfn.XLOOKUP($E1106,$A$5:$A$8,$F$5:$F$8,""),"")</f>
        <v/>
      </c>
      <c r="J1106" s="42" t="n">
        <f aca="false">IF($H1106="Flat",_xlfn.XLOOKUP($E1106,$A$5:$A$8,$F$5:$F$8,""),"")</f>
        <v>44</v>
      </c>
      <c r="K1106" s="38" t="str">
        <f aca="false">_xlfn.XLOOKUP($E1106,$A$5:$A$8,$G$5:$G$8,"")</f>
        <v>Per pay period</v>
      </c>
      <c r="L1106" s="38" t="str">
        <f aca="false">_xlfn.XLOOKUP($E1106,$A$5:$A$8,$H$5:$H$8,"")</f>
        <v>Every pay period (ongoing)</v>
      </c>
      <c r="M1106" s="43" t="n">
        <f aca="false" t="array" ref="M1106:M1106">MAX(_xlfn.XLOOKUP($A1106,TRIM(SUBSTITUTE('worker file'!$A$2:$A$406,_xlfn.UNICHAR(160)," ")),'worker file'!$M$2:$M$406,0),_xlfn.XLOOKUP($B1106,TRIM('pay group &amp; schedule'!$A$2:$A$6),'pay group &amp; schedule'!$D$2:$D$6,0))</f>
        <v>46321</v>
      </c>
      <c r="N1106" s="43" t="str">
        <f aca="false" t="array" ref="N1106:N1106">_xlfn.LET(_xlpm.t,_xlfn.XLOOKUP($A1106,TRIM(SUBSTITUTE('worker file'!$A$2:$A$406,_xlfn.UNICHAR(160)," ")),'worker file'!$N$2:$N$406,""),IF(N(_xlpm.t)=0,"",_xlpm.t))</f>
        <v/>
      </c>
      <c r="O1106" s="0" t="s">
        <v>647</v>
      </c>
    </row>
    <row r="1107" customFormat="false" ht="15" hidden="false" customHeight="false" outlineLevel="0" collapsed="false">
      <c r="A1107" s="39" t="s">
        <v>475</v>
      </c>
      <c r="B1107" s="40" t="str">
        <f aca="false" t="array" ref="B1107:B1107">_xlfn.XLOOKUP($A1107,TRIM(SUBSTITUTE('worker file'!$A$2:$A$406,_xlfn.UNICHAR(160)," ")),'worker file'!$L$2:$L$406,"Not found")</f>
        <v>US Semi-monthly</v>
      </c>
      <c r="C1107" s="40" t="str">
        <f aca="false" t="array" ref="C1107:C1107">_xlfn.XLOOKUP($A1107,TRIM(SUBSTITUTE('worker file'!$A$2:$A$406,_xlfn.UNICHAR(160)," ")),'worker file'!$D$2:$D$406,"Not found")</f>
        <v>WA</v>
      </c>
      <c r="D1107" s="40" t="str">
        <f aca="false" t="array" ref="D1107:D1107">_xlfn.XLOOKUP($A1107,TRIM(SUBSTITUTE('worker file'!$A$2:$A$406,_xlfn.UNICHAR(160)," ")),'worker file'!$Q$2:$Q$406,"Not found")</f>
        <v>New Hire</v>
      </c>
      <c r="E1107" s="39" t="s">
        <v>634</v>
      </c>
      <c r="F1107" s="38" t="str">
        <f aca="false">_xlfn.XLOOKUP($E1107,$A$5:$A$8,$B$5:$B$8,"")</f>
        <v>Vision – Employee</v>
      </c>
      <c r="G1107" s="38" t="str">
        <f aca="false">_xlfn.XLOOKUP($E1107,$A$5:$A$8,$D$5:$D$8,"")</f>
        <v>Pre-tax Section 125 (exempt from FIT/SIT/FICA)</v>
      </c>
      <c r="H1107" s="38" t="str">
        <f aca="false">_xlfn.XLOOKUP($E1107,$A$5:$A$8,$E$5:$E$8,"")</f>
        <v>Flat</v>
      </c>
      <c r="I1107" s="44" t="str">
        <f aca="false">IF($H1107="Percent",_xlfn.XLOOKUP($E1107,$A$5:$A$8,$F$5:$F$8,""),"")</f>
        <v/>
      </c>
      <c r="J1107" s="42" t="n">
        <f aca="false">IF($H1107="Flat",_xlfn.XLOOKUP($E1107,$A$5:$A$8,$F$5:$F$8,""),"")</f>
        <v>30</v>
      </c>
      <c r="K1107" s="38" t="str">
        <f aca="false">_xlfn.XLOOKUP($E1107,$A$5:$A$8,$G$5:$G$8,"")</f>
        <v>Per pay period</v>
      </c>
      <c r="L1107" s="38" t="str">
        <f aca="false">_xlfn.XLOOKUP($E1107,$A$5:$A$8,$H$5:$H$8,"")</f>
        <v>Every pay period (ongoing)</v>
      </c>
      <c r="M1107" s="43" t="n">
        <f aca="false" t="array" ref="M1107:M1107">MAX(_xlfn.XLOOKUP($A1107,TRIM(SUBSTITUTE('worker file'!$A$2:$A$406,_xlfn.UNICHAR(160)," ")),'worker file'!$M$2:$M$406,0),_xlfn.XLOOKUP($B1107,TRIM('pay group &amp; schedule'!$A$2:$A$6),'pay group &amp; schedule'!$D$2:$D$6,0))</f>
        <v>46321</v>
      </c>
      <c r="N1107" s="43" t="str">
        <f aca="false" t="array" ref="N1107:N1107">_xlfn.LET(_xlpm.t,_xlfn.XLOOKUP($A1107,TRIM(SUBSTITUTE('worker file'!$A$2:$A$406,_xlfn.UNICHAR(160)," ")),'worker file'!$N$2:$N$406,""),IF(N(_xlpm.t)=0,"",_xlpm.t))</f>
        <v/>
      </c>
      <c r="O1107" s="0" t="s">
        <v>647</v>
      </c>
    </row>
    <row r="1108" customFormat="false" ht="15" hidden="false" customHeight="false" outlineLevel="0" collapsed="false">
      <c r="A1108" s="39" t="s">
        <v>476</v>
      </c>
      <c r="B1108" s="40" t="str">
        <f aca="false" t="array" ref="B1108:B1108">_xlfn.XLOOKUP($A1108,TRIM(SUBSTITUTE('worker file'!$A$2:$A$406,_xlfn.UNICHAR(160)," ")),'worker file'!$L$2:$L$406,"Not found")</f>
        <v>US Biweekly</v>
      </c>
      <c r="C1108" s="40" t="str">
        <f aca="false" t="array" ref="C1108:C1108">_xlfn.XLOOKUP($A1108,TRIM(SUBSTITUTE('worker file'!$A$2:$A$406,_xlfn.UNICHAR(160)," ")),'worker file'!$D$2:$D$406,"Not found")</f>
        <v>TX</v>
      </c>
      <c r="D1108" s="40" t="str">
        <f aca="false" t="array" ref="D1108:D1108">_xlfn.XLOOKUP($A1108,TRIM(SUBSTITUTE('worker file'!$A$2:$A$406,_xlfn.UNICHAR(160)," ")),'worker file'!$Q$2:$Q$406,"Not found")</f>
        <v>New Hire</v>
      </c>
      <c r="E1108" s="39" t="s">
        <v>618</v>
      </c>
      <c r="F1108" s="38" t="str">
        <f aca="false">_xlfn.XLOOKUP($E1108,$A$5:$A$8,$B$5:$B$8,"")</f>
        <v>401(k) Employee Deferral</v>
      </c>
      <c r="G1108" s="38" t="str">
        <f aca="false">_xlfn.XLOOKUP($E1108,$A$5:$A$8,$D$5:$D$8,"")</f>
        <v>Pre-tax (exempt from FIT/SIT; subject to FICA)</v>
      </c>
      <c r="H1108" s="38" t="str">
        <f aca="false">_xlfn.XLOOKUP($E1108,$A$5:$A$8,$E$5:$E$8,"")</f>
        <v>Percent</v>
      </c>
      <c r="I1108" s="41" t="n">
        <v>0</v>
      </c>
      <c r="J1108" s="42" t="str">
        <f aca="false">IF($H1108="Flat",_xlfn.XLOOKUP($E1108,$A$5:$A$8,$F$5:$F$8,""),"")</f>
        <v/>
      </c>
      <c r="K1108" s="38" t="str">
        <f aca="false">_xlfn.XLOOKUP($E1108,$A$5:$A$8,$G$5:$G$8,"")</f>
        <v>Gross pay</v>
      </c>
      <c r="L1108" s="38" t="str">
        <f aca="false">_xlfn.XLOOKUP($E1108,$A$5:$A$8,$H$5:$H$8,"")</f>
        <v>Every pay period (ongoing)</v>
      </c>
      <c r="M1108" s="43" t="n">
        <f aca="false" t="array" ref="M1108:M1108">MAX(_xlfn.XLOOKUP($A1108,TRIM(SUBSTITUTE('worker file'!$A$2:$A$406,_xlfn.UNICHAR(160)," ")),'worker file'!$M$2:$M$406,0),_xlfn.XLOOKUP($B1108,TRIM('pay group &amp; schedule'!$A$2:$A$6),'pay group &amp; schedule'!$D$2:$D$6,0))</f>
        <v>46302</v>
      </c>
      <c r="N1108" s="43" t="str">
        <f aca="false" t="array" ref="N1108:N1108">_xlfn.LET(_xlpm.t,_xlfn.XLOOKUP($A1108,TRIM(SUBSTITUTE('worker file'!$A$2:$A$406,_xlfn.UNICHAR(160)," ")),'worker file'!$N$2:$N$406,""),IF(N(_xlpm.t)=0,"",_xlpm.t))</f>
        <v/>
      </c>
      <c r="O1108" s="0" t="s">
        <v>647</v>
      </c>
    </row>
    <row r="1109" customFormat="false" ht="15" hidden="false" customHeight="false" outlineLevel="0" collapsed="false">
      <c r="A1109" s="39" t="s">
        <v>476</v>
      </c>
      <c r="B1109" s="40" t="str">
        <f aca="false" t="array" ref="B1109:B1109">_xlfn.XLOOKUP($A1109,TRIM(SUBSTITUTE('worker file'!$A$2:$A$406,_xlfn.UNICHAR(160)," ")),'worker file'!$L$2:$L$406,"Not found")</f>
        <v>US Biweekly</v>
      </c>
      <c r="C1109" s="40" t="str">
        <f aca="false" t="array" ref="C1109:C1109">_xlfn.XLOOKUP($A1109,TRIM(SUBSTITUTE('worker file'!$A$2:$A$406,_xlfn.UNICHAR(160)," ")),'worker file'!$D$2:$D$406,"Not found")</f>
        <v>TX</v>
      </c>
      <c r="D1109" s="40" t="str">
        <f aca="false" t="array" ref="D1109:D1109">_xlfn.XLOOKUP($A1109,TRIM(SUBSTITUTE('worker file'!$A$2:$A$406,_xlfn.UNICHAR(160)," ")),'worker file'!$Q$2:$Q$406,"Not found")</f>
        <v>New Hire</v>
      </c>
      <c r="E1109" s="39" t="s">
        <v>626</v>
      </c>
      <c r="F1109" s="38" t="str">
        <f aca="false">_xlfn.XLOOKUP($E1109,$A$5:$A$8,$B$5:$B$8,"")</f>
        <v>Medical (Health) – Employee</v>
      </c>
      <c r="G1109" s="38" t="str">
        <f aca="false">_xlfn.XLOOKUP($E1109,$A$5:$A$8,$D$5:$D$8,"")</f>
        <v>Pre-tax Section 125 (exempt from FIT/SIT/FICA)</v>
      </c>
      <c r="H1109" s="38" t="str">
        <f aca="false">_xlfn.XLOOKUP($E1109,$A$5:$A$8,$E$5:$E$8,"")</f>
        <v>Flat</v>
      </c>
      <c r="I1109" s="44" t="str">
        <f aca="false">IF($H1109="Percent",_xlfn.XLOOKUP($E1109,$A$5:$A$8,$F$5:$F$8,""),"")</f>
        <v/>
      </c>
      <c r="J1109" s="42" t="n">
        <f aca="false">IF($H1109="Flat",_xlfn.XLOOKUP($E1109,$A$5:$A$8,$F$5:$F$8,""),"")</f>
        <v>200</v>
      </c>
      <c r="K1109" s="38" t="str">
        <f aca="false">_xlfn.XLOOKUP($E1109,$A$5:$A$8,$G$5:$G$8,"")</f>
        <v>Per pay period</v>
      </c>
      <c r="L1109" s="38" t="str">
        <f aca="false">_xlfn.XLOOKUP($E1109,$A$5:$A$8,$H$5:$H$8,"")</f>
        <v>Every pay period (ongoing)</v>
      </c>
      <c r="M1109" s="43" t="n">
        <f aca="false" t="array" ref="M1109:M1109">MAX(_xlfn.XLOOKUP($A1109,TRIM(SUBSTITUTE('worker file'!$A$2:$A$406,_xlfn.UNICHAR(160)," ")),'worker file'!$M$2:$M$406,0),_xlfn.XLOOKUP($B1109,TRIM('pay group &amp; schedule'!$A$2:$A$6),'pay group &amp; schedule'!$D$2:$D$6,0))</f>
        <v>46302</v>
      </c>
      <c r="N1109" s="43" t="str">
        <f aca="false" t="array" ref="N1109:N1109">_xlfn.LET(_xlpm.t,_xlfn.XLOOKUP($A1109,TRIM(SUBSTITUTE('worker file'!$A$2:$A$406,_xlfn.UNICHAR(160)," ")),'worker file'!$N$2:$N$406,""),IF(N(_xlpm.t)=0,"",_xlpm.t))</f>
        <v/>
      </c>
      <c r="O1109" s="0" t="s">
        <v>647</v>
      </c>
    </row>
    <row r="1110" customFormat="false" ht="15" hidden="false" customHeight="false" outlineLevel="0" collapsed="false">
      <c r="A1110" s="39" t="s">
        <v>476</v>
      </c>
      <c r="B1110" s="40" t="str">
        <f aca="false" t="array" ref="B1110:B1110">_xlfn.XLOOKUP($A1110,TRIM(SUBSTITUTE('worker file'!$A$2:$A$406,_xlfn.UNICHAR(160)," ")),'worker file'!$L$2:$L$406,"Not found")</f>
        <v>US Biweekly</v>
      </c>
      <c r="C1110" s="40" t="str">
        <f aca="false" t="array" ref="C1110:C1110">_xlfn.XLOOKUP($A1110,TRIM(SUBSTITUTE('worker file'!$A$2:$A$406,_xlfn.UNICHAR(160)," ")),'worker file'!$D$2:$D$406,"Not found")</f>
        <v>TX</v>
      </c>
      <c r="D1110" s="40" t="str">
        <f aca="false" t="array" ref="D1110:D1110">_xlfn.XLOOKUP($A1110,TRIM(SUBSTITUTE('worker file'!$A$2:$A$406,_xlfn.UNICHAR(160)," ")),'worker file'!$Q$2:$Q$406,"Not found")</f>
        <v>New Hire</v>
      </c>
      <c r="E1110" s="39" t="s">
        <v>632</v>
      </c>
      <c r="F1110" s="38" t="str">
        <f aca="false">_xlfn.XLOOKUP($E1110,$A$5:$A$8,$B$5:$B$8,"")</f>
        <v>Dental – Employee</v>
      </c>
      <c r="G1110" s="38" t="str">
        <f aca="false">_xlfn.XLOOKUP($E1110,$A$5:$A$8,$D$5:$D$8,"")</f>
        <v>Pre-tax Section 125 (exempt from FIT/SIT/FICA)</v>
      </c>
      <c r="H1110" s="38" t="str">
        <f aca="false">_xlfn.XLOOKUP($E1110,$A$5:$A$8,$E$5:$E$8,"")</f>
        <v>Flat</v>
      </c>
      <c r="I1110" s="44" t="str">
        <f aca="false">IF($H1110="Percent",_xlfn.XLOOKUP($E1110,$A$5:$A$8,$F$5:$F$8,""),"")</f>
        <v/>
      </c>
      <c r="J1110" s="42" t="n">
        <f aca="false">IF($H1110="Flat",_xlfn.XLOOKUP($E1110,$A$5:$A$8,$F$5:$F$8,""),"")</f>
        <v>44</v>
      </c>
      <c r="K1110" s="38" t="str">
        <f aca="false">_xlfn.XLOOKUP($E1110,$A$5:$A$8,$G$5:$G$8,"")</f>
        <v>Per pay period</v>
      </c>
      <c r="L1110" s="38" t="str">
        <f aca="false">_xlfn.XLOOKUP($E1110,$A$5:$A$8,$H$5:$H$8,"")</f>
        <v>Every pay period (ongoing)</v>
      </c>
      <c r="M1110" s="43" t="n">
        <f aca="false" t="array" ref="M1110:M1110">MAX(_xlfn.XLOOKUP($A1110,TRIM(SUBSTITUTE('worker file'!$A$2:$A$406,_xlfn.UNICHAR(160)," ")),'worker file'!$M$2:$M$406,0),_xlfn.XLOOKUP($B1110,TRIM('pay group &amp; schedule'!$A$2:$A$6),'pay group &amp; schedule'!$D$2:$D$6,0))</f>
        <v>46302</v>
      </c>
      <c r="N1110" s="43" t="str">
        <f aca="false" t="array" ref="N1110:N1110">_xlfn.LET(_xlpm.t,_xlfn.XLOOKUP($A1110,TRIM(SUBSTITUTE('worker file'!$A$2:$A$406,_xlfn.UNICHAR(160)," ")),'worker file'!$N$2:$N$406,""),IF(N(_xlpm.t)=0,"",_xlpm.t))</f>
        <v/>
      </c>
      <c r="O1110" s="0" t="s">
        <v>647</v>
      </c>
    </row>
    <row r="1111" customFormat="false" ht="15" hidden="false" customHeight="false" outlineLevel="0" collapsed="false">
      <c r="A1111" s="39" t="s">
        <v>476</v>
      </c>
      <c r="B1111" s="40" t="str">
        <f aca="false" t="array" ref="B1111:B1111">_xlfn.XLOOKUP($A1111,TRIM(SUBSTITUTE('worker file'!$A$2:$A$406,_xlfn.UNICHAR(160)," ")),'worker file'!$L$2:$L$406,"Not found")</f>
        <v>US Biweekly</v>
      </c>
      <c r="C1111" s="40" t="str">
        <f aca="false" t="array" ref="C1111:C1111">_xlfn.XLOOKUP($A1111,TRIM(SUBSTITUTE('worker file'!$A$2:$A$406,_xlfn.UNICHAR(160)," ")),'worker file'!$D$2:$D$406,"Not found")</f>
        <v>TX</v>
      </c>
      <c r="D1111" s="40" t="str">
        <f aca="false" t="array" ref="D1111:D1111">_xlfn.XLOOKUP($A1111,TRIM(SUBSTITUTE('worker file'!$A$2:$A$406,_xlfn.UNICHAR(160)," ")),'worker file'!$Q$2:$Q$406,"Not found")</f>
        <v>New Hire</v>
      </c>
      <c r="E1111" s="39" t="s">
        <v>634</v>
      </c>
      <c r="F1111" s="38" t="str">
        <f aca="false">_xlfn.XLOOKUP($E1111,$A$5:$A$8,$B$5:$B$8,"")</f>
        <v>Vision – Employee</v>
      </c>
      <c r="G1111" s="38" t="str">
        <f aca="false">_xlfn.XLOOKUP($E1111,$A$5:$A$8,$D$5:$D$8,"")</f>
        <v>Pre-tax Section 125 (exempt from FIT/SIT/FICA)</v>
      </c>
      <c r="H1111" s="38" t="str">
        <f aca="false">_xlfn.XLOOKUP($E1111,$A$5:$A$8,$E$5:$E$8,"")</f>
        <v>Flat</v>
      </c>
      <c r="I1111" s="44" t="str">
        <f aca="false">IF($H1111="Percent",_xlfn.XLOOKUP($E1111,$A$5:$A$8,$F$5:$F$8,""),"")</f>
        <v/>
      </c>
      <c r="J1111" s="42" t="n">
        <f aca="false">IF($H1111="Flat",_xlfn.XLOOKUP($E1111,$A$5:$A$8,$F$5:$F$8,""),"")</f>
        <v>30</v>
      </c>
      <c r="K1111" s="38" t="str">
        <f aca="false">_xlfn.XLOOKUP($E1111,$A$5:$A$8,$G$5:$G$8,"")</f>
        <v>Per pay period</v>
      </c>
      <c r="L1111" s="38" t="str">
        <f aca="false">_xlfn.XLOOKUP($E1111,$A$5:$A$8,$H$5:$H$8,"")</f>
        <v>Every pay period (ongoing)</v>
      </c>
      <c r="M1111" s="43" t="n">
        <f aca="false" t="array" ref="M1111:M1111">MAX(_xlfn.XLOOKUP($A1111,TRIM(SUBSTITUTE('worker file'!$A$2:$A$406,_xlfn.UNICHAR(160)," ")),'worker file'!$M$2:$M$406,0),_xlfn.XLOOKUP($B1111,TRIM('pay group &amp; schedule'!$A$2:$A$6),'pay group &amp; schedule'!$D$2:$D$6,0))</f>
        <v>46302</v>
      </c>
      <c r="N1111" s="43" t="str">
        <f aca="false" t="array" ref="N1111:N1111">_xlfn.LET(_xlpm.t,_xlfn.XLOOKUP($A1111,TRIM(SUBSTITUTE('worker file'!$A$2:$A$406,_xlfn.UNICHAR(160)," ")),'worker file'!$N$2:$N$406,""),IF(N(_xlpm.t)=0,"",_xlpm.t))</f>
        <v/>
      </c>
      <c r="O1111" s="0" t="s">
        <v>647</v>
      </c>
    </row>
    <row r="1112" customFormat="false" ht="15" hidden="false" customHeight="false" outlineLevel="0" collapsed="false">
      <c r="A1112" s="39" t="s">
        <v>477</v>
      </c>
      <c r="B1112" s="40" t="str">
        <f aca="false" t="array" ref="B1112:B1112">_xlfn.XLOOKUP($A1112,TRIM(SUBSTITUTE('worker file'!$A$2:$A$406,_xlfn.UNICHAR(160)," ")),'worker file'!$L$2:$L$406,"Not found")</f>
        <v>US Semi-monthly</v>
      </c>
      <c r="C1112" s="40" t="str">
        <f aca="false" t="array" ref="C1112:C1112">_xlfn.XLOOKUP($A1112,TRIM(SUBSTITUTE('worker file'!$A$2:$A$406,_xlfn.UNICHAR(160)," ")),'worker file'!$D$2:$D$406,"Not found")</f>
        <v>TX</v>
      </c>
      <c r="D1112" s="40" t="str">
        <f aca="false" t="array" ref="D1112:D1112">_xlfn.XLOOKUP($A1112,TRIM(SUBSTITUTE('worker file'!$A$2:$A$406,_xlfn.UNICHAR(160)," ")),'worker file'!$Q$2:$Q$406,"Not found")</f>
        <v>New Hire</v>
      </c>
      <c r="E1112" s="39" t="s">
        <v>618</v>
      </c>
      <c r="F1112" s="38" t="str">
        <f aca="false">_xlfn.XLOOKUP($E1112,$A$5:$A$8,$B$5:$B$8,"")</f>
        <v>401(k) Employee Deferral</v>
      </c>
      <c r="G1112" s="38" t="str">
        <f aca="false">_xlfn.XLOOKUP($E1112,$A$5:$A$8,$D$5:$D$8,"")</f>
        <v>Pre-tax (exempt from FIT/SIT; subject to FICA)</v>
      </c>
      <c r="H1112" s="38" t="str">
        <f aca="false">_xlfn.XLOOKUP($E1112,$A$5:$A$8,$E$5:$E$8,"")</f>
        <v>Percent</v>
      </c>
      <c r="I1112" s="41" t="n">
        <v>0.05</v>
      </c>
      <c r="J1112" s="42" t="str">
        <f aca="false">IF($H1112="Flat",_xlfn.XLOOKUP($E1112,$A$5:$A$8,$F$5:$F$8,""),"")</f>
        <v/>
      </c>
      <c r="K1112" s="38" t="str">
        <f aca="false">_xlfn.XLOOKUP($E1112,$A$5:$A$8,$G$5:$G$8,"")</f>
        <v>Gross pay</v>
      </c>
      <c r="L1112" s="38" t="str">
        <f aca="false">_xlfn.XLOOKUP($E1112,$A$5:$A$8,$H$5:$H$8,"")</f>
        <v>Every pay period (ongoing)</v>
      </c>
      <c r="M1112" s="43" t="n">
        <f aca="false" t="array" ref="M1112:M1112">MAX(_xlfn.XLOOKUP($A1112,TRIM(SUBSTITUTE('worker file'!$A$2:$A$406,_xlfn.UNICHAR(160)," ")),'worker file'!$M$2:$M$406,0),_xlfn.XLOOKUP($B1112,TRIM('pay group &amp; schedule'!$A$2:$A$6),'pay group &amp; schedule'!$D$2:$D$6,0))</f>
        <v>46317</v>
      </c>
      <c r="N1112" s="43" t="str">
        <f aca="false" t="array" ref="N1112:N1112">_xlfn.LET(_xlpm.t,_xlfn.XLOOKUP($A1112,TRIM(SUBSTITUTE('worker file'!$A$2:$A$406,_xlfn.UNICHAR(160)," ")),'worker file'!$N$2:$N$406,""),IF(N(_xlpm.t)=0,"",_xlpm.t))</f>
        <v/>
      </c>
      <c r="O1112" s="0" t="s">
        <v>647</v>
      </c>
    </row>
    <row r="1113" customFormat="false" ht="15" hidden="false" customHeight="false" outlineLevel="0" collapsed="false">
      <c r="A1113" s="39" t="s">
        <v>477</v>
      </c>
      <c r="B1113" s="40" t="str">
        <f aca="false" t="array" ref="B1113:B1113">_xlfn.XLOOKUP($A1113,TRIM(SUBSTITUTE('worker file'!$A$2:$A$406,_xlfn.UNICHAR(160)," ")),'worker file'!$L$2:$L$406,"Not found")</f>
        <v>US Semi-monthly</v>
      </c>
      <c r="C1113" s="40" t="str">
        <f aca="false" t="array" ref="C1113:C1113">_xlfn.XLOOKUP($A1113,TRIM(SUBSTITUTE('worker file'!$A$2:$A$406,_xlfn.UNICHAR(160)," ")),'worker file'!$D$2:$D$406,"Not found")</f>
        <v>TX</v>
      </c>
      <c r="D1113" s="40" t="str">
        <f aca="false" t="array" ref="D1113:D1113">_xlfn.XLOOKUP($A1113,TRIM(SUBSTITUTE('worker file'!$A$2:$A$406,_xlfn.UNICHAR(160)," ")),'worker file'!$Q$2:$Q$406,"Not found")</f>
        <v>New Hire</v>
      </c>
      <c r="E1113" s="39" t="s">
        <v>626</v>
      </c>
      <c r="F1113" s="38" t="str">
        <f aca="false">_xlfn.XLOOKUP($E1113,$A$5:$A$8,$B$5:$B$8,"")</f>
        <v>Medical (Health) – Employee</v>
      </c>
      <c r="G1113" s="38" t="str">
        <f aca="false">_xlfn.XLOOKUP($E1113,$A$5:$A$8,$D$5:$D$8,"")</f>
        <v>Pre-tax Section 125 (exempt from FIT/SIT/FICA)</v>
      </c>
      <c r="H1113" s="38" t="str">
        <f aca="false">_xlfn.XLOOKUP($E1113,$A$5:$A$8,$E$5:$E$8,"")</f>
        <v>Flat</v>
      </c>
      <c r="I1113" s="44" t="str">
        <f aca="false">IF($H1113="Percent",_xlfn.XLOOKUP($E1113,$A$5:$A$8,$F$5:$F$8,""),"")</f>
        <v/>
      </c>
      <c r="J1113" s="42" t="n">
        <f aca="false">IF($H1113="Flat",_xlfn.XLOOKUP($E1113,$A$5:$A$8,$F$5:$F$8,""),"")</f>
        <v>200</v>
      </c>
      <c r="K1113" s="38" t="str">
        <f aca="false">_xlfn.XLOOKUP($E1113,$A$5:$A$8,$G$5:$G$8,"")</f>
        <v>Per pay period</v>
      </c>
      <c r="L1113" s="38" t="str">
        <f aca="false">_xlfn.XLOOKUP($E1113,$A$5:$A$8,$H$5:$H$8,"")</f>
        <v>Every pay period (ongoing)</v>
      </c>
      <c r="M1113" s="43" t="n">
        <f aca="false" t="array" ref="M1113:M1113">MAX(_xlfn.XLOOKUP($A1113,TRIM(SUBSTITUTE('worker file'!$A$2:$A$406,_xlfn.UNICHAR(160)," ")),'worker file'!$M$2:$M$406,0),_xlfn.XLOOKUP($B1113,TRIM('pay group &amp; schedule'!$A$2:$A$6),'pay group &amp; schedule'!$D$2:$D$6,0))</f>
        <v>46317</v>
      </c>
      <c r="N1113" s="43" t="str">
        <f aca="false" t="array" ref="N1113:N1113">_xlfn.LET(_xlpm.t,_xlfn.XLOOKUP($A1113,TRIM(SUBSTITUTE('worker file'!$A$2:$A$406,_xlfn.UNICHAR(160)," ")),'worker file'!$N$2:$N$406,""),IF(N(_xlpm.t)=0,"",_xlpm.t))</f>
        <v/>
      </c>
      <c r="O1113" s="0" t="s">
        <v>647</v>
      </c>
    </row>
    <row r="1114" customFormat="false" ht="15" hidden="false" customHeight="false" outlineLevel="0" collapsed="false">
      <c r="A1114" s="39" t="s">
        <v>477</v>
      </c>
      <c r="B1114" s="40" t="str">
        <f aca="false" t="array" ref="B1114:B1114">_xlfn.XLOOKUP($A1114,TRIM(SUBSTITUTE('worker file'!$A$2:$A$406,_xlfn.UNICHAR(160)," ")),'worker file'!$L$2:$L$406,"Not found")</f>
        <v>US Semi-monthly</v>
      </c>
      <c r="C1114" s="40" t="str">
        <f aca="false" t="array" ref="C1114:C1114">_xlfn.XLOOKUP($A1114,TRIM(SUBSTITUTE('worker file'!$A$2:$A$406,_xlfn.UNICHAR(160)," ")),'worker file'!$D$2:$D$406,"Not found")</f>
        <v>TX</v>
      </c>
      <c r="D1114" s="40" t="str">
        <f aca="false" t="array" ref="D1114:D1114">_xlfn.XLOOKUP($A1114,TRIM(SUBSTITUTE('worker file'!$A$2:$A$406,_xlfn.UNICHAR(160)," ")),'worker file'!$Q$2:$Q$406,"Not found")</f>
        <v>New Hire</v>
      </c>
      <c r="E1114" s="39" t="s">
        <v>632</v>
      </c>
      <c r="F1114" s="38" t="str">
        <f aca="false">_xlfn.XLOOKUP($E1114,$A$5:$A$8,$B$5:$B$8,"")</f>
        <v>Dental – Employee</v>
      </c>
      <c r="G1114" s="38" t="str">
        <f aca="false">_xlfn.XLOOKUP($E1114,$A$5:$A$8,$D$5:$D$8,"")</f>
        <v>Pre-tax Section 125 (exempt from FIT/SIT/FICA)</v>
      </c>
      <c r="H1114" s="38" t="str">
        <f aca="false">_xlfn.XLOOKUP($E1114,$A$5:$A$8,$E$5:$E$8,"")</f>
        <v>Flat</v>
      </c>
      <c r="I1114" s="44" t="str">
        <f aca="false">IF($H1114="Percent",_xlfn.XLOOKUP($E1114,$A$5:$A$8,$F$5:$F$8,""),"")</f>
        <v/>
      </c>
      <c r="J1114" s="42" t="n">
        <f aca="false">IF($H1114="Flat",_xlfn.XLOOKUP($E1114,$A$5:$A$8,$F$5:$F$8,""),"")</f>
        <v>44</v>
      </c>
      <c r="K1114" s="38" t="str">
        <f aca="false">_xlfn.XLOOKUP($E1114,$A$5:$A$8,$G$5:$G$8,"")</f>
        <v>Per pay period</v>
      </c>
      <c r="L1114" s="38" t="str">
        <f aca="false">_xlfn.XLOOKUP($E1114,$A$5:$A$8,$H$5:$H$8,"")</f>
        <v>Every pay period (ongoing)</v>
      </c>
      <c r="M1114" s="43" t="n">
        <f aca="false" t="array" ref="M1114:M1114">MAX(_xlfn.XLOOKUP($A1114,TRIM(SUBSTITUTE('worker file'!$A$2:$A$406,_xlfn.UNICHAR(160)," ")),'worker file'!$M$2:$M$406,0),_xlfn.XLOOKUP($B1114,TRIM('pay group &amp; schedule'!$A$2:$A$6),'pay group &amp; schedule'!$D$2:$D$6,0))</f>
        <v>46317</v>
      </c>
      <c r="N1114" s="43" t="str">
        <f aca="false" t="array" ref="N1114:N1114">_xlfn.LET(_xlpm.t,_xlfn.XLOOKUP($A1114,TRIM(SUBSTITUTE('worker file'!$A$2:$A$406,_xlfn.UNICHAR(160)," ")),'worker file'!$N$2:$N$406,""),IF(N(_xlpm.t)=0,"",_xlpm.t))</f>
        <v/>
      </c>
      <c r="O1114" s="0" t="s">
        <v>647</v>
      </c>
    </row>
    <row r="1115" customFormat="false" ht="15" hidden="false" customHeight="false" outlineLevel="0" collapsed="false">
      <c r="A1115" s="39" t="s">
        <v>477</v>
      </c>
      <c r="B1115" s="40" t="str">
        <f aca="false" t="array" ref="B1115:B1115">_xlfn.XLOOKUP($A1115,TRIM(SUBSTITUTE('worker file'!$A$2:$A$406,_xlfn.UNICHAR(160)," ")),'worker file'!$L$2:$L$406,"Not found")</f>
        <v>US Semi-monthly</v>
      </c>
      <c r="C1115" s="40" t="str">
        <f aca="false" t="array" ref="C1115:C1115">_xlfn.XLOOKUP($A1115,TRIM(SUBSTITUTE('worker file'!$A$2:$A$406,_xlfn.UNICHAR(160)," ")),'worker file'!$D$2:$D$406,"Not found")</f>
        <v>TX</v>
      </c>
      <c r="D1115" s="40" t="str">
        <f aca="false" t="array" ref="D1115:D1115">_xlfn.XLOOKUP($A1115,TRIM(SUBSTITUTE('worker file'!$A$2:$A$406,_xlfn.UNICHAR(160)," ")),'worker file'!$Q$2:$Q$406,"Not found")</f>
        <v>New Hire</v>
      </c>
      <c r="E1115" s="39" t="s">
        <v>634</v>
      </c>
      <c r="F1115" s="38" t="str">
        <f aca="false">_xlfn.XLOOKUP($E1115,$A$5:$A$8,$B$5:$B$8,"")</f>
        <v>Vision – Employee</v>
      </c>
      <c r="G1115" s="38" t="str">
        <f aca="false">_xlfn.XLOOKUP($E1115,$A$5:$A$8,$D$5:$D$8,"")</f>
        <v>Pre-tax Section 125 (exempt from FIT/SIT/FICA)</v>
      </c>
      <c r="H1115" s="38" t="str">
        <f aca="false">_xlfn.XLOOKUP($E1115,$A$5:$A$8,$E$5:$E$8,"")</f>
        <v>Flat</v>
      </c>
      <c r="I1115" s="44" t="str">
        <f aca="false">IF($H1115="Percent",_xlfn.XLOOKUP($E1115,$A$5:$A$8,$F$5:$F$8,""),"")</f>
        <v/>
      </c>
      <c r="J1115" s="42" t="n">
        <f aca="false">IF($H1115="Flat",_xlfn.XLOOKUP($E1115,$A$5:$A$8,$F$5:$F$8,""),"")</f>
        <v>30</v>
      </c>
      <c r="K1115" s="38" t="str">
        <f aca="false">_xlfn.XLOOKUP($E1115,$A$5:$A$8,$G$5:$G$8,"")</f>
        <v>Per pay period</v>
      </c>
      <c r="L1115" s="38" t="str">
        <f aca="false">_xlfn.XLOOKUP($E1115,$A$5:$A$8,$H$5:$H$8,"")</f>
        <v>Every pay period (ongoing)</v>
      </c>
      <c r="M1115" s="43" t="n">
        <f aca="false" t="array" ref="M1115:M1115">MAX(_xlfn.XLOOKUP($A1115,TRIM(SUBSTITUTE('worker file'!$A$2:$A$406,_xlfn.UNICHAR(160)," ")),'worker file'!$M$2:$M$406,0),_xlfn.XLOOKUP($B1115,TRIM('pay group &amp; schedule'!$A$2:$A$6),'pay group &amp; schedule'!$D$2:$D$6,0))</f>
        <v>46317</v>
      </c>
      <c r="N1115" s="43" t="str">
        <f aca="false" t="array" ref="N1115:N1115">_xlfn.LET(_xlpm.t,_xlfn.XLOOKUP($A1115,TRIM(SUBSTITUTE('worker file'!$A$2:$A$406,_xlfn.UNICHAR(160)," ")),'worker file'!$N$2:$N$406,""),IF(N(_xlpm.t)=0,"",_xlpm.t))</f>
        <v/>
      </c>
      <c r="O1115" s="0" t="s">
        <v>647</v>
      </c>
    </row>
    <row r="1116" customFormat="false" ht="15" hidden="false" customHeight="false" outlineLevel="0" collapsed="false">
      <c r="A1116" s="39" t="s">
        <v>478</v>
      </c>
      <c r="B1116" s="40" t="str">
        <f aca="false" t="array" ref="B1116:B1116">_xlfn.XLOOKUP($A1116,TRIM(SUBSTITUTE('worker file'!$A$2:$A$406,_xlfn.UNICHAR(160)," ")),'worker file'!$L$2:$L$406,"Not found")</f>
        <v>US Biweekly</v>
      </c>
      <c r="C1116" s="40" t="str">
        <f aca="false" t="array" ref="C1116:C1116">_xlfn.XLOOKUP($A1116,TRIM(SUBSTITUTE('worker file'!$A$2:$A$406,_xlfn.UNICHAR(160)," ")),'worker file'!$D$2:$D$406,"Not found")</f>
        <v>TX</v>
      </c>
      <c r="D1116" s="40" t="str">
        <f aca="false" t="array" ref="D1116:D1116">_xlfn.XLOOKUP($A1116,TRIM(SUBSTITUTE('worker file'!$A$2:$A$406,_xlfn.UNICHAR(160)," ")),'worker file'!$Q$2:$Q$406,"Not found")</f>
        <v>New Hire</v>
      </c>
      <c r="E1116" s="39" t="s">
        <v>618</v>
      </c>
      <c r="F1116" s="38" t="str">
        <f aca="false">_xlfn.XLOOKUP($E1116,$A$5:$A$8,$B$5:$B$8,"")</f>
        <v>401(k) Employee Deferral</v>
      </c>
      <c r="G1116" s="38" t="str">
        <f aca="false">_xlfn.XLOOKUP($E1116,$A$5:$A$8,$D$5:$D$8,"")</f>
        <v>Pre-tax (exempt from FIT/SIT; subject to FICA)</v>
      </c>
      <c r="H1116" s="38" t="str">
        <f aca="false">_xlfn.XLOOKUP($E1116,$A$5:$A$8,$E$5:$E$8,"")</f>
        <v>Percent</v>
      </c>
      <c r="I1116" s="41" t="n">
        <v>0.02</v>
      </c>
      <c r="J1116" s="42" t="str">
        <f aca="false">IF($H1116="Flat",_xlfn.XLOOKUP($E1116,$A$5:$A$8,$F$5:$F$8,""),"")</f>
        <v/>
      </c>
      <c r="K1116" s="38" t="str">
        <f aca="false">_xlfn.XLOOKUP($E1116,$A$5:$A$8,$G$5:$G$8,"")</f>
        <v>Gross pay</v>
      </c>
      <c r="L1116" s="38" t="str">
        <f aca="false">_xlfn.XLOOKUP($E1116,$A$5:$A$8,$H$5:$H$8,"")</f>
        <v>Every pay period (ongoing)</v>
      </c>
      <c r="M1116" s="43" t="n">
        <f aca="false" t="array" ref="M1116:M1116">MAX(_xlfn.XLOOKUP($A1116,TRIM(SUBSTITUTE('worker file'!$A$2:$A$406,_xlfn.UNICHAR(160)," ")),'worker file'!$M$2:$M$406,0),_xlfn.XLOOKUP($B1116,TRIM('pay group &amp; schedule'!$A$2:$A$6),'pay group &amp; schedule'!$D$2:$D$6,0))</f>
        <v>46309</v>
      </c>
      <c r="N1116" s="43" t="str">
        <f aca="false" t="array" ref="N1116:N1116">_xlfn.LET(_xlpm.t,_xlfn.XLOOKUP($A1116,TRIM(SUBSTITUTE('worker file'!$A$2:$A$406,_xlfn.UNICHAR(160)," ")),'worker file'!$N$2:$N$406,""),IF(N(_xlpm.t)=0,"",_xlpm.t))</f>
        <v/>
      </c>
      <c r="O1116" s="0" t="s">
        <v>647</v>
      </c>
    </row>
    <row r="1117" customFormat="false" ht="15" hidden="false" customHeight="false" outlineLevel="0" collapsed="false">
      <c r="A1117" s="39" t="s">
        <v>478</v>
      </c>
      <c r="B1117" s="40" t="str">
        <f aca="false" t="array" ref="B1117:B1117">_xlfn.XLOOKUP($A1117,TRIM(SUBSTITUTE('worker file'!$A$2:$A$406,_xlfn.UNICHAR(160)," ")),'worker file'!$L$2:$L$406,"Not found")</f>
        <v>US Biweekly</v>
      </c>
      <c r="C1117" s="40" t="str">
        <f aca="false" t="array" ref="C1117:C1117">_xlfn.XLOOKUP($A1117,TRIM(SUBSTITUTE('worker file'!$A$2:$A$406,_xlfn.UNICHAR(160)," ")),'worker file'!$D$2:$D$406,"Not found")</f>
        <v>TX</v>
      </c>
      <c r="D1117" s="40" t="str">
        <f aca="false" t="array" ref="D1117:D1117">_xlfn.XLOOKUP($A1117,TRIM(SUBSTITUTE('worker file'!$A$2:$A$406,_xlfn.UNICHAR(160)," ")),'worker file'!$Q$2:$Q$406,"Not found")</f>
        <v>New Hire</v>
      </c>
      <c r="E1117" s="39" t="s">
        <v>626</v>
      </c>
      <c r="F1117" s="38" t="str">
        <f aca="false">_xlfn.XLOOKUP($E1117,$A$5:$A$8,$B$5:$B$8,"")</f>
        <v>Medical (Health) – Employee</v>
      </c>
      <c r="G1117" s="38" t="str">
        <f aca="false">_xlfn.XLOOKUP($E1117,$A$5:$A$8,$D$5:$D$8,"")</f>
        <v>Pre-tax Section 125 (exempt from FIT/SIT/FICA)</v>
      </c>
      <c r="H1117" s="38" t="str">
        <f aca="false">_xlfn.XLOOKUP($E1117,$A$5:$A$8,$E$5:$E$8,"")</f>
        <v>Flat</v>
      </c>
      <c r="I1117" s="44" t="str">
        <f aca="false">IF($H1117="Percent",_xlfn.XLOOKUP($E1117,$A$5:$A$8,$F$5:$F$8,""),"")</f>
        <v/>
      </c>
      <c r="J1117" s="42" t="n">
        <f aca="false">IF($H1117="Flat",_xlfn.XLOOKUP($E1117,$A$5:$A$8,$F$5:$F$8,""),"")</f>
        <v>200</v>
      </c>
      <c r="K1117" s="38" t="str">
        <f aca="false">_xlfn.XLOOKUP($E1117,$A$5:$A$8,$G$5:$G$8,"")</f>
        <v>Per pay period</v>
      </c>
      <c r="L1117" s="38" t="str">
        <f aca="false">_xlfn.XLOOKUP($E1117,$A$5:$A$8,$H$5:$H$8,"")</f>
        <v>Every pay period (ongoing)</v>
      </c>
      <c r="M1117" s="43" t="n">
        <f aca="false" t="array" ref="M1117:M1117">MAX(_xlfn.XLOOKUP($A1117,TRIM(SUBSTITUTE('worker file'!$A$2:$A$406,_xlfn.UNICHAR(160)," ")),'worker file'!$M$2:$M$406,0),_xlfn.XLOOKUP($B1117,TRIM('pay group &amp; schedule'!$A$2:$A$6),'pay group &amp; schedule'!$D$2:$D$6,0))</f>
        <v>46309</v>
      </c>
      <c r="N1117" s="43" t="str">
        <f aca="false" t="array" ref="N1117:N1117">_xlfn.LET(_xlpm.t,_xlfn.XLOOKUP($A1117,TRIM(SUBSTITUTE('worker file'!$A$2:$A$406,_xlfn.UNICHAR(160)," ")),'worker file'!$N$2:$N$406,""),IF(N(_xlpm.t)=0,"",_xlpm.t))</f>
        <v/>
      </c>
      <c r="O1117" s="0" t="s">
        <v>647</v>
      </c>
    </row>
    <row r="1118" customFormat="false" ht="15" hidden="false" customHeight="false" outlineLevel="0" collapsed="false">
      <c r="A1118" s="39" t="s">
        <v>478</v>
      </c>
      <c r="B1118" s="40" t="str">
        <f aca="false" t="array" ref="B1118:B1118">_xlfn.XLOOKUP($A1118,TRIM(SUBSTITUTE('worker file'!$A$2:$A$406,_xlfn.UNICHAR(160)," ")),'worker file'!$L$2:$L$406,"Not found")</f>
        <v>US Biweekly</v>
      </c>
      <c r="C1118" s="40" t="str">
        <f aca="false" t="array" ref="C1118:C1118">_xlfn.XLOOKUP($A1118,TRIM(SUBSTITUTE('worker file'!$A$2:$A$406,_xlfn.UNICHAR(160)," ")),'worker file'!$D$2:$D$406,"Not found")</f>
        <v>TX</v>
      </c>
      <c r="D1118" s="40" t="str">
        <f aca="false" t="array" ref="D1118:D1118">_xlfn.XLOOKUP($A1118,TRIM(SUBSTITUTE('worker file'!$A$2:$A$406,_xlfn.UNICHAR(160)," ")),'worker file'!$Q$2:$Q$406,"Not found")</f>
        <v>New Hire</v>
      </c>
      <c r="E1118" s="39" t="s">
        <v>632</v>
      </c>
      <c r="F1118" s="38" t="str">
        <f aca="false">_xlfn.XLOOKUP($E1118,$A$5:$A$8,$B$5:$B$8,"")</f>
        <v>Dental – Employee</v>
      </c>
      <c r="G1118" s="38" t="str">
        <f aca="false">_xlfn.XLOOKUP($E1118,$A$5:$A$8,$D$5:$D$8,"")</f>
        <v>Pre-tax Section 125 (exempt from FIT/SIT/FICA)</v>
      </c>
      <c r="H1118" s="38" t="str">
        <f aca="false">_xlfn.XLOOKUP($E1118,$A$5:$A$8,$E$5:$E$8,"")</f>
        <v>Flat</v>
      </c>
      <c r="I1118" s="44" t="str">
        <f aca="false">IF($H1118="Percent",_xlfn.XLOOKUP($E1118,$A$5:$A$8,$F$5:$F$8,""),"")</f>
        <v/>
      </c>
      <c r="J1118" s="42" t="n">
        <f aca="false">IF($H1118="Flat",_xlfn.XLOOKUP($E1118,$A$5:$A$8,$F$5:$F$8,""),"")</f>
        <v>44</v>
      </c>
      <c r="K1118" s="38" t="str">
        <f aca="false">_xlfn.XLOOKUP($E1118,$A$5:$A$8,$G$5:$G$8,"")</f>
        <v>Per pay period</v>
      </c>
      <c r="L1118" s="38" t="str">
        <f aca="false">_xlfn.XLOOKUP($E1118,$A$5:$A$8,$H$5:$H$8,"")</f>
        <v>Every pay period (ongoing)</v>
      </c>
      <c r="M1118" s="43" t="n">
        <f aca="false" t="array" ref="M1118:M1118">MAX(_xlfn.XLOOKUP($A1118,TRIM(SUBSTITUTE('worker file'!$A$2:$A$406,_xlfn.UNICHAR(160)," ")),'worker file'!$M$2:$M$406,0),_xlfn.XLOOKUP($B1118,TRIM('pay group &amp; schedule'!$A$2:$A$6),'pay group &amp; schedule'!$D$2:$D$6,0))</f>
        <v>46309</v>
      </c>
      <c r="N1118" s="43" t="str">
        <f aca="false" t="array" ref="N1118:N1118">_xlfn.LET(_xlpm.t,_xlfn.XLOOKUP($A1118,TRIM(SUBSTITUTE('worker file'!$A$2:$A$406,_xlfn.UNICHAR(160)," ")),'worker file'!$N$2:$N$406,""),IF(N(_xlpm.t)=0,"",_xlpm.t))</f>
        <v/>
      </c>
      <c r="O1118" s="0" t="s">
        <v>647</v>
      </c>
    </row>
    <row r="1119" customFormat="false" ht="15" hidden="false" customHeight="false" outlineLevel="0" collapsed="false">
      <c r="A1119" s="39" t="s">
        <v>478</v>
      </c>
      <c r="B1119" s="40" t="str">
        <f aca="false" t="array" ref="B1119:B1119">_xlfn.XLOOKUP($A1119,TRIM(SUBSTITUTE('worker file'!$A$2:$A$406,_xlfn.UNICHAR(160)," ")),'worker file'!$L$2:$L$406,"Not found")</f>
        <v>US Biweekly</v>
      </c>
      <c r="C1119" s="40" t="str">
        <f aca="false" t="array" ref="C1119:C1119">_xlfn.XLOOKUP($A1119,TRIM(SUBSTITUTE('worker file'!$A$2:$A$406,_xlfn.UNICHAR(160)," ")),'worker file'!$D$2:$D$406,"Not found")</f>
        <v>TX</v>
      </c>
      <c r="D1119" s="40" t="str">
        <f aca="false" t="array" ref="D1119:D1119">_xlfn.XLOOKUP($A1119,TRIM(SUBSTITUTE('worker file'!$A$2:$A$406,_xlfn.UNICHAR(160)," ")),'worker file'!$Q$2:$Q$406,"Not found")</f>
        <v>New Hire</v>
      </c>
      <c r="E1119" s="39" t="s">
        <v>634</v>
      </c>
      <c r="F1119" s="38" t="str">
        <f aca="false">_xlfn.XLOOKUP($E1119,$A$5:$A$8,$B$5:$B$8,"")</f>
        <v>Vision – Employee</v>
      </c>
      <c r="G1119" s="38" t="str">
        <f aca="false">_xlfn.XLOOKUP($E1119,$A$5:$A$8,$D$5:$D$8,"")</f>
        <v>Pre-tax Section 125 (exempt from FIT/SIT/FICA)</v>
      </c>
      <c r="H1119" s="38" t="str">
        <f aca="false">_xlfn.XLOOKUP($E1119,$A$5:$A$8,$E$5:$E$8,"")</f>
        <v>Flat</v>
      </c>
      <c r="I1119" s="44" t="str">
        <f aca="false">IF($H1119="Percent",_xlfn.XLOOKUP($E1119,$A$5:$A$8,$F$5:$F$8,""),"")</f>
        <v/>
      </c>
      <c r="J1119" s="42" t="n">
        <f aca="false">IF($H1119="Flat",_xlfn.XLOOKUP($E1119,$A$5:$A$8,$F$5:$F$8,""),"")</f>
        <v>30</v>
      </c>
      <c r="K1119" s="38" t="str">
        <f aca="false">_xlfn.XLOOKUP($E1119,$A$5:$A$8,$G$5:$G$8,"")</f>
        <v>Per pay period</v>
      </c>
      <c r="L1119" s="38" t="str">
        <f aca="false">_xlfn.XLOOKUP($E1119,$A$5:$A$8,$H$5:$H$8,"")</f>
        <v>Every pay period (ongoing)</v>
      </c>
      <c r="M1119" s="43" t="n">
        <f aca="false" t="array" ref="M1119:M1119">MAX(_xlfn.XLOOKUP($A1119,TRIM(SUBSTITUTE('worker file'!$A$2:$A$406,_xlfn.UNICHAR(160)," ")),'worker file'!$M$2:$M$406,0),_xlfn.XLOOKUP($B1119,TRIM('pay group &amp; schedule'!$A$2:$A$6),'pay group &amp; schedule'!$D$2:$D$6,0))</f>
        <v>46309</v>
      </c>
      <c r="N1119" s="43" t="str">
        <f aca="false" t="array" ref="N1119:N1119">_xlfn.LET(_xlpm.t,_xlfn.XLOOKUP($A1119,TRIM(SUBSTITUTE('worker file'!$A$2:$A$406,_xlfn.UNICHAR(160)," ")),'worker file'!$N$2:$N$406,""),IF(N(_xlpm.t)=0,"",_xlpm.t))</f>
        <v/>
      </c>
      <c r="O1119" s="0" t="s">
        <v>647</v>
      </c>
    </row>
    <row r="1120" customFormat="false" ht="15" hidden="false" customHeight="false" outlineLevel="0" collapsed="false">
      <c r="A1120" s="39" t="s">
        <v>479</v>
      </c>
      <c r="B1120" s="40" t="str">
        <f aca="false" t="array" ref="B1120:B1120">_xlfn.XLOOKUP($A1120,TRIM(SUBSTITUTE('worker file'!$A$2:$A$406,_xlfn.UNICHAR(160)," ")),'worker file'!$L$2:$L$406,"Not found")</f>
        <v>US Semi-monthly</v>
      </c>
      <c r="C1120" s="40" t="str">
        <f aca="false" t="array" ref="C1120:C1120">_xlfn.XLOOKUP($A1120,TRIM(SUBSTITUTE('worker file'!$A$2:$A$406,_xlfn.UNICHAR(160)," ")),'worker file'!$D$2:$D$406,"Not found")</f>
        <v>WA</v>
      </c>
      <c r="D1120" s="40" t="str">
        <f aca="false" t="array" ref="D1120:D1120">_xlfn.XLOOKUP($A1120,TRIM(SUBSTITUTE('worker file'!$A$2:$A$406,_xlfn.UNICHAR(160)," ")),'worker file'!$Q$2:$Q$406,"Not found")</f>
        <v>New Hire</v>
      </c>
      <c r="E1120" s="39" t="s">
        <v>618</v>
      </c>
      <c r="F1120" s="38" t="str">
        <f aca="false">_xlfn.XLOOKUP($E1120,$A$5:$A$8,$B$5:$B$8,"")</f>
        <v>401(k) Employee Deferral</v>
      </c>
      <c r="G1120" s="38" t="str">
        <f aca="false">_xlfn.XLOOKUP($E1120,$A$5:$A$8,$D$5:$D$8,"")</f>
        <v>Pre-tax (exempt from FIT/SIT; subject to FICA)</v>
      </c>
      <c r="H1120" s="38" t="str">
        <f aca="false">_xlfn.XLOOKUP($E1120,$A$5:$A$8,$E$5:$E$8,"")</f>
        <v>Percent</v>
      </c>
      <c r="I1120" s="41" t="n">
        <v>0.07</v>
      </c>
      <c r="J1120" s="42" t="str">
        <f aca="false">IF($H1120="Flat",_xlfn.XLOOKUP($E1120,$A$5:$A$8,$F$5:$F$8,""),"")</f>
        <v/>
      </c>
      <c r="K1120" s="38" t="str">
        <f aca="false">_xlfn.XLOOKUP($E1120,$A$5:$A$8,$G$5:$G$8,"")</f>
        <v>Gross pay</v>
      </c>
      <c r="L1120" s="38" t="str">
        <f aca="false">_xlfn.XLOOKUP($E1120,$A$5:$A$8,$H$5:$H$8,"")</f>
        <v>Every pay period (ongoing)</v>
      </c>
      <c r="M1120" s="43" t="n">
        <f aca="false" t="array" ref="M1120:M1120">MAX(_xlfn.XLOOKUP($A1120,TRIM(SUBSTITUTE('worker file'!$A$2:$A$406,_xlfn.UNICHAR(160)," ")),'worker file'!$M$2:$M$406,0),_xlfn.XLOOKUP($B1120,TRIM('pay group &amp; schedule'!$A$2:$A$6),'pay group &amp; schedule'!$D$2:$D$6,0))</f>
        <v>46321</v>
      </c>
      <c r="N1120" s="43" t="str">
        <f aca="false" t="array" ref="N1120:N1120">_xlfn.LET(_xlpm.t,_xlfn.XLOOKUP($A1120,TRIM(SUBSTITUTE('worker file'!$A$2:$A$406,_xlfn.UNICHAR(160)," ")),'worker file'!$N$2:$N$406,""),IF(N(_xlpm.t)=0,"",_xlpm.t))</f>
        <v/>
      </c>
      <c r="O1120" s="0" t="s">
        <v>647</v>
      </c>
    </row>
    <row r="1121" customFormat="false" ht="15" hidden="false" customHeight="false" outlineLevel="0" collapsed="false">
      <c r="A1121" s="39" t="s">
        <v>479</v>
      </c>
      <c r="B1121" s="40" t="str">
        <f aca="false" t="array" ref="B1121:B1121">_xlfn.XLOOKUP($A1121,TRIM(SUBSTITUTE('worker file'!$A$2:$A$406,_xlfn.UNICHAR(160)," ")),'worker file'!$L$2:$L$406,"Not found")</f>
        <v>US Semi-monthly</v>
      </c>
      <c r="C1121" s="40" t="str">
        <f aca="false" t="array" ref="C1121:C1121">_xlfn.XLOOKUP($A1121,TRIM(SUBSTITUTE('worker file'!$A$2:$A$406,_xlfn.UNICHAR(160)," ")),'worker file'!$D$2:$D$406,"Not found")</f>
        <v>WA</v>
      </c>
      <c r="D1121" s="40" t="str">
        <f aca="false" t="array" ref="D1121:D1121">_xlfn.XLOOKUP($A1121,TRIM(SUBSTITUTE('worker file'!$A$2:$A$406,_xlfn.UNICHAR(160)," ")),'worker file'!$Q$2:$Q$406,"Not found")</f>
        <v>New Hire</v>
      </c>
      <c r="E1121" s="39" t="s">
        <v>626</v>
      </c>
      <c r="F1121" s="38" t="str">
        <f aca="false">_xlfn.XLOOKUP($E1121,$A$5:$A$8,$B$5:$B$8,"")</f>
        <v>Medical (Health) – Employee</v>
      </c>
      <c r="G1121" s="38" t="str">
        <f aca="false">_xlfn.XLOOKUP($E1121,$A$5:$A$8,$D$5:$D$8,"")</f>
        <v>Pre-tax Section 125 (exempt from FIT/SIT/FICA)</v>
      </c>
      <c r="H1121" s="38" t="str">
        <f aca="false">_xlfn.XLOOKUP($E1121,$A$5:$A$8,$E$5:$E$8,"")</f>
        <v>Flat</v>
      </c>
      <c r="I1121" s="44" t="str">
        <f aca="false">IF($H1121="Percent",_xlfn.XLOOKUP($E1121,$A$5:$A$8,$F$5:$F$8,""),"")</f>
        <v/>
      </c>
      <c r="J1121" s="42" t="n">
        <f aca="false">IF($H1121="Flat",_xlfn.XLOOKUP($E1121,$A$5:$A$8,$F$5:$F$8,""),"")</f>
        <v>200</v>
      </c>
      <c r="K1121" s="38" t="str">
        <f aca="false">_xlfn.XLOOKUP($E1121,$A$5:$A$8,$G$5:$G$8,"")</f>
        <v>Per pay period</v>
      </c>
      <c r="L1121" s="38" t="str">
        <f aca="false">_xlfn.XLOOKUP($E1121,$A$5:$A$8,$H$5:$H$8,"")</f>
        <v>Every pay period (ongoing)</v>
      </c>
      <c r="M1121" s="43" t="n">
        <f aca="false" t="array" ref="M1121:M1121">MAX(_xlfn.XLOOKUP($A1121,TRIM(SUBSTITUTE('worker file'!$A$2:$A$406,_xlfn.UNICHAR(160)," ")),'worker file'!$M$2:$M$406,0),_xlfn.XLOOKUP($B1121,TRIM('pay group &amp; schedule'!$A$2:$A$6),'pay group &amp; schedule'!$D$2:$D$6,0))</f>
        <v>46321</v>
      </c>
      <c r="N1121" s="43" t="str">
        <f aca="false" t="array" ref="N1121:N1121">_xlfn.LET(_xlpm.t,_xlfn.XLOOKUP($A1121,TRIM(SUBSTITUTE('worker file'!$A$2:$A$406,_xlfn.UNICHAR(160)," ")),'worker file'!$N$2:$N$406,""),IF(N(_xlpm.t)=0,"",_xlpm.t))</f>
        <v/>
      </c>
      <c r="O1121" s="0" t="s">
        <v>647</v>
      </c>
    </row>
    <row r="1122" customFormat="false" ht="15" hidden="false" customHeight="false" outlineLevel="0" collapsed="false">
      <c r="A1122" s="39" t="s">
        <v>479</v>
      </c>
      <c r="B1122" s="40" t="str">
        <f aca="false" t="array" ref="B1122:B1122">_xlfn.XLOOKUP($A1122,TRIM(SUBSTITUTE('worker file'!$A$2:$A$406,_xlfn.UNICHAR(160)," ")),'worker file'!$L$2:$L$406,"Not found")</f>
        <v>US Semi-monthly</v>
      </c>
      <c r="C1122" s="40" t="str">
        <f aca="false" t="array" ref="C1122:C1122">_xlfn.XLOOKUP($A1122,TRIM(SUBSTITUTE('worker file'!$A$2:$A$406,_xlfn.UNICHAR(160)," ")),'worker file'!$D$2:$D$406,"Not found")</f>
        <v>WA</v>
      </c>
      <c r="D1122" s="40" t="str">
        <f aca="false" t="array" ref="D1122:D1122">_xlfn.XLOOKUP($A1122,TRIM(SUBSTITUTE('worker file'!$A$2:$A$406,_xlfn.UNICHAR(160)," ")),'worker file'!$Q$2:$Q$406,"Not found")</f>
        <v>New Hire</v>
      </c>
      <c r="E1122" s="39" t="s">
        <v>632</v>
      </c>
      <c r="F1122" s="38" t="str">
        <f aca="false">_xlfn.XLOOKUP($E1122,$A$5:$A$8,$B$5:$B$8,"")</f>
        <v>Dental – Employee</v>
      </c>
      <c r="G1122" s="38" t="str">
        <f aca="false">_xlfn.XLOOKUP($E1122,$A$5:$A$8,$D$5:$D$8,"")</f>
        <v>Pre-tax Section 125 (exempt from FIT/SIT/FICA)</v>
      </c>
      <c r="H1122" s="38" t="str">
        <f aca="false">_xlfn.XLOOKUP($E1122,$A$5:$A$8,$E$5:$E$8,"")</f>
        <v>Flat</v>
      </c>
      <c r="I1122" s="44" t="str">
        <f aca="false">IF($H1122="Percent",_xlfn.XLOOKUP($E1122,$A$5:$A$8,$F$5:$F$8,""),"")</f>
        <v/>
      </c>
      <c r="J1122" s="42" t="n">
        <f aca="false">IF($H1122="Flat",_xlfn.XLOOKUP($E1122,$A$5:$A$8,$F$5:$F$8,""),"")</f>
        <v>44</v>
      </c>
      <c r="K1122" s="38" t="str">
        <f aca="false">_xlfn.XLOOKUP($E1122,$A$5:$A$8,$G$5:$G$8,"")</f>
        <v>Per pay period</v>
      </c>
      <c r="L1122" s="38" t="str">
        <f aca="false">_xlfn.XLOOKUP($E1122,$A$5:$A$8,$H$5:$H$8,"")</f>
        <v>Every pay period (ongoing)</v>
      </c>
      <c r="M1122" s="43" t="n">
        <f aca="false" t="array" ref="M1122:M1122">MAX(_xlfn.XLOOKUP($A1122,TRIM(SUBSTITUTE('worker file'!$A$2:$A$406,_xlfn.UNICHAR(160)," ")),'worker file'!$M$2:$M$406,0),_xlfn.XLOOKUP($B1122,TRIM('pay group &amp; schedule'!$A$2:$A$6),'pay group &amp; schedule'!$D$2:$D$6,0))</f>
        <v>46321</v>
      </c>
      <c r="N1122" s="43" t="str">
        <f aca="false" t="array" ref="N1122:N1122">_xlfn.LET(_xlpm.t,_xlfn.XLOOKUP($A1122,TRIM(SUBSTITUTE('worker file'!$A$2:$A$406,_xlfn.UNICHAR(160)," ")),'worker file'!$N$2:$N$406,""),IF(N(_xlpm.t)=0,"",_xlpm.t))</f>
        <v/>
      </c>
      <c r="O1122" s="0" t="s">
        <v>647</v>
      </c>
    </row>
    <row r="1123" customFormat="false" ht="15" hidden="false" customHeight="false" outlineLevel="0" collapsed="false">
      <c r="A1123" s="39" t="s">
        <v>479</v>
      </c>
      <c r="B1123" s="40" t="str">
        <f aca="false" t="array" ref="B1123:B1123">_xlfn.XLOOKUP($A1123,TRIM(SUBSTITUTE('worker file'!$A$2:$A$406,_xlfn.UNICHAR(160)," ")),'worker file'!$L$2:$L$406,"Not found")</f>
        <v>US Semi-monthly</v>
      </c>
      <c r="C1123" s="40" t="str">
        <f aca="false" t="array" ref="C1123:C1123">_xlfn.XLOOKUP($A1123,TRIM(SUBSTITUTE('worker file'!$A$2:$A$406,_xlfn.UNICHAR(160)," ")),'worker file'!$D$2:$D$406,"Not found")</f>
        <v>WA</v>
      </c>
      <c r="D1123" s="40" t="str">
        <f aca="false" t="array" ref="D1123:D1123">_xlfn.XLOOKUP($A1123,TRIM(SUBSTITUTE('worker file'!$A$2:$A$406,_xlfn.UNICHAR(160)," ")),'worker file'!$Q$2:$Q$406,"Not found")</f>
        <v>New Hire</v>
      </c>
      <c r="E1123" s="39" t="s">
        <v>634</v>
      </c>
      <c r="F1123" s="38" t="str">
        <f aca="false">_xlfn.XLOOKUP($E1123,$A$5:$A$8,$B$5:$B$8,"")</f>
        <v>Vision – Employee</v>
      </c>
      <c r="G1123" s="38" t="str">
        <f aca="false">_xlfn.XLOOKUP($E1123,$A$5:$A$8,$D$5:$D$8,"")</f>
        <v>Pre-tax Section 125 (exempt from FIT/SIT/FICA)</v>
      </c>
      <c r="H1123" s="38" t="str">
        <f aca="false">_xlfn.XLOOKUP($E1123,$A$5:$A$8,$E$5:$E$8,"")</f>
        <v>Flat</v>
      </c>
      <c r="I1123" s="44" t="str">
        <f aca="false">IF($H1123="Percent",_xlfn.XLOOKUP($E1123,$A$5:$A$8,$F$5:$F$8,""),"")</f>
        <v/>
      </c>
      <c r="J1123" s="42" t="n">
        <f aca="false">IF($H1123="Flat",_xlfn.XLOOKUP($E1123,$A$5:$A$8,$F$5:$F$8,""),"")</f>
        <v>30</v>
      </c>
      <c r="K1123" s="38" t="str">
        <f aca="false">_xlfn.XLOOKUP($E1123,$A$5:$A$8,$G$5:$G$8,"")</f>
        <v>Per pay period</v>
      </c>
      <c r="L1123" s="38" t="str">
        <f aca="false">_xlfn.XLOOKUP($E1123,$A$5:$A$8,$H$5:$H$8,"")</f>
        <v>Every pay period (ongoing)</v>
      </c>
      <c r="M1123" s="43" t="n">
        <f aca="false" t="array" ref="M1123:M1123">MAX(_xlfn.XLOOKUP($A1123,TRIM(SUBSTITUTE('worker file'!$A$2:$A$406,_xlfn.UNICHAR(160)," ")),'worker file'!$M$2:$M$406,0),_xlfn.XLOOKUP($B1123,TRIM('pay group &amp; schedule'!$A$2:$A$6),'pay group &amp; schedule'!$D$2:$D$6,0))</f>
        <v>46321</v>
      </c>
      <c r="N1123" s="43" t="str">
        <f aca="false" t="array" ref="N1123:N1123">_xlfn.LET(_xlpm.t,_xlfn.XLOOKUP($A1123,TRIM(SUBSTITUTE('worker file'!$A$2:$A$406,_xlfn.UNICHAR(160)," ")),'worker file'!$N$2:$N$406,""),IF(N(_xlpm.t)=0,"",_xlpm.t))</f>
        <v/>
      </c>
      <c r="O1123" s="0" t="s">
        <v>647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7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1" topLeftCell="A51" activePane="bottomLeft" state="frozen"/>
      <selection pane="topLeft" activeCell="L1" activeCellId="0" sqref="L1"/>
      <selection pane="bottomLeft" activeCell="S77" activeCellId="0" sqref="S77"/>
    </sheetView>
  </sheetViews>
  <sheetFormatPr defaultColWidth="10.539062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.5"/>
    <col collapsed="false" customWidth="true" hidden="false" outlineLevel="0" max="5" min="3" style="0" width="14.17"/>
    <col collapsed="false" customWidth="true" hidden="false" outlineLevel="0" max="6" min="6" style="0" width="15.33"/>
    <col collapsed="false" customWidth="true" hidden="false" outlineLevel="0" max="7" min="7" style="0" width="16"/>
    <col collapsed="false" customWidth="true" hidden="false" outlineLevel="0" max="8" min="8" style="0" width="4.5"/>
    <col collapsed="false" customWidth="true" hidden="false" outlineLevel="0" max="9" min="9" style="0" width="20.16"/>
    <col collapsed="false" customWidth="true" hidden="false" outlineLevel="0" max="10" min="10" style="0" width="7.83"/>
    <col collapsed="false" customWidth="true" hidden="false" outlineLevel="0" max="11" min="11" style="0" width="4.67"/>
    <col collapsed="false" customWidth="true" hidden="false" outlineLevel="0" max="12" min="12" style="0" width="24.33"/>
    <col collapsed="false" customWidth="true" hidden="false" outlineLevel="0" max="13" min="13" style="0" width="8.33"/>
    <col collapsed="false" customWidth="true" hidden="false" outlineLevel="0" max="14" min="14" style="0" width="63.33"/>
    <col collapsed="false" customWidth="true" hidden="false" outlineLevel="0" max="15" min="15" style="0" width="17"/>
    <col collapsed="false" customWidth="true" hidden="false" outlineLevel="0" max="17" min="17" style="0" width="21.66"/>
    <col collapsed="false" customWidth="true" hidden="false" outlineLevel="0" max="19" min="19" style="0" width="34.17"/>
    <col collapsed="false" customWidth="true" hidden="false" outlineLevel="0" max="20" min="20" style="0" width="5"/>
  </cols>
  <sheetData>
    <row r="1" customFormat="false" ht="15" hidden="false" customHeight="false" outlineLevel="0" collapsed="false">
      <c r="A1" s="32" t="s">
        <v>637</v>
      </c>
      <c r="B1" s="32" t="s">
        <v>649</v>
      </c>
      <c r="C1" s="32" t="s">
        <v>11</v>
      </c>
      <c r="D1" s="32" t="s">
        <v>650</v>
      </c>
      <c r="E1" s="32" t="s">
        <v>651</v>
      </c>
      <c r="F1" s="32" t="s">
        <v>642</v>
      </c>
      <c r="G1" s="32" t="s">
        <v>643</v>
      </c>
      <c r="H1" s="32" t="s">
        <v>652</v>
      </c>
      <c r="I1" s="32" t="s">
        <v>653</v>
      </c>
      <c r="J1" s="32" t="s">
        <v>654</v>
      </c>
      <c r="K1" s="32" t="s">
        <v>546</v>
      </c>
      <c r="L1" s="32" t="s">
        <v>655</v>
      </c>
      <c r="M1" s="32" t="s">
        <v>16</v>
      </c>
      <c r="N1" s="32" t="s">
        <v>24</v>
      </c>
      <c r="O1" s="32" t="s">
        <v>656</v>
      </c>
      <c r="P1" s="32" t="s">
        <v>657</v>
      </c>
      <c r="Q1" s="32" t="s">
        <v>658</v>
      </c>
      <c r="S1" s="45" t="s">
        <v>659</v>
      </c>
    </row>
    <row r="2" customFormat="false" ht="15" hidden="false" customHeight="false" outlineLevel="0" collapsed="false">
      <c r="A2" s="39" t="s">
        <v>98</v>
      </c>
      <c r="B2" s="39" t="s">
        <v>660</v>
      </c>
      <c r="C2" s="40" t="str">
        <f aca="false" t="array" ref="C2:C2">_xlfn.XLOOKUP(A2,TRIM(SUBSTITUTE('worker file'!$A$2:$A$406,_xlfn.UNICHAR(160)," ")),'worker file'!$L$2:$L$406,"Not found")</f>
        <v>US Semi-monthly</v>
      </c>
      <c r="D2" s="46" t="n">
        <f aca="false" t="array" ref="D2:D2">_xlfn.XLOOKUP(C2,TRIM('pay group &amp; schedule'!$A$2:$A$6),'pay group &amp; schedule'!$D$2:$D$6,"")</f>
        <v>46311</v>
      </c>
      <c r="E2" s="46" t="n">
        <f aca="false" t="array" ref="E2:E2">_xlfn.XLOOKUP(C2,TRIM('pay group &amp; schedule'!$A$2:$A$6),'pay group &amp; schedule'!$E$2:$E$6,"")</f>
        <v>46326</v>
      </c>
      <c r="F2" s="47" t="n">
        <v>46315</v>
      </c>
      <c r="G2" s="43" t="n">
        <f aca="false">F2</f>
        <v>46315</v>
      </c>
      <c r="H2" s="38" t="str">
        <f aca="false">TEXT(F2,"ddd")</f>
        <v>Tue</v>
      </c>
      <c r="I2" s="39" t="s">
        <v>566</v>
      </c>
      <c r="J2" s="48" t="n">
        <v>8</v>
      </c>
      <c r="K2" s="40" t="str">
        <f aca="false" t="array" ref="K2:K2">IF(I2="","",_xlfn.LET(_xlpm.u,_xlfn.XLOOKUP(A2&amp;"|"&amp;I2,TRIM(SUBSTITUTE('absence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2" s="38" t="str">
        <f aca="false">IF(F2&gt;E2,"Future period",IF(AND(G2&lt;&gt;"",G2&lt;D2),"Prior period",IF(F2&lt;D2,"Started prior period – continues",IF(OR(G2="",G2&gt;E2),"Starts this period – continues","Current period"))))</f>
        <v>Current period</v>
      </c>
      <c r="M2" s="39" t="s">
        <v>661</v>
      </c>
      <c r="N2" s="39" t="s">
        <v>662</v>
      </c>
      <c r="O2" s="39"/>
      <c r="P2" s="39"/>
      <c r="Q2" s="39"/>
      <c r="S2" s="0" t="s">
        <v>663</v>
      </c>
      <c r="T2" s="0" t="n">
        <f aca="false" t="array" ref="T2:T2">COUNTA(_xlfn.UNIQUE(_xlfn._xlws.FILTER(A2:A77,B2:B77="Time Off")))</f>
        <v>10</v>
      </c>
    </row>
    <row r="3" customFormat="false" ht="15" hidden="false" customHeight="false" outlineLevel="0" collapsed="false">
      <c r="A3" s="39" t="s">
        <v>664</v>
      </c>
      <c r="B3" s="39" t="s">
        <v>660</v>
      </c>
      <c r="C3" s="40" t="str">
        <f aca="false" t="array" ref="C3:C3">_xlfn.XLOOKUP(A3,TRIM(SUBSTITUTE('worker file'!$A$2:$A$406,_xlfn.UNICHAR(160)," ")),'worker file'!$L$2:$L$406,"Not found")</f>
        <v>Canada Monthly</v>
      </c>
      <c r="D3" s="46" t="n">
        <f aca="false" t="array" ref="D3:D3">_xlfn.XLOOKUP(C3,TRIM('pay group &amp; schedule'!$A$2:$A$6),'pay group &amp; schedule'!$D$2:$D$6,"")</f>
        <v>46296</v>
      </c>
      <c r="E3" s="46" t="n">
        <f aca="false" t="array" ref="E3:E3">_xlfn.XLOOKUP(C3,TRIM('pay group &amp; schedule'!$A$2:$A$6),'pay group &amp; schedule'!$E$2:$E$6,"")</f>
        <v>46326</v>
      </c>
      <c r="F3" s="47" t="n">
        <v>46308</v>
      </c>
      <c r="G3" s="43" t="n">
        <f aca="false">F3</f>
        <v>46308</v>
      </c>
      <c r="H3" s="38" t="str">
        <f aca="false">TEXT(F3,"ddd")</f>
        <v>Tue</v>
      </c>
      <c r="I3" s="39" t="s">
        <v>600</v>
      </c>
      <c r="J3" s="48" t="n">
        <v>1</v>
      </c>
      <c r="K3" s="40" t="str">
        <f aca="false" t="array" ref="K3:K3">IF(I3="","",_xlfn.LET(_xlpm.u,_xlfn.XLOOKUP(A3&amp;"|"&amp;I3,TRIM(SUBSTITUTE('absence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3" s="38" t="str">
        <f aca="false">IF(F3&gt;E3,"Future period",IF(AND(G3&lt;&gt;"",G3&lt;D3),"Prior period",IF(F3&lt;D3,"Started prior period – continues",IF(OR(G3="",G3&gt;E3),"Starts this period – continues","Current period"))))</f>
        <v>Current period</v>
      </c>
      <c r="M3" s="39" t="s">
        <v>661</v>
      </c>
      <c r="N3" s="39" t="s">
        <v>665</v>
      </c>
      <c r="O3" s="39"/>
      <c r="P3" s="39"/>
      <c r="Q3" s="39"/>
      <c r="S3" s="0" t="s">
        <v>666</v>
      </c>
      <c r="T3" s="0" t="n">
        <f aca="false">COUNTIF('worker file'!$R$2:$R$406,"Employee")</f>
        <v>375</v>
      </c>
    </row>
    <row r="4" customFormat="false" ht="15" hidden="false" customHeight="false" outlineLevel="0" collapsed="false">
      <c r="A4" s="39" t="s">
        <v>664</v>
      </c>
      <c r="B4" s="39" t="s">
        <v>660</v>
      </c>
      <c r="C4" s="40" t="str">
        <f aca="false" t="array" ref="C4:C4">_xlfn.XLOOKUP(A4,TRIM(SUBSTITUTE('worker file'!$A$2:$A$406,_xlfn.UNICHAR(160)," ")),'worker file'!$L$2:$L$406,"Not found")</f>
        <v>Canada Monthly</v>
      </c>
      <c r="D4" s="46" t="n">
        <f aca="false" t="array" ref="D4:D4">_xlfn.XLOOKUP(C4,TRIM('pay group &amp; schedule'!$A$2:$A$6),'pay group &amp; schedule'!$D$2:$D$6,"")</f>
        <v>46296</v>
      </c>
      <c r="E4" s="46" t="n">
        <f aca="false" t="array" ref="E4:E4">_xlfn.XLOOKUP(C4,TRIM('pay group &amp; schedule'!$A$2:$A$6),'pay group &amp; schedule'!$E$2:$E$6,"")</f>
        <v>46326</v>
      </c>
      <c r="F4" s="47" t="n">
        <v>46309</v>
      </c>
      <c r="G4" s="43" t="n">
        <f aca="false">F4</f>
        <v>46309</v>
      </c>
      <c r="H4" s="38" t="str">
        <f aca="false">TEXT(F4,"ddd")</f>
        <v>Wed</v>
      </c>
      <c r="I4" s="39" t="s">
        <v>600</v>
      </c>
      <c r="J4" s="48" t="n">
        <v>1</v>
      </c>
      <c r="K4" s="40" t="str">
        <f aca="false" t="array" ref="K4:K4">IF(I4="","",_xlfn.LET(_xlpm.u,_xlfn.XLOOKUP(A4&amp;"|"&amp;I4,TRIM(SUBSTITUTE('absence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4" s="38" t="str">
        <f aca="false">IF(F4&gt;E4,"Future period",IF(AND(G4&lt;&gt;"",G4&lt;D4),"Prior period",IF(F4&lt;D4,"Started prior period – continues",IF(OR(G4="",G4&gt;E4),"Starts this period – continues","Current period"))))</f>
        <v>Current period</v>
      </c>
      <c r="M4" s="39" t="s">
        <v>661</v>
      </c>
      <c r="N4" s="39" t="s">
        <v>665</v>
      </c>
      <c r="O4" s="39"/>
      <c r="P4" s="39"/>
      <c r="Q4" s="39"/>
      <c r="S4" s="0" t="s">
        <v>667</v>
      </c>
      <c r="T4" s="49" t="n">
        <f aca="false">T2/T3</f>
        <v>0.0266666666666667</v>
      </c>
    </row>
    <row r="5" customFormat="false" ht="15" hidden="false" customHeight="false" outlineLevel="0" collapsed="false">
      <c r="A5" s="39" t="s">
        <v>171</v>
      </c>
      <c r="B5" s="39" t="s">
        <v>660</v>
      </c>
      <c r="C5" s="40" t="str">
        <f aca="false" t="array" ref="C5:C5">_xlfn.XLOOKUP(A5,TRIM(SUBSTITUTE('worker file'!$A$2:$A$406,_xlfn.UNICHAR(160)," ")),'worker file'!$L$2:$L$406,"Not found")</f>
        <v>India Monthly</v>
      </c>
      <c r="D5" s="46" t="n">
        <f aca="false" t="array" ref="D5:D5">_xlfn.XLOOKUP(C5,TRIM('pay group &amp; schedule'!$A$2:$A$6),'pay group &amp; schedule'!$D$2:$D$6,"")</f>
        <v>46296</v>
      </c>
      <c r="E5" s="46" t="n">
        <f aca="false" t="array" ref="E5:E5">_xlfn.XLOOKUP(C5,TRIM('pay group &amp; schedule'!$A$2:$A$6),'pay group &amp; schedule'!$E$2:$E$6,"")</f>
        <v>46326</v>
      </c>
      <c r="F5" s="47" t="n">
        <v>46302</v>
      </c>
      <c r="G5" s="43" t="n">
        <f aca="false">F5</f>
        <v>46302</v>
      </c>
      <c r="H5" s="38" t="str">
        <f aca="false">TEXT(F5,"ddd")</f>
        <v>Wed</v>
      </c>
      <c r="I5" s="39" t="s">
        <v>586</v>
      </c>
      <c r="J5" s="48" t="n">
        <v>1</v>
      </c>
      <c r="K5" s="40" t="str">
        <f aca="false" t="array" ref="K5:K5">IF(I5="","",_xlfn.LET(_xlpm.u,_xlfn.XLOOKUP(A5&amp;"|"&amp;I5,TRIM(SUBSTITUTE('absence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5" s="38" t="str">
        <f aca="false">IF(F5&gt;E5,"Future period",IF(AND(G5&lt;&gt;"",G5&lt;D5),"Prior period",IF(F5&lt;D5,"Started prior period – continues",IF(OR(G5="",G5&gt;E5),"Starts this period – continues","Current period"))))</f>
        <v>Current period</v>
      </c>
      <c r="M5" s="39" t="s">
        <v>661</v>
      </c>
      <c r="N5" s="39" t="s">
        <v>662</v>
      </c>
      <c r="O5" s="39"/>
      <c r="P5" s="39"/>
      <c r="Q5" s="39"/>
      <c r="S5" s="0" t="s">
        <v>668</v>
      </c>
      <c r="T5" s="0" t="n">
        <f aca="false">COUNTIF(B2:B77,"Unpaid Leave")</f>
        <v>5</v>
      </c>
    </row>
    <row r="6" customFormat="false" ht="15" hidden="false" customHeight="false" outlineLevel="0" collapsed="false">
      <c r="A6" s="39" t="s">
        <v>171</v>
      </c>
      <c r="B6" s="39" t="s">
        <v>660</v>
      </c>
      <c r="C6" s="40" t="str">
        <f aca="false" t="array" ref="C6:C6">_xlfn.XLOOKUP(A6,TRIM(SUBSTITUTE('worker file'!$A$2:$A$406,_xlfn.UNICHAR(160)," ")),'worker file'!$L$2:$L$406,"Not found")</f>
        <v>India Monthly</v>
      </c>
      <c r="D6" s="46" t="n">
        <f aca="false" t="array" ref="D6:D6">_xlfn.XLOOKUP(C6,TRIM('pay group &amp; schedule'!$A$2:$A$6),'pay group &amp; schedule'!$D$2:$D$6,"")</f>
        <v>46296</v>
      </c>
      <c r="E6" s="46" t="n">
        <f aca="false" t="array" ref="E6:E6">_xlfn.XLOOKUP(C6,TRIM('pay group &amp; schedule'!$A$2:$A$6),'pay group &amp; schedule'!$E$2:$E$6,"")</f>
        <v>46326</v>
      </c>
      <c r="F6" s="47" t="n">
        <v>46317</v>
      </c>
      <c r="G6" s="43" t="n">
        <f aca="false">F6</f>
        <v>46317</v>
      </c>
      <c r="H6" s="38" t="str">
        <f aca="false">TEXT(F6,"ddd")</f>
        <v>Thu</v>
      </c>
      <c r="I6" s="39" t="s">
        <v>584</v>
      </c>
      <c r="J6" s="48" t="n">
        <v>0.5</v>
      </c>
      <c r="K6" s="40" t="str">
        <f aca="false" t="array" ref="K6:K6">IF(I6="","",_xlfn.LET(_xlpm.u,_xlfn.XLOOKUP(A6&amp;"|"&amp;I6,TRIM(SUBSTITUTE('absence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6" s="38" t="str">
        <f aca="false">IF(F6&gt;E6,"Future period",IF(AND(G6&lt;&gt;"",G6&lt;D6),"Prior period",IF(F6&lt;D6,"Started prior period – continues",IF(OR(G6="",G6&gt;E6),"Starts this period – continues","Current period"))))</f>
        <v>Current period</v>
      </c>
      <c r="M6" s="39" t="s">
        <v>661</v>
      </c>
      <c r="N6" s="39" t="s">
        <v>669</v>
      </c>
      <c r="O6" s="39"/>
      <c r="P6" s="39"/>
      <c r="Q6" s="39"/>
      <c r="S6" s="0" t="s">
        <v>670</v>
      </c>
      <c r="T6" s="0" t="n">
        <f aca="false">COUNTIFS(B2:B77,"&lt;&gt;Time Off",B2:B77,"&lt;&gt;Unpaid Leave",B2:B77,"&lt;&gt;Bonus",A2:A77,"&lt;&gt;")</f>
        <v>15</v>
      </c>
    </row>
    <row r="7" customFormat="false" ht="15" hidden="false" customHeight="false" outlineLevel="0" collapsed="false">
      <c r="A7" s="39" t="s">
        <v>179</v>
      </c>
      <c r="B7" s="39" t="s">
        <v>660</v>
      </c>
      <c r="C7" s="40" t="str">
        <f aca="false" t="array" ref="C7:C7">_xlfn.XLOOKUP(A7,TRIM(SUBSTITUTE('worker file'!$A$2:$A$406,_xlfn.UNICHAR(160)," ")),'worker file'!$L$2:$L$406,"Not found")</f>
        <v>UK Monthly</v>
      </c>
      <c r="D7" s="46" t="n">
        <f aca="false" t="array" ref="D7:D7">_xlfn.XLOOKUP(C7,TRIM('pay group &amp; schedule'!$A$2:$A$6),'pay group &amp; schedule'!$D$2:$D$6,"")</f>
        <v>46296</v>
      </c>
      <c r="E7" s="46" t="n">
        <f aca="false" t="array" ref="E7:E7">_xlfn.XLOOKUP(C7,TRIM('pay group &amp; schedule'!$A$2:$A$6),'pay group &amp; schedule'!$E$2:$E$6,"")</f>
        <v>46326</v>
      </c>
      <c r="F7" s="47" t="n">
        <v>46324</v>
      </c>
      <c r="G7" s="43" t="n">
        <f aca="false">F7</f>
        <v>46324</v>
      </c>
      <c r="H7" s="38" t="str">
        <f aca="false">TEXT(F7,"ddd")</f>
        <v>Thu</v>
      </c>
      <c r="I7" s="39" t="s">
        <v>588</v>
      </c>
      <c r="J7" s="48" t="n">
        <v>1</v>
      </c>
      <c r="K7" s="40" t="str">
        <f aca="false" t="array" ref="K7:K7">IF(I7="","",_xlfn.LET(_xlpm.u,_xlfn.XLOOKUP(A7&amp;"|"&amp;I7,TRIM(SUBSTITUTE('absence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7" s="38" t="str">
        <f aca="false">IF(F7&gt;E7,"Future period",IF(AND(G7&lt;&gt;"",G7&lt;D7),"Prior period",IF(F7&lt;D7,"Started prior period – continues",IF(OR(G7="",G7&gt;E7),"Starts this period – continues","Current period"))))</f>
        <v>Current period</v>
      </c>
      <c r="M7" s="39" t="s">
        <v>661</v>
      </c>
      <c r="N7" s="39" t="s">
        <v>671</v>
      </c>
      <c r="O7" s="39"/>
      <c r="P7" s="39"/>
      <c r="Q7" s="39"/>
      <c r="S7" s="38" t="s">
        <v>672</v>
      </c>
      <c r="T7" s="38" t="n">
        <f aca="false">COUNTIF(B2:B77,"Bonus")</f>
        <v>38</v>
      </c>
    </row>
    <row r="8" customFormat="false" ht="15" hidden="false" customHeight="false" outlineLevel="0" collapsed="false">
      <c r="A8" s="39" t="s">
        <v>179</v>
      </c>
      <c r="B8" s="39" t="s">
        <v>660</v>
      </c>
      <c r="C8" s="40" t="str">
        <f aca="false" t="array" ref="C8:C8">_xlfn.XLOOKUP(A8,TRIM(SUBSTITUTE('worker file'!$A$2:$A$406,_xlfn.UNICHAR(160)," ")),'worker file'!$L$2:$L$406,"Not found")</f>
        <v>UK Monthly</v>
      </c>
      <c r="D8" s="46" t="n">
        <f aca="false" t="array" ref="D8:D8">_xlfn.XLOOKUP(C8,TRIM('pay group &amp; schedule'!$A$2:$A$6),'pay group &amp; schedule'!$D$2:$D$6,"")</f>
        <v>46296</v>
      </c>
      <c r="E8" s="46" t="n">
        <f aca="false" t="array" ref="E8:E8">_xlfn.XLOOKUP(C8,TRIM('pay group &amp; schedule'!$A$2:$A$6),'pay group &amp; schedule'!$E$2:$E$6,"")</f>
        <v>46326</v>
      </c>
      <c r="F8" s="47" t="n">
        <v>46325</v>
      </c>
      <c r="G8" s="43" t="n">
        <f aca="false">F8</f>
        <v>46325</v>
      </c>
      <c r="H8" s="38" t="str">
        <f aca="false">TEXT(F8,"ddd")</f>
        <v>Fri</v>
      </c>
      <c r="I8" s="39" t="s">
        <v>588</v>
      </c>
      <c r="J8" s="48" t="n">
        <v>1</v>
      </c>
      <c r="K8" s="40" t="str">
        <f aca="false" t="array" ref="K8:K8">IF(I8="","",_xlfn.LET(_xlpm.u,_xlfn.XLOOKUP(A8&amp;"|"&amp;I8,TRIM(SUBSTITUTE('absence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8" s="38" t="str">
        <f aca="false">IF(F8&gt;E8,"Future period",IF(AND(G8&lt;&gt;"",G8&lt;D8),"Prior period",IF(F8&lt;D8,"Started prior period – continues",IF(OR(G8="",G8&gt;E8),"Starts this period – continues","Current period"))))</f>
        <v>Current period</v>
      </c>
      <c r="M8" s="39" t="s">
        <v>661</v>
      </c>
      <c r="N8" s="39" t="s">
        <v>671</v>
      </c>
      <c r="O8" s="39"/>
      <c r="P8" s="39"/>
      <c r="Q8" s="39"/>
      <c r="S8" s="38" t="s">
        <v>673</v>
      </c>
      <c r="T8" s="38" t="n">
        <f aca="false">COUNTIFS(B2:B77,"Bonus",O2:O77,"Sign-on Bonus*")</f>
        <v>14</v>
      </c>
    </row>
    <row r="9" customFormat="false" ht="15" hidden="false" customHeight="false" outlineLevel="0" collapsed="false">
      <c r="A9" s="39" t="s">
        <v>196</v>
      </c>
      <c r="B9" s="39" t="s">
        <v>660</v>
      </c>
      <c r="C9" s="40" t="str">
        <f aca="false" t="array" ref="C9:C9">_xlfn.XLOOKUP(A9,TRIM(SUBSTITUTE('worker file'!$A$2:$A$406,_xlfn.UNICHAR(160)," ")),'worker file'!$L$2:$L$406,"Not found")</f>
        <v>US Biweekly</v>
      </c>
      <c r="D9" s="46" t="n">
        <f aca="false" t="array" ref="D9:D9">_xlfn.XLOOKUP(C9,TRIM('pay group &amp; schedule'!$A$2:$A$6),'pay group &amp; schedule'!$D$2:$D$6,"")</f>
        <v>46299</v>
      </c>
      <c r="E9" s="46" t="n">
        <f aca="false" t="array" ref="E9:E9">_xlfn.XLOOKUP(C9,TRIM('pay group &amp; schedule'!$A$2:$A$6),'pay group &amp; schedule'!$E$2:$E$6,"")</f>
        <v>46312</v>
      </c>
      <c r="F9" s="47" t="n">
        <v>46302</v>
      </c>
      <c r="G9" s="43" t="n">
        <f aca="false">F9</f>
        <v>46302</v>
      </c>
      <c r="H9" s="38" t="str">
        <f aca="false">TEXT(F9,"ddd")</f>
        <v>Wed</v>
      </c>
      <c r="I9" s="39" t="s">
        <v>573</v>
      </c>
      <c r="J9" s="48" t="n">
        <v>8</v>
      </c>
      <c r="K9" s="40" t="str">
        <f aca="false" t="array" ref="K9:K9">IF(I9="","",_xlfn.LET(_xlpm.u,_xlfn.XLOOKUP(A9&amp;"|"&amp;I9,TRIM(SUBSTITUTE('absence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9" s="38" t="str">
        <f aca="false">IF(F9&gt;E9,"Future period",IF(AND(G9&lt;&gt;"",G9&lt;D9),"Prior period",IF(F9&lt;D9,"Started prior period – continues",IF(OR(G9="",G9&gt;E9),"Starts this period – continues","Current period"))))</f>
        <v>Current period</v>
      </c>
      <c r="M9" s="39" t="s">
        <v>661</v>
      </c>
      <c r="N9" s="39" t="s">
        <v>674</v>
      </c>
      <c r="O9" s="39"/>
      <c r="P9" s="39"/>
      <c r="Q9" s="39"/>
      <c r="S9" s="38" t="s">
        <v>675</v>
      </c>
      <c r="T9" s="38" t="n">
        <f aca="false">COUNTIFS(B2:B77,"Bonus",O2:O77,"Spot Bonus*")</f>
        <v>24</v>
      </c>
    </row>
    <row r="10" customFormat="false" ht="15" hidden="false" customHeight="false" outlineLevel="0" collapsed="false">
      <c r="A10" s="39" t="s">
        <v>196</v>
      </c>
      <c r="B10" s="39" t="s">
        <v>660</v>
      </c>
      <c r="C10" s="40" t="str">
        <f aca="false" t="array" ref="C10:C10">_xlfn.XLOOKUP(A10,TRIM(SUBSTITUTE('worker file'!$A$2:$A$406,_xlfn.UNICHAR(160)," ")),'worker file'!$L$2:$L$406,"Not found")</f>
        <v>US Biweekly</v>
      </c>
      <c r="D10" s="46" t="n">
        <f aca="false" t="array" ref="D10:D10">_xlfn.XLOOKUP(C10,TRIM('pay group &amp; schedule'!$A$2:$A$6),'pay group &amp; schedule'!$D$2:$D$6,"")</f>
        <v>46299</v>
      </c>
      <c r="E10" s="46" t="n">
        <f aca="false" t="array" ref="E10:E10">_xlfn.XLOOKUP(C10,TRIM('pay group &amp; schedule'!$A$2:$A$6),'pay group &amp; schedule'!$E$2:$E$6,"")</f>
        <v>46312</v>
      </c>
      <c r="F10" s="47" t="n">
        <v>46307</v>
      </c>
      <c r="G10" s="43" t="n">
        <f aca="false">F10</f>
        <v>46307</v>
      </c>
      <c r="H10" s="38" t="str">
        <f aca="false">TEXT(F10,"ddd")</f>
        <v>Mon</v>
      </c>
      <c r="I10" s="39" t="s">
        <v>575</v>
      </c>
      <c r="J10" s="48" t="n">
        <v>4</v>
      </c>
      <c r="K10" s="40" t="str">
        <f aca="false" t="array" ref="K10:K10">IF(I10="","",_xlfn.LET(_xlpm.u,_xlfn.XLOOKUP(A10&amp;"|"&amp;I10,TRIM(SUBSTITUTE('absence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10" s="38" t="str">
        <f aca="false">IF(F10&gt;E10,"Future period",IF(AND(G10&lt;&gt;"",G10&lt;D10),"Prior period",IF(F10&lt;D10,"Started prior period – continues",IF(OR(G10="",G10&gt;E10),"Starts this period – continues","Current period"))))</f>
        <v>Current period</v>
      </c>
      <c r="M10" s="39" t="s">
        <v>661</v>
      </c>
      <c r="N10" s="39" t="s">
        <v>676</v>
      </c>
      <c r="O10" s="39"/>
      <c r="P10" s="39"/>
      <c r="Q10" s="39"/>
    </row>
    <row r="11" customFormat="false" ht="15" hidden="false" customHeight="false" outlineLevel="0" collapsed="false">
      <c r="A11" s="39" t="s">
        <v>196</v>
      </c>
      <c r="B11" s="39" t="s">
        <v>660</v>
      </c>
      <c r="C11" s="40" t="str">
        <f aca="false" t="array" ref="C11:C11">_xlfn.XLOOKUP(A11,TRIM(SUBSTITUTE('worker file'!$A$2:$A$406,_xlfn.UNICHAR(160)," ")),'worker file'!$L$2:$L$406,"Not found")</f>
        <v>US Biweekly</v>
      </c>
      <c r="D11" s="46" t="n">
        <f aca="false" t="array" ref="D11:D11">_xlfn.XLOOKUP(C11,TRIM('pay group &amp; schedule'!$A$2:$A$6),'pay group &amp; schedule'!$D$2:$D$6,"")</f>
        <v>46299</v>
      </c>
      <c r="E11" s="46" t="n">
        <f aca="false" t="array" ref="E11:E11">_xlfn.XLOOKUP(C11,TRIM('pay group &amp; schedule'!$A$2:$A$6),'pay group &amp; schedule'!$E$2:$E$6,"")</f>
        <v>46312</v>
      </c>
      <c r="F11" s="47" t="n">
        <v>46314</v>
      </c>
      <c r="G11" s="43" t="n">
        <f aca="false">F11</f>
        <v>46314</v>
      </c>
      <c r="H11" s="38" t="str">
        <f aca="false">TEXT(F11,"ddd")</f>
        <v>Mon</v>
      </c>
      <c r="I11" s="39" t="s">
        <v>573</v>
      </c>
      <c r="J11" s="48" t="n">
        <v>8</v>
      </c>
      <c r="K11" s="40" t="str">
        <f aca="false" t="array" ref="K11:K11">IF(I11="","",_xlfn.LET(_xlpm.u,_xlfn.XLOOKUP(A11&amp;"|"&amp;I11,TRIM(SUBSTITUTE('absence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11" s="38" t="str">
        <f aca="false">IF(F11&gt;E11,"Future period",IF(AND(G11&lt;&gt;"",G11&lt;D11),"Prior period",IF(F11&lt;D11,"Started prior period – continues",IF(OR(G11="",G11&gt;E11),"Starts this period – continues","Current period"))))</f>
        <v>Future period</v>
      </c>
      <c r="M11" s="39" t="s">
        <v>661</v>
      </c>
      <c r="N11" s="39" t="s">
        <v>677</v>
      </c>
      <c r="O11" s="39"/>
      <c r="P11" s="39"/>
      <c r="Q11" s="39"/>
    </row>
    <row r="12" customFormat="false" ht="15" hidden="false" customHeight="false" outlineLevel="0" collapsed="false">
      <c r="A12" s="39" t="s">
        <v>211</v>
      </c>
      <c r="B12" s="39" t="s">
        <v>660</v>
      </c>
      <c r="C12" s="40" t="str">
        <f aca="false" t="array" ref="C12:C12">_xlfn.XLOOKUP(A12,TRIM(SUBSTITUTE('worker file'!$A$2:$A$406,_xlfn.UNICHAR(160)," ")),'worker file'!$L$2:$L$406,"Not found")</f>
        <v>US Biweekly</v>
      </c>
      <c r="D12" s="46" t="n">
        <f aca="false" t="array" ref="D12:D12">_xlfn.XLOOKUP(C12,TRIM('pay group &amp; schedule'!$A$2:$A$6),'pay group &amp; schedule'!$D$2:$D$6,"")</f>
        <v>46299</v>
      </c>
      <c r="E12" s="46" t="n">
        <f aca="false" t="array" ref="E12:E12">_xlfn.XLOOKUP(C12,TRIM('pay group &amp; schedule'!$A$2:$A$6),'pay group &amp; schedule'!$E$2:$E$6,"")</f>
        <v>46312</v>
      </c>
      <c r="F12" s="47" t="n">
        <v>46304</v>
      </c>
      <c r="G12" s="43" t="n">
        <f aca="false">F12</f>
        <v>46304</v>
      </c>
      <c r="H12" s="38" t="str">
        <f aca="false">TEXT(F12,"ddd")</f>
        <v>Fri</v>
      </c>
      <c r="I12" s="39" t="s">
        <v>573</v>
      </c>
      <c r="J12" s="48" t="n">
        <v>12</v>
      </c>
      <c r="K12" s="40" t="str">
        <f aca="false" t="array" ref="K12:K12">IF(I12="","",_xlfn.LET(_xlpm.u,_xlfn.XLOOKUP(A12&amp;"|"&amp;I12,TRIM(SUBSTITUTE('absence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12" s="38" t="str">
        <f aca="false">IF(F12&gt;E12,"Future period",IF(AND(G12&lt;&gt;"",G12&lt;D12),"Prior period",IF(F12&lt;D12,"Started prior period – continues",IF(OR(G12="",G12&gt;E12),"Starts this period – continues","Current period"))))</f>
        <v>Current period</v>
      </c>
      <c r="M12" s="39" t="s">
        <v>661</v>
      </c>
      <c r="N12" s="39" t="s">
        <v>678</v>
      </c>
      <c r="O12" s="39"/>
      <c r="P12" s="39"/>
      <c r="Q12" s="39"/>
    </row>
    <row r="13" customFormat="false" ht="15" hidden="false" customHeight="false" outlineLevel="0" collapsed="false">
      <c r="A13" s="39" t="s">
        <v>211</v>
      </c>
      <c r="B13" s="39" t="s">
        <v>660</v>
      </c>
      <c r="C13" s="40" t="str">
        <f aca="false" t="array" ref="C13:C13">_xlfn.XLOOKUP(A13,TRIM(SUBSTITUTE('worker file'!$A$2:$A$406,_xlfn.UNICHAR(160)," ")),'worker file'!$L$2:$L$406,"Not found")</f>
        <v>US Biweekly</v>
      </c>
      <c r="D13" s="46" t="n">
        <f aca="false" t="array" ref="D13:D13">_xlfn.XLOOKUP(C13,TRIM('pay group &amp; schedule'!$A$2:$A$6),'pay group &amp; schedule'!$D$2:$D$6,"")</f>
        <v>46299</v>
      </c>
      <c r="E13" s="46" t="n">
        <f aca="false" t="array" ref="E13:E13">_xlfn.XLOOKUP(C13,TRIM('pay group &amp; schedule'!$A$2:$A$6),'pay group &amp; schedule'!$E$2:$E$6,"")</f>
        <v>46312</v>
      </c>
      <c r="F13" s="47" t="n">
        <v>46311</v>
      </c>
      <c r="G13" s="43" t="n">
        <f aca="false">F13</f>
        <v>46311</v>
      </c>
      <c r="H13" s="38" t="str">
        <f aca="false">TEXT(F13,"ddd")</f>
        <v>Fri</v>
      </c>
      <c r="I13" s="39" t="s">
        <v>573</v>
      </c>
      <c r="J13" s="48" t="n">
        <v>12</v>
      </c>
      <c r="K13" s="40" t="str">
        <f aca="false" t="array" ref="K13:K13">IF(I13="","",_xlfn.LET(_xlpm.u,_xlfn.XLOOKUP(A13&amp;"|"&amp;I13,TRIM(SUBSTITUTE('absence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13" s="38" t="str">
        <f aca="false">IF(F13&gt;E13,"Future period",IF(AND(G13&lt;&gt;"",G13&lt;D13),"Prior period",IF(F13&lt;D13,"Started prior period – continues",IF(OR(G13="",G13&gt;E13),"Starts this period – continues","Current period"))))</f>
        <v>Current period</v>
      </c>
      <c r="M13" s="39" t="s">
        <v>661</v>
      </c>
      <c r="N13" s="39" t="s">
        <v>678</v>
      </c>
      <c r="O13" s="39"/>
      <c r="P13" s="39"/>
      <c r="Q13" s="39"/>
    </row>
    <row r="14" customFormat="false" ht="15" hidden="false" customHeight="false" outlineLevel="0" collapsed="false">
      <c r="A14" s="39" t="s">
        <v>219</v>
      </c>
      <c r="B14" s="39" t="s">
        <v>660</v>
      </c>
      <c r="C14" s="40" t="str">
        <f aca="false" t="array" ref="C14:C14">_xlfn.XLOOKUP(A14,TRIM(SUBSTITUTE('worker file'!$A$2:$A$406,_xlfn.UNICHAR(160)," ")),'worker file'!$L$2:$L$406,"Not found")</f>
        <v>US Biweekly</v>
      </c>
      <c r="D14" s="46" t="n">
        <f aca="false" t="array" ref="D14:D14">_xlfn.XLOOKUP(C14,TRIM('pay group &amp; schedule'!$A$2:$A$6),'pay group &amp; schedule'!$D$2:$D$6,"")</f>
        <v>46299</v>
      </c>
      <c r="E14" s="46" t="n">
        <f aca="false" t="array" ref="E14:E14">_xlfn.XLOOKUP(C14,TRIM('pay group &amp; schedule'!$A$2:$A$6),'pay group &amp; schedule'!$E$2:$E$6,"")</f>
        <v>46312</v>
      </c>
      <c r="F14" s="47" t="n">
        <v>46311</v>
      </c>
      <c r="G14" s="43" t="n">
        <f aca="false">F14</f>
        <v>46311</v>
      </c>
      <c r="H14" s="38" t="str">
        <f aca="false">TEXT(F14,"ddd")</f>
        <v>Fri</v>
      </c>
      <c r="I14" s="39" t="s">
        <v>575</v>
      </c>
      <c r="J14" s="48" t="n">
        <v>3</v>
      </c>
      <c r="K14" s="40" t="str">
        <f aca="false" t="array" ref="K14:K14">IF(I14="","",_xlfn.LET(_xlpm.u,_xlfn.XLOOKUP(A14&amp;"|"&amp;I14,TRIM(SUBSTITUTE('absence balance'!$A$2:$A$643,_xlfn.UNICHAR(160)," "))&amp;"|"&amp;TRIM(SUBSTITUTE('absence balance'!$B$2:$B$643,_xlfn.UNICHAR(160)," ")),TRIM('absence balance'!$F$2:$F$643),"Plan not found"),IF(_xlpm.u="n/a","hrs",_xlpm.u)))</f>
        <v>hrs</v>
      </c>
      <c r="L14" s="38" t="str">
        <f aca="false">IF(F14&gt;E14,"Future period",IF(AND(G14&lt;&gt;"",G14&lt;D14),"Prior period",IF(F14&lt;D14,"Started prior period – continues",IF(OR(G14="",G14&gt;E14),"Starts this period – continues","Current period"))))</f>
        <v>Current period</v>
      </c>
      <c r="M14" s="39" t="s">
        <v>661</v>
      </c>
      <c r="N14" s="39" t="s">
        <v>679</v>
      </c>
      <c r="O14" s="39"/>
      <c r="P14" s="39"/>
      <c r="Q14" s="39"/>
    </row>
    <row r="15" customFormat="false" ht="15" hidden="false" customHeight="false" outlineLevel="0" collapsed="false">
      <c r="A15" s="39" t="s">
        <v>594</v>
      </c>
      <c r="B15" s="39" t="s">
        <v>680</v>
      </c>
      <c r="C15" s="40" t="str">
        <f aca="false" t="array" ref="C15:C15">_xlfn.XLOOKUP(A15,TRIM(SUBSTITUTE('worker file'!$A$2:$A$406,_xlfn.UNICHAR(160)," ")),'worker file'!$L$2:$L$406,"Not found")</f>
        <v>US Semi-monthly</v>
      </c>
      <c r="D15" s="46" t="n">
        <f aca="false" t="array" ref="D15:D15">_xlfn.XLOOKUP(C15,TRIM('pay group &amp; schedule'!$A$2:$A$6),'pay group &amp; schedule'!$D$2:$D$6,"")</f>
        <v>46311</v>
      </c>
      <c r="E15" s="46" t="n">
        <f aca="false" t="array" ref="E15:E15">_xlfn.XLOOKUP(C15,TRIM('pay group &amp; schedule'!$A$2:$A$6),'pay group &amp; schedule'!$E$2:$E$6,"")</f>
        <v>46326</v>
      </c>
      <c r="F15" s="47" t="n">
        <v>46297</v>
      </c>
      <c r="G15" s="47"/>
      <c r="H15" s="38" t="str">
        <f aca="false">TEXT(F15,"ddd")</f>
        <v>Fri</v>
      </c>
      <c r="I15" s="39"/>
      <c r="J15" s="39"/>
      <c r="K15" s="40" t="str">
        <f aca="false" t="array" ref="K15:K15">IF(I15="","",_xlfn.LET(_xlpm.u,_xlfn.XLOOKUP(A15&amp;"|"&amp;I15,TRIM(SUBSTITUTE('absence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15" s="38" t="str">
        <f aca="false">IF(F15&gt;E15,"Future period",IF(AND(G15&lt;&gt;"",G15&lt;D15),"Prior period",IF(F15&lt;D15,"Started prior period – continues",IF(OR(G15="",G15&gt;E15),"Starts this period – continues","Current period"))))</f>
        <v>Started prior period – continues</v>
      </c>
      <c r="M15" s="39" t="s">
        <v>661</v>
      </c>
      <c r="N15" s="39" t="s">
        <v>681</v>
      </c>
      <c r="O15" s="39"/>
      <c r="P15" s="39"/>
      <c r="Q15" s="39"/>
    </row>
    <row r="16" customFormat="false" ht="15" hidden="false" customHeight="false" outlineLevel="0" collapsed="false">
      <c r="A16" s="39" t="s">
        <v>144</v>
      </c>
      <c r="B16" s="39" t="s">
        <v>680</v>
      </c>
      <c r="C16" s="40" t="str">
        <f aca="false" t="array" ref="C16:C16">_xlfn.XLOOKUP(A16,TRIM(SUBSTITUTE('worker file'!$A$2:$A$406,_xlfn.UNICHAR(160)," ")),'worker file'!$L$2:$L$406,"Not found")</f>
        <v>US Semi-monthly</v>
      </c>
      <c r="D16" s="46" t="n">
        <f aca="false" t="array" ref="D16:D16">_xlfn.XLOOKUP(C16,TRIM('pay group &amp; schedule'!$A$2:$A$6),'pay group &amp; schedule'!$D$2:$D$6,"")</f>
        <v>46311</v>
      </c>
      <c r="E16" s="46" t="n">
        <f aca="false" t="array" ref="E16:E16">_xlfn.XLOOKUP(C16,TRIM('pay group &amp; schedule'!$A$2:$A$6),'pay group &amp; schedule'!$E$2:$E$6,"")</f>
        <v>46326</v>
      </c>
      <c r="F16" s="47" t="n">
        <v>46316</v>
      </c>
      <c r="G16" s="47" t="n">
        <v>46346</v>
      </c>
      <c r="H16" s="38" t="str">
        <f aca="false">TEXT(F16,"ddd")</f>
        <v>Wed</v>
      </c>
      <c r="I16" s="39"/>
      <c r="J16" s="39"/>
      <c r="K16" s="40" t="str">
        <f aca="false" t="array" ref="K16:K16">IF(I16="","",_xlfn.LET(_xlpm.u,_xlfn.XLOOKUP(A16&amp;"|"&amp;I16,TRIM(SUBSTITUTE('absence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16" s="38" t="str">
        <f aca="false">IF(F16&gt;E16,"Future period",IF(AND(G16&lt;&gt;"",G16&lt;D16),"Prior period",IF(F16&lt;D16,"Started prior period – continues",IF(OR(G16="",G16&gt;E16),"Starts this period – continues","Current period"))))</f>
        <v>Starts this period – continues</v>
      </c>
      <c r="M16" s="39" t="s">
        <v>661</v>
      </c>
      <c r="N16" s="39" t="s">
        <v>682</v>
      </c>
      <c r="O16" s="39"/>
      <c r="P16" s="39"/>
      <c r="Q16" s="39"/>
    </row>
    <row r="17" customFormat="false" ht="15" hidden="false" customHeight="false" outlineLevel="0" collapsed="false">
      <c r="A17" s="39" t="s">
        <v>261</v>
      </c>
      <c r="B17" s="39" t="s">
        <v>680</v>
      </c>
      <c r="C17" s="40" t="str">
        <f aca="false" t="array" ref="C17:C17">_xlfn.XLOOKUP(A17,TRIM(SUBSTITUTE('worker file'!$A$2:$A$406,_xlfn.UNICHAR(160)," ")),'worker file'!$L$2:$L$406,"Not found")</f>
        <v>US Biweekly</v>
      </c>
      <c r="D17" s="46" t="n">
        <f aca="false" t="array" ref="D17:D17">_xlfn.XLOOKUP(C17,TRIM('pay group &amp; schedule'!$A$2:$A$6),'pay group &amp; schedule'!$D$2:$D$6,"")</f>
        <v>46299</v>
      </c>
      <c r="E17" s="46" t="n">
        <f aca="false" t="array" ref="E17:E17">_xlfn.XLOOKUP(C17,TRIM('pay group &amp; schedule'!$A$2:$A$6),'pay group &amp; schedule'!$E$2:$E$6,"")</f>
        <v>46312</v>
      </c>
      <c r="F17" s="47" t="n">
        <v>46304</v>
      </c>
      <c r="G17" s="47" t="n">
        <v>46320</v>
      </c>
      <c r="H17" s="38" t="str">
        <f aca="false">TEXT(F17,"ddd")</f>
        <v>Fri</v>
      </c>
      <c r="I17" s="39"/>
      <c r="J17" s="39"/>
      <c r="K17" s="40" t="str">
        <f aca="false" t="array" ref="K17:K17">IF(I17="","",_xlfn.LET(_xlpm.u,_xlfn.XLOOKUP(A17&amp;"|"&amp;I17,TRIM(SUBSTITUTE('absence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17" s="38" t="str">
        <f aca="false">IF(F17&gt;E17,"Future period",IF(AND(G17&lt;&gt;"",G17&lt;D17),"Prior period",IF(F17&lt;D17,"Started prior period – continues",IF(OR(G17="",G17&gt;E17),"Starts this period – continues","Current period"))))</f>
        <v>Starts this period – continues</v>
      </c>
      <c r="M17" s="39" t="s">
        <v>661</v>
      </c>
      <c r="N17" s="39" t="s">
        <v>683</v>
      </c>
      <c r="O17" s="39"/>
      <c r="P17" s="39"/>
      <c r="Q17" s="39"/>
    </row>
    <row r="18" customFormat="false" ht="15" hidden="false" customHeight="false" outlineLevel="0" collapsed="false">
      <c r="A18" s="39" t="s">
        <v>193</v>
      </c>
      <c r="B18" s="39" t="s">
        <v>680</v>
      </c>
      <c r="C18" s="40" t="str">
        <f aca="false" t="array" ref="C18:C18">_xlfn.XLOOKUP(A18,TRIM(SUBSTITUTE('worker file'!$A$2:$A$406,_xlfn.UNICHAR(160)," ")),'worker file'!$L$2:$L$406,"Not found")</f>
        <v>UK Monthly</v>
      </c>
      <c r="D18" s="46" t="n">
        <f aca="false" t="array" ref="D18:D18">_xlfn.XLOOKUP(C18,TRIM('pay group &amp; schedule'!$A$2:$A$6),'pay group &amp; schedule'!$D$2:$D$6,"")</f>
        <v>46296</v>
      </c>
      <c r="E18" s="46" t="n">
        <f aca="false" t="array" ref="E18:E18">_xlfn.XLOOKUP(C18,TRIM('pay group &amp; schedule'!$A$2:$A$6),'pay group &amp; schedule'!$E$2:$E$6,"")</f>
        <v>46326</v>
      </c>
      <c r="F18" s="47" t="n">
        <v>46314</v>
      </c>
      <c r="G18" s="47" t="n">
        <v>46339</v>
      </c>
      <c r="H18" s="38" t="str">
        <f aca="false">TEXT(F18,"ddd")</f>
        <v>Mon</v>
      </c>
      <c r="I18" s="39"/>
      <c r="J18" s="39"/>
      <c r="K18" s="40" t="str">
        <f aca="false" t="array" ref="K18:K18">IF(I18="","",_xlfn.LET(_xlpm.u,_xlfn.XLOOKUP(A18&amp;"|"&amp;I18,TRIM(SUBSTITUTE('absence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18" s="38" t="str">
        <f aca="false">IF(F18&gt;E18,"Future period",IF(AND(G18&lt;&gt;"",G18&lt;D18),"Prior period",IF(F18&lt;D18,"Started prior period – continues",IF(OR(G18="",G18&gt;E18),"Starts this period – continues","Current period"))))</f>
        <v>Starts this period – continues</v>
      </c>
      <c r="M18" s="39" t="s">
        <v>661</v>
      </c>
      <c r="N18" s="39" t="s">
        <v>684</v>
      </c>
      <c r="O18" s="39"/>
      <c r="P18" s="39"/>
      <c r="Q18" s="39"/>
    </row>
    <row r="19" customFormat="false" ht="15" hidden="false" customHeight="false" outlineLevel="0" collapsed="false">
      <c r="A19" s="39" t="s">
        <v>579</v>
      </c>
      <c r="B19" s="39" t="s">
        <v>685</v>
      </c>
      <c r="C19" s="40" t="str">
        <f aca="false" t="array" ref="C19:C19">_xlfn.XLOOKUP(A19,TRIM(SUBSTITUTE('worker file'!$A$2:$A$406,_xlfn.UNICHAR(160)," ")),'worker file'!$L$2:$L$406,"Not found")</f>
        <v>US Biweekly</v>
      </c>
      <c r="D19" s="46" t="n">
        <f aca="false" t="array" ref="D19:D19">_xlfn.XLOOKUP(C19,TRIM('pay group &amp; schedule'!$A$2:$A$6),'pay group &amp; schedule'!$D$2:$D$6,"")</f>
        <v>46299</v>
      </c>
      <c r="E19" s="46" t="n">
        <f aca="false" t="array" ref="E19:E19">_xlfn.XLOOKUP(C19,TRIM('pay group &amp; schedule'!$A$2:$A$6),'pay group &amp; schedule'!$E$2:$E$6,"")</f>
        <v>46312</v>
      </c>
      <c r="F19" s="47" t="n">
        <v>46305</v>
      </c>
      <c r="G19" s="47"/>
      <c r="H19" s="38" t="str">
        <f aca="false">TEXT(F19,"ddd")</f>
        <v>Sat</v>
      </c>
      <c r="K19" s="40" t="str">
        <f aca="false" t="array" ref="K19:K19">IF(I19="","",_xlfn.LET(_xlpm.u,_xlfn.XLOOKUP(A19&amp;"|"&amp;I19,TRIM(SUBSTITUTE('absence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19" s="38" t="str">
        <f aca="false">IF(F19&gt;E19,"Future period",IF(AND(G19&lt;&gt;"",G19&lt;D19),"Prior period",IF(F19&lt;D19,"Started prior period – continues",IF(OR(G19="",G19&gt;E19),"Starts this period – continues","Current period"))))</f>
        <v>Starts this period – continues</v>
      </c>
      <c r="M19" s="39" t="s">
        <v>661</v>
      </c>
      <c r="N19" s="39" t="s">
        <v>686</v>
      </c>
      <c r="O19" s="39" t="s">
        <v>687</v>
      </c>
      <c r="P19" s="34" t="n">
        <v>38</v>
      </c>
      <c r="Q19" s="34" t="n">
        <v>40</v>
      </c>
    </row>
    <row r="20" customFormat="false" ht="15" hidden="false" customHeight="false" outlineLevel="0" collapsed="false">
      <c r="A20" s="39" t="s">
        <v>108</v>
      </c>
      <c r="B20" s="39" t="s">
        <v>688</v>
      </c>
      <c r="C20" s="40" t="str">
        <f aca="false" t="array" ref="C20:C20">_xlfn.XLOOKUP(A20,TRIM(SUBSTITUTE('worker file'!$A$2:$A$406,_xlfn.UNICHAR(160)," ")),'worker file'!$L$2:$L$406,"Not found")</f>
        <v>US Semi-monthly</v>
      </c>
      <c r="D20" s="46" t="n">
        <f aca="false" t="array" ref="D20:D20">_xlfn.XLOOKUP(C20,TRIM('pay group &amp; schedule'!$A$2:$A$6),'pay group &amp; schedule'!$D$2:$D$6,"")</f>
        <v>46311</v>
      </c>
      <c r="E20" s="46" t="n">
        <f aca="false" t="array" ref="E20:E20">_xlfn.XLOOKUP(C20,TRIM('pay group &amp; schedule'!$A$2:$A$6),'pay group &amp; schedule'!$E$2:$E$6,"")</f>
        <v>46326</v>
      </c>
      <c r="F20" s="47" t="n">
        <v>46318</v>
      </c>
      <c r="G20" s="47"/>
      <c r="H20" s="38" t="str">
        <f aca="false">TEXT(F20,"ddd")</f>
        <v>Fri</v>
      </c>
      <c r="K20" s="40" t="str">
        <f aca="false" t="array" ref="K20:K20">IF(I20="","",_xlfn.LET(_xlpm.u,_xlfn.XLOOKUP(A20&amp;"|"&amp;I20,TRIM(SUBSTITUTE('absence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0" s="38" t="str">
        <f aca="false">IF(F20&gt;E20,"Future period",IF(AND(G20&lt;&gt;"",G20&lt;D20),"Prior period",IF(F20&lt;D20,"Started prior period – continues",IF(OR(G20="",G20&gt;E20),"Starts this period – continues","Current period"))))</f>
        <v>Starts this period – continues</v>
      </c>
      <c r="M20" s="39" t="s">
        <v>661</v>
      </c>
      <c r="N20" s="39" t="s">
        <v>689</v>
      </c>
      <c r="O20" s="39" t="s">
        <v>690</v>
      </c>
      <c r="P20" s="39" t="s">
        <v>691</v>
      </c>
      <c r="Q20" s="39" t="s">
        <v>692</v>
      </c>
    </row>
    <row r="21" customFormat="false" ht="15" hidden="false" customHeight="false" outlineLevel="0" collapsed="false">
      <c r="A21" s="39" t="s">
        <v>147</v>
      </c>
      <c r="B21" s="39" t="s">
        <v>693</v>
      </c>
      <c r="C21" s="40" t="str">
        <f aca="false" t="array" ref="C21:C21">_xlfn.XLOOKUP(A21,TRIM(SUBSTITUTE('worker file'!$A$2:$A$406,_xlfn.UNICHAR(160)," ")),'worker file'!$L$2:$L$406,"Not found")</f>
        <v>US Biweekly</v>
      </c>
      <c r="D21" s="46" t="n">
        <f aca="false" t="array" ref="D21:D21">_xlfn.XLOOKUP(C21,TRIM('pay group &amp; schedule'!$A$2:$A$6),'pay group &amp; schedule'!$D$2:$D$6,"")</f>
        <v>46299</v>
      </c>
      <c r="E21" s="46" t="n">
        <f aca="false" t="array" ref="E21:E21">_xlfn.XLOOKUP(C21,TRIM('pay group &amp; schedule'!$A$2:$A$6),'pay group &amp; schedule'!$E$2:$E$6,"")</f>
        <v>46312</v>
      </c>
      <c r="F21" s="47" t="n">
        <v>46235</v>
      </c>
      <c r="G21" s="47"/>
      <c r="H21" s="38" t="str">
        <f aca="false">TEXT(F21,"ddd")</f>
        <v>Sat</v>
      </c>
      <c r="K21" s="40" t="str">
        <f aca="false" t="array" ref="K21:K21">IF(I21="","",_xlfn.LET(_xlpm.u,_xlfn.XLOOKUP(A21&amp;"|"&amp;I21,TRIM(SUBSTITUTE('absence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1" s="38" t="str">
        <f aca="false">IF(F21&gt;E21,"Future period",IF(AND(G21&lt;&gt;"",G21&lt;D21),"Prior period",IF(F21&lt;D21,"Started prior period – continues",IF(OR(G21="",G21&gt;E21),"Starts this period – continues","Current period"))))</f>
        <v>Started prior period – continues</v>
      </c>
      <c r="M21" s="39" t="s">
        <v>36</v>
      </c>
      <c r="N21" s="39" t="s">
        <v>694</v>
      </c>
      <c r="O21" s="39" t="s">
        <v>695</v>
      </c>
      <c r="P21" s="39"/>
      <c r="Q21" s="39" t="s">
        <v>696</v>
      </c>
    </row>
    <row r="22" customFormat="false" ht="15" hidden="false" customHeight="false" outlineLevel="0" collapsed="false">
      <c r="A22" s="39" t="s">
        <v>148</v>
      </c>
      <c r="B22" s="39" t="s">
        <v>693</v>
      </c>
      <c r="C22" s="40" t="str">
        <f aca="false" t="array" ref="C22:C22">_xlfn.XLOOKUP(A22,TRIM(SUBSTITUTE('worker file'!$A$2:$A$406,_xlfn.UNICHAR(160)," ")),'worker file'!$L$2:$L$406,"Not found")</f>
        <v>US Semi-monthly</v>
      </c>
      <c r="D22" s="46" t="n">
        <f aca="false" t="array" ref="D22:D22">_xlfn.XLOOKUP(C22,TRIM('pay group &amp; schedule'!$A$2:$A$6),'pay group &amp; schedule'!$D$2:$D$6,"")</f>
        <v>46311</v>
      </c>
      <c r="E22" s="46" t="n">
        <f aca="false" t="array" ref="E22:E22">_xlfn.XLOOKUP(C22,TRIM('pay group &amp; schedule'!$A$2:$A$6),'pay group &amp; schedule'!$E$2:$E$6,"")</f>
        <v>46326</v>
      </c>
      <c r="F22" s="47" t="n">
        <v>46266</v>
      </c>
      <c r="G22" s="47"/>
      <c r="H22" s="38" t="str">
        <f aca="false">TEXT(F22,"ddd")</f>
        <v>Tue</v>
      </c>
      <c r="K22" s="40" t="str">
        <f aca="false" t="array" ref="K22:K22">IF(I22="","",_xlfn.LET(_xlpm.u,_xlfn.XLOOKUP(A22&amp;"|"&amp;I22,TRIM(SUBSTITUTE('absence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2" s="38" t="str">
        <f aca="false">IF(F22&gt;E22,"Future period",IF(AND(G22&lt;&gt;"",G22&lt;D22),"Prior period",IF(F22&lt;D22,"Started prior period – continues",IF(OR(G22="",G22&gt;E22),"Starts this period – continues","Current period"))))</f>
        <v>Started prior period – continues</v>
      </c>
      <c r="M22" s="39" t="s">
        <v>36</v>
      </c>
      <c r="N22" s="39" t="s">
        <v>697</v>
      </c>
      <c r="O22" s="39" t="s">
        <v>698</v>
      </c>
      <c r="P22" s="39"/>
      <c r="Q22" s="39" t="s">
        <v>699</v>
      </c>
    </row>
    <row r="23" customFormat="false" ht="15" hidden="false" customHeight="false" outlineLevel="0" collapsed="false">
      <c r="A23" s="39" t="s">
        <v>123</v>
      </c>
      <c r="B23" s="39" t="s">
        <v>693</v>
      </c>
      <c r="C23" s="40" t="str">
        <f aca="false" t="array" ref="C23:C23">_xlfn.XLOOKUP(A23,TRIM(SUBSTITUTE('worker file'!$A$2:$A$406,_xlfn.UNICHAR(160)," ")),'worker file'!$L$2:$L$406,"Not found")</f>
        <v>US Semi-monthly</v>
      </c>
      <c r="D23" s="46" t="n">
        <f aca="false" t="array" ref="D23:D23">_xlfn.XLOOKUP(C23,TRIM('pay group &amp; schedule'!$A$2:$A$6),'pay group &amp; schedule'!$D$2:$D$6,"")</f>
        <v>46311</v>
      </c>
      <c r="E23" s="46" t="n">
        <f aca="false" t="array" ref="E23:E23">_xlfn.XLOOKUP(C23,TRIM('pay group &amp; schedule'!$A$2:$A$6),'pay group &amp; schedule'!$E$2:$E$6,"")</f>
        <v>46326</v>
      </c>
      <c r="F23" s="47" t="n">
        <v>46023</v>
      </c>
      <c r="G23" s="47"/>
      <c r="H23" s="38" t="str">
        <f aca="false">TEXT(F23,"ddd")</f>
        <v>Thu</v>
      </c>
      <c r="K23" s="40" t="str">
        <f aca="false" t="array" ref="K23:K23">IF(I23="","",_xlfn.LET(_xlpm.u,_xlfn.XLOOKUP(A23&amp;"|"&amp;I23,TRIM(SUBSTITUTE('absence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3" s="38" t="str">
        <f aca="false">IF(F23&gt;E23,"Future period",IF(AND(G23&lt;&gt;"",G23&lt;D23),"Prior period",IF(F23&lt;D23,"Started prior period – continues",IF(OR(G23="",G23&gt;E23),"Starts this period – continues","Current period"))))</f>
        <v>Started prior period – continues</v>
      </c>
      <c r="M23" s="39" t="s">
        <v>36</v>
      </c>
      <c r="N23" s="39" t="s">
        <v>700</v>
      </c>
      <c r="O23" s="39" t="s">
        <v>695</v>
      </c>
      <c r="P23" s="39"/>
      <c r="Q23" s="39" t="s">
        <v>701</v>
      </c>
    </row>
    <row r="24" customFormat="false" ht="15" hidden="false" customHeight="false" outlineLevel="0" collapsed="false">
      <c r="A24" s="39" t="s">
        <v>120</v>
      </c>
      <c r="B24" s="39" t="s">
        <v>685</v>
      </c>
      <c r="C24" s="40" t="str">
        <f aca="false" t="array" ref="C24:C24">_xlfn.XLOOKUP(A24,TRIM(SUBSTITUTE('worker file'!$A$2:$A$406,_xlfn.UNICHAR(160)," ")),'worker file'!$L$2:$L$406,"Not found")</f>
        <v>US Biweekly</v>
      </c>
      <c r="D24" s="46" t="n">
        <f aca="false" t="array" ref="D24:D24">_xlfn.XLOOKUP(C24,TRIM('pay group &amp; schedule'!$A$2:$A$6),'pay group &amp; schedule'!$D$2:$D$6,"")</f>
        <v>46299</v>
      </c>
      <c r="E24" s="46" t="n">
        <f aca="false" t="array" ref="E24:E24">_xlfn.XLOOKUP(C24,TRIM('pay group &amp; schedule'!$A$2:$A$6),'pay group &amp; schedule'!$E$2:$E$6,"")</f>
        <v>46312</v>
      </c>
      <c r="F24" s="47" t="n">
        <v>46307</v>
      </c>
      <c r="G24" s="47"/>
      <c r="H24" s="38" t="str">
        <f aca="false">TEXT(F24,"ddd")</f>
        <v>Mon</v>
      </c>
      <c r="K24" s="40" t="str">
        <f aca="false" t="array" ref="K24:K24">IF(I24="","",_xlfn.LET(_xlpm.u,_xlfn.XLOOKUP(A24&amp;"|"&amp;I24,TRIM(SUBSTITUTE('absence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4" s="38" t="str">
        <f aca="false">IF(F24&gt;E24,"Future period",IF(AND(G24&lt;&gt;"",G24&lt;D24),"Prior period",IF(F24&lt;D24,"Started prior period – continues",IF(OR(G24="",G24&gt;E24),"Starts this period – continues","Current period"))))</f>
        <v>Starts this period – continues</v>
      </c>
      <c r="M24" s="39" t="s">
        <v>661</v>
      </c>
      <c r="N24" s="39" t="s">
        <v>702</v>
      </c>
      <c r="O24" s="39" t="s">
        <v>687</v>
      </c>
      <c r="P24" s="34" t="n">
        <v>33</v>
      </c>
      <c r="Q24" s="34" t="n">
        <v>35</v>
      </c>
    </row>
    <row r="25" customFormat="false" ht="15" hidden="false" customHeight="false" outlineLevel="0" collapsed="false">
      <c r="A25" s="39" t="s">
        <v>102</v>
      </c>
      <c r="B25" s="39" t="s">
        <v>685</v>
      </c>
      <c r="C25" s="40" t="str">
        <f aca="false" t="array" ref="C25:C25">_xlfn.XLOOKUP(A25,TRIM(SUBSTITUTE('worker file'!$A$2:$A$406,_xlfn.UNICHAR(160)," ")),'worker file'!$L$2:$L$406,"Not found")</f>
        <v>US Semi-monthly</v>
      </c>
      <c r="D25" s="46" t="n">
        <f aca="false" t="array" ref="D25:D25">_xlfn.XLOOKUP(C25,TRIM('pay group &amp; schedule'!$A$2:$A$6),'pay group &amp; schedule'!$D$2:$D$6,"")</f>
        <v>46311</v>
      </c>
      <c r="E25" s="46" t="n">
        <f aca="false" t="array" ref="E25:E25">_xlfn.XLOOKUP(C25,TRIM('pay group &amp; schedule'!$A$2:$A$6),'pay group &amp; schedule'!$E$2:$E$6,"")</f>
        <v>46326</v>
      </c>
      <c r="F25" s="47" t="n">
        <v>46314</v>
      </c>
      <c r="G25" s="47"/>
      <c r="H25" s="38" t="str">
        <f aca="false">TEXT(F25,"ddd")</f>
        <v>Mon</v>
      </c>
      <c r="K25" s="40" t="str">
        <f aca="false" t="array" ref="K25:K25">IF(I25="","",_xlfn.LET(_xlpm.u,_xlfn.XLOOKUP(A25&amp;"|"&amp;I25,TRIM(SUBSTITUTE('absence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5" s="38" t="str">
        <f aca="false">IF(F25&gt;E25,"Future period",IF(AND(G25&lt;&gt;"",G25&lt;D25),"Prior period",IF(F25&lt;D25,"Started prior period – continues",IF(OR(G25="",G25&gt;E25),"Starts this period – continues","Current period"))))</f>
        <v>Starts this period – continues</v>
      </c>
      <c r="M25" s="39" t="s">
        <v>661</v>
      </c>
      <c r="N25" s="39" t="s">
        <v>703</v>
      </c>
      <c r="O25" s="39" t="s">
        <v>704</v>
      </c>
      <c r="P25" s="50" t="n">
        <v>353000</v>
      </c>
      <c r="Q25" s="50" t="n">
        <v>370000</v>
      </c>
    </row>
    <row r="26" customFormat="false" ht="15" hidden="false" customHeight="false" outlineLevel="0" collapsed="false">
      <c r="A26" s="39" t="s">
        <v>207</v>
      </c>
      <c r="B26" s="39" t="s">
        <v>685</v>
      </c>
      <c r="C26" s="40" t="str">
        <f aca="false" t="array" ref="C26:C26">_xlfn.XLOOKUP(A26,TRIM(SUBSTITUTE('worker file'!$A$2:$A$406,_xlfn.UNICHAR(160)," ")),'worker file'!$L$2:$L$406,"Not found")</f>
        <v>UK Monthly</v>
      </c>
      <c r="D26" s="46" t="n">
        <f aca="false" t="array" ref="D26:D26">_xlfn.XLOOKUP(C26,TRIM('pay group &amp; schedule'!$A$2:$A$6),'pay group &amp; schedule'!$D$2:$D$6,"")</f>
        <v>46296</v>
      </c>
      <c r="E26" s="46" t="n">
        <f aca="false" t="array" ref="E26:E26">_xlfn.XLOOKUP(C26,TRIM('pay group &amp; schedule'!$A$2:$A$6),'pay group &amp; schedule'!$E$2:$E$6,"")</f>
        <v>46326</v>
      </c>
      <c r="F26" s="47" t="n">
        <v>46307</v>
      </c>
      <c r="G26" s="47"/>
      <c r="H26" s="38" t="str">
        <f aca="false">TEXT(F26,"ddd")</f>
        <v>Mon</v>
      </c>
      <c r="K26" s="40" t="str">
        <f aca="false" t="array" ref="K26:K26">IF(I26="","",_xlfn.LET(_xlpm.u,_xlfn.XLOOKUP(A26&amp;"|"&amp;I26,TRIM(SUBSTITUTE('absence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6" s="38" t="str">
        <f aca="false">IF(F26&gt;E26,"Future period",IF(AND(G26&lt;&gt;"",G26&lt;D26),"Prior period",IF(F26&lt;D26,"Started prior period – continues",IF(OR(G26="",G26&gt;E26),"Starts this period – continues","Current period"))))</f>
        <v>Starts this period – continues</v>
      </c>
      <c r="M26" s="39" t="s">
        <v>661</v>
      </c>
      <c r="N26" s="39" t="s">
        <v>705</v>
      </c>
      <c r="O26" s="39" t="s">
        <v>706</v>
      </c>
      <c r="P26" s="51" t="n">
        <v>81000</v>
      </c>
      <c r="Q26" s="51" t="n">
        <v>88000</v>
      </c>
    </row>
    <row r="27" customFormat="false" ht="15" hidden="false" customHeight="false" outlineLevel="0" collapsed="false">
      <c r="A27" s="39" t="s">
        <v>209</v>
      </c>
      <c r="B27" s="39" t="s">
        <v>685</v>
      </c>
      <c r="C27" s="40" t="str">
        <f aca="false" t="array" ref="C27:C27">_xlfn.XLOOKUP(A27,TRIM(SUBSTITUTE('worker file'!$A$2:$A$406,_xlfn.UNICHAR(160)," ")),'worker file'!$L$2:$L$406,"Not found")</f>
        <v>India Monthly</v>
      </c>
      <c r="D27" s="46" t="n">
        <f aca="false" t="array" ref="D27:D27">_xlfn.XLOOKUP(C27,TRIM('pay group &amp; schedule'!$A$2:$A$6),'pay group &amp; schedule'!$D$2:$D$6,"")</f>
        <v>46296</v>
      </c>
      <c r="E27" s="46" t="n">
        <f aca="false" t="array" ref="E27:E27">_xlfn.XLOOKUP(C27,TRIM('pay group &amp; schedule'!$A$2:$A$6),'pay group &amp; schedule'!$E$2:$E$6,"")</f>
        <v>46326</v>
      </c>
      <c r="F27" s="47" t="n">
        <v>46314</v>
      </c>
      <c r="G27" s="47"/>
      <c r="H27" s="38" t="str">
        <f aca="false">TEXT(F27,"ddd")</f>
        <v>Mon</v>
      </c>
      <c r="K27" s="40" t="str">
        <f aca="false" t="array" ref="K27:K27">IF(I27="","",_xlfn.LET(_xlpm.u,_xlfn.XLOOKUP(A27&amp;"|"&amp;I27,TRIM(SUBSTITUTE('absence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7" s="38" t="str">
        <f aca="false">IF(F27&gt;E27,"Future period",IF(AND(G27&lt;&gt;"",G27&lt;D27),"Prior period",IF(F27&lt;D27,"Started prior period – continues",IF(OR(G27="",G27&gt;E27),"Starts this period – continues","Current period"))))</f>
        <v>Starts this period – continues</v>
      </c>
      <c r="M27" s="39" t="s">
        <v>661</v>
      </c>
      <c r="N27" s="39" t="s">
        <v>707</v>
      </c>
      <c r="O27" s="39" t="s">
        <v>708</v>
      </c>
      <c r="P27" s="52" t="n">
        <v>6760000</v>
      </c>
      <c r="Q27" s="52" t="n">
        <v>7300000</v>
      </c>
    </row>
    <row r="28" customFormat="false" ht="15" hidden="false" customHeight="false" outlineLevel="0" collapsed="false">
      <c r="A28" s="39" t="s">
        <v>118</v>
      </c>
      <c r="B28" s="39" t="s">
        <v>688</v>
      </c>
      <c r="C28" s="40" t="str">
        <f aca="false" t="array" ref="C28:C28">_xlfn.XLOOKUP(A28,TRIM(SUBSTITUTE('worker file'!$A$2:$A$406,_xlfn.UNICHAR(160)," ")),'worker file'!$L$2:$L$406,"Not found")</f>
        <v>US Semi-monthly</v>
      </c>
      <c r="D28" s="46" t="n">
        <f aca="false" t="array" ref="D28:D28">_xlfn.XLOOKUP(C28,TRIM('pay group &amp; schedule'!$A$2:$A$6),'pay group &amp; schedule'!$D$2:$D$6,"")</f>
        <v>46311</v>
      </c>
      <c r="E28" s="46" t="n">
        <f aca="false" t="array" ref="E28:E28">_xlfn.XLOOKUP(C28,TRIM('pay group &amp; schedule'!$A$2:$A$6),'pay group &amp; schedule'!$E$2:$E$6,"")</f>
        <v>46326</v>
      </c>
      <c r="F28" s="47" t="n">
        <v>46314</v>
      </c>
      <c r="G28" s="47"/>
      <c r="H28" s="38" t="str">
        <f aca="false">TEXT(F28,"ddd")</f>
        <v>Mon</v>
      </c>
      <c r="K28" s="40" t="str">
        <f aca="false" t="array" ref="K28:K28">IF(I28="","",_xlfn.LET(_xlpm.u,_xlfn.XLOOKUP(A28&amp;"|"&amp;I28,TRIM(SUBSTITUTE('absence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8" s="38" t="str">
        <f aca="false">IF(F28&gt;E28,"Future period",IF(AND(G28&lt;&gt;"",G28&lt;D28),"Prior period",IF(F28&lt;D28,"Started prior period – continues",IF(OR(G28="",G28&gt;E28),"Starts this period – continues","Current period"))))</f>
        <v>Starts this period – continues</v>
      </c>
      <c r="M28" s="39" t="s">
        <v>661</v>
      </c>
      <c r="N28" s="39" t="s">
        <v>709</v>
      </c>
      <c r="O28" s="39" t="s">
        <v>690</v>
      </c>
      <c r="P28" s="53" t="s">
        <v>710</v>
      </c>
      <c r="Q28" s="53" t="s">
        <v>691</v>
      </c>
    </row>
    <row r="29" customFormat="false" ht="15" hidden="false" customHeight="false" outlineLevel="0" collapsed="false">
      <c r="A29" s="39" t="s">
        <v>111</v>
      </c>
      <c r="B29" s="39" t="s">
        <v>688</v>
      </c>
      <c r="C29" s="40" t="str">
        <f aca="false" t="array" ref="C29:C29">_xlfn.XLOOKUP(A29,TRIM(SUBSTITUTE('worker file'!$A$2:$A$406,_xlfn.UNICHAR(160)," ")),'worker file'!$L$2:$L$406,"Not found")</f>
        <v>US Semi-monthly</v>
      </c>
      <c r="D29" s="46" t="n">
        <f aca="false" t="array" ref="D29:D29">_xlfn.XLOOKUP(C29,TRIM('pay group &amp; schedule'!$A$2:$A$6),'pay group &amp; schedule'!$D$2:$D$6,"")</f>
        <v>46311</v>
      </c>
      <c r="E29" s="46" t="n">
        <f aca="false" t="array" ref="E29:E29">_xlfn.XLOOKUP(C29,TRIM('pay group &amp; schedule'!$A$2:$A$6),'pay group &amp; schedule'!$E$2:$E$6,"")</f>
        <v>46326</v>
      </c>
      <c r="F29" s="47" t="n">
        <v>46321</v>
      </c>
      <c r="G29" s="47"/>
      <c r="H29" s="38" t="str">
        <f aca="false">TEXT(F29,"ddd")</f>
        <v>Mon</v>
      </c>
      <c r="K29" s="40" t="str">
        <f aca="false" t="array" ref="K29:K29">IF(I29="","",_xlfn.LET(_xlpm.u,_xlfn.XLOOKUP(A29&amp;"|"&amp;I29,TRIM(SUBSTITUTE('absence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29" s="38" t="str">
        <f aca="false">IF(F29&gt;E29,"Future period",IF(AND(G29&lt;&gt;"",G29&lt;D29),"Prior period",IF(F29&lt;D29,"Started prior period – continues",IF(OR(G29="",G29&gt;E29),"Starts this period – continues","Current period"))))</f>
        <v>Starts this period – continues</v>
      </c>
      <c r="M29" s="39" t="s">
        <v>661</v>
      </c>
      <c r="N29" s="39" t="s">
        <v>711</v>
      </c>
      <c r="O29" s="39" t="s">
        <v>690</v>
      </c>
      <c r="P29" s="53" t="s">
        <v>712</v>
      </c>
      <c r="Q29" s="53" t="s">
        <v>710</v>
      </c>
    </row>
    <row r="30" customFormat="false" ht="15" hidden="false" customHeight="false" outlineLevel="0" collapsed="false">
      <c r="A30" s="39" t="s">
        <v>115</v>
      </c>
      <c r="B30" s="39" t="s">
        <v>688</v>
      </c>
      <c r="C30" s="40" t="str">
        <f aca="false" t="array" ref="C30:C30">_xlfn.XLOOKUP(A30,TRIM(SUBSTITUTE('worker file'!$A$2:$A$406,_xlfn.UNICHAR(160)," ")),'worker file'!$L$2:$L$406,"Not found")</f>
        <v>US Semi-monthly</v>
      </c>
      <c r="D30" s="46" t="n">
        <f aca="false" t="array" ref="D30:D30">_xlfn.XLOOKUP(C30,TRIM('pay group &amp; schedule'!$A$2:$A$6),'pay group &amp; schedule'!$D$2:$D$6,"")</f>
        <v>46311</v>
      </c>
      <c r="E30" s="46" t="n">
        <f aca="false" t="array" ref="E30:E30">_xlfn.XLOOKUP(C30,TRIM('pay group &amp; schedule'!$A$2:$A$6),'pay group &amp; schedule'!$E$2:$E$6,"")</f>
        <v>46326</v>
      </c>
      <c r="F30" s="47" t="n">
        <v>46314</v>
      </c>
      <c r="G30" s="47"/>
      <c r="H30" s="38" t="str">
        <f aca="false">TEXT(F30,"ddd")</f>
        <v>Mon</v>
      </c>
      <c r="K30" s="40" t="str">
        <f aca="false" t="array" ref="K30:K30">IF(I30="","",_xlfn.LET(_xlpm.u,_xlfn.XLOOKUP(A30&amp;"|"&amp;I30,TRIM(SUBSTITUTE('absence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0" s="38" t="str">
        <f aca="false">IF(F30&gt;E30,"Future period",IF(AND(G30&lt;&gt;"",G30&lt;D30),"Prior period",IF(F30&lt;D30,"Started prior period – continues",IF(OR(G30="",G30&gt;E30),"Starts this period – continues","Current period"))))</f>
        <v>Starts this period – continues</v>
      </c>
      <c r="M30" s="39" t="s">
        <v>661</v>
      </c>
      <c r="N30" s="39" t="s">
        <v>713</v>
      </c>
      <c r="O30" s="39" t="s">
        <v>714</v>
      </c>
      <c r="P30" s="53" t="s">
        <v>691</v>
      </c>
      <c r="Q30" s="53" t="s">
        <v>712</v>
      </c>
    </row>
    <row r="31" customFormat="false" ht="15" hidden="false" customHeight="false" outlineLevel="0" collapsed="false">
      <c r="A31" s="39" t="s">
        <v>596</v>
      </c>
      <c r="B31" s="39" t="s">
        <v>715</v>
      </c>
      <c r="C31" s="40" t="str">
        <f aca="false" t="array" ref="C31:C31">_xlfn.XLOOKUP(A31,TRIM(SUBSTITUTE('worker file'!$A$2:$A$406,_xlfn.UNICHAR(160)," ")),'worker file'!$L$2:$L$406,"Not found")</f>
        <v>US Semi-monthly</v>
      </c>
      <c r="D31" s="46" t="n">
        <f aca="false" t="array" ref="D31:D31">_xlfn.XLOOKUP(C31,TRIM('pay group &amp; schedule'!$A$2:$A$6),'pay group &amp; schedule'!$D$2:$D$6,"")</f>
        <v>46311</v>
      </c>
      <c r="E31" s="46" t="n">
        <f aca="false" t="array" ref="E31:E31">_xlfn.XLOOKUP(C31,TRIM('pay group &amp; schedule'!$A$2:$A$6),'pay group &amp; schedule'!$E$2:$E$6,"")</f>
        <v>46326</v>
      </c>
      <c r="F31" s="47" t="n">
        <v>46316</v>
      </c>
      <c r="G31" s="43" t="n">
        <f aca="false">F31</f>
        <v>46316</v>
      </c>
      <c r="H31" s="38" t="str">
        <f aca="false">TEXT(F31,"ddd")</f>
        <v>Wed</v>
      </c>
      <c r="K31" s="40" t="str">
        <f aca="false" t="array" ref="K31:K31">IF(I31="","",_xlfn.LET(_xlpm.u,_xlfn.XLOOKUP(A31&amp;"|"&amp;I31,TRIM(SUBSTITUTE('absence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1" s="38" t="str">
        <f aca="false">IF(F31&gt;E31,"Future period",IF(AND(G31&lt;&gt;"",G31&lt;D31),"Prior period",IF(F31&lt;D31,"Started prior period – continues",IF(OR(G31="",G31&gt;E31),"Starts this period – continues","Current period"))))</f>
        <v>Current period</v>
      </c>
      <c r="M31" s="39" t="s">
        <v>661</v>
      </c>
      <c r="N31" s="39" t="s">
        <v>716</v>
      </c>
      <c r="O31" s="39" t="s">
        <v>717</v>
      </c>
      <c r="P31" s="53"/>
      <c r="Q31" s="54" t="n">
        <v>15000</v>
      </c>
    </row>
    <row r="32" customFormat="false" ht="15" hidden="false" customHeight="false" outlineLevel="0" collapsed="false">
      <c r="A32" s="39" t="s">
        <v>472</v>
      </c>
      <c r="B32" s="39" t="s">
        <v>715</v>
      </c>
      <c r="C32" s="40" t="str">
        <f aca="false" t="array" ref="C32:C32">_xlfn.XLOOKUP(A32,TRIM(SUBSTITUTE('worker file'!$A$2:$A$406,_xlfn.UNICHAR(160)," ")),'worker file'!$L$2:$L$406,"Not found")</f>
        <v>US Semi-monthly</v>
      </c>
      <c r="D32" s="46" t="n">
        <f aca="false" t="array" ref="D32:D32">_xlfn.XLOOKUP(C32,TRIM('pay group &amp; schedule'!$A$2:$A$6),'pay group &amp; schedule'!$D$2:$D$6,"")</f>
        <v>46311</v>
      </c>
      <c r="E32" s="46" t="n">
        <f aca="false" t="array" ref="E32:E32">_xlfn.XLOOKUP(C32,TRIM('pay group &amp; schedule'!$A$2:$A$6),'pay group &amp; schedule'!$E$2:$E$6,"")</f>
        <v>46326</v>
      </c>
      <c r="F32" s="47" t="n">
        <v>46314</v>
      </c>
      <c r="G32" s="43" t="n">
        <f aca="false">F32</f>
        <v>46314</v>
      </c>
      <c r="H32" s="38" t="str">
        <f aca="false">TEXT(F32,"ddd")</f>
        <v>Mon</v>
      </c>
      <c r="K32" s="40" t="str">
        <f aca="false" t="array" ref="K32:K32">IF(I32="","",_xlfn.LET(_xlpm.u,_xlfn.XLOOKUP(A32&amp;"|"&amp;I32,TRIM(SUBSTITUTE('absence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2" s="38" t="str">
        <f aca="false">IF(F32&gt;E32,"Future period",IF(AND(G32&lt;&gt;"",G32&lt;D32),"Prior period",IF(F32&lt;D32,"Started prior period – continues",IF(OR(G32="",G32&gt;E32),"Starts this period – continues","Current period"))))</f>
        <v>Current period</v>
      </c>
      <c r="M32" s="39" t="s">
        <v>661</v>
      </c>
      <c r="N32" s="39" t="s">
        <v>718</v>
      </c>
      <c r="O32" s="39" t="s">
        <v>717</v>
      </c>
      <c r="P32" s="53"/>
      <c r="Q32" s="54" t="n">
        <v>10000</v>
      </c>
    </row>
    <row r="33" customFormat="false" ht="15" hidden="false" customHeight="false" outlineLevel="0" collapsed="false">
      <c r="A33" s="39" t="s">
        <v>474</v>
      </c>
      <c r="B33" s="39" t="s">
        <v>715</v>
      </c>
      <c r="C33" s="40" t="str">
        <f aca="false" t="array" ref="C33:C33">_xlfn.XLOOKUP(A33,TRIM(SUBSTITUTE('worker file'!$A$2:$A$406,_xlfn.UNICHAR(160)," ")),'worker file'!$L$2:$L$406,"Not found")</f>
        <v>US Semi-monthly</v>
      </c>
      <c r="D33" s="46" t="n">
        <f aca="false" t="array" ref="D33:D33">_xlfn.XLOOKUP(C33,TRIM('pay group &amp; schedule'!$A$2:$A$6),'pay group &amp; schedule'!$D$2:$D$6,"")</f>
        <v>46311</v>
      </c>
      <c r="E33" s="46" t="n">
        <f aca="false" t="array" ref="E33:E33">_xlfn.XLOOKUP(C33,TRIM('pay group &amp; schedule'!$A$2:$A$6),'pay group &amp; schedule'!$E$2:$E$6,"")</f>
        <v>46326</v>
      </c>
      <c r="F33" s="47" t="n">
        <v>46315</v>
      </c>
      <c r="G33" s="43" t="n">
        <f aca="false">F33</f>
        <v>46315</v>
      </c>
      <c r="H33" s="38" t="str">
        <f aca="false">TEXT(F33,"ddd")</f>
        <v>Tue</v>
      </c>
      <c r="K33" s="40" t="str">
        <f aca="false" t="array" ref="K33:K33">IF(I33="","",_xlfn.LET(_xlpm.u,_xlfn.XLOOKUP(A33&amp;"|"&amp;I33,TRIM(SUBSTITUTE('absence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3" s="38" t="str">
        <f aca="false">IF(F33&gt;E33,"Future period",IF(AND(G33&lt;&gt;"",G33&lt;D33),"Prior period",IF(F33&lt;D33,"Started prior period – continues",IF(OR(G33="",G33&gt;E33),"Starts this period – continues","Current period"))))</f>
        <v>Current period</v>
      </c>
      <c r="M33" s="39" t="s">
        <v>661</v>
      </c>
      <c r="N33" s="39" t="s">
        <v>719</v>
      </c>
      <c r="O33" s="39" t="s">
        <v>717</v>
      </c>
      <c r="P33" s="53"/>
      <c r="Q33" s="54" t="n">
        <v>12500</v>
      </c>
    </row>
    <row r="34" customFormat="false" ht="15" hidden="false" customHeight="false" outlineLevel="0" collapsed="false">
      <c r="A34" s="39" t="s">
        <v>477</v>
      </c>
      <c r="B34" s="39" t="s">
        <v>715</v>
      </c>
      <c r="C34" s="40" t="str">
        <f aca="false" t="array" ref="C34:C34">_xlfn.XLOOKUP(A34,TRIM(SUBSTITUTE('worker file'!$A$2:$A$406,_xlfn.UNICHAR(160)," ")),'worker file'!$L$2:$L$406,"Not found")</f>
        <v>US Semi-monthly</v>
      </c>
      <c r="D34" s="46" t="n">
        <f aca="false" t="array" ref="D34:D34">_xlfn.XLOOKUP(C34,TRIM('pay group &amp; schedule'!$A$2:$A$6),'pay group &amp; schedule'!$D$2:$D$6,"")</f>
        <v>46311</v>
      </c>
      <c r="E34" s="46" t="n">
        <f aca="false" t="array" ref="E34:E34">_xlfn.XLOOKUP(C34,TRIM('pay group &amp; schedule'!$A$2:$A$6),'pay group &amp; schedule'!$E$2:$E$6,"")</f>
        <v>46326</v>
      </c>
      <c r="F34" s="47" t="n">
        <v>46317</v>
      </c>
      <c r="G34" s="43" t="n">
        <f aca="false">F34</f>
        <v>46317</v>
      </c>
      <c r="H34" s="38" t="str">
        <f aca="false">TEXT(F34,"ddd")</f>
        <v>Thu</v>
      </c>
      <c r="K34" s="40" t="str">
        <f aca="false" t="array" ref="K34:K34">IF(I34="","",_xlfn.LET(_xlpm.u,_xlfn.XLOOKUP(A34&amp;"|"&amp;I34,TRIM(SUBSTITUTE('absence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4" s="38" t="str">
        <f aca="false">IF(F34&gt;E34,"Future period",IF(AND(G34&lt;&gt;"",G34&lt;D34),"Prior period",IF(F34&lt;D34,"Started prior period – continues",IF(OR(G34="",G34&gt;E34),"Starts this period – continues","Current period"))))</f>
        <v>Current period</v>
      </c>
      <c r="M34" s="39" t="s">
        <v>661</v>
      </c>
      <c r="N34" s="39" t="s">
        <v>720</v>
      </c>
      <c r="O34" s="39" t="s">
        <v>717</v>
      </c>
      <c r="P34" s="53"/>
      <c r="Q34" s="54" t="n">
        <v>7500</v>
      </c>
    </row>
    <row r="35" customFormat="false" ht="15" hidden="false" customHeight="false" outlineLevel="0" collapsed="false">
      <c r="A35" s="39" t="s">
        <v>479</v>
      </c>
      <c r="B35" s="39" t="s">
        <v>715</v>
      </c>
      <c r="C35" s="40" t="str">
        <f aca="false" t="array" ref="C35:C35">_xlfn.XLOOKUP(A35,TRIM(SUBSTITUTE('worker file'!$A$2:$A$406,_xlfn.UNICHAR(160)," ")),'worker file'!$L$2:$L$406,"Not found")</f>
        <v>US Semi-monthly</v>
      </c>
      <c r="D35" s="46" t="n">
        <f aca="false" t="array" ref="D35:D35">_xlfn.XLOOKUP(C35,TRIM('pay group &amp; schedule'!$A$2:$A$6),'pay group &amp; schedule'!$D$2:$D$6,"")</f>
        <v>46311</v>
      </c>
      <c r="E35" s="46" t="n">
        <f aca="false" t="array" ref="E35:E35">_xlfn.XLOOKUP(C35,TRIM('pay group &amp; schedule'!$A$2:$A$6),'pay group &amp; schedule'!$E$2:$E$6,"")</f>
        <v>46326</v>
      </c>
      <c r="F35" s="47" t="n">
        <v>46321</v>
      </c>
      <c r="G35" s="43" t="n">
        <f aca="false">F35</f>
        <v>46321</v>
      </c>
      <c r="H35" s="38" t="str">
        <f aca="false">TEXT(F35,"ddd")</f>
        <v>Mon</v>
      </c>
      <c r="K35" s="40" t="str">
        <f aca="false" t="array" ref="K35:K35">IF(I35="","",_xlfn.LET(_xlpm.u,_xlfn.XLOOKUP(A35&amp;"|"&amp;I35,TRIM(SUBSTITUTE('absence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5" s="38" t="str">
        <f aca="false">IF(F35&gt;E35,"Future period",IF(AND(G35&lt;&gt;"",G35&lt;D35),"Prior period",IF(F35&lt;D35,"Started prior period – continues",IF(OR(G35="",G35&gt;E35),"Starts this period – continues","Current period"))))</f>
        <v>Current period</v>
      </c>
      <c r="M35" s="39" t="s">
        <v>661</v>
      </c>
      <c r="N35" s="39" t="s">
        <v>721</v>
      </c>
      <c r="O35" s="39" t="s">
        <v>717</v>
      </c>
      <c r="P35" s="53"/>
      <c r="Q35" s="54" t="n">
        <v>10000</v>
      </c>
    </row>
    <row r="36" customFormat="false" ht="15" hidden="false" customHeight="false" outlineLevel="0" collapsed="false">
      <c r="A36" s="39" t="s">
        <v>466</v>
      </c>
      <c r="B36" s="39" t="s">
        <v>715</v>
      </c>
      <c r="C36" s="40" t="str">
        <f aca="false" t="array" ref="C36:C36">_xlfn.XLOOKUP(A36,TRIM(SUBSTITUTE('worker file'!$A$2:$A$406,_xlfn.UNICHAR(160)," ")),'worker file'!$L$2:$L$406,"Not found")</f>
        <v>US Semi-monthly</v>
      </c>
      <c r="D36" s="46" t="n">
        <f aca="false" t="array" ref="D36:D36">_xlfn.XLOOKUP(C36,TRIM('pay group &amp; schedule'!$A$2:$A$6),'pay group &amp; schedule'!$D$2:$D$6,"")</f>
        <v>46311</v>
      </c>
      <c r="E36" s="46" t="n">
        <f aca="false" t="array" ref="E36:E36">_xlfn.XLOOKUP(C36,TRIM('pay group &amp; schedule'!$A$2:$A$6),'pay group &amp; schedule'!$E$2:$E$6,"")</f>
        <v>46326</v>
      </c>
      <c r="F36" s="47" t="n">
        <v>46311</v>
      </c>
      <c r="G36" s="43" t="n">
        <f aca="false">F36</f>
        <v>46311</v>
      </c>
      <c r="H36" s="38" t="str">
        <f aca="false">TEXT(F36,"ddd")</f>
        <v>Fri</v>
      </c>
      <c r="K36" s="40" t="str">
        <f aca="false" t="array" ref="K36:K36">IF(I36="","",_xlfn.LET(_xlpm.u,_xlfn.XLOOKUP(A36&amp;"|"&amp;I36,TRIM(SUBSTITUTE('absence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6" s="38" t="str">
        <f aca="false">IF(F36&gt;E36,"Future period",IF(AND(G36&lt;&gt;"",G36&lt;D36),"Prior period",IF(F36&lt;D36,"Started prior period – continues",IF(OR(G36="",G36&gt;E36),"Starts this period – continues","Current period"))))</f>
        <v>Current period</v>
      </c>
      <c r="M36" s="39" t="s">
        <v>661</v>
      </c>
      <c r="N36" s="39" t="s">
        <v>722</v>
      </c>
      <c r="O36" s="39" t="s">
        <v>717</v>
      </c>
      <c r="P36" s="53"/>
      <c r="Q36" s="54" t="n">
        <v>5000</v>
      </c>
    </row>
    <row r="37" customFormat="false" ht="15" hidden="false" customHeight="false" outlineLevel="0" collapsed="false">
      <c r="A37" s="39" t="s">
        <v>476</v>
      </c>
      <c r="B37" s="39" t="s">
        <v>715</v>
      </c>
      <c r="C37" s="40" t="str">
        <f aca="false" t="array" ref="C37:C37">_xlfn.XLOOKUP(A37,TRIM(SUBSTITUTE('worker file'!$A$2:$A$406,_xlfn.UNICHAR(160)," ")),'worker file'!$L$2:$L$406,"Not found")</f>
        <v>US Biweekly</v>
      </c>
      <c r="D37" s="46" t="n">
        <f aca="false" t="array" ref="D37:D37">_xlfn.XLOOKUP(C37,TRIM('pay group &amp; schedule'!$A$2:$A$6),'pay group &amp; schedule'!$D$2:$D$6,"")</f>
        <v>46299</v>
      </c>
      <c r="E37" s="46" t="n">
        <f aca="false" t="array" ref="E37:E37">_xlfn.XLOOKUP(C37,TRIM('pay group &amp; schedule'!$A$2:$A$6),'pay group &amp; schedule'!$E$2:$E$6,"")</f>
        <v>46312</v>
      </c>
      <c r="F37" s="47" t="n">
        <v>46302</v>
      </c>
      <c r="G37" s="43" t="n">
        <f aca="false">F37</f>
        <v>46302</v>
      </c>
      <c r="H37" s="38" t="str">
        <f aca="false">TEXT(F37,"ddd")</f>
        <v>Wed</v>
      </c>
      <c r="K37" s="40" t="str">
        <f aca="false" t="array" ref="K37:K37">IF(I37="","",_xlfn.LET(_xlpm.u,_xlfn.XLOOKUP(A37&amp;"|"&amp;I37,TRIM(SUBSTITUTE('absence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7" s="38" t="str">
        <f aca="false">IF(F37&gt;E37,"Future period",IF(AND(G37&lt;&gt;"",G37&lt;D37),"Prior period",IF(F37&lt;D37,"Started prior period – continues",IF(OR(G37="",G37&gt;E37),"Starts this period – continues","Current period"))))</f>
        <v>Current period</v>
      </c>
      <c r="M37" s="39" t="s">
        <v>661</v>
      </c>
      <c r="N37" s="39" t="s">
        <v>723</v>
      </c>
      <c r="O37" s="39" t="s">
        <v>717</v>
      </c>
      <c r="P37" s="53"/>
      <c r="Q37" s="54" t="n">
        <v>2000</v>
      </c>
    </row>
    <row r="38" customFormat="false" ht="15" hidden="false" customHeight="false" outlineLevel="0" collapsed="false">
      <c r="A38" s="39" t="s">
        <v>478</v>
      </c>
      <c r="B38" s="39" t="s">
        <v>715</v>
      </c>
      <c r="C38" s="40" t="str">
        <f aca="false" t="array" ref="C38:C38">_xlfn.XLOOKUP(A38,TRIM(SUBSTITUTE('worker file'!$A$2:$A$406,_xlfn.UNICHAR(160)," ")),'worker file'!$L$2:$L$406,"Not found")</f>
        <v>US Biweekly</v>
      </c>
      <c r="D38" s="46" t="n">
        <f aca="false" t="array" ref="D38:D38">_xlfn.XLOOKUP(C38,TRIM('pay group &amp; schedule'!$A$2:$A$6),'pay group &amp; schedule'!$D$2:$D$6,"")</f>
        <v>46299</v>
      </c>
      <c r="E38" s="46" t="n">
        <f aca="false" t="array" ref="E38:E38">_xlfn.XLOOKUP(C38,TRIM('pay group &amp; schedule'!$A$2:$A$6),'pay group &amp; schedule'!$E$2:$E$6,"")</f>
        <v>46312</v>
      </c>
      <c r="F38" s="47" t="n">
        <v>46309</v>
      </c>
      <c r="G38" s="43" t="n">
        <f aca="false">F38</f>
        <v>46309</v>
      </c>
      <c r="H38" s="38" t="str">
        <f aca="false">TEXT(F38,"ddd")</f>
        <v>Wed</v>
      </c>
      <c r="K38" s="40" t="str">
        <f aca="false" t="array" ref="K38:K38">IF(I38="","",_xlfn.LET(_xlpm.u,_xlfn.XLOOKUP(A38&amp;"|"&amp;I38,TRIM(SUBSTITUTE('absence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8" s="38" t="str">
        <f aca="false">IF(F38&gt;E38,"Future period",IF(AND(G38&lt;&gt;"",G38&lt;D38),"Prior period",IF(F38&lt;D38,"Started prior period – continues",IF(OR(G38="",G38&gt;E38),"Starts this period – continues","Current period"))))</f>
        <v>Current period</v>
      </c>
      <c r="M38" s="39" t="s">
        <v>661</v>
      </c>
      <c r="N38" s="39" t="s">
        <v>724</v>
      </c>
      <c r="O38" s="39" t="s">
        <v>717</v>
      </c>
      <c r="P38" s="53"/>
      <c r="Q38" s="54" t="n">
        <v>1500</v>
      </c>
    </row>
    <row r="39" customFormat="false" ht="15" hidden="false" customHeight="false" outlineLevel="0" collapsed="false">
      <c r="A39" s="39" t="s">
        <v>470</v>
      </c>
      <c r="B39" s="39" t="s">
        <v>715</v>
      </c>
      <c r="C39" s="40" t="str">
        <f aca="false" t="array" ref="C39:C39">_xlfn.XLOOKUP(A39,TRIM(SUBSTITUTE('worker file'!$A$2:$A$406,_xlfn.UNICHAR(160)," ")),'worker file'!$L$2:$L$406,"Not found")</f>
        <v>UK Monthly</v>
      </c>
      <c r="D39" s="46" t="n">
        <f aca="false" t="array" ref="D39:D39">_xlfn.XLOOKUP(C39,TRIM('pay group &amp; schedule'!$A$2:$A$6),'pay group &amp; schedule'!$D$2:$D$6,"")</f>
        <v>46296</v>
      </c>
      <c r="E39" s="46" t="n">
        <f aca="false" t="array" ref="E39:E39">_xlfn.XLOOKUP(C39,TRIM('pay group &amp; schedule'!$A$2:$A$6),'pay group &amp; schedule'!$E$2:$E$6,"")</f>
        <v>46326</v>
      </c>
      <c r="F39" s="47" t="n">
        <v>46296</v>
      </c>
      <c r="G39" s="43" t="n">
        <f aca="false">F39</f>
        <v>46296</v>
      </c>
      <c r="H39" s="38" t="str">
        <f aca="false">TEXT(F39,"ddd")</f>
        <v>Thu</v>
      </c>
      <c r="K39" s="40" t="str">
        <f aca="false" t="array" ref="K39:K39">IF(I39="","",_xlfn.LET(_xlpm.u,_xlfn.XLOOKUP(A39&amp;"|"&amp;I39,TRIM(SUBSTITUTE('absence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39" s="38" t="str">
        <f aca="false">IF(F39&gt;E39,"Future period",IF(AND(G39&lt;&gt;"",G39&lt;D39),"Prior period",IF(F39&lt;D39,"Started prior period – continues",IF(OR(G39="",G39&gt;E39),"Starts this period – continues","Current period"))))</f>
        <v>Current period</v>
      </c>
      <c r="M39" s="39" t="s">
        <v>661</v>
      </c>
      <c r="N39" s="39" t="s">
        <v>725</v>
      </c>
      <c r="O39" s="39" t="s">
        <v>726</v>
      </c>
      <c r="P39" s="53"/>
      <c r="Q39" s="55" t="n">
        <v>7500</v>
      </c>
    </row>
    <row r="40" customFormat="false" ht="15" hidden="false" customHeight="false" outlineLevel="0" collapsed="false">
      <c r="A40" s="39" t="s">
        <v>471</v>
      </c>
      <c r="B40" s="39" t="s">
        <v>715</v>
      </c>
      <c r="C40" s="40" t="str">
        <f aca="false" t="array" ref="C40:C40">_xlfn.XLOOKUP(A40,TRIM(SUBSTITUTE('worker file'!$A$2:$A$406,_xlfn.UNICHAR(160)," ")),'worker file'!$L$2:$L$406,"Not found")</f>
        <v>UK Monthly</v>
      </c>
      <c r="D40" s="46" t="n">
        <f aca="false" t="array" ref="D40:D40">_xlfn.XLOOKUP(C40,TRIM('pay group &amp; schedule'!$A$2:$A$6),'pay group &amp; schedule'!$D$2:$D$6,"")</f>
        <v>46296</v>
      </c>
      <c r="E40" s="46" t="n">
        <f aca="false" t="array" ref="E40:E40">_xlfn.XLOOKUP(C40,TRIM('pay group &amp; schedule'!$A$2:$A$6),'pay group &amp; schedule'!$E$2:$E$6,"")</f>
        <v>46326</v>
      </c>
      <c r="F40" s="47" t="n">
        <v>46296</v>
      </c>
      <c r="G40" s="43" t="n">
        <f aca="false">F40</f>
        <v>46296</v>
      </c>
      <c r="H40" s="38" t="str">
        <f aca="false">TEXT(F40,"ddd")</f>
        <v>Thu</v>
      </c>
      <c r="K40" s="40" t="str">
        <f aca="false" t="array" ref="K40:K40">IF(I40="","",_xlfn.LET(_xlpm.u,_xlfn.XLOOKUP(A40&amp;"|"&amp;I40,TRIM(SUBSTITUTE('absence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0" s="38" t="str">
        <f aca="false">IF(F40&gt;E40,"Future period",IF(AND(G40&lt;&gt;"",G40&lt;D40),"Prior period",IF(F40&lt;D40,"Started prior period – continues",IF(OR(G40="",G40&gt;E40),"Starts this period – continues","Current period"))))</f>
        <v>Current period</v>
      </c>
      <c r="M40" s="39" t="s">
        <v>661</v>
      </c>
      <c r="N40" s="39" t="s">
        <v>727</v>
      </c>
      <c r="O40" s="39" t="s">
        <v>726</v>
      </c>
      <c r="P40" s="53"/>
      <c r="Q40" s="55" t="n">
        <v>5000</v>
      </c>
    </row>
    <row r="41" customFormat="false" ht="15" hidden="false" customHeight="false" outlineLevel="0" collapsed="false">
      <c r="A41" s="39" t="s">
        <v>468</v>
      </c>
      <c r="B41" s="39" t="s">
        <v>715</v>
      </c>
      <c r="C41" s="40" t="str">
        <f aca="false" t="array" ref="C41:C41">_xlfn.XLOOKUP(A41,TRIM(SUBSTITUTE('worker file'!$A$2:$A$406,_xlfn.UNICHAR(160)," ")),'worker file'!$L$2:$L$406,"Not found")</f>
        <v>India Monthly</v>
      </c>
      <c r="D41" s="46" t="n">
        <f aca="false" t="array" ref="D41:D41">_xlfn.XLOOKUP(C41,TRIM('pay group &amp; schedule'!$A$2:$A$6),'pay group &amp; schedule'!$D$2:$D$6,"")</f>
        <v>46296</v>
      </c>
      <c r="E41" s="46" t="n">
        <f aca="false" t="array" ref="E41:E41">_xlfn.XLOOKUP(C41,TRIM('pay group &amp; schedule'!$A$2:$A$6),'pay group &amp; schedule'!$E$2:$E$6,"")</f>
        <v>46326</v>
      </c>
      <c r="F41" s="47" t="n">
        <v>46296</v>
      </c>
      <c r="G41" s="43" t="n">
        <f aca="false">F41</f>
        <v>46296</v>
      </c>
      <c r="H41" s="38" t="str">
        <f aca="false">TEXT(F41,"ddd")</f>
        <v>Thu</v>
      </c>
      <c r="K41" s="40" t="str">
        <f aca="false" t="array" ref="K41:K41">IF(I41="","",_xlfn.LET(_xlpm.u,_xlfn.XLOOKUP(A41&amp;"|"&amp;I41,TRIM(SUBSTITUTE('absence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1" s="38" t="str">
        <f aca="false">IF(F41&gt;E41,"Future period",IF(AND(G41&lt;&gt;"",G41&lt;D41),"Prior period",IF(F41&lt;D41,"Started prior period – continues",IF(OR(G41="",G41&gt;E41),"Starts this period – continues","Current period"))))</f>
        <v>Current period</v>
      </c>
      <c r="M41" s="39" t="s">
        <v>661</v>
      </c>
      <c r="N41" s="39" t="s">
        <v>728</v>
      </c>
      <c r="O41" s="39" t="s">
        <v>729</v>
      </c>
      <c r="P41" s="53"/>
      <c r="Q41" s="56" t="n">
        <v>500000</v>
      </c>
    </row>
    <row r="42" customFormat="false" ht="15" hidden="false" customHeight="false" outlineLevel="0" collapsed="false">
      <c r="A42" s="39" t="s">
        <v>469</v>
      </c>
      <c r="B42" s="39" t="s">
        <v>715</v>
      </c>
      <c r="C42" s="40" t="str">
        <f aca="false" t="array" ref="C42:C42">_xlfn.XLOOKUP(A42,TRIM(SUBSTITUTE('worker file'!$A$2:$A$406,_xlfn.UNICHAR(160)," ")),'worker file'!$L$2:$L$406,"Not found")</f>
        <v>India Monthly</v>
      </c>
      <c r="D42" s="46" t="n">
        <f aca="false" t="array" ref="D42:D42">_xlfn.XLOOKUP(C42,TRIM('pay group &amp; schedule'!$A$2:$A$6),'pay group &amp; schedule'!$D$2:$D$6,"")</f>
        <v>46296</v>
      </c>
      <c r="E42" s="46" t="n">
        <f aca="false" t="array" ref="E42:E42">_xlfn.XLOOKUP(C42,TRIM('pay group &amp; schedule'!$A$2:$A$6),'pay group &amp; schedule'!$E$2:$E$6,"")</f>
        <v>46326</v>
      </c>
      <c r="F42" s="47" t="n">
        <v>46296</v>
      </c>
      <c r="G42" s="43" t="n">
        <f aca="false">F42</f>
        <v>46296</v>
      </c>
      <c r="H42" s="38" t="str">
        <f aca="false">TEXT(F42,"ddd")</f>
        <v>Thu</v>
      </c>
      <c r="K42" s="40" t="str">
        <f aca="false" t="array" ref="K42:K42">IF(I42="","",_xlfn.LET(_xlpm.u,_xlfn.XLOOKUP(A42&amp;"|"&amp;I42,TRIM(SUBSTITUTE('absence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2" s="38" t="str">
        <f aca="false">IF(F42&gt;E42,"Future period",IF(AND(G42&lt;&gt;"",G42&lt;D42),"Prior period",IF(F42&lt;D42,"Started prior period – continues",IF(OR(G42="",G42&gt;E42),"Starts this period – continues","Current period"))))</f>
        <v>Current period</v>
      </c>
      <c r="M42" s="39" t="s">
        <v>661</v>
      </c>
      <c r="N42" s="39" t="s">
        <v>730</v>
      </c>
      <c r="O42" s="39" t="s">
        <v>729</v>
      </c>
      <c r="P42" s="53"/>
      <c r="Q42" s="56" t="n">
        <v>300000</v>
      </c>
    </row>
    <row r="43" customFormat="false" ht="15" hidden="false" customHeight="false" outlineLevel="0" collapsed="false">
      <c r="A43" s="39" t="s">
        <v>176</v>
      </c>
      <c r="B43" s="39" t="s">
        <v>715</v>
      </c>
      <c r="C43" s="40" t="str">
        <f aca="false" t="array" ref="C43:C43">_xlfn.XLOOKUP(A43,TRIM(SUBSTITUTE('worker file'!$A$2:$A$406,_xlfn.UNICHAR(160)," ")),'worker file'!$L$2:$L$406,"Not found")</f>
        <v>US Semi-monthly</v>
      </c>
      <c r="D43" s="46" t="n">
        <f aca="false" t="array" ref="D43:D43">_xlfn.XLOOKUP(C43,TRIM('pay group &amp; schedule'!$A$2:$A$6),'pay group &amp; schedule'!$D$2:$D$6,"")</f>
        <v>46311</v>
      </c>
      <c r="E43" s="46" t="n">
        <f aca="false" t="array" ref="E43:E43">_xlfn.XLOOKUP(C43,TRIM('pay group &amp; schedule'!$A$2:$A$6),'pay group &amp; schedule'!$E$2:$E$6,"")</f>
        <v>46326</v>
      </c>
      <c r="F43" s="47" t="n">
        <v>46311</v>
      </c>
      <c r="G43" s="43" t="n">
        <f aca="false">F43</f>
        <v>46311</v>
      </c>
      <c r="H43" s="38" t="str">
        <f aca="false">TEXT(F43,"ddd")</f>
        <v>Fri</v>
      </c>
      <c r="K43" s="40" t="str">
        <f aca="false" t="array" ref="K43:K43">IF(I43="","",_xlfn.LET(_xlpm.u,_xlfn.XLOOKUP(A43&amp;"|"&amp;I43,TRIM(SUBSTITUTE('absence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3" s="38" t="str">
        <f aca="false">IF(F43&gt;E43,"Future period",IF(AND(G43&lt;&gt;"",G43&lt;D43),"Prior period",IF(F43&lt;D43,"Started prior period – continues",IF(OR(G43="",G43&gt;E43),"Starts this period – continues","Current period"))))</f>
        <v>Current period</v>
      </c>
      <c r="M43" s="39" t="s">
        <v>661</v>
      </c>
      <c r="N43" s="39" t="s">
        <v>731</v>
      </c>
      <c r="O43" s="39" t="s">
        <v>732</v>
      </c>
      <c r="P43" s="53"/>
      <c r="Q43" s="54" t="n">
        <v>2500</v>
      </c>
    </row>
    <row r="44" customFormat="false" ht="15" hidden="false" customHeight="false" outlineLevel="0" collapsed="false">
      <c r="A44" s="39" t="s">
        <v>114</v>
      </c>
      <c r="B44" s="39" t="s">
        <v>715</v>
      </c>
      <c r="C44" s="40" t="str">
        <f aca="false" t="array" ref="C44:C44">_xlfn.XLOOKUP(A44,TRIM(SUBSTITUTE('worker file'!$A$2:$A$406,_xlfn.UNICHAR(160)," ")),'worker file'!$L$2:$L$406,"Not found")</f>
        <v>US Semi-monthly</v>
      </c>
      <c r="D44" s="46" t="n">
        <f aca="false" t="array" ref="D44:D44">_xlfn.XLOOKUP(C44,TRIM('pay group &amp; schedule'!$A$2:$A$6),'pay group &amp; schedule'!$D$2:$D$6,"")</f>
        <v>46311</v>
      </c>
      <c r="E44" s="46" t="n">
        <f aca="false" t="array" ref="E44:E44">_xlfn.XLOOKUP(C44,TRIM('pay group &amp; schedule'!$A$2:$A$6),'pay group &amp; schedule'!$E$2:$E$6,"")</f>
        <v>46326</v>
      </c>
      <c r="F44" s="47" t="n">
        <v>46311</v>
      </c>
      <c r="G44" s="43" t="n">
        <f aca="false">F44</f>
        <v>46311</v>
      </c>
      <c r="H44" s="38" t="str">
        <f aca="false">TEXT(F44,"ddd")</f>
        <v>Fri</v>
      </c>
      <c r="K44" s="40" t="str">
        <f aca="false" t="array" ref="K44:K44">IF(I44="","",_xlfn.LET(_xlpm.u,_xlfn.XLOOKUP(A44&amp;"|"&amp;I44,TRIM(SUBSTITUTE('absence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4" s="38" t="str">
        <f aca="false">IF(F44&gt;E44,"Future period",IF(AND(G44&lt;&gt;"",G44&lt;D44),"Prior period",IF(F44&lt;D44,"Started prior period – continues",IF(OR(G44="",G44&gt;E44),"Starts this period – continues","Current period"))))</f>
        <v>Current period</v>
      </c>
      <c r="M44" s="39" t="s">
        <v>661</v>
      </c>
      <c r="N44" s="39" t="s">
        <v>733</v>
      </c>
      <c r="O44" s="39" t="s">
        <v>732</v>
      </c>
      <c r="P44" s="53"/>
      <c r="Q44" s="54" t="n">
        <v>2000</v>
      </c>
    </row>
    <row r="45" customFormat="false" ht="15" hidden="false" customHeight="false" outlineLevel="0" collapsed="false">
      <c r="A45" s="39" t="s">
        <v>116</v>
      </c>
      <c r="B45" s="39" t="s">
        <v>715</v>
      </c>
      <c r="C45" s="40" t="str">
        <f aca="false" t="array" ref="C45:C45">_xlfn.XLOOKUP(A45,TRIM(SUBSTITUTE('worker file'!$A$2:$A$406,_xlfn.UNICHAR(160)," ")),'worker file'!$L$2:$L$406,"Not found")</f>
        <v>US Semi-monthly</v>
      </c>
      <c r="D45" s="46" t="n">
        <f aca="false" t="array" ref="D45:D45">_xlfn.XLOOKUP(C45,TRIM('pay group &amp; schedule'!$A$2:$A$6),'pay group &amp; schedule'!$D$2:$D$6,"")</f>
        <v>46311</v>
      </c>
      <c r="E45" s="46" t="n">
        <f aca="false" t="array" ref="E45:E45">_xlfn.XLOOKUP(C45,TRIM('pay group &amp; schedule'!$A$2:$A$6),'pay group &amp; schedule'!$E$2:$E$6,"")</f>
        <v>46326</v>
      </c>
      <c r="F45" s="47" t="n">
        <v>46311</v>
      </c>
      <c r="G45" s="43" t="n">
        <f aca="false">F45</f>
        <v>46311</v>
      </c>
      <c r="H45" s="38" t="str">
        <f aca="false">TEXT(F45,"ddd")</f>
        <v>Fri</v>
      </c>
      <c r="K45" s="40" t="str">
        <f aca="false" t="array" ref="K45:K45">IF(I45="","",_xlfn.LET(_xlpm.u,_xlfn.XLOOKUP(A45&amp;"|"&amp;I45,TRIM(SUBSTITUTE('absence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5" s="38" t="str">
        <f aca="false">IF(F45&gt;E45,"Future period",IF(AND(G45&lt;&gt;"",G45&lt;D45),"Prior period",IF(F45&lt;D45,"Started prior period – continues",IF(OR(G45="",G45&gt;E45),"Starts this period – continues","Current period"))))</f>
        <v>Current period</v>
      </c>
      <c r="M45" s="39" t="s">
        <v>661</v>
      </c>
      <c r="N45" s="39" t="s">
        <v>733</v>
      </c>
      <c r="O45" s="39" t="s">
        <v>732</v>
      </c>
      <c r="P45" s="53"/>
      <c r="Q45" s="54" t="n">
        <v>1500</v>
      </c>
    </row>
    <row r="46" customFormat="false" ht="15" hidden="false" customHeight="false" outlineLevel="0" collapsed="false">
      <c r="A46" s="39" t="s">
        <v>122</v>
      </c>
      <c r="B46" s="39" t="s">
        <v>715</v>
      </c>
      <c r="C46" s="40" t="str">
        <f aca="false" t="array" ref="C46:C46">_xlfn.XLOOKUP(A46,TRIM(SUBSTITUTE('worker file'!$A$2:$A$406,_xlfn.UNICHAR(160)," ")),'worker file'!$L$2:$L$406,"Not found")</f>
        <v>US Semi-monthly</v>
      </c>
      <c r="D46" s="46" t="n">
        <f aca="false" t="array" ref="D46:D46">_xlfn.XLOOKUP(C46,TRIM('pay group &amp; schedule'!$A$2:$A$6),'pay group &amp; schedule'!$D$2:$D$6,"")</f>
        <v>46311</v>
      </c>
      <c r="E46" s="46" t="n">
        <f aca="false" t="array" ref="E46:E46">_xlfn.XLOOKUP(C46,TRIM('pay group &amp; schedule'!$A$2:$A$6),'pay group &amp; schedule'!$E$2:$E$6,"")</f>
        <v>46326</v>
      </c>
      <c r="F46" s="47" t="n">
        <v>46311</v>
      </c>
      <c r="G46" s="43" t="n">
        <f aca="false">F46</f>
        <v>46311</v>
      </c>
      <c r="H46" s="38" t="str">
        <f aca="false">TEXT(F46,"ddd")</f>
        <v>Fri</v>
      </c>
      <c r="K46" s="40" t="str">
        <f aca="false" t="array" ref="K46:K46">IF(I46="","",_xlfn.LET(_xlpm.u,_xlfn.XLOOKUP(A46&amp;"|"&amp;I46,TRIM(SUBSTITUTE('absence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6" s="38" t="str">
        <f aca="false">IF(F46&gt;E46,"Future period",IF(AND(G46&lt;&gt;"",G46&lt;D46),"Prior period",IF(F46&lt;D46,"Started prior period – continues",IF(OR(G46="",G46&gt;E46),"Starts this period – continues","Current period"))))</f>
        <v>Current period</v>
      </c>
      <c r="M46" s="39" t="s">
        <v>661</v>
      </c>
      <c r="N46" s="39" t="s">
        <v>733</v>
      </c>
      <c r="O46" s="39" t="s">
        <v>732</v>
      </c>
      <c r="P46" s="53"/>
      <c r="Q46" s="54" t="n">
        <v>1000</v>
      </c>
    </row>
    <row r="47" customFormat="false" ht="15" hidden="false" customHeight="false" outlineLevel="0" collapsed="false">
      <c r="A47" s="39" t="s">
        <v>126</v>
      </c>
      <c r="B47" s="39" t="s">
        <v>715</v>
      </c>
      <c r="C47" s="40" t="str">
        <f aca="false" t="array" ref="C47:C47">_xlfn.XLOOKUP(A47,TRIM(SUBSTITUTE('worker file'!$A$2:$A$406,_xlfn.UNICHAR(160)," ")),'worker file'!$L$2:$L$406,"Not found")</f>
        <v>US Semi-monthly</v>
      </c>
      <c r="D47" s="46" t="n">
        <f aca="false" t="array" ref="D47:D47">_xlfn.XLOOKUP(C47,TRIM('pay group &amp; schedule'!$A$2:$A$6),'pay group &amp; schedule'!$D$2:$D$6,"")</f>
        <v>46311</v>
      </c>
      <c r="E47" s="46" t="n">
        <f aca="false" t="array" ref="E47:E47">_xlfn.XLOOKUP(C47,TRIM('pay group &amp; schedule'!$A$2:$A$6),'pay group &amp; schedule'!$E$2:$E$6,"")</f>
        <v>46326</v>
      </c>
      <c r="F47" s="47" t="n">
        <v>46311</v>
      </c>
      <c r="G47" s="43" t="n">
        <f aca="false">F47</f>
        <v>46311</v>
      </c>
      <c r="H47" s="38" t="str">
        <f aca="false">TEXT(F47,"ddd")</f>
        <v>Fri</v>
      </c>
      <c r="K47" s="40" t="str">
        <f aca="false" t="array" ref="K47:K47">IF(I47="","",_xlfn.LET(_xlpm.u,_xlfn.XLOOKUP(A47&amp;"|"&amp;I47,TRIM(SUBSTITUTE('absence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7" s="38" t="str">
        <f aca="false">IF(F47&gt;E47,"Future period",IF(AND(G47&lt;&gt;"",G47&lt;D47),"Prior period",IF(F47&lt;D47,"Started prior period – continues",IF(OR(G47="",G47&gt;E47),"Starts this period – continues","Current period"))))</f>
        <v>Current period</v>
      </c>
      <c r="M47" s="39" t="s">
        <v>661</v>
      </c>
      <c r="N47" s="39" t="s">
        <v>733</v>
      </c>
      <c r="O47" s="39" t="s">
        <v>732</v>
      </c>
      <c r="P47" s="53"/>
      <c r="Q47" s="54" t="n">
        <v>1500</v>
      </c>
    </row>
    <row r="48" customFormat="false" ht="15" hidden="false" customHeight="false" outlineLevel="0" collapsed="false">
      <c r="A48" s="39" t="s">
        <v>133</v>
      </c>
      <c r="B48" s="39" t="s">
        <v>715</v>
      </c>
      <c r="C48" s="40" t="str">
        <f aca="false" t="array" ref="C48:C48">_xlfn.XLOOKUP(A48,TRIM(SUBSTITUTE('worker file'!$A$2:$A$406,_xlfn.UNICHAR(160)," ")),'worker file'!$L$2:$L$406,"Not found")</f>
        <v>US Semi-monthly</v>
      </c>
      <c r="D48" s="46" t="n">
        <f aca="false" t="array" ref="D48:D48">_xlfn.XLOOKUP(C48,TRIM('pay group &amp; schedule'!$A$2:$A$6),'pay group &amp; schedule'!$D$2:$D$6,"")</f>
        <v>46311</v>
      </c>
      <c r="E48" s="46" t="n">
        <f aca="false" t="array" ref="E48:E48">_xlfn.XLOOKUP(C48,TRIM('pay group &amp; schedule'!$A$2:$A$6),'pay group &amp; schedule'!$E$2:$E$6,"")</f>
        <v>46326</v>
      </c>
      <c r="F48" s="47" t="n">
        <v>46311</v>
      </c>
      <c r="G48" s="43" t="n">
        <f aca="false">F48</f>
        <v>46311</v>
      </c>
      <c r="H48" s="38" t="str">
        <f aca="false">TEXT(F48,"ddd")</f>
        <v>Fri</v>
      </c>
      <c r="K48" s="40" t="str">
        <f aca="false" t="array" ref="K48:K48">IF(I48="","",_xlfn.LET(_xlpm.u,_xlfn.XLOOKUP(A48&amp;"|"&amp;I48,TRIM(SUBSTITUTE('absence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8" s="38" t="str">
        <f aca="false">IF(F48&gt;E48,"Future period",IF(AND(G48&lt;&gt;"",G48&lt;D48),"Prior period",IF(F48&lt;D48,"Started prior period – continues",IF(OR(G48="",G48&gt;E48),"Starts this period – continues","Current period"))))</f>
        <v>Current period</v>
      </c>
      <c r="M48" s="39" t="s">
        <v>661</v>
      </c>
      <c r="N48" s="39" t="s">
        <v>733</v>
      </c>
      <c r="O48" s="39" t="s">
        <v>732</v>
      </c>
      <c r="P48" s="53"/>
      <c r="Q48" s="54" t="n">
        <v>2000</v>
      </c>
    </row>
    <row r="49" customFormat="false" ht="15" hidden="false" customHeight="false" outlineLevel="0" collapsed="false">
      <c r="A49" s="39" t="s">
        <v>135</v>
      </c>
      <c r="B49" s="39" t="s">
        <v>715</v>
      </c>
      <c r="C49" s="40" t="str">
        <f aca="false" t="array" ref="C49:C49">_xlfn.XLOOKUP(A49,TRIM(SUBSTITUTE('worker file'!$A$2:$A$406,_xlfn.UNICHAR(160)," ")),'worker file'!$L$2:$L$406,"Not found")</f>
        <v>US Semi-monthly</v>
      </c>
      <c r="D49" s="46" t="n">
        <f aca="false" t="array" ref="D49:D49">_xlfn.XLOOKUP(C49,TRIM('pay group &amp; schedule'!$A$2:$A$6),'pay group &amp; schedule'!$D$2:$D$6,"")</f>
        <v>46311</v>
      </c>
      <c r="E49" s="46" t="n">
        <f aca="false" t="array" ref="E49:E49">_xlfn.XLOOKUP(C49,TRIM('pay group &amp; schedule'!$A$2:$A$6),'pay group &amp; schedule'!$E$2:$E$6,"")</f>
        <v>46326</v>
      </c>
      <c r="F49" s="47" t="n">
        <v>46311</v>
      </c>
      <c r="G49" s="43" t="n">
        <f aca="false">F49</f>
        <v>46311</v>
      </c>
      <c r="H49" s="38" t="str">
        <f aca="false">TEXT(F49,"ddd")</f>
        <v>Fri</v>
      </c>
      <c r="K49" s="40" t="str">
        <f aca="false" t="array" ref="K49:K49">IF(I49="","",_xlfn.LET(_xlpm.u,_xlfn.XLOOKUP(A49&amp;"|"&amp;I49,TRIM(SUBSTITUTE('absence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49" s="38" t="str">
        <f aca="false">IF(F49&gt;E49,"Future period",IF(AND(G49&lt;&gt;"",G49&lt;D49),"Prior period",IF(F49&lt;D49,"Started prior period – continues",IF(OR(G49="",G49&gt;E49),"Starts this period – continues","Current period"))))</f>
        <v>Current period</v>
      </c>
      <c r="M49" s="39" t="s">
        <v>661</v>
      </c>
      <c r="N49" s="39" t="s">
        <v>733</v>
      </c>
      <c r="O49" s="39" t="s">
        <v>732</v>
      </c>
      <c r="P49" s="53"/>
      <c r="Q49" s="54" t="n">
        <v>1000</v>
      </c>
    </row>
    <row r="50" customFormat="false" ht="15" hidden="false" customHeight="false" outlineLevel="0" collapsed="false">
      <c r="A50" s="39" t="s">
        <v>129</v>
      </c>
      <c r="B50" s="39" t="s">
        <v>715</v>
      </c>
      <c r="C50" s="40" t="str">
        <f aca="false" t="array" ref="C50:C50">_xlfn.XLOOKUP(A50,TRIM(SUBSTITUTE('worker file'!$A$2:$A$406,_xlfn.UNICHAR(160)," ")),'worker file'!$L$2:$L$406,"Not found")</f>
        <v>US Biweekly</v>
      </c>
      <c r="D50" s="46" t="n">
        <f aca="false" t="array" ref="D50:D50">_xlfn.XLOOKUP(C50,TRIM('pay group &amp; schedule'!$A$2:$A$6),'pay group &amp; schedule'!$D$2:$D$6,"")</f>
        <v>46299</v>
      </c>
      <c r="E50" s="46" t="n">
        <f aca="false" t="array" ref="E50:E50">_xlfn.XLOOKUP(C50,TRIM('pay group &amp; schedule'!$A$2:$A$6),'pay group &amp; schedule'!$E$2:$E$6,"")</f>
        <v>46312</v>
      </c>
      <c r="F50" s="47" t="n">
        <v>46299</v>
      </c>
      <c r="G50" s="43" t="n">
        <f aca="false">F50</f>
        <v>46299</v>
      </c>
      <c r="H50" s="38" t="str">
        <f aca="false">TEXT(F50,"ddd")</f>
        <v>Sun</v>
      </c>
      <c r="K50" s="40" t="str">
        <f aca="false" t="array" ref="K50:K50">IF(I50="","",_xlfn.LET(_xlpm.u,_xlfn.XLOOKUP(A50&amp;"|"&amp;I50,TRIM(SUBSTITUTE('absence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0" s="38" t="str">
        <f aca="false">IF(F50&gt;E50,"Future period",IF(AND(G50&lt;&gt;"",G50&lt;D50),"Prior period",IF(F50&lt;D50,"Started prior period – continues",IF(OR(G50="",G50&gt;E50),"Starts this period – continues","Current period"))))</f>
        <v>Current period</v>
      </c>
      <c r="M50" s="39" t="s">
        <v>661</v>
      </c>
      <c r="N50" s="39" t="s">
        <v>734</v>
      </c>
      <c r="O50" s="39" t="s">
        <v>732</v>
      </c>
      <c r="P50" s="53"/>
      <c r="Q50" s="54" t="n">
        <v>500</v>
      </c>
    </row>
    <row r="51" customFormat="false" ht="15" hidden="false" customHeight="false" outlineLevel="0" collapsed="false">
      <c r="A51" s="39" t="s">
        <v>131</v>
      </c>
      <c r="B51" s="39" t="s">
        <v>715</v>
      </c>
      <c r="C51" s="40" t="str">
        <f aca="false" t="array" ref="C51:C51">_xlfn.XLOOKUP(A51,TRIM(SUBSTITUTE('worker file'!$A$2:$A$406,_xlfn.UNICHAR(160)," ")),'worker file'!$L$2:$L$406,"Not found")</f>
        <v>US Biweekly</v>
      </c>
      <c r="D51" s="46" t="n">
        <f aca="false" t="array" ref="D51:D51">_xlfn.XLOOKUP(C51,TRIM('pay group &amp; schedule'!$A$2:$A$6),'pay group &amp; schedule'!$D$2:$D$6,"")</f>
        <v>46299</v>
      </c>
      <c r="E51" s="46" t="n">
        <f aca="false" t="array" ref="E51:E51">_xlfn.XLOOKUP(C51,TRIM('pay group &amp; schedule'!$A$2:$A$6),'pay group &amp; schedule'!$E$2:$E$6,"")</f>
        <v>46312</v>
      </c>
      <c r="F51" s="47" t="n">
        <v>46299</v>
      </c>
      <c r="G51" s="43" t="n">
        <f aca="false">F51</f>
        <v>46299</v>
      </c>
      <c r="H51" s="38" t="str">
        <f aca="false">TEXT(F51,"ddd")</f>
        <v>Sun</v>
      </c>
      <c r="K51" s="40" t="str">
        <f aca="false" t="array" ref="K51:K51">IF(I51="","",_xlfn.LET(_xlpm.u,_xlfn.XLOOKUP(A51&amp;"|"&amp;I51,TRIM(SUBSTITUTE('absence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1" s="38" t="str">
        <f aca="false">IF(F51&gt;E51,"Future period",IF(AND(G51&lt;&gt;"",G51&lt;D51),"Prior period",IF(F51&lt;D51,"Started prior period – continues",IF(OR(G51="",G51&gt;E51),"Starts this period – continues","Current period"))))</f>
        <v>Current period</v>
      </c>
      <c r="M51" s="39" t="s">
        <v>661</v>
      </c>
      <c r="N51" s="39" t="s">
        <v>734</v>
      </c>
      <c r="O51" s="39" t="s">
        <v>732</v>
      </c>
      <c r="P51" s="53"/>
      <c r="Q51" s="54" t="n">
        <v>750</v>
      </c>
    </row>
    <row r="52" customFormat="false" ht="15" hidden="false" customHeight="false" outlineLevel="0" collapsed="false">
      <c r="A52" s="39" t="s">
        <v>150</v>
      </c>
      <c r="B52" s="39" t="s">
        <v>715</v>
      </c>
      <c r="C52" s="40" t="str">
        <f aca="false" t="array" ref="C52:C52">_xlfn.XLOOKUP(A52,TRIM(SUBSTITUTE('worker file'!$A$2:$A$406,_xlfn.UNICHAR(160)," ")),'worker file'!$L$2:$L$406,"Not found")</f>
        <v>US Biweekly</v>
      </c>
      <c r="D52" s="46" t="n">
        <f aca="false" t="array" ref="D52:D52">_xlfn.XLOOKUP(C52,TRIM('pay group &amp; schedule'!$A$2:$A$6),'pay group &amp; schedule'!$D$2:$D$6,"")</f>
        <v>46299</v>
      </c>
      <c r="E52" s="46" t="n">
        <f aca="false" t="array" ref="E52:E52">_xlfn.XLOOKUP(C52,TRIM('pay group &amp; schedule'!$A$2:$A$6),'pay group &amp; schedule'!$E$2:$E$6,"")</f>
        <v>46312</v>
      </c>
      <c r="F52" s="47" t="n">
        <v>46299</v>
      </c>
      <c r="G52" s="43" t="n">
        <f aca="false">F52</f>
        <v>46299</v>
      </c>
      <c r="H52" s="38" t="str">
        <f aca="false">TEXT(F52,"ddd")</f>
        <v>Sun</v>
      </c>
      <c r="K52" s="40" t="str">
        <f aca="false" t="array" ref="K52:K52">IF(I52="","",_xlfn.LET(_xlpm.u,_xlfn.XLOOKUP(A52&amp;"|"&amp;I52,TRIM(SUBSTITUTE('absence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2" s="38" t="str">
        <f aca="false">IF(F52&gt;E52,"Future period",IF(AND(G52&lt;&gt;"",G52&lt;D52),"Prior period",IF(F52&lt;D52,"Started prior period – continues",IF(OR(G52="",G52&gt;E52),"Starts this period – continues","Current period"))))</f>
        <v>Current period</v>
      </c>
      <c r="M52" s="39" t="s">
        <v>661</v>
      </c>
      <c r="N52" s="39" t="s">
        <v>734</v>
      </c>
      <c r="O52" s="39" t="s">
        <v>732</v>
      </c>
      <c r="P52" s="53"/>
      <c r="Q52" s="54" t="n">
        <v>500</v>
      </c>
    </row>
    <row r="53" customFormat="false" ht="15" hidden="false" customHeight="false" outlineLevel="0" collapsed="false">
      <c r="A53" s="39" t="s">
        <v>194</v>
      </c>
      <c r="B53" s="39" t="s">
        <v>715</v>
      </c>
      <c r="C53" s="40" t="str">
        <f aca="false" t="array" ref="C53:C53">_xlfn.XLOOKUP(A53,TRIM(SUBSTITUTE('worker file'!$A$2:$A$406,_xlfn.UNICHAR(160)," ")),'worker file'!$L$2:$L$406,"Not found")</f>
        <v>US Biweekly</v>
      </c>
      <c r="D53" s="46" t="n">
        <f aca="false" t="array" ref="D53:D53">_xlfn.XLOOKUP(C53,TRIM('pay group &amp; schedule'!$A$2:$A$6),'pay group &amp; schedule'!$D$2:$D$6,"")</f>
        <v>46299</v>
      </c>
      <c r="E53" s="46" t="n">
        <f aca="false" t="array" ref="E53:E53">_xlfn.XLOOKUP(C53,TRIM('pay group &amp; schedule'!$A$2:$A$6),'pay group &amp; schedule'!$E$2:$E$6,"")</f>
        <v>46312</v>
      </c>
      <c r="F53" s="47" t="n">
        <v>46299</v>
      </c>
      <c r="G53" s="43" t="n">
        <f aca="false">F53</f>
        <v>46299</v>
      </c>
      <c r="H53" s="38" t="str">
        <f aca="false">TEXT(F53,"ddd")</f>
        <v>Sun</v>
      </c>
      <c r="K53" s="40" t="str">
        <f aca="false" t="array" ref="K53:K53">IF(I53="","",_xlfn.LET(_xlpm.u,_xlfn.XLOOKUP(A53&amp;"|"&amp;I53,TRIM(SUBSTITUTE('absence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3" s="38" t="str">
        <f aca="false">IF(F53&gt;E53,"Future period",IF(AND(G53&lt;&gt;"",G53&lt;D53),"Prior period",IF(F53&lt;D53,"Started prior period – continues",IF(OR(G53="",G53&gt;E53),"Starts this period – continues","Current period"))))</f>
        <v>Current period</v>
      </c>
      <c r="M53" s="39" t="s">
        <v>661</v>
      </c>
      <c r="N53" s="39" t="s">
        <v>734</v>
      </c>
      <c r="O53" s="39" t="s">
        <v>732</v>
      </c>
      <c r="P53" s="53"/>
      <c r="Q53" s="54" t="n">
        <v>750</v>
      </c>
    </row>
    <row r="54" customFormat="false" ht="15" hidden="false" customHeight="false" outlineLevel="0" collapsed="false">
      <c r="A54" s="39" t="s">
        <v>240</v>
      </c>
      <c r="B54" s="39" t="s">
        <v>715</v>
      </c>
      <c r="C54" s="40" t="str">
        <f aca="false" t="array" ref="C54:C54">_xlfn.XLOOKUP(A54,TRIM(SUBSTITUTE('worker file'!$A$2:$A$406,_xlfn.UNICHAR(160)," ")),'worker file'!$L$2:$L$406,"Not found")</f>
        <v>US Biweekly</v>
      </c>
      <c r="D54" s="46" t="n">
        <f aca="false" t="array" ref="D54:D54">_xlfn.XLOOKUP(C54,TRIM('pay group &amp; schedule'!$A$2:$A$6),'pay group &amp; schedule'!$D$2:$D$6,"")</f>
        <v>46299</v>
      </c>
      <c r="E54" s="46" t="n">
        <f aca="false" t="array" ref="E54:E54">_xlfn.XLOOKUP(C54,TRIM('pay group &amp; schedule'!$A$2:$A$6),'pay group &amp; schedule'!$E$2:$E$6,"")</f>
        <v>46312</v>
      </c>
      <c r="F54" s="47" t="n">
        <v>46299</v>
      </c>
      <c r="G54" s="43" t="n">
        <f aca="false">F54</f>
        <v>46299</v>
      </c>
      <c r="H54" s="38" t="str">
        <f aca="false">TEXT(F54,"ddd")</f>
        <v>Sun</v>
      </c>
      <c r="K54" s="40" t="str">
        <f aca="false" t="array" ref="K54:K54">IF(I54="","",_xlfn.LET(_xlpm.u,_xlfn.XLOOKUP(A54&amp;"|"&amp;I54,TRIM(SUBSTITUTE('absence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4" s="38" t="str">
        <f aca="false">IF(F54&gt;E54,"Future period",IF(AND(G54&lt;&gt;"",G54&lt;D54),"Prior period",IF(F54&lt;D54,"Started prior period – continues",IF(OR(G54="",G54&gt;E54),"Starts this period – continues","Current period"))))</f>
        <v>Current period</v>
      </c>
      <c r="M54" s="39" t="s">
        <v>661</v>
      </c>
      <c r="N54" s="39" t="s">
        <v>734</v>
      </c>
      <c r="O54" s="39" t="s">
        <v>732</v>
      </c>
      <c r="P54" s="53"/>
      <c r="Q54" s="54" t="n">
        <v>500</v>
      </c>
    </row>
    <row r="55" customFormat="false" ht="15" hidden="false" customHeight="false" outlineLevel="0" collapsed="false">
      <c r="A55" s="39" t="s">
        <v>191</v>
      </c>
      <c r="B55" s="39" t="s">
        <v>715</v>
      </c>
      <c r="C55" s="40" t="str">
        <f aca="false" t="array" ref="C55:C55">_xlfn.XLOOKUP(A55,TRIM(SUBSTITUTE('worker file'!$A$2:$A$406,_xlfn.UNICHAR(160)," ")),'worker file'!$L$2:$L$406,"Not found")</f>
        <v>UK Monthly</v>
      </c>
      <c r="D55" s="46" t="n">
        <f aca="false" t="array" ref="D55:D55">_xlfn.XLOOKUP(C55,TRIM('pay group &amp; schedule'!$A$2:$A$6),'pay group &amp; schedule'!$D$2:$D$6,"")</f>
        <v>46296</v>
      </c>
      <c r="E55" s="46" t="n">
        <f aca="false" t="array" ref="E55:E55">_xlfn.XLOOKUP(C55,TRIM('pay group &amp; schedule'!$A$2:$A$6),'pay group &amp; schedule'!$E$2:$E$6,"")</f>
        <v>46326</v>
      </c>
      <c r="F55" s="47" t="n">
        <v>46296</v>
      </c>
      <c r="G55" s="43" t="n">
        <f aca="false">F55</f>
        <v>46296</v>
      </c>
      <c r="H55" s="38" t="str">
        <f aca="false">TEXT(F55,"ddd")</f>
        <v>Thu</v>
      </c>
      <c r="K55" s="40" t="str">
        <f aca="false" t="array" ref="K55:K55">IF(I55="","",_xlfn.LET(_xlpm.u,_xlfn.XLOOKUP(A55&amp;"|"&amp;I55,TRIM(SUBSTITUTE('absence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5" s="38" t="str">
        <f aca="false">IF(F55&gt;E55,"Future period",IF(AND(G55&lt;&gt;"",G55&lt;D55),"Prior period",IF(F55&lt;D55,"Started prior period – continues",IF(OR(G55="",G55&gt;E55),"Starts this period – continues","Current period"))))</f>
        <v>Current period</v>
      </c>
      <c r="M55" s="39" t="s">
        <v>661</v>
      </c>
      <c r="N55" s="39" t="s">
        <v>735</v>
      </c>
      <c r="O55" s="39" t="s">
        <v>736</v>
      </c>
      <c r="P55" s="53"/>
      <c r="Q55" s="55" t="n">
        <v>1000</v>
      </c>
    </row>
    <row r="56" customFormat="false" ht="15" hidden="false" customHeight="false" outlineLevel="0" collapsed="false">
      <c r="A56" s="39" t="s">
        <v>218</v>
      </c>
      <c r="B56" s="39" t="s">
        <v>715</v>
      </c>
      <c r="C56" s="40" t="str">
        <f aca="false" t="array" ref="C56:C56">_xlfn.XLOOKUP(A56,TRIM(SUBSTITUTE('worker file'!$A$2:$A$406,_xlfn.UNICHAR(160)," ")),'worker file'!$L$2:$L$406,"Not found")</f>
        <v>UK Monthly</v>
      </c>
      <c r="D56" s="46" t="n">
        <f aca="false" t="array" ref="D56:D56">_xlfn.XLOOKUP(C56,TRIM('pay group &amp; schedule'!$A$2:$A$6),'pay group &amp; schedule'!$D$2:$D$6,"")</f>
        <v>46296</v>
      </c>
      <c r="E56" s="46" t="n">
        <f aca="false" t="array" ref="E56:E56">_xlfn.XLOOKUP(C56,TRIM('pay group &amp; schedule'!$A$2:$A$6),'pay group &amp; schedule'!$E$2:$E$6,"")</f>
        <v>46326</v>
      </c>
      <c r="F56" s="47" t="n">
        <v>46296</v>
      </c>
      <c r="G56" s="43" t="n">
        <f aca="false">F56</f>
        <v>46296</v>
      </c>
      <c r="H56" s="38" t="str">
        <f aca="false">TEXT(F56,"ddd")</f>
        <v>Thu</v>
      </c>
      <c r="K56" s="40" t="str">
        <f aca="false" t="array" ref="K56:K56">IF(I56="","",_xlfn.LET(_xlpm.u,_xlfn.XLOOKUP(A56&amp;"|"&amp;I56,TRIM(SUBSTITUTE('absence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6" s="38" t="str">
        <f aca="false">IF(F56&gt;E56,"Future period",IF(AND(G56&lt;&gt;"",G56&lt;D56),"Prior period",IF(F56&lt;D56,"Started prior period – continues",IF(OR(G56="",G56&gt;E56),"Starts this period – continues","Current period"))))</f>
        <v>Current period</v>
      </c>
      <c r="M56" s="39" t="s">
        <v>661</v>
      </c>
      <c r="N56" s="39" t="s">
        <v>735</v>
      </c>
      <c r="O56" s="39" t="s">
        <v>736</v>
      </c>
      <c r="P56" s="53"/>
      <c r="Q56" s="55" t="n">
        <v>1000</v>
      </c>
    </row>
    <row r="57" customFormat="false" ht="15" hidden="false" customHeight="false" outlineLevel="0" collapsed="false">
      <c r="A57" s="39" t="s">
        <v>248</v>
      </c>
      <c r="B57" s="39" t="s">
        <v>715</v>
      </c>
      <c r="C57" s="40" t="str">
        <f aca="false" t="array" ref="C57:C57">_xlfn.XLOOKUP(A57,TRIM(SUBSTITUTE('worker file'!$A$2:$A$406,_xlfn.UNICHAR(160)," ")),'worker file'!$L$2:$L$406,"Not found")</f>
        <v>UK Monthly</v>
      </c>
      <c r="D57" s="46" t="n">
        <f aca="false" t="array" ref="D57:D57">_xlfn.XLOOKUP(C57,TRIM('pay group &amp; schedule'!$A$2:$A$6),'pay group &amp; schedule'!$D$2:$D$6,"")</f>
        <v>46296</v>
      </c>
      <c r="E57" s="46" t="n">
        <f aca="false" t="array" ref="E57:E57">_xlfn.XLOOKUP(C57,TRIM('pay group &amp; schedule'!$A$2:$A$6),'pay group &amp; schedule'!$E$2:$E$6,"")</f>
        <v>46326</v>
      </c>
      <c r="F57" s="47" t="n">
        <v>46296</v>
      </c>
      <c r="G57" s="43" t="n">
        <f aca="false">F57</f>
        <v>46296</v>
      </c>
      <c r="H57" s="38" t="str">
        <f aca="false">TEXT(F57,"ddd")</f>
        <v>Thu</v>
      </c>
      <c r="K57" s="40" t="str">
        <f aca="false" t="array" ref="K57:K57">IF(I57="","",_xlfn.LET(_xlpm.u,_xlfn.XLOOKUP(A57&amp;"|"&amp;I57,TRIM(SUBSTITUTE('absence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7" s="38" t="str">
        <f aca="false">IF(F57&gt;E57,"Future period",IF(AND(G57&lt;&gt;"",G57&lt;D57),"Prior period",IF(F57&lt;D57,"Started prior period – continues",IF(OR(G57="",G57&gt;E57),"Starts this period – continues","Current period"))))</f>
        <v>Current period</v>
      </c>
      <c r="M57" s="39" t="s">
        <v>661</v>
      </c>
      <c r="N57" s="39" t="s">
        <v>735</v>
      </c>
      <c r="O57" s="39" t="s">
        <v>736</v>
      </c>
      <c r="P57" s="53"/>
      <c r="Q57" s="55" t="n">
        <v>750</v>
      </c>
    </row>
    <row r="58" customFormat="false" ht="15" hidden="false" customHeight="false" outlineLevel="0" collapsed="false">
      <c r="A58" s="39" t="s">
        <v>281</v>
      </c>
      <c r="B58" s="39" t="s">
        <v>715</v>
      </c>
      <c r="C58" s="40" t="str">
        <f aca="false" t="array" ref="C58:C58">_xlfn.XLOOKUP(A58,TRIM(SUBSTITUTE('worker file'!$A$2:$A$406,_xlfn.UNICHAR(160)," ")),'worker file'!$L$2:$L$406,"Not found")</f>
        <v>UK Monthly</v>
      </c>
      <c r="D58" s="46" t="n">
        <f aca="false" t="array" ref="D58:D58">_xlfn.XLOOKUP(C58,TRIM('pay group &amp; schedule'!$A$2:$A$6),'pay group &amp; schedule'!$D$2:$D$6,"")</f>
        <v>46296</v>
      </c>
      <c r="E58" s="46" t="n">
        <f aca="false" t="array" ref="E58:E58">_xlfn.XLOOKUP(C58,TRIM('pay group &amp; schedule'!$A$2:$A$6),'pay group &amp; schedule'!$E$2:$E$6,"")</f>
        <v>46326</v>
      </c>
      <c r="F58" s="47" t="n">
        <v>46296</v>
      </c>
      <c r="G58" s="43" t="n">
        <f aca="false">F58</f>
        <v>46296</v>
      </c>
      <c r="H58" s="38" t="str">
        <f aca="false">TEXT(F58,"ddd")</f>
        <v>Thu</v>
      </c>
      <c r="K58" s="40" t="str">
        <f aca="false" t="array" ref="K58:K58">IF(I58="","",_xlfn.LET(_xlpm.u,_xlfn.XLOOKUP(A58&amp;"|"&amp;I58,TRIM(SUBSTITUTE('absence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8" s="38" t="str">
        <f aca="false">IF(F58&gt;E58,"Future period",IF(AND(G58&lt;&gt;"",G58&lt;D58),"Prior period",IF(F58&lt;D58,"Started prior period – continues",IF(OR(G58="",G58&gt;E58),"Starts this period – continues","Current period"))))</f>
        <v>Current period</v>
      </c>
      <c r="M58" s="39" t="s">
        <v>661</v>
      </c>
      <c r="N58" s="39" t="s">
        <v>735</v>
      </c>
      <c r="O58" s="39" t="s">
        <v>736</v>
      </c>
      <c r="P58" s="53"/>
      <c r="Q58" s="55" t="n">
        <v>500</v>
      </c>
    </row>
    <row r="59" customFormat="false" ht="15" hidden="false" customHeight="false" outlineLevel="0" collapsed="false">
      <c r="A59" s="39" t="s">
        <v>319</v>
      </c>
      <c r="B59" s="39" t="s">
        <v>715</v>
      </c>
      <c r="C59" s="40" t="str">
        <f aca="false" t="array" ref="C59:C59">_xlfn.XLOOKUP(A59,TRIM(SUBSTITUTE('worker file'!$A$2:$A$406,_xlfn.UNICHAR(160)," ")),'worker file'!$L$2:$L$406,"Not found")</f>
        <v>UK Monthly</v>
      </c>
      <c r="D59" s="46" t="n">
        <f aca="false" t="array" ref="D59:D59">_xlfn.XLOOKUP(C59,TRIM('pay group &amp; schedule'!$A$2:$A$6),'pay group &amp; schedule'!$D$2:$D$6,"")</f>
        <v>46296</v>
      </c>
      <c r="E59" s="46" t="n">
        <f aca="false" t="array" ref="E59:E59">_xlfn.XLOOKUP(C59,TRIM('pay group &amp; schedule'!$A$2:$A$6),'pay group &amp; schedule'!$E$2:$E$6,"")</f>
        <v>46326</v>
      </c>
      <c r="F59" s="47" t="n">
        <v>46296</v>
      </c>
      <c r="G59" s="43" t="n">
        <f aca="false">F59</f>
        <v>46296</v>
      </c>
      <c r="H59" s="38" t="str">
        <f aca="false">TEXT(F59,"ddd")</f>
        <v>Thu</v>
      </c>
      <c r="K59" s="40" t="str">
        <f aca="false" t="array" ref="K59:K59">IF(I59="","",_xlfn.LET(_xlpm.u,_xlfn.XLOOKUP(A59&amp;"|"&amp;I59,TRIM(SUBSTITUTE('absence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59" s="38" t="str">
        <f aca="false">IF(F59&gt;E59,"Future period",IF(AND(G59&lt;&gt;"",G59&lt;D59),"Prior period",IF(F59&lt;D59,"Started prior period – continues",IF(OR(G59="",G59&gt;E59),"Starts this period – continues","Current period"))))</f>
        <v>Current period</v>
      </c>
      <c r="M59" s="39" t="s">
        <v>661</v>
      </c>
      <c r="N59" s="39" t="s">
        <v>735</v>
      </c>
      <c r="O59" s="39" t="s">
        <v>736</v>
      </c>
      <c r="P59" s="53"/>
      <c r="Q59" s="55" t="n">
        <v>500</v>
      </c>
    </row>
    <row r="60" customFormat="false" ht="15" hidden="false" customHeight="false" outlineLevel="0" collapsed="false">
      <c r="A60" s="39" t="s">
        <v>169</v>
      </c>
      <c r="B60" s="39" t="s">
        <v>715</v>
      </c>
      <c r="C60" s="40" t="str">
        <f aca="false" t="array" ref="C60:C60">_xlfn.XLOOKUP(A60,TRIM(SUBSTITUTE('worker file'!$A$2:$A$406,_xlfn.UNICHAR(160)," ")),'worker file'!$L$2:$L$406,"Not found")</f>
        <v>India Monthly</v>
      </c>
      <c r="D60" s="46" t="n">
        <f aca="false" t="array" ref="D60:D60">_xlfn.XLOOKUP(C60,TRIM('pay group &amp; schedule'!$A$2:$A$6),'pay group &amp; schedule'!$D$2:$D$6,"")</f>
        <v>46296</v>
      </c>
      <c r="E60" s="46" t="n">
        <f aca="false" t="array" ref="E60:E60">_xlfn.XLOOKUP(C60,TRIM('pay group &amp; schedule'!$A$2:$A$6),'pay group &amp; schedule'!$E$2:$E$6,"")</f>
        <v>46326</v>
      </c>
      <c r="F60" s="47" t="n">
        <v>46296</v>
      </c>
      <c r="G60" s="43" t="n">
        <f aca="false">F60</f>
        <v>46296</v>
      </c>
      <c r="H60" s="38" t="str">
        <f aca="false">TEXT(F60,"ddd")</f>
        <v>Thu</v>
      </c>
      <c r="K60" s="40" t="str">
        <f aca="false" t="array" ref="K60:K60">IF(I60="","",_xlfn.LET(_xlpm.u,_xlfn.XLOOKUP(A60&amp;"|"&amp;I60,TRIM(SUBSTITUTE('absence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0" s="38" t="str">
        <f aca="false">IF(F60&gt;E60,"Future period",IF(AND(G60&lt;&gt;"",G60&lt;D60),"Prior period",IF(F60&lt;D60,"Started prior period – continues",IF(OR(G60="",G60&gt;E60),"Starts this period – continues","Current period"))))</f>
        <v>Current period</v>
      </c>
      <c r="M60" s="39" t="s">
        <v>661</v>
      </c>
      <c r="N60" s="39" t="s">
        <v>737</v>
      </c>
      <c r="O60" s="39" t="s">
        <v>738</v>
      </c>
      <c r="P60" s="53"/>
      <c r="Q60" s="56" t="n">
        <v>50000</v>
      </c>
    </row>
    <row r="61" customFormat="false" ht="15" hidden="false" customHeight="false" outlineLevel="0" collapsed="false">
      <c r="A61" s="39" t="s">
        <v>214</v>
      </c>
      <c r="B61" s="39" t="s">
        <v>715</v>
      </c>
      <c r="C61" s="40" t="str">
        <f aca="false" t="array" ref="C61:C61">_xlfn.XLOOKUP(A61,TRIM(SUBSTITUTE('worker file'!$A$2:$A$406,_xlfn.UNICHAR(160)," ")),'worker file'!$L$2:$L$406,"Not found")</f>
        <v>India Monthly</v>
      </c>
      <c r="D61" s="46" t="n">
        <f aca="false" t="array" ref="D61:D61">_xlfn.XLOOKUP(C61,TRIM('pay group &amp; schedule'!$A$2:$A$6),'pay group &amp; schedule'!$D$2:$D$6,"")</f>
        <v>46296</v>
      </c>
      <c r="E61" s="46" t="n">
        <f aca="false" t="array" ref="E61:E61">_xlfn.XLOOKUP(C61,TRIM('pay group &amp; schedule'!$A$2:$A$6),'pay group &amp; schedule'!$E$2:$E$6,"")</f>
        <v>46326</v>
      </c>
      <c r="F61" s="47" t="n">
        <v>46296</v>
      </c>
      <c r="G61" s="43" t="n">
        <f aca="false">F61</f>
        <v>46296</v>
      </c>
      <c r="H61" s="38" t="str">
        <f aca="false">TEXT(F61,"ddd")</f>
        <v>Thu</v>
      </c>
      <c r="K61" s="40" t="str">
        <f aca="false" t="array" ref="K61:K61">IF(I61="","",_xlfn.LET(_xlpm.u,_xlfn.XLOOKUP(A61&amp;"|"&amp;I61,TRIM(SUBSTITUTE('absence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1" s="38" t="str">
        <f aca="false">IF(F61&gt;E61,"Future period",IF(AND(G61&lt;&gt;"",G61&lt;D61),"Prior period",IF(F61&lt;D61,"Started prior period – continues",IF(OR(G61="",G61&gt;E61),"Starts this period – continues","Current period"))))</f>
        <v>Current period</v>
      </c>
      <c r="M61" s="39" t="s">
        <v>661</v>
      </c>
      <c r="N61" s="39" t="s">
        <v>737</v>
      </c>
      <c r="O61" s="39" t="s">
        <v>738</v>
      </c>
      <c r="P61" s="53"/>
      <c r="Q61" s="56" t="n">
        <v>40000</v>
      </c>
    </row>
    <row r="62" customFormat="false" ht="15" hidden="false" customHeight="false" outlineLevel="0" collapsed="false">
      <c r="A62" s="39" t="s">
        <v>242</v>
      </c>
      <c r="B62" s="39" t="s">
        <v>715</v>
      </c>
      <c r="C62" s="40" t="str">
        <f aca="false" t="array" ref="C62:C62">_xlfn.XLOOKUP(A62,TRIM(SUBSTITUTE('worker file'!$A$2:$A$406,_xlfn.UNICHAR(160)," ")),'worker file'!$L$2:$L$406,"Not found")</f>
        <v>India Monthly</v>
      </c>
      <c r="D62" s="46" t="n">
        <f aca="false" t="array" ref="D62:D62">_xlfn.XLOOKUP(C62,TRIM('pay group &amp; schedule'!$A$2:$A$6),'pay group &amp; schedule'!$D$2:$D$6,"")</f>
        <v>46296</v>
      </c>
      <c r="E62" s="46" t="n">
        <f aca="false" t="array" ref="E62:E62">_xlfn.XLOOKUP(C62,TRIM('pay group &amp; schedule'!$A$2:$A$6),'pay group &amp; schedule'!$E$2:$E$6,"")</f>
        <v>46326</v>
      </c>
      <c r="F62" s="47" t="n">
        <v>46296</v>
      </c>
      <c r="G62" s="43" t="n">
        <f aca="false">F62</f>
        <v>46296</v>
      </c>
      <c r="H62" s="38" t="str">
        <f aca="false">TEXT(F62,"ddd")</f>
        <v>Thu</v>
      </c>
      <c r="K62" s="40" t="str">
        <f aca="false" t="array" ref="K62:K62">IF(I62="","",_xlfn.LET(_xlpm.u,_xlfn.XLOOKUP(A62&amp;"|"&amp;I62,TRIM(SUBSTITUTE('absence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2" s="38" t="str">
        <f aca="false">IF(F62&gt;E62,"Future period",IF(AND(G62&lt;&gt;"",G62&lt;D62),"Prior period",IF(F62&lt;D62,"Started prior period – continues",IF(OR(G62="",G62&gt;E62),"Starts this period – continues","Current period"))))</f>
        <v>Current period</v>
      </c>
      <c r="M62" s="39" t="s">
        <v>661</v>
      </c>
      <c r="N62" s="39" t="s">
        <v>737</v>
      </c>
      <c r="O62" s="39" t="s">
        <v>738</v>
      </c>
      <c r="P62" s="53"/>
      <c r="Q62" s="56" t="n">
        <v>30000</v>
      </c>
    </row>
    <row r="63" customFormat="false" ht="15" hidden="false" customHeight="false" outlineLevel="0" collapsed="false">
      <c r="A63" s="39" t="s">
        <v>249</v>
      </c>
      <c r="B63" s="39" t="s">
        <v>715</v>
      </c>
      <c r="C63" s="40" t="str">
        <f aca="false" t="array" ref="C63:C63">_xlfn.XLOOKUP(A63,TRIM(SUBSTITUTE('worker file'!$A$2:$A$406,_xlfn.UNICHAR(160)," ")),'worker file'!$L$2:$L$406,"Not found")</f>
        <v>India Monthly</v>
      </c>
      <c r="D63" s="46" t="n">
        <f aca="false" t="array" ref="D63:D63">_xlfn.XLOOKUP(C63,TRIM('pay group &amp; schedule'!$A$2:$A$6),'pay group &amp; schedule'!$D$2:$D$6,"")</f>
        <v>46296</v>
      </c>
      <c r="E63" s="46" t="n">
        <f aca="false" t="array" ref="E63:E63">_xlfn.XLOOKUP(C63,TRIM('pay group &amp; schedule'!$A$2:$A$6),'pay group &amp; schedule'!$E$2:$E$6,"")</f>
        <v>46326</v>
      </c>
      <c r="F63" s="47" t="n">
        <v>46296</v>
      </c>
      <c r="G63" s="43" t="n">
        <f aca="false">F63</f>
        <v>46296</v>
      </c>
      <c r="H63" s="38" t="str">
        <f aca="false">TEXT(F63,"ddd")</f>
        <v>Thu</v>
      </c>
      <c r="K63" s="40" t="str">
        <f aca="false" t="array" ref="K63:K63">IF(I63="","",_xlfn.LET(_xlpm.u,_xlfn.XLOOKUP(A63&amp;"|"&amp;I63,TRIM(SUBSTITUTE('absence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3" s="38" t="str">
        <f aca="false">IF(F63&gt;E63,"Future period",IF(AND(G63&lt;&gt;"",G63&lt;D63),"Prior period",IF(F63&lt;D63,"Started prior period – continues",IF(OR(G63="",G63&gt;E63),"Starts this period – continues","Current period"))))</f>
        <v>Current period</v>
      </c>
      <c r="M63" s="39" t="s">
        <v>661</v>
      </c>
      <c r="N63" s="39" t="s">
        <v>737</v>
      </c>
      <c r="O63" s="39" t="s">
        <v>738</v>
      </c>
      <c r="P63" s="53"/>
      <c r="Q63" s="56" t="n">
        <v>25000</v>
      </c>
    </row>
    <row r="64" customFormat="false" ht="15" hidden="false" customHeight="false" outlineLevel="0" collapsed="false">
      <c r="A64" s="39" t="s">
        <v>258</v>
      </c>
      <c r="B64" s="39" t="s">
        <v>715</v>
      </c>
      <c r="C64" s="40" t="str">
        <f aca="false" t="array" ref="C64:C64">_xlfn.XLOOKUP(A64,TRIM(SUBSTITUTE('worker file'!$A$2:$A$406,_xlfn.UNICHAR(160)," ")),'worker file'!$L$2:$L$406,"Not found")</f>
        <v>India Monthly</v>
      </c>
      <c r="D64" s="46" t="n">
        <f aca="false" t="array" ref="D64:D64">_xlfn.XLOOKUP(C64,TRIM('pay group &amp; schedule'!$A$2:$A$6),'pay group &amp; schedule'!$D$2:$D$6,"")</f>
        <v>46296</v>
      </c>
      <c r="E64" s="46" t="n">
        <f aca="false" t="array" ref="E64:E64">_xlfn.XLOOKUP(C64,TRIM('pay group &amp; schedule'!$A$2:$A$6),'pay group &amp; schedule'!$E$2:$E$6,"")</f>
        <v>46326</v>
      </c>
      <c r="F64" s="47" t="n">
        <v>46296</v>
      </c>
      <c r="G64" s="43" t="n">
        <f aca="false">F64</f>
        <v>46296</v>
      </c>
      <c r="H64" s="38" t="str">
        <f aca="false">TEXT(F64,"ddd")</f>
        <v>Thu</v>
      </c>
      <c r="K64" s="40" t="str">
        <f aca="false" t="array" ref="K64:K64">IF(I64="","",_xlfn.LET(_xlpm.u,_xlfn.XLOOKUP(A64&amp;"|"&amp;I64,TRIM(SUBSTITUTE('absence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4" s="38" t="str">
        <f aca="false">IF(F64&gt;E64,"Future period",IF(AND(G64&lt;&gt;"",G64&lt;D64),"Prior period",IF(F64&lt;D64,"Started prior period – continues",IF(OR(G64="",G64&gt;E64),"Starts this period – continues","Current period"))))</f>
        <v>Current period</v>
      </c>
      <c r="M64" s="39" t="s">
        <v>661</v>
      </c>
      <c r="N64" s="39" t="s">
        <v>737</v>
      </c>
      <c r="O64" s="39" t="s">
        <v>738</v>
      </c>
      <c r="P64" s="53"/>
      <c r="Q64" s="56" t="n">
        <v>35000</v>
      </c>
    </row>
    <row r="65" customFormat="false" ht="15" hidden="false" customHeight="false" outlineLevel="0" collapsed="false">
      <c r="A65" s="39" t="s">
        <v>664</v>
      </c>
      <c r="B65" s="39" t="s">
        <v>715</v>
      </c>
      <c r="C65" s="40" t="str">
        <f aca="false" t="array" ref="C65:C65">_xlfn.XLOOKUP(A65,TRIM(SUBSTITUTE('worker file'!$A$2:$A$406,_xlfn.UNICHAR(160)," ")),'worker file'!$L$2:$L$406,"Not found")</f>
        <v>Canada Monthly</v>
      </c>
      <c r="D65" s="46" t="n">
        <f aca="false" t="array" ref="D65:D65">_xlfn.XLOOKUP(C65,TRIM('pay group &amp; schedule'!$A$2:$A$6),'pay group &amp; schedule'!$D$2:$D$6,"")</f>
        <v>46296</v>
      </c>
      <c r="E65" s="46" t="n">
        <f aca="false" t="array" ref="E65:E65">_xlfn.XLOOKUP(C65,TRIM('pay group &amp; schedule'!$A$2:$A$6),'pay group &amp; schedule'!$E$2:$E$6,"")</f>
        <v>46326</v>
      </c>
      <c r="F65" s="47" t="n">
        <v>46296</v>
      </c>
      <c r="G65" s="43" t="n">
        <f aca="false">F65</f>
        <v>46296</v>
      </c>
      <c r="H65" s="38" t="str">
        <f aca="false">TEXT(F65,"ddd")</f>
        <v>Thu</v>
      </c>
      <c r="K65" s="40" t="str">
        <f aca="false" t="array" ref="K65:K65">IF(I65="","",_xlfn.LET(_xlpm.u,_xlfn.XLOOKUP(A65&amp;"|"&amp;I65,TRIM(SUBSTITUTE('absence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65" s="38" t="str">
        <f aca="false">IF(F65&gt;E65,"Future period",IF(AND(G65&lt;&gt;"",G65&lt;D65),"Prior period",IF(F65&lt;D65,"Started prior period – continues",IF(OR(G65="",G65&gt;E65),"Starts this period – continues","Current period"))))</f>
        <v>Current period</v>
      </c>
      <c r="M65" s="39" t="s">
        <v>661</v>
      </c>
      <c r="N65" s="39" t="s">
        <v>739</v>
      </c>
      <c r="O65" s="39" t="s">
        <v>740</v>
      </c>
      <c r="P65" s="53"/>
      <c r="Q65" s="57" t="n">
        <v>2000</v>
      </c>
    </row>
    <row r="66" customFormat="false" ht="15" hidden="false" customHeight="false" outlineLevel="0" collapsed="false">
      <c r="A66" s="39" t="s">
        <v>480</v>
      </c>
      <c r="B66" s="39" t="s">
        <v>660</v>
      </c>
      <c r="C66" s="40" t="str">
        <f aca="false" t="array" ref="C66:C66">_xlfn.XLOOKUP(A66,TRIM(SUBSTITUTE('worker file'!$A$2:$A$406,_xlfn.UNICHAR(160)," ")),'worker file'!$L$2:$L$406,"Not found")</f>
        <v>Canada Monthly</v>
      </c>
      <c r="D66" s="46" t="n">
        <f aca="false" t="array" ref="D66:D66">_xlfn.XLOOKUP(C66,TRIM('pay group &amp; schedule'!$A$2:$A$6),'pay group &amp; schedule'!$D$2:$D$6,"")</f>
        <v>46296</v>
      </c>
      <c r="E66" s="46" t="n">
        <f aca="false" t="array" ref="E66:E66">_xlfn.XLOOKUP(C66,TRIM('pay group &amp; schedule'!$A$2:$A$6),'pay group &amp; schedule'!$E$2:$E$6,"")</f>
        <v>46326</v>
      </c>
      <c r="F66" s="47" t="n">
        <v>46317</v>
      </c>
      <c r="G66" s="43" t="n">
        <f aca="false">F66</f>
        <v>46317</v>
      </c>
      <c r="H66" s="38" t="str">
        <f aca="false">TEXT(F66,"ddd")</f>
        <v>Thu</v>
      </c>
      <c r="I66" s="0" t="s">
        <v>600</v>
      </c>
      <c r="J66" s="0" t="n">
        <v>1</v>
      </c>
      <c r="K66" s="40" t="str">
        <f aca="false" t="array" ref="K66:K66">IF(I66="","",_xlfn.LET(_xlpm.u,_xlfn.XLOOKUP(A66&amp;"|"&amp;I66,TRIM(SUBSTITUTE('absence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66" s="38" t="str">
        <f aca="false">IF(F66&gt;E66,"Future period",IF(AND(G66&lt;&gt;"",G66&lt;D66),"Prior period",IF(F66&lt;D66,"Started prior period – continues",IF(OR(G66="",G66&gt;E66),"Starts this period – continues","Current period"))))</f>
        <v>Current period</v>
      </c>
      <c r="M66" s="39" t="s">
        <v>661</v>
      </c>
      <c r="N66" s="39" t="s">
        <v>741</v>
      </c>
      <c r="O66" s="39"/>
      <c r="P66" s="53"/>
      <c r="Q66" s="56"/>
    </row>
    <row r="67" customFormat="false" ht="15" hidden="false" customHeight="false" outlineLevel="0" collapsed="false">
      <c r="A67" s="39" t="s">
        <v>483</v>
      </c>
      <c r="B67" s="39" t="s">
        <v>660</v>
      </c>
      <c r="C67" s="40" t="str">
        <f aca="false" t="array" ref="C67:C67">_xlfn.XLOOKUP(A67,TRIM(SUBSTITUTE('worker file'!$A$2:$A$406,_xlfn.UNICHAR(160)," ")),'worker file'!$L$2:$L$406,"Not found")</f>
        <v>Canada Monthly</v>
      </c>
      <c r="D67" s="46" t="n">
        <f aca="false" t="array" ref="D67:D67">_xlfn.XLOOKUP(C67,TRIM('pay group &amp; schedule'!$A$2:$A$6),'pay group &amp; schedule'!$D$2:$D$6,"")</f>
        <v>46296</v>
      </c>
      <c r="E67" s="46" t="n">
        <f aca="false" t="array" ref="E67:E67">_xlfn.XLOOKUP(C67,TRIM('pay group &amp; schedule'!$A$2:$A$6),'pay group &amp; schedule'!$E$2:$E$6,"")</f>
        <v>46326</v>
      </c>
      <c r="F67" s="47" t="n">
        <v>46321</v>
      </c>
      <c r="G67" s="43" t="n">
        <f aca="false">F67</f>
        <v>46321</v>
      </c>
      <c r="H67" s="38" t="str">
        <f aca="false">TEXT(F67,"ddd")</f>
        <v>Mon</v>
      </c>
      <c r="I67" s="0" t="s">
        <v>600</v>
      </c>
      <c r="J67" s="0" t="n">
        <v>1</v>
      </c>
      <c r="K67" s="40" t="str">
        <f aca="false" t="array" ref="K67:K67">IF(I67="","",_xlfn.LET(_xlpm.u,_xlfn.XLOOKUP(A67&amp;"|"&amp;I67,TRIM(SUBSTITUTE('absence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67" s="38" t="str">
        <f aca="false">IF(F67&gt;E67,"Future period",IF(AND(G67&lt;&gt;"",G67&lt;D67),"Prior period",IF(F67&lt;D67,"Started prior period – continues",IF(OR(G67="",G67&gt;E67),"Starts this period – continues","Current period"))))</f>
        <v>Current period</v>
      </c>
      <c r="M67" s="39" t="s">
        <v>661</v>
      </c>
      <c r="N67" s="39" t="s">
        <v>742</v>
      </c>
      <c r="O67" s="39"/>
      <c r="P67" s="53"/>
      <c r="Q67" s="56"/>
    </row>
    <row r="68" customFormat="false" ht="15" hidden="false" customHeight="false" outlineLevel="0" collapsed="false">
      <c r="A68" s="39" t="s">
        <v>483</v>
      </c>
      <c r="B68" s="39" t="s">
        <v>660</v>
      </c>
      <c r="C68" s="40" t="str">
        <f aca="false" t="array" ref="C68:C68">_xlfn.XLOOKUP(A68,TRIM(SUBSTITUTE('worker file'!$A$2:$A$406,_xlfn.UNICHAR(160)," ")),'worker file'!$L$2:$L$406,"Not found")</f>
        <v>Canada Monthly</v>
      </c>
      <c r="D68" s="46" t="n">
        <f aca="false" t="array" ref="D68:D68">_xlfn.XLOOKUP(C68,TRIM('pay group &amp; schedule'!$A$2:$A$6),'pay group &amp; schedule'!$D$2:$D$6,"")</f>
        <v>46296</v>
      </c>
      <c r="E68" s="46" t="n">
        <f aca="false" t="array" ref="E68:E68">_xlfn.XLOOKUP(C68,TRIM('pay group &amp; schedule'!$A$2:$A$6),'pay group &amp; schedule'!$E$2:$E$6,"")</f>
        <v>46326</v>
      </c>
      <c r="F68" s="47" t="n">
        <v>46322</v>
      </c>
      <c r="G68" s="43" t="n">
        <f aca="false">F68</f>
        <v>46322</v>
      </c>
      <c r="H68" s="38" t="str">
        <f aca="false">TEXT(F68,"ddd")</f>
        <v>Tue</v>
      </c>
      <c r="I68" s="0" t="s">
        <v>600</v>
      </c>
      <c r="J68" s="0" t="n">
        <v>1</v>
      </c>
      <c r="K68" s="40" t="str">
        <f aca="false" t="array" ref="K68:K68">IF(I68="","",_xlfn.LET(_xlpm.u,_xlfn.XLOOKUP(A68&amp;"|"&amp;I68,TRIM(SUBSTITUTE('absence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68" s="38" t="str">
        <f aca="false">IF(F68&gt;E68,"Future period",IF(AND(G68&lt;&gt;"",G68&lt;D68),"Prior period",IF(F68&lt;D68,"Started prior period – continues",IF(OR(G68="",G68&gt;E68),"Starts this period – continues","Current period"))))</f>
        <v>Current period</v>
      </c>
      <c r="M68" s="39" t="s">
        <v>661</v>
      </c>
      <c r="N68" s="39" t="s">
        <v>742</v>
      </c>
      <c r="O68" s="39"/>
      <c r="P68" s="53"/>
      <c r="Q68" s="56"/>
    </row>
    <row r="69" customFormat="false" ht="15" hidden="false" customHeight="false" outlineLevel="0" collapsed="false">
      <c r="A69" s="39" t="s">
        <v>483</v>
      </c>
      <c r="B69" s="39" t="s">
        <v>660</v>
      </c>
      <c r="C69" s="40" t="str">
        <f aca="false" t="array" ref="C69:C69">_xlfn.XLOOKUP(A69,TRIM(SUBSTITUTE('worker file'!$A$2:$A$406,_xlfn.UNICHAR(160)," ")),'worker file'!$L$2:$L$406,"Not found")</f>
        <v>Canada Monthly</v>
      </c>
      <c r="D69" s="46" t="n">
        <f aca="false" t="array" ref="D69:D69">_xlfn.XLOOKUP(C69,TRIM('pay group &amp; schedule'!$A$2:$A$6),'pay group &amp; schedule'!$D$2:$D$6,"")</f>
        <v>46296</v>
      </c>
      <c r="E69" s="46" t="n">
        <f aca="false" t="array" ref="E69:E69">_xlfn.XLOOKUP(C69,TRIM('pay group &amp; schedule'!$A$2:$A$6),'pay group &amp; schedule'!$E$2:$E$6,"")</f>
        <v>46326</v>
      </c>
      <c r="F69" s="47" t="n">
        <v>46323</v>
      </c>
      <c r="G69" s="43" t="n">
        <f aca="false">F69</f>
        <v>46323</v>
      </c>
      <c r="H69" s="38" t="str">
        <f aca="false">TEXT(F69,"ddd")</f>
        <v>Wed</v>
      </c>
      <c r="I69" s="0" t="s">
        <v>600</v>
      </c>
      <c r="J69" s="0" t="n">
        <v>1</v>
      </c>
      <c r="K69" s="40" t="str">
        <f aca="false" t="array" ref="K69:K69">IF(I69="","",_xlfn.LET(_xlpm.u,_xlfn.XLOOKUP(A69&amp;"|"&amp;I69,TRIM(SUBSTITUTE('absence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69" s="38" t="str">
        <f aca="false">IF(F69&gt;E69,"Future period",IF(AND(G69&lt;&gt;"",G69&lt;D69),"Prior period",IF(F69&lt;D69,"Started prior period – continues",IF(OR(G69="",G69&gt;E69),"Starts this period – continues","Current period"))))</f>
        <v>Current period</v>
      </c>
      <c r="M69" s="39" t="s">
        <v>661</v>
      </c>
      <c r="N69" s="39" t="s">
        <v>742</v>
      </c>
      <c r="O69" s="39"/>
      <c r="P69" s="53"/>
      <c r="Q69" s="56"/>
    </row>
    <row r="70" customFormat="false" ht="15" hidden="false" customHeight="false" outlineLevel="0" collapsed="false">
      <c r="A70" s="39" t="s">
        <v>487</v>
      </c>
      <c r="B70" s="39" t="s">
        <v>660</v>
      </c>
      <c r="C70" s="40" t="str">
        <f aca="false" t="array" ref="C70:C70">_xlfn.XLOOKUP(A70,TRIM(SUBSTITUTE('worker file'!$A$2:$A$406,_xlfn.UNICHAR(160)," ")),'worker file'!$L$2:$L$406,"Not found")</f>
        <v>Canada Monthly</v>
      </c>
      <c r="D70" s="46" t="n">
        <f aca="false" t="array" ref="D70:D70">_xlfn.XLOOKUP(C70,TRIM('pay group &amp; schedule'!$A$2:$A$6),'pay group &amp; schedule'!$D$2:$D$6,"")</f>
        <v>46296</v>
      </c>
      <c r="E70" s="46" t="n">
        <f aca="false" t="array" ref="E70:E70">_xlfn.XLOOKUP(C70,TRIM('pay group &amp; schedule'!$A$2:$A$6),'pay group &amp; schedule'!$E$2:$E$6,"")</f>
        <v>46326</v>
      </c>
      <c r="F70" s="47" t="n">
        <v>46307</v>
      </c>
      <c r="G70" s="43" t="n">
        <f aca="false">F70</f>
        <v>46307</v>
      </c>
      <c r="H70" s="38" t="str">
        <f aca="false">TEXT(F70,"ddd")</f>
        <v>Mon</v>
      </c>
      <c r="I70" s="0" t="s">
        <v>601</v>
      </c>
      <c r="J70" s="0" t="n">
        <v>1</v>
      </c>
      <c r="K70" s="40" t="str">
        <f aca="false" t="array" ref="K70:K70">IF(I70="","",_xlfn.LET(_xlpm.u,_xlfn.XLOOKUP(A70&amp;"|"&amp;I70,TRIM(SUBSTITUTE('absence balance'!$A$2:$A$643,_xlfn.UNICHAR(160)," "))&amp;"|"&amp;TRIM(SUBSTITUTE('absence balance'!$B$2:$B$643,_xlfn.UNICHAR(160)," ")),TRIM('absence balance'!$F$2:$F$643),"Plan not found"),IF(_xlpm.u="n/a","hrs",_xlpm.u)))</f>
        <v>days</v>
      </c>
      <c r="L70" s="38" t="str">
        <f aca="false">IF(F70&gt;E70,"Future period",IF(AND(G70&lt;&gt;"",G70&lt;D70),"Prior period",IF(F70&lt;D70,"Started prior period – continues",IF(OR(G70="",G70&gt;E70),"Starts this period – continues","Current period"))))</f>
        <v>Current period</v>
      </c>
      <c r="M70" s="39" t="s">
        <v>661</v>
      </c>
      <c r="N70" s="39" t="s">
        <v>662</v>
      </c>
      <c r="O70" s="39"/>
      <c r="P70" s="53"/>
      <c r="Q70" s="56"/>
    </row>
    <row r="71" customFormat="false" ht="15" hidden="false" customHeight="false" outlineLevel="0" collapsed="false">
      <c r="A71" s="39" t="s">
        <v>495</v>
      </c>
      <c r="B71" s="39" t="s">
        <v>680</v>
      </c>
      <c r="C71" s="40" t="str">
        <f aca="false" t="array" ref="C71:C71">_xlfn.XLOOKUP(A71,TRIM(SUBSTITUTE('worker file'!$A$2:$A$406,_xlfn.UNICHAR(160)," ")),'worker file'!$L$2:$L$406,"Not found")</f>
        <v>Canada Monthly</v>
      </c>
      <c r="D71" s="46" t="n">
        <f aca="false" t="array" ref="D71:D71">_xlfn.XLOOKUP(C71,TRIM('pay group &amp; schedule'!$A$2:$A$6),'pay group &amp; schedule'!$D$2:$D$6,"")</f>
        <v>46296</v>
      </c>
      <c r="E71" s="46" t="n">
        <f aca="false" t="array" ref="E71:E71">_xlfn.XLOOKUP(C71,TRIM('pay group &amp; schedule'!$A$2:$A$6),'pay group &amp; schedule'!$E$2:$E$6,"")</f>
        <v>46326</v>
      </c>
      <c r="F71" s="47" t="n">
        <v>46310</v>
      </c>
      <c r="G71" s="43" t="n">
        <v>46345</v>
      </c>
      <c r="H71" s="38" t="str">
        <f aca="false">TEXT(F71,"ddd")</f>
        <v>Thu</v>
      </c>
      <c r="K71" s="40" t="str">
        <f aca="false" t="array" ref="K71:K71">IF(I71="","",_xlfn.LET(_xlpm.u,_xlfn.XLOOKUP(A71&amp;"|"&amp;I71,TRIM(SUBSTITUTE('absence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1" s="38" t="str">
        <f aca="false">IF(F71&gt;E71,"Future period",IF(AND(G71&lt;&gt;"",G71&lt;D71),"Prior period",IF(F71&lt;D71,"Started prior period – continues",IF(OR(G71="",G71&gt;E71),"Starts this period – continues","Current period"))))</f>
        <v>Starts this period – continues</v>
      </c>
      <c r="M71" s="39" t="s">
        <v>661</v>
      </c>
      <c r="N71" s="39" t="s">
        <v>743</v>
      </c>
      <c r="O71" s="39"/>
      <c r="P71" s="53"/>
      <c r="Q71" s="56"/>
    </row>
    <row r="72" customFormat="false" ht="15" hidden="false" customHeight="false" outlineLevel="0" collapsed="false">
      <c r="A72" s="39" t="s">
        <v>501</v>
      </c>
      <c r="B72" s="39" t="s">
        <v>685</v>
      </c>
      <c r="C72" s="40" t="str">
        <f aca="false" t="array" ref="C72:C72">_xlfn.XLOOKUP(A72,TRIM(SUBSTITUTE('worker file'!$A$2:$A$406,_xlfn.UNICHAR(160)," ")),'worker file'!$L$2:$L$406,"Not found")</f>
        <v>Canada Monthly</v>
      </c>
      <c r="D72" s="46" t="n">
        <f aca="false" t="array" ref="D72:D72">_xlfn.XLOOKUP(C72,TRIM('pay group &amp; schedule'!$A$2:$A$6),'pay group &amp; schedule'!$D$2:$D$6,"")</f>
        <v>46296</v>
      </c>
      <c r="E72" s="46" t="n">
        <f aca="false" t="array" ref="E72:E72">_xlfn.XLOOKUP(C72,TRIM('pay group &amp; schedule'!$A$2:$A$6),'pay group &amp; schedule'!$E$2:$E$6,"")</f>
        <v>46326</v>
      </c>
      <c r="F72" s="47" t="n">
        <v>46309</v>
      </c>
      <c r="G72" s="43"/>
      <c r="H72" s="38" t="str">
        <f aca="false">TEXT(F72,"ddd")</f>
        <v>Wed</v>
      </c>
      <c r="K72" s="40" t="str">
        <f aca="false" t="array" ref="K72:K72">IF(I72="","",_xlfn.LET(_xlpm.u,_xlfn.XLOOKUP(A72&amp;"|"&amp;I72,TRIM(SUBSTITUTE('absence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2" s="38" t="str">
        <f aca="false">IF(F72&gt;E72,"Future period",IF(AND(G72&lt;&gt;"",G72&lt;D72),"Prior period",IF(F72&lt;D72,"Started prior period – continues",IF(OR(G72="",G72&gt;E72),"Starts this period – continues","Current period"))))</f>
        <v>Starts this period – continues</v>
      </c>
      <c r="M72" s="39" t="s">
        <v>661</v>
      </c>
      <c r="N72" s="39" t="s">
        <v>744</v>
      </c>
      <c r="O72" s="39" t="s">
        <v>745</v>
      </c>
      <c r="P72" s="58" t="n">
        <v>34.5</v>
      </c>
      <c r="Q72" s="59" t="n">
        <v>36</v>
      </c>
    </row>
    <row r="73" customFormat="false" ht="15" hidden="false" customHeight="false" outlineLevel="0" collapsed="false">
      <c r="A73" s="39" t="s">
        <v>497</v>
      </c>
      <c r="B73" s="39" t="s">
        <v>685</v>
      </c>
      <c r="C73" s="40" t="str">
        <f aca="false" t="array" ref="C73:C73">_xlfn.XLOOKUP(A73,TRIM(SUBSTITUTE('worker file'!$A$2:$A$406,_xlfn.UNICHAR(160)," ")),'worker file'!$L$2:$L$406,"Not found")</f>
        <v>Canada Monthly</v>
      </c>
      <c r="D73" s="46" t="n">
        <f aca="false" t="array" ref="D73:D73">_xlfn.XLOOKUP(C73,TRIM('pay group &amp; schedule'!$A$2:$A$6),'pay group &amp; schedule'!$D$2:$D$6,"")</f>
        <v>46296</v>
      </c>
      <c r="E73" s="46" t="n">
        <f aca="false" t="array" ref="E73:E73">_xlfn.XLOOKUP(C73,TRIM('pay group &amp; schedule'!$A$2:$A$6),'pay group &amp; schedule'!$E$2:$E$6,"")</f>
        <v>46326</v>
      </c>
      <c r="F73" s="47" t="n">
        <v>46311</v>
      </c>
      <c r="G73" s="43"/>
      <c r="H73" s="38" t="str">
        <f aca="false">TEXT(F73,"ddd")</f>
        <v>Fri</v>
      </c>
      <c r="K73" s="40" t="str">
        <f aca="false" t="array" ref="K73:K73">IF(I73="","",_xlfn.LET(_xlpm.u,_xlfn.XLOOKUP(A73&amp;"|"&amp;I73,TRIM(SUBSTITUTE('absence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3" s="38" t="str">
        <f aca="false">IF(F73&gt;E73,"Future period",IF(AND(G73&lt;&gt;"",G73&lt;D73),"Prior period",IF(F73&lt;D73,"Started prior period – continues",IF(OR(G73="",G73&gt;E73),"Starts this period – continues","Current period"))))</f>
        <v>Starts this period – continues</v>
      </c>
      <c r="M73" s="39" t="s">
        <v>661</v>
      </c>
      <c r="N73" s="39" t="s">
        <v>746</v>
      </c>
      <c r="O73" s="39" t="s">
        <v>747</v>
      </c>
      <c r="P73" s="60" t="n">
        <v>210000</v>
      </c>
      <c r="Q73" s="57" t="n">
        <v>220000</v>
      </c>
    </row>
    <row r="74" customFormat="false" ht="15" hidden="false" customHeight="false" outlineLevel="0" collapsed="false">
      <c r="A74" s="39" t="s">
        <v>502</v>
      </c>
      <c r="B74" s="39" t="s">
        <v>693</v>
      </c>
      <c r="C74" s="40" t="str">
        <f aca="false" t="array" ref="C74:C74">_xlfn.XLOOKUP(A74,TRIM(SUBSTITUTE('worker file'!$A$2:$A$406,_xlfn.UNICHAR(160)," ")),'worker file'!$L$2:$L$406,"Not found")</f>
        <v>Canada Monthly</v>
      </c>
      <c r="D74" s="46" t="n">
        <f aca="false" t="array" ref="D74:D74">_xlfn.XLOOKUP(C74,TRIM('pay group &amp; schedule'!$A$2:$A$6),'pay group &amp; schedule'!$D$2:$D$6,"")</f>
        <v>46296</v>
      </c>
      <c r="E74" s="46" t="n">
        <f aca="false" t="array" ref="E74:E74">_xlfn.XLOOKUP(C74,TRIM('pay group &amp; schedule'!$A$2:$A$6),'pay group &amp; schedule'!$E$2:$E$6,"")</f>
        <v>46326</v>
      </c>
      <c r="F74" s="47" t="n">
        <v>46266</v>
      </c>
      <c r="G74" s="43"/>
      <c r="H74" s="38" t="str">
        <f aca="false">TEXT(F74,"ddd")</f>
        <v>Tue</v>
      </c>
      <c r="K74" s="40" t="str">
        <f aca="false" t="array" ref="K74:K74">IF(I74="","",_xlfn.LET(_xlpm.u,_xlfn.XLOOKUP(A74&amp;"|"&amp;I74,TRIM(SUBSTITUTE('absence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4" s="38" t="str">
        <f aca="false">IF(F74&gt;E74,"Future period",IF(AND(G74&lt;&gt;"",G74&lt;D74),"Prior period",IF(F74&lt;D74,"Started prior period – continues",IF(OR(G74="",G74&gt;E74),"Starts this period – continues","Current period"))))</f>
        <v>Started prior period – continues</v>
      </c>
      <c r="M74" s="39" t="s">
        <v>36</v>
      </c>
      <c r="N74" s="39" t="s">
        <v>748</v>
      </c>
      <c r="O74" s="39" t="s">
        <v>749</v>
      </c>
      <c r="P74" s="53"/>
      <c r="Q74" s="56" t="s">
        <v>750</v>
      </c>
    </row>
    <row r="75" customFormat="false" ht="15" hidden="false" customHeight="false" outlineLevel="0" collapsed="false">
      <c r="A75" s="39" t="s">
        <v>493</v>
      </c>
      <c r="B75" s="39" t="s">
        <v>715</v>
      </c>
      <c r="C75" s="40" t="str">
        <f aca="false" t="array" ref="C75:C75">_xlfn.XLOOKUP(A75,TRIM(SUBSTITUTE('worker file'!$A$2:$A$406,_xlfn.UNICHAR(160)," ")),'worker file'!$L$2:$L$406,"Not found")</f>
        <v>Canada Monthly</v>
      </c>
      <c r="D75" s="46" t="n">
        <f aca="false" t="array" ref="D75:D75">_xlfn.XLOOKUP(C75,TRIM('pay group &amp; schedule'!$A$2:$A$6),'pay group &amp; schedule'!$D$2:$D$6,"")</f>
        <v>46296</v>
      </c>
      <c r="E75" s="46" t="n">
        <f aca="false" t="array" ref="E75:E75">_xlfn.XLOOKUP(C75,TRIM('pay group &amp; schedule'!$A$2:$A$6),'pay group &amp; schedule'!$E$2:$E$6,"")</f>
        <v>46326</v>
      </c>
      <c r="F75" s="47" t="n">
        <v>46310</v>
      </c>
      <c r="G75" s="43" t="n">
        <f aca="false">F75</f>
        <v>46310</v>
      </c>
      <c r="H75" s="38" t="str">
        <f aca="false">TEXT(F75,"ddd")</f>
        <v>Thu</v>
      </c>
      <c r="K75" s="40" t="str">
        <f aca="false" t="array" ref="K75:K75">IF(I75="","",_xlfn.LET(_xlpm.u,_xlfn.XLOOKUP(A75&amp;"|"&amp;I75,TRIM(SUBSTITUTE('absence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5" s="38" t="str">
        <f aca="false">IF(F75&gt;E75,"Future period",IF(AND(G75&lt;&gt;"",G75&lt;D75),"Prior period",IF(F75&lt;D75,"Started prior period – continues",IF(OR(G75="",G75&gt;E75),"Starts this period – continues","Current period"))))</f>
        <v>Current period</v>
      </c>
      <c r="M75" s="39" t="s">
        <v>661</v>
      </c>
      <c r="N75" s="39" t="s">
        <v>751</v>
      </c>
      <c r="O75" s="39" t="s">
        <v>752</v>
      </c>
      <c r="P75" s="53"/>
      <c r="Q75" s="57" t="n">
        <v>10000</v>
      </c>
    </row>
    <row r="76" customFormat="false" ht="15" hidden="false" customHeight="false" outlineLevel="0" collapsed="false">
      <c r="A76" s="39" t="s">
        <v>500</v>
      </c>
      <c r="B76" s="39" t="s">
        <v>715</v>
      </c>
      <c r="C76" s="40" t="str">
        <f aca="false" t="array" ref="C76:C76">_xlfn.XLOOKUP(A76,TRIM(SUBSTITUTE('worker file'!$A$2:$A$406,_xlfn.UNICHAR(160)," ")),'worker file'!$L$2:$L$406,"Not found")</f>
        <v>Canada Monthly</v>
      </c>
      <c r="D76" s="46" t="n">
        <f aca="false" t="array" ref="D76:D76">_xlfn.XLOOKUP(C76,TRIM('pay group &amp; schedule'!$A$2:$A$6),'pay group &amp; schedule'!$D$2:$D$6,"")</f>
        <v>46296</v>
      </c>
      <c r="E76" s="46" t="n">
        <f aca="false" t="array" ref="E76:E76">_xlfn.XLOOKUP(C76,TRIM('pay group &amp; schedule'!$A$2:$A$6),'pay group &amp; schedule'!$E$2:$E$6,"")</f>
        <v>46326</v>
      </c>
      <c r="F76" s="47" t="n">
        <v>46318</v>
      </c>
      <c r="G76" s="43" t="n">
        <f aca="false">F76</f>
        <v>46318</v>
      </c>
      <c r="H76" s="38" t="str">
        <f aca="false">TEXT(F76,"ddd")</f>
        <v>Fri</v>
      </c>
      <c r="K76" s="40" t="str">
        <f aca="false" t="array" ref="K76:K76">IF(I76="","",_xlfn.LET(_xlpm.u,_xlfn.XLOOKUP(A76&amp;"|"&amp;I76,TRIM(SUBSTITUTE('absence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6" s="38" t="str">
        <f aca="false">IF(F76&gt;E76,"Future period",IF(AND(G76&lt;&gt;"",G76&lt;D76),"Prior period",IF(F76&lt;D76,"Started prior period – continues",IF(OR(G76="",G76&gt;E76),"Starts this period – continues","Current period"))))</f>
        <v>Current period</v>
      </c>
      <c r="M76" s="39" t="s">
        <v>661</v>
      </c>
      <c r="N76" s="39" t="s">
        <v>753</v>
      </c>
      <c r="O76" s="39" t="s">
        <v>752</v>
      </c>
      <c r="P76" s="53"/>
      <c r="Q76" s="57" t="n">
        <v>7500</v>
      </c>
    </row>
    <row r="77" customFormat="false" ht="15" hidden="false" customHeight="false" outlineLevel="0" collapsed="false">
      <c r="A77" s="39" t="s">
        <v>509</v>
      </c>
      <c r="B77" s="39" t="s">
        <v>715</v>
      </c>
      <c r="C77" s="40" t="str">
        <f aca="false" t="array" ref="C77:C77">_xlfn.XLOOKUP(A77,TRIM(SUBSTITUTE('worker file'!$A$2:$A$406,_xlfn.UNICHAR(160)," ")),'worker file'!$L$2:$L$406,"Not found")</f>
        <v>Canada Monthly</v>
      </c>
      <c r="D77" s="46" t="n">
        <f aca="false" t="array" ref="D77:D77">_xlfn.XLOOKUP(C77,TRIM('pay group &amp; schedule'!$A$2:$A$6),'pay group &amp; schedule'!$D$2:$D$6,"")</f>
        <v>46296</v>
      </c>
      <c r="E77" s="46" t="n">
        <f aca="false" t="array" ref="E77:E77">_xlfn.XLOOKUP(C77,TRIM('pay group &amp; schedule'!$A$2:$A$6),'pay group &amp; schedule'!$E$2:$E$6,"")</f>
        <v>46326</v>
      </c>
      <c r="F77" s="47" t="n">
        <v>46296</v>
      </c>
      <c r="G77" s="43" t="n">
        <f aca="false">F77</f>
        <v>46296</v>
      </c>
      <c r="H77" s="38" t="str">
        <f aca="false">TEXT(F77,"ddd")</f>
        <v>Thu</v>
      </c>
      <c r="K77" s="40" t="str">
        <f aca="false" t="array" ref="K77:K77">IF(I77="","",_xlfn.LET(_xlpm.u,_xlfn.XLOOKUP(A77&amp;"|"&amp;I77,TRIM(SUBSTITUTE('absence balance'!$A$2:$A$643,_xlfn.UNICHAR(160)," "))&amp;"|"&amp;TRIM(SUBSTITUTE('absence balance'!$B$2:$B$643,_xlfn.UNICHAR(160)," ")),TRIM('absence balance'!$F$2:$F$643),"Plan not found"),IF(_xlpm.u="n/a","hrs",_xlpm.u)))</f>
        <v/>
      </c>
      <c r="L77" s="38" t="str">
        <f aca="false">IF(F77&gt;E77,"Future period",IF(AND(G77&lt;&gt;"",G77&lt;D77),"Prior period",IF(F77&lt;D77,"Started prior period – continues",IF(OR(G77="",G77&gt;E77),"Starts this period – continues","Current period"))))</f>
        <v>Current period</v>
      </c>
      <c r="M77" s="39" t="s">
        <v>661</v>
      </c>
      <c r="N77" s="39" t="s">
        <v>739</v>
      </c>
      <c r="O77" s="39" t="s">
        <v>740</v>
      </c>
      <c r="P77" s="53"/>
      <c r="Q77" s="57" t="n">
        <v>2500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6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pane xSplit="0" ySplit="1" topLeftCell="A2" activePane="bottomLeft" state="frozen"/>
      <selection pane="topLeft" activeCell="L1" activeCellId="0" sqref="L1"/>
      <selection pane="bottomLeft" activeCell="T24" activeCellId="0" sqref="T24"/>
    </sheetView>
  </sheetViews>
  <sheetFormatPr defaultColWidth="10.5390625" defaultRowHeight="15" customHeight="false" zeroHeight="false" outlineLevelRow="0" outlineLevelCol="0"/>
  <cols>
    <col collapsed="false" customWidth="true" hidden="false" outlineLevel="0" max="1" min="1" style="0" width="13.16"/>
    <col collapsed="false" customWidth="true" hidden="false" outlineLevel="0" max="2" min="2" style="0" width="19.83"/>
    <col collapsed="false" customWidth="true" hidden="false" outlineLevel="0" max="4" min="3" style="0" width="6.33"/>
    <col collapsed="false" customWidth="true" hidden="false" outlineLevel="0" max="6" min="6" style="0" width="9.83"/>
    <col collapsed="false" customWidth="true" hidden="false" outlineLevel="0" max="7" min="7" style="0" width="13.5"/>
    <col collapsed="false" customWidth="true" hidden="false" outlineLevel="0" max="8" min="8" style="0" width="39.16"/>
    <col collapsed="false" customWidth="true" hidden="false" outlineLevel="0" max="9" min="9" style="0" width="14.83"/>
    <col collapsed="false" customWidth="true" hidden="false" outlineLevel="0" max="10" min="10" style="0" width="22.83"/>
    <col collapsed="false" customWidth="true" hidden="false" outlineLevel="0" max="11" min="11" style="0" width="14.66"/>
    <col collapsed="false" customWidth="true" hidden="false" outlineLevel="0" max="12" min="12" style="0" width="55"/>
    <col collapsed="false" customWidth="true" hidden="false" outlineLevel="0" max="13" min="13" style="0" width="5.33"/>
    <col collapsed="false" customWidth="true" hidden="false" outlineLevel="0" max="14" min="14" style="0" width="14.83"/>
    <col collapsed="false" customWidth="true" hidden="false" outlineLevel="0" max="15" min="15" style="0" width="16.33"/>
    <col collapsed="false" customWidth="true" hidden="false" outlineLevel="0" max="16" min="16" style="0" width="17"/>
    <col collapsed="false" customWidth="true" hidden="false" outlineLevel="0" max="17" min="17" style="0" width="14.33"/>
    <col collapsed="false" customWidth="true" hidden="false" outlineLevel="0" max="18" min="18" style="0" width="10"/>
    <col collapsed="false" customWidth="true" hidden="false" outlineLevel="0" max="20" min="20" style="0" width="29.16"/>
    <col collapsed="false" customWidth="true" hidden="false" outlineLevel="0" max="21" min="21" style="0" width="17"/>
  </cols>
  <sheetData>
    <row r="1" customFormat="false" ht="15" hidden="false" customHeight="false" outlineLevel="0" collapsed="false">
      <c r="A1" s="22" t="s">
        <v>637</v>
      </c>
      <c r="B1" s="22" t="s">
        <v>754</v>
      </c>
      <c r="C1" s="22" t="s">
        <v>755</v>
      </c>
      <c r="D1" s="22" t="s">
        <v>756</v>
      </c>
      <c r="E1" s="22" t="s">
        <v>757</v>
      </c>
      <c r="F1" s="3" t="s">
        <v>758</v>
      </c>
      <c r="G1" s="22" t="s">
        <v>759</v>
      </c>
      <c r="H1" s="22" t="s">
        <v>760</v>
      </c>
      <c r="I1" s="22" t="s">
        <v>761</v>
      </c>
      <c r="J1" s="22" t="s">
        <v>762</v>
      </c>
      <c r="K1" s="22" t="s">
        <v>763</v>
      </c>
      <c r="L1" s="61" t="s">
        <v>24</v>
      </c>
      <c r="M1" s="22" t="s">
        <v>652</v>
      </c>
      <c r="N1" s="22" t="s">
        <v>764</v>
      </c>
      <c r="O1" s="22" t="s">
        <v>765</v>
      </c>
      <c r="P1" s="22" t="s">
        <v>766</v>
      </c>
      <c r="Q1" s="22" t="s">
        <v>767</v>
      </c>
      <c r="R1" s="22" t="s">
        <v>3</v>
      </c>
      <c r="T1" s="1" t="s">
        <v>650</v>
      </c>
      <c r="U1" s="26" t="n">
        <v>46299</v>
      </c>
    </row>
    <row r="2" customFormat="false" ht="15" hidden="false" customHeight="false" outlineLevel="0" collapsed="false">
      <c r="A2" s="5" t="s">
        <v>120</v>
      </c>
      <c r="B2" s="6" t="n">
        <v>46300</v>
      </c>
      <c r="C2" s="62" t="n">
        <v>0.58125</v>
      </c>
      <c r="D2" s="62" t="n">
        <v>0.934027777777778</v>
      </c>
      <c r="E2" s="63" t="n">
        <v>0.747222222222222</v>
      </c>
      <c r="F2" s="64" t="n">
        <v>0.768055555555556</v>
      </c>
      <c r="G2" s="65" t="str">
        <f aca="false" t="array" ref="G2:G2">_xlfn.XLOOKUP(A2&amp;"|"&amp;B2,ShiftRoster[Employee ID]&amp;"|"&amp;ShiftRoster[Date],ShiftRoster[Shift Code],_xlfn.XLOOKUP(A2,TRIM(SUBSTITUTE('worker file'!$A$2:$A$406,_xlfn.UNICHAR(160)," ")),'worker file'!$X$2:$X$406,"?"),0,-1)</f>
        <v>SWNG</v>
      </c>
      <c r="H2" s="65" t="str">
        <f aca="false">_xlfn.XLOOKUP(G2,ShiftCodes[Code],ShiftCodes[Work Schedule],"Unknown")</f>
        <v>Shift B – Swing (Mon–Fri 14:00–22:30)</v>
      </c>
      <c r="I2" s="66" t="n">
        <f aca="false">_xlfn.XLOOKUP(G2,ShiftCodes[Code],ShiftCodes[Start],"")</f>
        <v>0.583333333333333</v>
      </c>
      <c r="J2" s="67" t="n">
        <f aca="false">IF(OR(C2="",I2=""),"",ROUND((MOD(C2-I2+0.5,1)-0.5)*1440,0))</f>
        <v>-3</v>
      </c>
      <c r="K2" s="65" t="str">
        <f aca="false">IF(J2="","",IF(ABS(J2)&gt;$U$3,"Off-schedule","OK"))</f>
        <v>OK</v>
      </c>
      <c r="L2" s="68"/>
      <c r="M2" s="5" t="str">
        <f aca="false">TEXT(B2,"ddd")</f>
        <v>Mon</v>
      </c>
      <c r="N2" s="69" t="n">
        <f aca="false">IF(OR(C2="",D2=""),"",ROUND((MOD(D2-C2,1)-IF(ISNUMBER(E2),MOD(F2-E2,1),0))*24,2))</f>
        <v>7.97</v>
      </c>
      <c r="O2" s="5" t="s">
        <v>768</v>
      </c>
      <c r="P2" s="6" t="n">
        <v>46300</v>
      </c>
      <c r="Q2" s="5" t="str">
        <f aca="false">IF(B2&lt;$U$1,"Prior period",IF(B2&gt;$U$2,"Future period","Current period"))</f>
        <v>Current period</v>
      </c>
      <c r="R2" s="5" t="str">
        <f aca="false" t="array" ref="R2:R2">_xlfn.XLOOKUP(A2,TRIM(SUBSTITUTE('worker file'!$A$2:$A$406,_xlfn.UNICHAR(160)," ")),'worker file'!$D$2:$D$406,"Not found")</f>
        <v>TX</v>
      </c>
      <c r="T2" s="1" t="s">
        <v>651</v>
      </c>
      <c r="U2" s="26" t="n">
        <v>46312</v>
      </c>
    </row>
    <row r="3" customFormat="false" ht="15" hidden="false" customHeight="false" outlineLevel="0" collapsed="false">
      <c r="A3" s="5" t="s">
        <v>120</v>
      </c>
      <c r="B3" s="6" t="n">
        <v>46301</v>
      </c>
      <c r="C3" s="62" t="n">
        <v>0.583333333333333</v>
      </c>
      <c r="D3" s="62" t="n">
        <v>0.932638888888889</v>
      </c>
      <c r="E3" s="63" t="n">
        <v>0.770138888888889</v>
      </c>
      <c r="F3" s="64" t="n">
        <v>0.790972222222222</v>
      </c>
      <c r="G3" s="65" t="str">
        <f aca="false" t="array" ref="G3:G3">_xlfn.XLOOKUP(A3&amp;"|"&amp;B3,ShiftRoster[Employee ID]&amp;"|"&amp;ShiftRoster[Date],ShiftRoster[Shift Code],_xlfn.XLOOKUP(A3,TRIM(SUBSTITUTE('worker file'!$A$2:$A$406,_xlfn.UNICHAR(160)," ")),'worker file'!$X$2:$X$406,"?"),0,-1)</f>
        <v>SWNG</v>
      </c>
      <c r="H3" s="65" t="str">
        <f aca="false">_xlfn.XLOOKUP(G3,ShiftCodes[Code],ShiftCodes[Work Schedule],"Unknown")</f>
        <v>Shift B – Swing (Mon–Fri 14:00–22:30)</v>
      </c>
      <c r="I3" s="66" t="n">
        <f aca="false">_xlfn.XLOOKUP(G3,ShiftCodes[Code],ShiftCodes[Start],"")</f>
        <v>0.583333333333333</v>
      </c>
      <c r="J3" s="67" t="n">
        <f aca="false">IF(OR(C3="",I3=""),"",ROUND((MOD(C3-I3+0.5,1)-0.5)*1440,0))</f>
        <v>0</v>
      </c>
      <c r="K3" s="65" t="str">
        <f aca="false">IF(J3="","",IF(ABS(J3)&gt;$U$3,"Off-schedule","OK"))</f>
        <v>OK</v>
      </c>
      <c r="L3" s="68"/>
      <c r="M3" s="5" t="str">
        <f aca="false">TEXT(B3,"ddd")</f>
        <v>Tue</v>
      </c>
      <c r="N3" s="69" t="n">
        <f aca="false">IF(OR(C3="",D3=""),"",ROUND((MOD(D3-C3,1)-IF(ISNUMBER(E3),MOD(F3-E3,1),0))*24,2))</f>
        <v>7.88</v>
      </c>
      <c r="O3" s="5" t="s">
        <v>768</v>
      </c>
      <c r="P3" s="6" t="n">
        <v>46301</v>
      </c>
      <c r="Q3" s="5" t="str">
        <f aca="false">IF(B3&lt;$U$1,"Prior period",IF(B3&gt;$U$2,"Future period","Current period"))</f>
        <v>Current period</v>
      </c>
      <c r="R3" s="5" t="str">
        <f aca="false" t="array" ref="R3:R3">_xlfn.XLOOKUP(A3,TRIM(SUBSTITUTE('worker file'!$A$2:$A$406,_xlfn.UNICHAR(160)," ")),'worker file'!$D$2:$D$406,"Not found")</f>
        <v>TX</v>
      </c>
      <c r="T3" s="1" t="s">
        <v>769</v>
      </c>
      <c r="U3" s="70" t="n">
        <v>30</v>
      </c>
    </row>
    <row r="4" customFormat="false" ht="15" hidden="false" customHeight="false" outlineLevel="0" collapsed="false">
      <c r="A4" s="5" t="s">
        <v>120</v>
      </c>
      <c r="B4" s="6" t="n">
        <v>46302</v>
      </c>
      <c r="C4" s="62" t="n">
        <v>0.579861111111111</v>
      </c>
      <c r="D4" s="62" t="n">
        <v>0.929166666666667</v>
      </c>
      <c r="E4" s="63" t="n">
        <v>0.755555555555556</v>
      </c>
      <c r="F4" s="64" t="n">
        <v>0.776388888888889</v>
      </c>
      <c r="G4" s="65" t="str">
        <f aca="false" t="array" ref="G4:G4">_xlfn.XLOOKUP(A4&amp;"|"&amp;B4,ShiftRoster[Employee ID]&amp;"|"&amp;ShiftRoster[Date],ShiftRoster[Shift Code],_xlfn.XLOOKUP(A4,TRIM(SUBSTITUTE('worker file'!$A$2:$A$406,_xlfn.UNICHAR(160)," ")),'worker file'!$X$2:$X$406,"?"),0,-1)</f>
        <v>SWNG</v>
      </c>
      <c r="H4" s="65" t="str">
        <f aca="false">_xlfn.XLOOKUP(G4,ShiftCodes[Code],ShiftCodes[Work Schedule],"Unknown")</f>
        <v>Shift B – Swing (Mon–Fri 14:00–22:30)</v>
      </c>
      <c r="I4" s="66" t="n">
        <f aca="false">_xlfn.XLOOKUP(G4,ShiftCodes[Code],ShiftCodes[Start],"")</f>
        <v>0.583333333333333</v>
      </c>
      <c r="J4" s="67" t="n">
        <f aca="false">IF(OR(C4="",I4=""),"",ROUND((MOD(C4-I4+0.5,1)-0.5)*1440,0))</f>
        <v>-5</v>
      </c>
      <c r="K4" s="65" t="str">
        <f aca="false">IF(J4="","",IF(ABS(J4)&gt;$U$3,"Off-schedule","OK"))</f>
        <v>OK</v>
      </c>
      <c r="L4" s="68"/>
      <c r="M4" s="5" t="str">
        <f aca="false">TEXT(B4,"ddd")</f>
        <v>Wed</v>
      </c>
      <c r="N4" s="69" t="n">
        <f aca="false">IF(OR(C4="",D4=""),"",ROUND((MOD(D4-C4,1)-IF(ISNUMBER(E4),MOD(F4-E4,1),0))*24,2))</f>
        <v>7.88</v>
      </c>
      <c r="O4" s="5" t="s">
        <v>768</v>
      </c>
      <c r="P4" s="6" t="n">
        <v>46302</v>
      </c>
      <c r="Q4" s="5" t="str">
        <f aca="false">IF(B4&lt;$U$1,"Prior period",IF(B4&gt;$U$2,"Future period","Current period"))</f>
        <v>Current period</v>
      </c>
      <c r="R4" s="5" t="str">
        <f aca="false" t="array" ref="R4:R4">_xlfn.XLOOKUP(A4,TRIM(SUBSTITUTE('worker file'!$A$2:$A$406,_xlfn.UNICHAR(160)," ")),'worker file'!$D$2:$D$406,"Not found")</f>
        <v>TX</v>
      </c>
    </row>
    <row r="5" customFormat="false" ht="15" hidden="false" customHeight="false" outlineLevel="0" collapsed="false">
      <c r="A5" s="5" t="s">
        <v>120</v>
      </c>
      <c r="B5" s="6" t="n">
        <v>46303</v>
      </c>
      <c r="C5" s="62" t="n">
        <v>0.581944444444445</v>
      </c>
      <c r="D5" s="62" t="n">
        <v>0.931944444444445</v>
      </c>
      <c r="E5" s="63" t="n">
        <v>0.728472222222222</v>
      </c>
      <c r="F5" s="64" t="n">
        <v>0.749305555555556</v>
      </c>
      <c r="G5" s="65" t="str">
        <f aca="false" t="array" ref="G5:G5">_xlfn.XLOOKUP(A5&amp;"|"&amp;B5,ShiftRoster[Employee ID]&amp;"|"&amp;ShiftRoster[Date],ShiftRoster[Shift Code],_xlfn.XLOOKUP(A5,TRIM(SUBSTITUTE('worker file'!$A$2:$A$406,_xlfn.UNICHAR(160)," ")),'worker file'!$X$2:$X$406,"?"),0,-1)</f>
        <v>SWNG</v>
      </c>
      <c r="H5" s="65" t="str">
        <f aca="false">_xlfn.XLOOKUP(G5,ShiftCodes[Code],ShiftCodes[Work Schedule],"Unknown")</f>
        <v>Shift B – Swing (Mon–Fri 14:00–22:30)</v>
      </c>
      <c r="I5" s="66" t="n">
        <f aca="false">_xlfn.XLOOKUP(G5,ShiftCodes[Code],ShiftCodes[Start],"")</f>
        <v>0.583333333333333</v>
      </c>
      <c r="J5" s="67" t="n">
        <f aca="false">IF(OR(C5="",I5=""),"",ROUND((MOD(C5-I5+0.5,1)-0.5)*1440,0))</f>
        <v>-2</v>
      </c>
      <c r="K5" s="65" t="str">
        <f aca="false">IF(J5="","",IF(ABS(J5)&gt;$U$3,"Off-schedule","OK"))</f>
        <v>OK</v>
      </c>
      <c r="L5" s="68"/>
      <c r="M5" s="5" t="str">
        <f aca="false">TEXT(B5,"ddd")</f>
        <v>Thu</v>
      </c>
      <c r="N5" s="69" t="n">
        <f aca="false">IF(OR(C5="",D5=""),"",ROUND((MOD(D5-C5,1)-IF(ISNUMBER(E5),MOD(F5-E5,1),0))*24,2))</f>
        <v>7.9</v>
      </c>
      <c r="O5" s="5" t="s">
        <v>768</v>
      </c>
      <c r="P5" s="6" t="n">
        <v>46303</v>
      </c>
      <c r="Q5" s="5" t="str">
        <f aca="false">IF(B5&lt;$U$1,"Prior period",IF(B5&gt;$U$2,"Future period","Current period"))</f>
        <v>Current period</v>
      </c>
      <c r="R5" s="5" t="str">
        <f aca="false" t="array" ref="R5:R5">_xlfn.XLOOKUP(A5,TRIM(SUBSTITUTE('worker file'!$A$2:$A$406,_xlfn.UNICHAR(160)," ")),'worker file'!$D$2:$D$406,"Not found")</f>
        <v>TX</v>
      </c>
    </row>
    <row r="6" customFormat="false" ht="15" hidden="false" customHeight="false" outlineLevel="0" collapsed="false">
      <c r="A6" s="5" t="s">
        <v>120</v>
      </c>
      <c r="B6" s="6" t="n">
        <v>46304</v>
      </c>
      <c r="C6" s="62" t="n">
        <v>0.583333333333333</v>
      </c>
      <c r="D6" s="62" t="n">
        <v>0.934027777777778</v>
      </c>
      <c r="E6" s="63" t="n">
        <v>0.738194444444445</v>
      </c>
      <c r="F6" s="64" t="n">
        <v>0.759027777777778</v>
      </c>
      <c r="G6" s="65" t="str">
        <f aca="false" t="array" ref="G6:G6">_xlfn.XLOOKUP(A6&amp;"|"&amp;B6,ShiftRoster[Employee ID]&amp;"|"&amp;ShiftRoster[Date],ShiftRoster[Shift Code],_xlfn.XLOOKUP(A6,TRIM(SUBSTITUTE('worker file'!$A$2:$A$406,_xlfn.UNICHAR(160)," ")),'worker file'!$X$2:$X$406,"?"),0,-1)</f>
        <v>SWNG</v>
      </c>
      <c r="H6" s="65" t="str">
        <f aca="false">_xlfn.XLOOKUP(G6,ShiftCodes[Code],ShiftCodes[Work Schedule],"Unknown")</f>
        <v>Shift B – Swing (Mon–Fri 14:00–22:30)</v>
      </c>
      <c r="I6" s="66" t="n">
        <f aca="false">_xlfn.XLOOKUP(G6,ShiftCodes[Code],ShiftCodes[Start],"")</f>
        <v>0.583333333333333</v>
      </c>
      <c r="J6" s="67" t="n">
        <f aca="false">IF(OR(C6="",I6=""),"",ROUND((MOD(C6-I6+0.5,1)-0.5)*1440,0))</f>
        <v>0</v>
      </c>
      <c r="K6" s="65" t="str">
        <f aca="false">IF(J6="","",IF(ABS(J6)&gt;$U$3,"Off-schedule","OK"))</f>
        <v>OK</v>
      </c>
      <c r="L6" s="68"/>
      <c r="M6" s="5" t="str">
        <f aca="false">TEXT(B6,"ddd")</f>
        <v>Fri</v>
      </c>
      <c r="N6" s="69" t="n">
        <f aca="false">IF(OR(C6="",D6=""),"",ROUND((MOD(D6-C6,1)-IF(ISNUMBER(E6),MOD(F6-E6,1),0))*24,2))</f>
        <v>7.92</v>
      </c>
      <c r="O6" s="5" t="s">
        <v>768</v>
      </c>
      <c r="P6" s="6" t="n">
        <v>46304</v>
      </c>
      <c r="Q6" s="5" t="str">
        <f aca="false">IF(B6&lt;$U$1,"Prior period",IF(B6&gt;$U$2,"Future period","Current period"))</f>
        <v>Current period</v>
      </c>
      <c r="R6" s="5" t="str">
        <f aca="false" t="array" ref="R6:R6">_xlfn.XLOOKUP(A6,TRIM(SUBSTITUTE('worker file'!$A$2:$A$406,_xlfn.UNICHAR(160)," ")),'worker file'!$D$2:$D$406,"Not found")</f>
        <v>TX</v>
      </c>
    </row>
    <row r="7" customFormat="false" ht="15" hidden="false" customHeight="false" outlineLevel="0" collapsed="false">
      <c r="A7" s="5" t="s">
        <v>120</v>
      </c>
      <c r="B7" s="6" t="n">
        <v>46307</v>
      </c>
      <c r="C7" s="62" t="n">
        <v>0.584027777777778</v>
      </c>
      <c r="D7" s="62" t="n">
        <v>0.935416666666667</v>
      </c>
      <c r="E7" s="63" t="n">
        <v>0.761111111111111</v>
      </c>
      <c r="F7" s="64" t="n">
        <v>0.781944444444444</v>
      </c>
      <c r="G7" s="65" t="str">
        <f aca="false" t="array" ref="G7:G7">_xlfn.XLOOKUP(A7&amp;"|"&amp;B7,ShiftRoster[Employee ID]&amp;"|"&amp;ShiftRoster[Date],ShiftRoster[Shift Code],_xlfn.XLOOKUP(A7,TRIM(SUBSTITUTE('worker file'!$A$2:$A$406,_xlfn.UNICHAR(160)," ")),'worker file'!$X$2:$X$406,"?"),0,-1)</f>
        <v>SWNG</v>
      </c>
      <c r="H7" s="65" t="str">
        <f aca="false">_xlfn.XLOOKUP(G7,ShiftCodes[Code],ShiftCodes[Work Schedule],"Unknown")</f>
        <v>Shift B – Swing (Mon–Fri 14:00–22:30)</v>
      </c>
      <c r="I7" s="66" t="n">
        <f aca="false">_xlfn.XLOOKUP(G7,ShiftCodes[Code],ShiftCodes[Start],"")</f>
        <v>0.583333333333333</v>
      </c>
      <c r="J7" s="67" t="n">
        <f aca="false">IF(OR(C7="",I7=""),"",ROUND((MOD(C7-I7+0.5,1)-0.5)*1440,0))</f>
        <v>1</v>
      </c>
      <c r="K7" s="65" t="str">
        <f aca="false">IF(J7="","",IF(ABS(J7)&gt;$U$3,"Off-schedule","OK"))</f>
        <v>OK</v>
      </c>
      <c r="L7" s="68"/>
      <c r="M7" s="5" t="str">
        <f aca="false">TEXT(B7,"ddd")</f>
        <v>Mon</v>
      </c>
      <c r="N7" s="69" t="n">
        <f aca="false">IF(OR(C7="",D7=""),"",ROUND((MOD(D7-C7,1)-IF(ISNUMBER(E7),MOD(F7-E7,1),0))*24,2))</f>
        <v>7.93</v>
      </c>
      <c r="O7" s="5" t="s">
        <v>768</v>
      </c>
      <c r="P7" s="6" t="n">
        <v>46307</v>
      </c>
      <c r="Q7" s="5" t="str">
        <f aca="false">IF(B7&lt;$U$1,"Prior period",IF(B7&gt;$U$2,"Future period","Current period"))</f>
        <v>Current period</v>
      </c>
      <c r="R7" s="5" t="str">
        <f aca="false" t="array" ref="R7:R7">_xlfn.XLOOKUP(A7,TRIM(SUBSTITUTE('worker file'!$A$2:$A$406,_xlfn.UNICHAR(160)," ")),'worker file'!$D$2:$D$406,"Not found")</f>
        <v>TX</v>
      </c>
    </row>
    <row r="8" customFormat="false" ht="15" hidden="false" customHeight="false" outlineLevel="0" collapsed="false">
      <c r="A8" s="5" t="s">
        <v>120</v>
      </c>
      <c r="B8" s="6" t="n">
        <v>46308</v>
      </c>
      <c r="C8" s="62" t="n">
        <v>0.581944444444445</v>
      </c>
      <c r="D8" s="62" t="n">
        <v>0.934722222222222</v>
      </c>
      <c r="E8" s="63" t="n">
        <v>0.738888888888889</v>
      </c>
      <c r="F8" s="64" t="n">
        <v>0.759722222222222</v>
      </c>
      <c r="G8" s="65" t="str">
        <f aca="false" t="array" ref="G8:G8">_xlfn.XLOOKUP(A8&amp;"|"&amp;B8,ShiftRoster[Employee ID]&amp;"|"&amp;ShiftRoster[Date],ShiftRoster[Shift Code],_xlfn.XLOOKUP(A8,TRIM(SUBSTITUTE('worker file'!$A$2:$A$406,_xlfn.UNICHAR(160)," ")),'worker file'!$X$2:$X$406,"?"),0,-1)</f>
        <v>SWNG</v>
      </c>
      <c r="H8" s="65" t="str">
        <f aca="false">_xlfn.XLOOKUP(G8,ShiftCodes[Code],ShiftCodes[Work Schedule],"Unknown")</f>
        <v>Shift B – Swing (Mon–Fri 14:00–22:30)</v>
      </c>
      <c r="I8" s="66" t="n">
        <f aca="false">_xlfn.XLOOKUP(G8,ShiftCodes[Code],ShiftCodes[Start],"")</f>
        <v>0.583333333333333</v>
      </c>
      <c r="J8" s="67" t="n">
        <f aca="false">IF(OR(C8="",I8=""),"",ROUND((MOD(C8-I8+0.5,1)-0.5)*1440,0))</f>
        <v>-2</v>
      </c>
      <c r="K8" s="65" t="str">
        <f aca="false">IF(J8="","",IF(ABS(J8)&gt;$U$3,"Off-schedule","OK"))</f>
        <v>OK</v>
      </c>
      <c r="L8" s="68"/>
      <c r="M8" s="5" t="str">
        <f aca="false">TEXT(B8,"ddd")</f>
        <v>Tue</v>
      </c>
      <c r="N8" s="69" t="n">
        <f aca="false">IF(OR(C8="",D8=""),"",ROUND((MOD(D8-C8,1)-IF(ISNUMBER(E8),MOD(F8-E8,1),0))*24,2))</f>
        <v>7.97</v>
      </c>
      <c r="O8" s="5" t="s">
        <v>768</v>
      </c>
      <c r="P8" s="6" t="n">
        <v>46308</v>
      </c>
      <c r="Q8" s="5" t="str">
        <f aca="false">IF(B8&lt;$U$1,"Prior period",IF(B8&gt;$U$2,"Future period","Current period"))</f>
        <v>Current period</v>
      </c>
      <c r="R8" s="5" t="str">
        <f aca="false" t="array" ref="R8:R8">_xlfn.XLOOKUP(A8,TRIM(SUBSTITUTE('worker file'!$A$2:$A$406,_xlfn.UNICHAR(160)," ")),'worker file'!$D$2:$D$406,"Not found")</f>
        <v>TX</v>
      </c>
    </row>
    <row r="9" customFormat="false" ht="15" hidden="false" customHeight="false" outlineLevel="0" collapsed="false">
      <c r="A9" s="5" t="s">
        <v>120</v>
      </c>
      <c r="B9" s="6" t="n">
        <v>46309</v>
      </c>
      <c r="C9" s="62" t="n">
        <v>0.583333333333333</v>
      </c>
      <c r="D9" s="62" t="n">
        <v>0.933333333333333</v>
      </c>
      <c r="E9" s="63" t="n">
        <v>0.751388888888889</v>
      </c>
      <c r="F9" s="64" t="n">
        <v>0.772222222222222</v>
      </c>
      <c r="G9" s="65" t="str">
        <f aca="false" t="array" ref="G9:G9">_xlfn.XLOOKUP(A9&amp;"|"&amp;B9,ShiftRoster[Employee ID]&amp;"|"&amp;ShiftRoster[Date],ShiftRoster[Shift Code],_xlfn.XLOOKUP(A9,TRIM(SUBSTITUTE('worker file'!$A$2:$A$406,_xlfn.UNICHAR(160)," ")),'worker file'!$X$2:$X$406,"?"),0,-1)</f>
        <v>SWNG</v>
      </c>
      <c r="H9" s="65" t="str">
        <f aca="false">_xlfn.XLOOKUP(G9,ShiftCodes[Code],ShiftCodes[Work Schedule],"Unknown")</f>
        <v>Shift B – Swing (Mon–Fri 14:00–22:30)</v>
      </c>
      <c r="I9" s="66" t="n">
        <f aca="false">_xlfn.XLOOKUP(G9,ShiftCodes[Code],ShiftCodes[Start],"")</f>
        <v>0.583333333333333</v>
      </c>
      <c r="J9" s="67" t="n">
        <f aca="false">IF(OR(C9="",I9=""),"",ROUND((MOD(C9-I9+0.5,1)-0.5)*1440,0))</f>
        <v>0</v>
      </c>
      <c r="K9" s="65" t="str">
        <f aca="false">IF(J9="","",IF(ABS(J9)&gt;$U$3,"Off-schedule","OK"))</f>
        <v>OK</v>
      </c>
      <c r="L9" s="68"/>
      <c r="M9" s="5" t="str">
        <f aca="false">TEXT(B9,"ddd")</f>
        <v>Wed</v>
      </c>
      <c r="N9" s="69" t="n">
        <f aca="false">IF(OR(C9="",D9=""),"",ROUND((MOD(D9-C9,1)-IF(ISNUMBER(E9),MOD(F9-E9,1),0))*24,2))</f>
        <v>7.9</v>
      </c>
      <c r="O9" s="5" t="s">
        <v>768</v>
      </c>
      <c r="P9" s="6" t="n">
        <v>46309</v>
      </c>
      <c r="Q9" s="5" t="str">
        <f aca="false">IF(B9&lt;$U$1,"Prior period",IF(B9&gt;$U$2,"Future period","Current period"))</f>
        <v>Current period</v>
      </c>
      <c r="R9" s="5" t="str">
        <f aca="false" t="array" ref="R9:R9">_xlfn.XLOOKUP(A9,TRIM(SUBSTITUTE('worker file'!$A$2:$A$406,_xlfn.UNICHAR(160)," ")),'worker file'!$D$2:$D$406,"Not found")</f>
        <v>TX</v>
      </c>
    </row>
    <row r="10" customFormat="false" ht="15" hidden="false" customHeight="false" outlineLevel="0" collapsed="false">
      <c r="A10" s="5" t="s">
        <v>120</v>
      </c>
      <c r="B10" s="6" t="n">
        <v>46310</v>
      </c>
      <c r="C10" s="62" t="n">
        <v>0.580555555555556</v>
      </c>
      <c r="D10" s="62" t="n">
        <v>0.934027777777778</v>
      </c>
      <c r="E10" s="63" t="n">
        <v>0.742361111111111</v>
      </c>
      <c r="F10" s="64" t="n">
        <v>0.763194444444444</v>
      </c>
      <c r="G10" s="65" t="str">
        <f aca="false" t="array" ref="G10:G10">_xlfn.XLOOKUP(A10&amp;"|"&amp;B10,ShiftRoster[Employee ID]&amp;"|"&amp;ShiftRoster[Date],ShiftRoster[Shift Code],_xlfn.XLOOKUP(A10,TRIM(SUBSTITUTE('worker file'!$A$2:$A$406,_xlfn.UNICHAR(160)," ")),'worker file'!$X$2:$X$406,"?"),0,-1)</f>
        <v>SWNG</v>
      </c>
      <c r="H10" s="65" t="str">
        <f aca="false">_xlfn.XLOOKUP(G10,ShiftCodes[Code],ShiftCodes[Work Schedule],"Unknown")</f>
        <v>Shift B – Swing (Mon–Fri 14:00–22:30)</v>
      </c>
      <c r="I10" s="66" t="n">
        <f aca="false">_xlfn.XLOOKUP(G10,ShiftCodes[Code],ShiftCodes[Start],"")</f>
        <v>0.583333333333333</v>
      </c>
      <c r="J10" s="67" t="n">
        <f aca="false">IF(OR(C10="",I10=""),"",ROUND((MOD(C10-I10+0.5,1)-0.5)*1440,0))</f>
        <v>-4</v>
      </c>
      <c r="K10" s="65" t="str">
        <f aca="false">IF(J10="","",IF(ABS(J10)&gt;$U$3,"Off-schedule","OK"))</f>
        <v>OK</v>
      </c>
      <c r="L10" s="68"/>
      <c r="M10" s="5" t="str">
        <f aca="false">TEXT(B10,"ddd")</f>
        <v>Thu</v>
      </c>
      <c r="N10" s="69" t="n">
        <f aca="false">IF(OR(C10="",D10=""),"",ROUND((MOD(D10-C10,1)-IF(ISNUMBER(E10),MOD(F10-E10,1),0))*24,2))</f>
        <v>7.98</v>
      </c>
      <c r="O10" s="5" t="s">
        <v>768</v>
      </c>
      <c r="P10" s="6" t="n">
        <v>46310</v>
      </c>
      <c r="Q10" s="5" t="str">
        <f aca="false">IF(B10&lt;$U$1,"Prior period",IF(B10&gt;$U$2,"Future period","Current period"))</f>
        <v>Current period</v>
      </c>
      <c r="R10" s="5" t="str">
        <f aca="false" t="array" ref="R10:R10">_xlfn.XLOOKUP(A10,TRIM(SUBSTITUTE('worker file'!$A$2:$A$406,_xlfn.UNICHAR(160)," ")),'worker file'!$D$2:$D$406,"Not found")</f>
        <v>TX</v>
      </c>
    </row>
    <row r="11" customFormat="false" ht="15" hidden="false" customHeight="false" outlineLevel="0" collapsed="false">
      <c r="A11" s="5" t="s">
        <v>120</v>
      </c>
      <c r="B11" s="6" t="n">
        <v>46311</v>
      </c>
      <c r="C11" s="62" t="n">
        <v>0.584027777777778</v>
      </c>
      <c r="D11" s="62" t="n">
        <v>0.934722222222222</v>
      </c>
      <c r="E11" s="63" t="n">
        <v>0.734722222222222</v>
      </c>
      <c r="F11" s="64" t="n">
        <v>0.755555555555556</v>
      </c>
      <c r="G11" s="65" t="str">
        <f aca="false" t="array" ref="G11:G11">_xlfn.XLOOKUP(A11&amp;"|"&amp;B11,ShiftRoster[Employee ID]&amp;"|"&amp;ShiftRoster[Date],ShiftRoster[Shift Code],_xlfn.XLOOKUP(A11,TRIM(SUBSTITUTE('worker file'!$A$2:$A$406,_xlfn.UNICHAR(160)," ")),'worker file'!$X$2:$X$406,"?"),0,-1)</f>
        <v>SWNG</v>
      </c>
      <c r="H11" s="65" t="str">
        <f aca="false">_xlfn.XLOOKUP(G11,ShiftCodes[Code],ShiftCodes[Work Schedule],"Unknown")</f>
        <v>Shift B – Swing (Mon–Fri 14:00–22:30)</v>
      </c>
      <c r="I11" s="66" t="n">
        <f aca="false">_xlfn.XLOOKUP(G11,ShiftCodes[Code],ShiftCodes[Start],"")</f>
        <v>0.583333333333333</v>
      </c>
      <c r="J11" s="67" t="n">
        <f aca="false">IF(OR(C11="",I11=""),"",ROUND((MOD(C11-I11+0.5,1)-0.5)*1440,0))</f>
        <v>1</v>
      </c>
      <c r="K11" s="65" t="str">
        <f aca="false">IF(J11="","",IF(ABS(J11)&gt;$U$3,"Off-schedule","OK"))</f>
        <v>OK</v>
      </c>
      <c r="L11" s="68"/>
      <c r="M11" s="5" t="str">
        <f aca="false">TEXT(B11,"ddd")</f>
        <v>Fri</v>
      </c>
      <c r="N11" s="69" t="n">
        <f aca="false">IF(OR(C11="",D11=""),"",ROUND((MOD(D11-C11,1)-IF(ISNUMBER(E11),MOD(F11-E11,1),0))*24,2))</f>
        <v>7.92</v>
      </c>
      <c r="O11" s="5" t="s">
        <v>768</v>
      </c>
      <c r="P11" s="6" t="n">
        <v>46311</v>
      </c>
      <c r="Q11" s="5" t="str">
        <f aca="false">IF(B11&lt;$U$1,"Prior period",IF(B11&gt;$U$2,"Future period","Current period"))</f>
        <v>Current period</v>
      </c>
      <c r="R11" s="5" t="str">
        <f aca="false" t="array" ref="R11:R11">_xlfn.XLOOKUP(A11,TRIM(SUBSTITUTE('worker file'!$A$2:$A$406,_xlfn.UNICHAR(160)," ")),'worker file'!$D$2:$D$406,"Not found")</f>
        <v>TX</v>
      </c>
    </row>
    <row r="12" customFormat="false" ht="15" hidden="false" customHeight="false" outlineLevel="0" collapsed="false">
      <c r="A12" s="5" t="s">
        <v>120</v>
      </c>
      <c r="B12" s="6" t="n">
        <v>46312</v>
      </c>
      <c r="C12" s="62" t="n">
        <v>0.58125</v>
      </c>
      <c r="D12" s="62" t="n">
        <v>0.930555555555556</v>
      </c>
      <c r="E12" s="63" t="n">
        <v>0.764583333333333</v>
      </c>
      <c r="F12" s="64" t="n">
        <v>0.785416666666667</v>
      </c>
      <c r="G12" s="65" t="str">
        <f aca="false" t="array" ref="G12:G12">_xlfn.XLOOKUP(A12&amp;"|"&amp;B12,ShiftRoster[Employee ID]&amp;"|"&amp;ShiftRoster[Date],ShiftRoster[Shift Code],_xlfn.XLOOKUP(A12,TRIM(SUBSTITUTE('worker file'!$A$2:$A$406,_xlfn.UNICHAR(160)," ")),'worker file'!$X$2:$X$406,"?"),0,-1)</f>
        <v>SWNG</v>
      </c>
      <c r="H12" s="65" t="str">
        <f aca="false">_xlfn.XLOOKUP(G12,ShiftCodes[Code],ShiftCodes[Work Schedule],"Unknown")</f>
        <v>Shift B – Swing (Mon–Fri 14:00–22:30)</v>
      </c>
      <c r="I12" s="66" t="n">
        <f aca="false">_xlfn.XLOOKUP(G12,ShiftCodes[Code],ShiftCodes[Start],"")</f>
        <v>0.583333333333333</v>
      </c>
      <c r="J12" s="67" t="n">
        <f aca="false">IF(OR(C12="",I12=""),"",ROUND((MOD(C12-I12+0.5,1)-0.5)*1440,0))</f>
        <v>-3</v>
      </c>
      <c r="K12" s="65" t="str">
        <f aca="false">IF(J12="","",IF(ABS(J12)&gt;$U$3,"Off-schedule","OK"))</f>
        <v>OK</v>
      </c>
      <c r="L12" s="68" t="s">
        <v>770</v>
      </c>
      <c r="M12" s="5" t="str">
        <f aca="false">TEXT(B12,"ddd")</f>
        <v>Sat</v>
      </c>
      <c r="N12" s="69" t="n">
        <f aca="false">IF(OR(C12="",D12=""),"",ROUND((MOD(D12-C12,1)-IF(ISNUMBER(E12),MOD(F12-E12,1),0))*24,2))</f>
        <v>7.88</v>
      </c>
      <c r="O12" s="5" t="s">
        <v>768</v>
      </c>
      <c r="P12" s="6" t="n">
        <v>46312</v>
      </c>
      <c r="Q12" s="5" t="str">
        <f aca="false">IF(B12&lt;$U$1,"Prior period",IF(B12&gt;$U$2,"Future period","Current period"))</f>
        <v>Current period</v>
      </c>
      <c r="R12" s="5" t="str">
        <f aca="false" t="array" ref="R12:R12">_xlfn.XLOOKUP(A12,TRIM(SUBSTITUTE('worker file'!$A$2:$A$406,_xlfn.UNICHAR(160)," ")),'worker file'!$D$2:$D$406,"Not found")</f>
        <v>TX</v>
      </c>
    </row>
    <row r="13" customFormat="false" ht="15" hidden="false" customHeight="false" outlineLevel="0" collapsed="false">
      <c r="A13" s="5" t="s">
        <v>129</v>
      </c>
      <c r="B13" s="6" t="n">
        <v>46299</v>
      </c>
      <c r="C13" s="62" t="n">
        <v>0.246527777777778</v>
      </c>
      <c r="D13" s="62" t="n">
        <v>0.596527777777778</v>
      </c>
      <c r="E13" s="63" t="n">
        <v>0.402777777777778</v>
      </c>
      <c r="F13" s="64" t="n">
        <v>0.423611111111111</v>
      </c>
      <c r="G13" s="65" t="str">
        <f aca="false" t="array" ref="G13:G13">_xlfn.XLOOKUP(A13&amp;"|"&amp;B13,ShiftRoster[Employee ID]&amp;"|"&amp;ShiftRoster[Date],ShiftRoster[Shift Code],_xlfn.XLOOKUP(A13,TRIM(SUBSTITUTE('worker file'!$A$2:$A$406,_xlfn.UNICHAR(160)," ")),'worker file'!$X$2:$X$406,"?"),0,-1)</f>
        <v>DAY</v>
      </c>
      <c r="H13" s="65" t="str">
        <f aca="false">_xlfn.XLOOKUP(G13,ShiftCodes[Code],ShiftCodes[Work Schedule],"Unknown")</f>
        <v>Shift A – Day (Mon–Fri 06:00–14:30)</v>
      </c>
      <c r="I13" s="66" t="n">
        <f aca="false">_xlfn.XLOOKUP(G13,ShiftCodes[Code],ShiftCodes[Start],"")</f>
        <v>0.25</v>
      </c>
      <c r="J13" s="67" t="n">
        <f aca="false">IF(OR(C13="",I13=""),"",ROUND((MOD(C13-I13+0.5,1)-0.5)*1440,0))</f>
        <v>-5</v>
      </c>
      <c r="K13" s="65" t="str">
        <f aca="false">IF(J13="","",IF(ABS(J13)&gt;$U$3,"Off-schedule","OK"))</f>
        <v>OK</v>
      </c>
      <c r="L13" s="68" t="s">
        <v>771</v>
      </c>
      <c r="M13" s="5" t="str">
        <f aca="false">TEXT(B13,"ddd")</f>
        <v>Sun</v>
      </c>
      <c r="N13" s="69" t="n">
        <f aca="false">IF(OR(C13="",D13=""),"",ROUND((MOD(D13-C13,1)-IF(ISNUMBER(E13),MOD(F13-E13,1),0))*24,2))</f>
        <v>7.9</v>
      </c>
      <c r="O13" s="5" t="s">
        <v>768</v>
      </c>
      <c r="P13" s="6" t="n">
        <v>46299</v>
      </c>
      <c r="Q13" s="5" t="str">
        <f aca="false">IF(B13&lt;$U$1,"Prior period",IF(B13&gt;$U$2,"Future period","Current period"))</f>
        <v>Current period</v>
      </c>
      <c r="R13" s="5" t="str">
        <f aca="false" t="array" ref="R13:R13">_xlfn.XLOOKUP(A13,TRIM(SUBSTITUTE('worker file'!$A$2:$A$406,_xlfn.UNICHAR(160)," ")),'worker file'!$D$2:$D$406,"Not found")</f>
        <v>CA</v>
      </c>
    </row>
    <row r="14" customFormat="false" ht="15" hidden="false" customHeight="false" outlineLevel="0" collapsed="false">
      <c r="A14" s="5" t="s">
        <v>129</v>
      </c>
      <c r="B14" s="6" t="n">
        <v>46300</v>
      </c>
      <c r="C14" s="62" t="n">
        <v>0.247916666666667</v>
      </c>
      <c r="D14" s="62" t="n">
        <v>0.602083333333333</v>
      </c>
      <c r="E14" s="63" t="n">
        <v>0.432638888888889</v>
      </c>
      <c r="F14" s="64" t="n">
        <v>0.453472222222222</v>
      </c>
      <c r="G14" s="65" t="str">
        <f aca="false" t="array" ref="G14:G14">_xlfn.XLOOKUP(A14&amp;"|"&amp;B14,ShiftRoster[Employee ID]&amp;"|"&amp;ShiftRoster[Date],ShiftRoster[Shift Code],_xlfn.XLOOKUP(A14,TRIM(SUBSTITUTE('worker file'!$A$2:$A$406,_xlfn.UNICHAR(160)," ")),'worker file'!$X$2:$X$406,"?"),0,-1)</f>
        <v>DAY</v>
      </c>
      <c r="H14" s="65" t="str">
        <f aca="false">_xlfn.XLOOKUP(G14,ShiftCodes[Code],ShiftCodes[Work Schedule],"Unknown")</f>
        <v>Shift A – Day (Mon–Fri 06:00–14:30)</v>
      </c>
      <c r="I14" s="66" t="n">
        <f aca="false">_xlfn.XLOOKUP(G14,ShiftCodes[Code],ShiftCodes[Start],"")</f>
        <v>0.25</v>
      </c>
      <c r="J14" s="67" t="n">
        <f aca="false">IF(OR(C14="",I14=""),"",ROUND((MOD(C14-I14+0.5,1)-0.5)*1440,0))</f>
        <v>-3</v>
      </c>
      <c r="K14" s="65" t="str">
        <f aca="false">IF(J14="","",IF(ABS(J14)&gt;$U$3,"Off-schedule","OK"))</f>
        <v>OK</v>
      </c>
      <c r="L14" s="68"/>
      <c r="M14" s="5" t="str">
        <f aca="false">TEXT(B14,"ddd")</f>
        <v>Mon</v>
      </c>
      <c r="N14" s="69" t="n">
        <f aca="false">IF(OR(C14="",D14=""),"",ROUND((MOD(D14-C14,1)-IF(ISNUMBER(E14),MOD(F14-E14,1),0))*24,2))</f>
        <v>8</v>
      </c>
      <c r="O14" s="5" t="s">
        <v>768</v>
      </c>
      <c r="P14" s="6" t="n">
        <v>46300</v>
      </c>
      <c r="Q14" s="5" t="str">
        <f aca="false">IF(B14&lt;$U$1,"Prior period",IF(B14&gt;$U$2,"Future period","Current period"))</f>
        <v>Current period</v>
      </c>
      <c r="R14" s="5" t="str">
        <f aca="false" t="array" ref="R14:R14">_xlfn.XLOOKUP(A14,TRIM(SUBSTITUTE('worker file'!$A$2:$A$406,_xlfn.UNICHAR(160)," ")),'worker file'!$D$2:$D$406,"Not found")</f>
        <v>CA</v>
      </c>
    </row>
    <row r="15" customFormat="false" ht="15" hidden="false" customHeight="false" outlineLevel="0" collapsed="false">
      <c r="A15" s="5" t="s">
        <v>129</v>
      </c>
      <c r="B15" s="6" t="n">
        <v>46301</v>
      </c>
      <c r="C15" s="62" t="n">
        <v>0.252777777777778</v>
      </c>
      <c r="D15" s="62" t="n">
        <v>0.605555555555556</v>
      </c>
      <c r="E15" s="63" t="n">
        <v>0.41875</v>
      </c>
      <c r="F15" s="64" t="n">
        <v>0.439583333333333</v>
      </c>
      <c r="G15" s="65" t="str">
        <f aca="false" t="array" ref="G15:G15">_xlfn.XLOOKUP(A15&amp;"|"&amp;B15,ShiftRoster[Employee ID]&amp;"|"&amp;ShiftRoster[Date],ShiftRoster[Shift Code],_xlfn.XLOOKUP(A15,TRIM(SUBSTITUTE('worker file'!$A$2:$A$406,_xlfn.UNICHAR(160)," ")),'worker file'!$X$2:$X$406,"?"),0,-1)</f>
        <v>DAY</v>
      </c>
      <c r="H15" s="65" t="str">
        <f aca="false">_xlfn.XLOOKUP(G15,ShiftCodes[Code],ShiftCodes[Work Schedule],"Unknown")</f>
        <v>Shift A – Day (Mon–Fri 06:00–14:30)</v>
      </c>
      <c r="I15" s="66" t="n">
        <f aca="false">_xlfn.XLOOKUP(G15,ShiftCodes[Code],ShiftCodes[Start],"")</f>
        <v>0.25</v>
      </c>
      <c r="J15" s="67" t="n">
        <f aca="false">IF(OR(C15="",I15=""),"",ROUND((MOD(C15-I15+0.5,1)-0.5)*1440,0))</f>
        <v>4</v>
      </c>
      <c r="K15" s="65" t="str">
        <f aca="false">IF(J15="","",IF(ABS(J15)&gt;$U$3,"Off-schedule","OK"))</f>
        <v>OK</v>
      </c>
      <c r="L15" s="68"/>
      <c r="M15" s="5" t="str">
        <f aca="false">TEXT(B15,"ddd")</f>
        <v>Tue</v>
      </c>
      <c r="N15" s="69" t="n">
        <f aca="false">IF(OR(C15="",D15=""),"",ROUND((MOD(D15-C15,1)-IF(ISNUMBER(E15),MOD(F15-E15,1),0))*24,2))</f>
        <v>7.97</v>
      </c>
      <c r="O15" s="5" t="s">
        <v>768</v>
      </c>
      <c r="P15" s="6" t="n">
        <v>46301</v>
      </c>
      <c r="Q15" s="5" t="str">
        <f aca="false">IF(B15&lt;$U$1,"Prior period",IF(B15&gt;$U$2,"Future period","Current period"))</f>
        <v>Current period</v>
      </c>
      <c r="R15" s="5" t="str">
        <f aca="false" t="array" ref="R15:R15">_xlfn.XLOOKUP(A15,TRIM(SUBSTITUTE('worker file'!$A$2:$A$406,_xlfn.UNICHAR(160)," ")),'worker file'!$D$2:$D$406,"Not found")</f>
        <v>CA</v>
      </c>
    </row>
    <row r="16" customFormat="false" ht="15" hidden="false" customHeight="false" outlineLevel="0" collapsed="false">
      <c r="A16" s="5" t="s">
        <v>129</v>
      </c>
      <c r="B16" s="6" t="n">
        <v>46302</v>
      </c>
      <c r="C16" s="62" t="n">
        <v>0.247222222222222</v>
      </c>
      <c r="D16" s="62" t="n">
        <v>0.598611111111111</v>
      </c>
      <c r="E16" s="63" t="n">
        <v>0.43125</v>
      </c>
      <c r="F16" s="64" t="n">
        <v>0.452083333333333</v>
      </c>
      <c r="G16" s="65" t="str">
        <f aca="false" t="array" ref="G16:G16">_xlfn.XLOOKUP(A16&amp;"|"&amp;B16,ShiftRoster[Employee ID]&amp;"|"&amp;ShiftRoster[Date],ShiftRoster[Shift Code],_xlfn.XLOOKUP(A16,TRIM(SUBSTITUTE('worker file'!$A$2:$A$406,_xlfn.UNICHAR(160)," ")),'worker file'!$X$2:$X$406,"?"),0,-1)</f>
        <v>DAY</v>
      </c>
      <c r="H16" s="65" t="str">
        <f aca="false">_xlfn.XLOOKUP(G16,ShiftCodes[Code],ShiftCodes[Work Schedule],"Unknown")</f>
        <v>Shift A – Day (Mon–Fri 06:00–14:30)</v>
      </c>
      <c r="I16" s="66" t="n">
        <f aca="false">_xlfn.XLOOKUP(G16,ShiftCodes[Code],ShiftCodes[Start],"")</f>
        <v>0.25</v>
      </c>
      <c r="J16" s="67" t="n">
        <f aca="false">IF(OR(C16="",I16=""),"",ROUND((MOD(C16-I16+0.5,1)-0.5)*1440,0))</f>
        <v>-4</v>
      </c>
      <c r="K16" s="65" t="str">
        <f aca="false">IF(J16="","",IF(ABS(J16)&gt;$U$3,"Off-schedule","OK"))</f>
        <v>OK</v>
      </c>
      <c r="L16" s="68"/>
      <c r="M16" s="5" t="str">
        <f aca="false">TEXT(B16,"ddd")</f>
        <v>Wed</v>
      </c>
      <c r="N16" s="69" t="n">
        <f aca="false">IF(OR(C16="",D16=""),"",ROUND((MOD(D16-C16,1)-IF(ISNUMBER(E16),MOD(F16-E16,1),0))*24,2))</f>
        <v>7.93</v>
      </c>
      <c r="O16" s="5" t="s">
        <v>768</v>
      </c>
      <c r="P16" s="6" t="n">
        <v>46302</v>
      </c>
      <c r="Q16" s="5" t="str">
        <f aca="false">IF(B16&lt;$U$1,"Prior period",IF(B16&gt;$U$2,"Future period","Current period"))</f>
        <v>Current period</v>
      </c>
      <c r="R16" s="5" t="str">
        <f aca="false" t="array" ref="R16:R16">_xlfn.XLOOKUP(A16,TRIM(SUBSTITUTE('worker file'!$A$2:$A$406,_xlfn.UNICHAR(160)," ")),'worker file'!$D$2:$D$406,"Not found")</f>
        <v>CA</v>
      </c>
    </row>
    <row r="17" customFormat="false" ht="15" hidden="false" customHeight="false" outlineLevel="0" collapsed="false">
      <c r="A17" s="5" t="s">
        <v>129</v>
      </c>
      <c r="B17" s="6" t="n">
        <v>46303</v>
      </c>
      <c r="C17" s="62" t="n">
        <v>0.251388888888889</v>
      </c>
      <c r="D17" s="62" t="n">
        <v>0.604166666666667</v>
      </c>
      <c r="E17" s="63" t="n">
        <v>0.409027777777778</v>
      </c>
      <c r="F17" s="64" t="n">
        <v>0.429861111111111</v>
      </c>
      <c r="G17" s="65" t="str">
        <f aca="false" t="array" ref="G17:G17">_xlfn.XLOOKUP(A17&amp;"|"&amp;B17,ShiftRoster[Employee ID]&amp;"|"&amp;ShiftRoster[Date],ShiftRoster[Shift Code],_xlfn.XLOOKUP(A17,TRIM(SUBSTITUTE('worker file'!$A$2:$A$406,_xlfn.UNICHAR(160)," ")),'worker file'!$X$2:$X$406,"?"),0,-1)</f>
        <v>DAY</v>
      </c>
      <c r="H17" s="65" t="str">
        <f aca="false">_xlfn.XLOOKUP(G17,ShiftCodes[Code],ShiftCodes[Work Schedule],"Unknown")</f>
        <v>Shift A – Day (Mon–Fri 06:00–14:30)</v>
      </c>
      <c r="I17" s="66" t="n">
        <f aca="false">_xlfn.XLOOKUP(G17,ShiftCodes[Code],ShiftCodes[Start],"")</f>
        <v>0.25</v>
      </c>
      <c r="J17" s="67" t="n">
        <f aca="false">IF(OR(C17="",I17=""),"",ROUND((MOD(C17-I17+0.5,1)-0.5)*1440,0))</f>
        <v>2</v>
      </c>
      <c r="K17" s="65" t="str">
        <f aca="false">IF(J17="","",IF(ABS(J17)&gt;$U$3,"Off-schedule","OK"))</f>
        <v>OK</v>
      </c>
      <c r="L17" s="68"/>
      <c r="M17" s="5" t="str">
        <f aca="false">TEXT(B17,"ddd")</f>
        <v>Thu</v>
      </c>
      <c r="N17" s="69" t="n">
        <f aca="false">IF(OR(C17="",D17=""),"",ROUND((MOD(D17-C17,1)-IF(ISNUMBER(E17),MOD(F17-E17,1),0))*24,2))</f>
        <v>7.97</v>
      </c>
      <c r="O17" s="5" t="s">
        <v>768</v>
      </c>
      <c r="P17" s="6" t="n">
        <v>46303</v>
      </c>
      <c r="Q17" s="5" t="str">
        <f aca="false">IF(B17&lt;$U$1,"Prior period",IF(B17&gt;$U$2,"Future period","Current period"))</f>
        <v>Current period</v>
      </c>
      <c r="R17" s="5" t="str">
        <f aca="false" t="array" ref="R17:R17">_xlfn.XLOOKUP(A17,TRIM(SUBSTITUTE('worker file'!$A$2:$A$406,_xlfn.UNICHAR(160)," ")),'worker file'!$D$2:$D$406,"Not found")</f>
        <v>CA</v>
      </c>
    </row>
    <row r="18" customFormat="false" ht="15" hidden="false" customHeight="false" outlineLevel="0" collapsed="false">
      <c r="A18" s="5" t="s">
        <v>129</v>
      </c>
      <c r="B18" s="6" t="n">
        <v>46304</v>
      </c>
      <c r="C18" s="62" t="n">
        <v>0.251388888888889</v>
      </c>
      <c r="D18" s="62" t="n">
        <v>0.604861111111111</v>
      </c>
      <c r="E18" s="63" t="n">
        <v>0.429861111111111</v>
      </c>
      <c r="F18" s="64" t="n">
        <v>0.450694444444444</v>
      </c>
      <c r="G18" s="65" t="str">
        <f aca="false" t="array" ref="G18:G18">_xlfn.XLOOKUP(A18&amp;"|"&amp;B18,ShiftRoster[Employee ID]&amp;"|"&amp;ShiftRoster[Date],ShiftRoster[Shift Code],_xlfn.XLOOKUP(A18,TRIM(SUBSTITUTE('worker file'!$A$2:$A$406,_xlfn.UNICHAR(160)," ")),'worker file'!$X$2:$X$406,"?"),0,-1)</f>
        <v>DAY</v>
      </c>
      <c r="H18" s="65" t="str">
        <f aca="false">_xlfn.XLOOKUP(G18,ShiftCodes[Code],ShiftCodes[Work Schedule],"Unknown")</f>
        <v>Shift A – Day (Mon–Fri 06:00–14:30)</v>
      </c>
      <c r="I18" s="66" t="n">
        <f aca="false">_xlfn.XLOOKUP(G18,ShiftCodes[Code],ShiftCodes[Start],"")</f>
        <v>0.25</v>
      </c>
      <c r="J18" s="67" t="n">
        <f aca="false">IF(OR(C18="",I18=""),"",ROUND((MOD(C18-I18+0.5,1)-0.5)*1440,0))</f>
        <v>2</v>
      </c>
      <c r="K18" s="65" t="str">
        <f aca="false">IF(J18="","",IF(ABS(J18)&gt;$U$3,"Off-schedule","OK"))</f>
        <v>OK</v>
      </c>
      <c r="L18" s="68"/>
      <c r="M18" s="5" t="str">
        <f aca="false">TEXT(B18,"ddd")</f>
        <v>Fri</v>
      </c>
      <c r="N18" s="69" t="n">
        <f aca="false">IF(OR(C18="",D18=""),"",ROUND((MOD(D18-C18,1)-IF(ISNUMBER(E18),MOD(F18-E18,1),0))*24,2))</f>
        <v>7.98</v>
      </c>
      <c r="O18" s="5" t="s">
        <v>768</v>
      </c>
      <c r="P18" s="6" t="n">
        <v>46304</v>
      </c>
      <c r="Q18" s="5" t="str">
        <f aca="false">IF(B18&lt;$U$1,"Prior period",IF(B18&gt;$U$2,"Future period","Current period"))</f>
        <v>Current period</v>
      </c>
      <c r="R18" s="5" t="str">
        <f aca="false" t="array" ref="R18:R18">_xlfn.XLOOKUP(A18,TRIM(SUBSTITUTE('worker file'!$A$2:$A$406,_xlfn.UNICHAR(160)," ")),'worker file'!$D$2:$D$406,"Not found")</f>
        <v>CA</v>
      </c>
    </row>
    <row r="19" customFormat="false" ht="15" hidden="false" customHeight="false" outlineLevel="0" collapsed="false">
      <c r="A19" s="5" t="s">
        <v>129</v>
      </c>
      <c r="B19" s="6" t="n">
        <v>46305</v>
      </c>
      <c r="C19" s="62" t="n">
        <v>0.250694444444444</v>
      </c>
      <c r="D19" s="62" t="n">
        <v>0.600694444444444</v>
      </c>
      <c r="E19" s="63" t="n">
        <v>0.411805555555556</v>
      </c>
      <c r="F19" s="64" t="n">
        <v>0.432638888888889</v>
      </c>
      <c r="G19" s="65" t="str">
        <f aca="false" t="array" ref="G19:G19">_xlfn.XLOOKUP(A19&amp;"|"&amp;B19,ShiftRoster[Employee ID]&amp;"|"&amp;ShiftRoster[Date],ShiftRoster[Shift Code],_xlfn.XLOOKUP(A19,TRIM(SUBSTITUTE('worker file'!$A$2:$A$406,_xlfn.UNICHAR(160)," ")),'worker file'!$X$2:$X$406,"?"),0,-1)</f>
        <v>DAY</v>
      </c>
      <c r="H19" s="65" t="str">
        <f aca="false">_xlfn.XLOOKUP(G19,ShiftCodes[Code],ShiftCodes[Work Schedule],"Unknown")</f>
        <v>Shift A – Day (Mon–Fri 06:00–14:30)</v>
      </c>
      <c r="I19" s="66" t="n">
        <f aca="false">_xlfn.XLOOKUP(G19,ShiftCodes[Code],ShiftCodes[Start],"")</f>
        <v>0.25</v>
      </c>
      <c r="J19" s="67" t="n">
        <f aca="false">IF(OR(C19="",I19=""),"",ROUND((MOD(C19-I19+0.5,1)-0.5)*1440,0))</f>
        <v>1</v>
      </c>
      <c r="K19" s="65" t="str">
        <f aca="false">IF(J19="","",IF(ABS(J19)&gt;$U$3,"Off-schedule","OK"))</f>
        <v>OK</v>
      </c>
      <c r="L19" s="68" t="s">
        <v>772</v>
      </c>
      <c r="M19" s="5" t="str">
        <f aca="false">TEXT(B19,"ddd")</f>
        <v>Sat</v>
      </c>
      <c r="N19" s="69" t="n">
        <f aca="false">IF(OR(C19="",D19=""),"",ROUND((MOD(D19-C19,1)-IF(ISNUMBER(E19),MOD(F19-E19,1),0))*24,2))</f>
        <v>7.9</v>
      </c>
      <c r="O19" s="5" t="s">
        <v>768</v>
      </c>
      <c r="P19" s="6" t="n">
        <v>46305</v>
      </c>
      <c r="Q19" s="5" t="str">
        <f aca="false">IF(B19&lt;$U$1,"Prior period",IF(B19&gt;$U$2,"Future period","Current period"))</f>
        <v>Current period</v>
      </c>
      <c r="R19" s="5" t="str">
        <f aca="false" t="array" ref="R19:R19">_xlfn.XLOOKUP(A19,TRIM(SUBSTITUTE('worker file'!$A$2:$A$406,_xlfn.UNICHAR(160)," ")),'worker file'!$D$2:$D$406,"Not found")</f>
        <v>CA</v>
      </c>
    </row>
    <row r="20" customFormat="false" ht="15" hidden="false" customHeight="false" outlineLevel="0" collapsed="false">
      <c r="A20" s="5" t="s">
        <v>129</v>
      </c>
      <c r="B20" s="6" t="n">
        <v>46307</v>
      </c>
      <c r="C20" s="62" t="n">
        <v>0.252777777777778</v>
      </c>
      <c r="D20" s="62" t="n">
        <v>0.602083333333333</v>
      </c>
      <c r="E20" s="63" t="n">
        <v>0.424305555555556</v>
      </c>
      <c r="F20" s="64" t="n">
        <v>0.445138888888889</v>
      </c>
      <c r="G20" s="65" t="str">
        <f aca="false" t="array" ref="G20:G20">_xlfn.XLOOKUP(A20&amp;"|"&amp;B20,ShiftRoster[Employee ID]&amp;"|"&amp;ShiftRoster[Date],ShiftRoster[Shift Code],_xlfn.XLOOKUP(A20,TRIM(SUBSTITUTE('worker file'!$A$2:$A$406,_xlfn.UNICHAR(160)," ")),'worker file'!$X$2:$X$406,"?"),0,-1)</f>
        <v>DAY</v>
      </c>
      <c r="H20" s="65" t="str">
        <f aca="false">_xlfn.XLOOKUP(G20,ShiftCodes[Code],ShiftCodes[Work Schedule],"Unknown")</f>
        <v>Shift A – Day (Mon–Fri 06:00–14:30)</v>
      </c>
      <c r="I20" s="66" t="n">
        <f aca="false">_xlfn.XLOOKUP(G20,ShiftCodes[Code],ShiftCodes[Start],"")</f>
        <v>0.25</v>
      </c>
      <c r="J20" s="67" t="n">
        <f aca="false">IF(OR(C20="",I20=""),"",ROUND((MOD(C20-I20+0.5,1)-0.5)*1440,0))</f>
        <v>4</v>
      </c>
      <c r="K20" s="65" t="str">
        <f aca="false">IF(J20="","",IF(ABS(J20)&gt;$U$3,"Off-schedule","OK"))</f>
        <v>OK</v>
      </c>
      <c r="L20" s="68"/>
      <c r="M20" s="5" t="str">
        <f aca="false">TEXT(B20,"ddd")</f>
        <v>Mon</v>
      </c>
      <c r="N20" s="69" t="n">
        <f aca="false">IF(OR(C20="",D20=""),"",ROUND((MOD(D20-C20,1)-IF(ISNUMBER(E20),MOD(F20-E20,1),0))*24,2))</f>
        <v>7.88</v>
      </c>
      <c r="O20" s="5" t="s">
        <v>768</v>
      </c>
      <c r="P20" s="6" t="n">
        <v>46307</v>
      </c>
      <c r="Q20" s="5" t="str">
        <f aca="false">IF(B20&lt;$U$1,"Prior period",IF(B20&gt;$U$2,"Future period","Current period"))</f>
        <v>Current period</v>
      </c>
      <c r="R20" s="5" t="str">
        <f aca="false" t="array" ref="R20:R20">_xlfn.XLOOKUP(A20,TRIM(SUBSTITUTE('worker file'!$A$2:$A$406,_xlfn.UNICHAR(160)," ")),'worker file'!$D$2:$D$406,"Not found")</f>
        <v>CA</v>
      </c>
    </row>
    <row r="21" customFormat="false" ht="15" hidden="false" customHeight="false" outlineLevel="0" collapsed="false">
      <c r="A21" s="5" t="s">
        <v>129</v>
      </c>
      <c r="B21" s="6" t="n">
        <v>46308</v>
      </c>
      <c r="C21" s="62" t="n">
        <v>0.247916666666667</v>
      </c>
      <c r="D21" s="62" t="n">
        <v>0.597916666666667</v>
      </c>
      <c r="E21" s="63" t="n">
        <v>0.429861111111111</v>
      </c>
      <c r="F21" s="64" t="n">
        <v>0.450694444444444</v>
      </c>
      <c r="G21" s="65" t="str">
        <f aca="false" t="array" ref="G21:G21">_xlfn.XLOOKUP(A21&amp;"|"&amp;B21,ShiftRoster[Employee ID]&amp;"|"&amp;ShiftRoster[Date],ShiftRoster[Shift Code],_xlfn.XLOOKUP(A21,TRIM(SUBSTITUTE('worker file'!$A$2:$A$406,_xlfn.UNICHAR(160)," ")),'worker file'!$X$2:$X$406,"?"),0,-1)</f>
        <v>DAY</v>
      </c>
      <c r="H21" s="65" t="str">
        <f aca="false">_xlfn.XLOOKUP(G21,ShiftCodes[Code],ShiftCodes[Work Schedule],"Unknown")</f>
        <v>Shift A – Day (Mon–Fri 06:00–14:30)</v>
      </c>
      <c r="I21" s="66" t="n">
        <f aca="false">_xlfn.XLOOKUP(G21,ShiftCodes[Code],ShiftCodes[Start],"")</f>
        <v>0.25</v>
      </c>
      <c r="J21" s="67" t="n">
        <f aca="false">IF(OR(C21="",I21=""),"",ROUND((MOD(C21-I21+0.5,1)-0.5)*1440,0))</f>
        <v>-3</v>
      </c>
      <c r="K21" s="65" t="str">
        <f aca="false">IF(J21="","",IF(ABS(J21)&gt;$U$3,"Off-schedule","OK"))</f>
        <v>OK</v>
      </c>
      <c r="L21" s="68"/>
      <c r="M21" s="5" t="str">
        <f aca="false">TEXT(B21,"ddd")</f>
        <v>Tue</v>
      </c>
      <c r="N21" s="69" t="n">
        <f aca="false">IF(OR(C21="",D21=""),"",ROUND((MOD(D21-C21,1)-IF(ISNUMBER(E21),MOD(F21-E21,1),0))*24,2))</f>
        <v>7.9</v>
      </c>
      <c r="O21" s="5" t="s">
        <v>768</v>
      </c>
      <c r="P21" s="6" t="n">
        <v>46308</v>
      </c>
      <c r="Q21" s="5" t="str">
        <f aca="false">IF(B21&lt;$U$1,"Prior period",IF(B21&gt;$U$2,"Future period","Current period"))</f>
        <v>Current period</v>
      </c>
      <c r="R21" s="5" t="str">
        <f aca="false" t="array" ref="R21:R21">_xlfn.XLOOKUP(A21,TRIM(SUBSTITUTE('worker file'!$A$2:$A$406,_xlfn.UNICHAR(160)," ")),'worker file'!$D$2:$D$406,"Not found")</f>
        <v>CA</v>
      </c>
    </row>
    <row r="22" customFormat="false" ht="15" hidden="false" customHeight="false" outlineLevel="0" collapsed="false">
      <c r="A22" s="5" t="s">
        <v>129</v>
      </c>
      <c r="B22" s="6" t="n">
        <v>46309</v>
      </c>
      <c r="C22" s="62" t="n">
        <v>0.248611111111111</v>
      </c>
      <c r="D22" s="62" t="n">
        <v>0.597222222222222</v>
      </c>
      <c r="E22" s="63" t="n">
        <v>0.436111111111111</v>
      </c>
      <c r="F22" s="64" t="n">
        <v>0.456944444444444</v>
      </c>
      <c r="G22" s="65" t="str">
        <f aca="false" t="array" ref="G22:G22">_xlfn.XLOOKUP(A22&amp;"|"&amp;B22,ShiftRoster[Employee ID]&amp;"|"&amp;ShiftRoster[Date],ShiftRoster[Shift Code],_xlfn.XLOOKUP(A22,TRIM(SUBSTITUTE('worker file'!$A$2:$A$406,_xlfn.UNICHAR(160)," ")),'worker file'!$X$2:$X$406,"?"),0,-1)</f>
        <v>DAY</v>
      </c>
      <c r="H22" s="65" t="str">
        <f aca="false">_xlfn.XLOOKUP(G22,ShiftCodes[Code],ShiftCodes[Work Schedule],"Unknown")</f>
        <v>Shift A – Day (Mon–Fri 06:00–14:30)</v>
      </c>
      <c r="I22" s="66" t="n">
        <f aca="false">_xlfn.XLOOKUP(G22,ShiftCodes[Code],ShiftCodes[Start],"")</f>
        <v>0.25</v>
      </c>
      <c r="J22" s="67" t="n">
        <f aca="false">IF(OR(C22="",I22=""),"",ROUND((MOD(C22-I22+0.5,1)-0.5)*1440,0))</f>
        <v>-2</v>
      </c>
      <c r="K22" s="65" t="str">
        <f aca="false">IF(J22="","",IF(ABS(J22)&gt;$U$3,"Off-schedule","OK"))</f>
        <v>OK</v>
      </c>
      <c r="L22" s="68"/>
      <c r="M22" s="5" t="str">
        <f aca="false">TEXT(B22,"ddd")</f>
        <v>Wed</v>
      </c>
      <c r="N22" s="69" t="n">
        <f aca="false">IF(OR(C22="",D22=""),"",ROUND((MOD(D22-C22,1)-IF(ISNUMBER(E22),MOD(F22-E22,1),0))*24,2))</f>
        <v>7.87</v>
      </c>
      <c r="O22" s="5" t="s">
        <v>768</v>
      </c>
      <c r="P22" s="6" t="n">
        <v>46309</v>
      </c>
      <c r="Q22" s="5" t="str">
        <f aca="false">IF(B22&lt;$U$1,"Prior period",IF(B22&gt;$U$2,"Future period","Current period"))</f>
        <v>Current period</v>
      </c>
      <c r="R22" s="5" t="str">
        <f aca="false" t="array" ref="R22:R22">_xlfn.XLOOKUP(A22,TRIM(SUBSTITUTE('worker file'!$A$2:$A$406,_xlfn.UNICHAR(160)," ")),'worker file'!$D$2:$D$406,"Not found")</f>
        <v>CA</v>
      </c>
    </row>
    <row r="23" customFormat="false" ht="15" hidden="false" customHeight="false" outlineLevel="0" collapsed="false">
      <c r="A23" s="5" t="s">
        <v>129</v>
      </c>
      <c r="B23" s="6" t="n">
        <v>46310</v>
      </c>
      <c r="C23" s="62" t="n">
        <v>0.250694444444444</v>
      </c>
      <c r="D23" s="62" t="n">
        <v>0.601388888888889</v>
      </c>
      <c r="E23" s="63" t="n">
        <v>0.402083333333333</v>
      </c>
      <c r="F23" s="64" t="n">
        <v>0.422916666666667</v>
      </c>
      <c r="G23" s="65" t="str">
        <f aca="false" t="array" ref="G23:G23">_xlfn.XLOOKUP(A23&amp;"|"&amp;B23,ShiftRoster[Employee ID]&amp;"|"&amp;ShiftRoster[Date],ShiftRoster[Shift Code],_xlfn.XLOOKUP(A23,TRIM(SUBSTITUTE('worker file'!$A$2:$A$406,_xlfn.UNICHAR(160)," ")),'worker file'!$X$2:$X$406,"?"),0,-1)</f>
        <v>DAY</v>
      </c>
      <c r="H23" s="65" t="str">
        <f aca="false">_xlfn.XLOOKUP(G23,ShiftCodes[Code],ShiftCodes[Work Schedule],"Unknown")</f>
        <v>Shift A – Day (Mon–Fri 06:00–14:30)</v>
      </c>
      <c r="I23" s="66" t="n">
        <f aca="false">_xlfn.XLOOKUP(G23,ShiftCodes[Code],ShiftCodes[Start],"")</f>
        <v>0.25</v>
      </c>
      <c r="J23" s="67" t="n">
        <f aca="false">IF(OR(C23="",I23=""),"",ROUND((MOD(C23-I23+0.5,1)-0.5)*1440,0))</f>
        <v>1</v>
      </c>
      <c r="K23" s="65" t="str">
        <f aca="false">IF(J23="","",IF(ABS(J23)&gt;$U$3,"Off-schedule","OK"))</f>
        <v>OK</v>
      </c>
      <c r="L23" s="68"/>
      <c r="M23" s="5" t="str">
        <f aca="false">TEXT(B23,"ddd")</f>
        <v>Thu</v>
      </c>
      <c r="N23" s="69" t="n">
        <f aca="false">IF(OR(C23="",D23=""),"",ROUND((MOD(D23-C23,1)-IF(ISNUMBER(E23),MOD(F23-E23,1),0))*24,2))</f>
        <v>7.92</v>
      </c>
      <c r="O23" s="5" t="s">
        <v>768</v>
      </c>
      <c r="P23" s="6" t="n">
        <v>46310</v>
      </c>
      <c r="Q23" s="5" t="str">
        <f aca="false">IF(B23&lt;$U$1,"Prior period",IF(B23&gt;$U$2,"Future period","Current period"))</f>
        <v>Current period</v>
      </c>
      <c r="R23" s="5" t="str">
        <f aca="false" t="array" ref="R23:R23">_xlfn.XLOOKUP(A23,TRIM(SUBSTITUTE('worker file'!$A$2:$A$406,_xlfn.UNICHAR(160)," ")),'worker file'!$D$2:$D$406,"Not found")</f>
        <v>CA</v>
      </c>
    </row>
    <row r="24" customFormat="false" ht="15" hidden="false" customHeight="false" outlineLevel="0" collapsed="false">
      <c r="A24" s="5" t="s">
        <v>129</v>
      </c>
      <c r="B24" s="6" t="n">
        <v>46311</v>
      </c>
      <c r="C24" s="62" t="n">
        <v>0.246527777777778</v>
      </c>
      <c r="D24" s="62" t="n">
        <v>0.6</v>
      </c>
      <c r="E24" s="63" t="n">
        <v>0.411805555555556</v>
      </c>
      <c r="F24" s="64" t="n">
        <v>0.432638888888889</v>
      </c>
      <c r="G24" s="65" t="str">
        <f aca="false" t="array" ref="G24:G24">_xlfn.XLOOKUP(A24&amp;"|"&amp;B24,ShiftRoster[Employee ID]&amp;"|"&amp;ShiftRoster[Date],ShiftRoster[Shift Code],_xlfn.XLOOKUP(A24,TRIM(SUBSTITUTE('worker file'!$A$2:$A$406,_xlfn.UNICHAR(160)," ")),'worker file'!$X$2:$X$406,"?"),0,-1)</f>
        <v>DAY</v>
      </c>
      <c r="H24" s="65" t="str">
        <f aca="false">_xlfn.XLOOKUP(G24,ShiftCodes[Code],ShiftCodes[Work Schedule],"Unknown")</f>
        <v>Shift A – Day (Mon–Fri 06:00–14:30)</v>
      </c>
      <c r="I24" s="66" t="n">
        <f aca="false">_xlfn.XLOOKUP(G24,ShiftCodes[Code],ShiftCodes[Start],"")</f>
        <v>0.25</v>
      </c>
      <c r="J24" s="67" t="n">
        <f aca="false">IF(OR(C24="",I24=""),"",ROUND((MOD(C24-I24+0.5,1)-0.5)*1440,0))</f>
        <v>-5</v>
      </c>
      <c r="K24" s="65" t="str">
        <f aca="false">IF(J24="","",IF(ABS(J24)&gt;$U$3,"Off-schedule","OK"))</f>
        <v>OK</v>
      </c>
      <c r="L24" s="68"/>
      <c r="M24" s="5" t="str">
        <f aca="false">TEXT(B24,"ddd")</f>
        <v>Fri</v>
      </c>
      <c r="N24" s="69" t="n">
        <f aca="false">IF(OR(C24="",D24=""),"",ROUND((MOD(D24-C24,1)-IF(ISNUMBER(E24),MOD(F24-E24,1),0))*24,2))</f>
        <v>7.98</v>
      </c>
      <c r="O24" s="5" t="s">
        <v>768</v>
      </c>
      <c r="P24" s="6" t="n">
        <v>46311</v>
      </c>
      <c r="Q24" s="5" t="str">
        <f aca="false">IF(B24&lt;$U$1,"Prior period",IF(B24&gt;$U$2,"Future period","Current period"))</f>
        <v>Current period</v>
      </c>
      <c r="R24" s="5" t="str">
        <f aca="false" t="array" ref="R24:R24">_xlfn.XLOOKUP(A24,TRIM(SUBSTITUTE('worker file'!$A$2:$A$406,_xlfn.UNICHAR(160)," ")),'worker file'!$D$2:$D$406,"Not found")</f>
        <v>CA</v>
      </c>
    </row>
    <row r="25" customFormat="false" ht="15" hidden="false" customHeight="false" outlineLevel="0" collapsed="false">
      <c r="A25" s="5" t="s">
        <v>645</v>
      </c>
      <c r="B25" s="6" t="n">
        <v>46300</v>
      </c>
      <c r="C25" s="62" t="n">
        <v>0.251388888888889</v>
      </c>
      <c r="D25" s="62" t="n">
        <v>0.601388888888889</v>
      </c>
      <c r="E25" s="63" t="n">
        <v>0.434722222222222</v>
      </c>
      <c r="F25" s="64" t="n">
        <v>0.455555555555556</v>
      </c>
      <c r="G25" s="65" t="str">
        <f aca="false" t="array" ref="G25:G25">_xlfn.XLOOKUP(A25&amp;"|"&amp;B25,ShiftRoster[Employee ID]&amp;"|"&amp;ShiftRoster[Date],ShiftRoster[Shift Code],_xlfn.XLOOKUP(A25,TRIM(SUBSTITUTE('worker file'!$A$2:$A$406,_xlfn.UNICHAR(160)," ")),'worker file'!$X$2:$X$406,"?"),0,-1)</f>
        <v>DAY</v>
      </c>
      <c r="H25" s="65" t="str">
        <f aca="false">_xlfn.XLOOKUP(G25,ShiftCodes[Code],ShiftCodes[Work Schedule],"Unknown")</f>
        <v>Shift A – Day (Mon–Fri 06:00–14:30)</v>
      </c>
      <c r="I25" s="66" t="n">
        <f aca="false">_xlfn.XLOOKUP(G25,ShiftCodes[Code],ShiftCodes[Start],"")</f>
        <v>0.25</v>
      </c>
      <c r="J25" s="67" t="n">
        <f aca="false">IF(OR(C25="",I25=""),"",ROUND((MOD(C25-I25+0.5,1)-0.5)*1440,0))</f>
        <v>2</v>
      </c>
      <c r="K25" s="65" t="str">
        <f aca="false">IF(J25="","",IF(ABS(J25)&gt;$U$3,"Off-schedule","OK"))</f>
        <v>OK</v>
      </c>
      <c r="L25" s="68"/>
      <c r="M25" s="5" t="str">
        <f aca="false">TEXT(B25,"ddd")</f>
        <v>Mon</v>
      </c>
      <c r="N25" s="69" t="n">
        <f aca="false">IF(OR(C25="",D25=""),"",ROUND((MOD(D25-C25,1)-IF(ISNUMBER(E25),MOD(F25-E25,1),0))*24,2))</f>
        <v>7.9</v>
      </c>
      <c r="O25" s="5" t="s">
        <v>768</v>
      </c>
      <c r="P25" s="6" t="n">
        <v>46300</v>
      </c>
      <c r="Q25" s="5" t="str">
        <f aca="false">IF(B25&lt;$U$1,"Prior period",IF(B25&gt;$U$2,"Future period","Current period"))</f>
        <v>Current period</v>
      </c>
      <c r="R25" s="5" t="str">
        <f aca="false" t="array" ref="R25:R25">_xlfn.XLOOKUP(A25,TRIM(SUBSTITUTE('worker file'!$A$2:$A$406,_xlfn.UNICHAR(160)," ")),'worker file'!$D$2:$D$406,"Not found")</f>
        <v>CA</v>
      </c>
    </row>
    <row r="26" customFormat="false" ht="15" hidden="false" customHeight="false" outlineLevel="0" collapsed="false">
      <c r="A26" s="5" t="s">
        <v>645</v>
      </c>
      <c r="B26" s="6" t="n">
        <v>46301</v>
      </c>
      <c r="C26" s="62" t="n">
        <v>0.25</v>
      </c>
      <c r="D26" s="62" t="n">
        <v>0.802083333333333</v>
      </c>
      <c r="E26" s="63" t="n">
        <v>0.479166666666667</v>
      </c>
      <c r="F26" s="64" t="n">
        <v>0.5</v>
      </c>
      <c r="G26" s="65" t="str">
        <f aca="false" t="array" ref="G26:G26">_xlfn.XLOOKUP(A26&amp;"|"&amp;B26,ShiftRoster[Employee ID]&amp;"|"&amp;ShiftRoster[Date],ShiftRoster[Shift Code],_xlfn.XLOOKUP(A26,TRIM(SUBSTITUTE('worker file'!$A$2:$A$406,_xlfn.UNICHAR(160)," ")),'worker file'!$X$2:$X$406,"?"),0,-1)</f>
        <v>DAY</v>
      </c>
      <c r="H26" s="65" t="str">
        <f aca="false">_xlfn.XLOOKUP(G26,ShiftCodes[Code],ShiftCodes[Work Schedule],"Unknown")</f>
        <v>Shift A – Day (Mon–Fri 06:00–14:30)</v>
      </c>
      <c r="I26" s="66" t="n">
        <f aca="false">_xlfn.XLOOKUP(G26,ShiftCodes[Code],ShiftCodes[Start],"")</f>
        <v>0.25</v>
      </c>
      <c r="J26" s="67" t="n">
        <f aca="false">IF(OR(C26="",I26=""),"",ROUND((MOD(C26-I26+0.5,1)-0.5)*1440,0))</f>
        <v>0</v>
      </c>
      <c r="K26" s="65" t="str">
        <f aca="false">IF(J26="","",IF(ABS(J26)&gt;$U$3,"Off-schedule","OK"))</f>
        <v>OK</v>
      </c>
      <c r="L26" s="68" t="s">
        <v>773</v>
      </c>
      <c r="M26" s="5" t="str">
        <f aca="false">TEXT(B26,"ddd")</f>
        <v>Tue</v>
      </c>
      <c r="N26" s="69" t="n">
        <f aca="false">IF(OR(C26="",D26=""),"",ROUND((MOD(D26-C26,1)-IF(ISNUMBER(E26),MOD(F26-E26,1),0))*24,2))</f>
        <v>12.75</v>
      </c>
      <c r="O26" s="5" t="s">
        <v>768</v>
      </c>
      <c r="P26" s="6" t="n">
        <v>46301</v>
      </c>
      <c r="Q26" s="5" t="str">
        <f aca="false">IF(B26&lt;$U$1,"Prior period",IF(B26&gt;$U$2,"Future period","Current period"))</f>
        <v>Current period</v>
      </c>
      <c r="R26" s="5" t="str">
        <f aca="false" t="array" ref="R26:R26">_xlfn.XLOOKUP(A26,TRIM(SUBSTITUTE('worker file'!$A$2:$A$406,_xlfn.UNICHAR(160)," ")),'worker file'!$D$2:$D$406,"Not found")</f>
        <v>CA</v>
      </c>
    </row>
    <row r="27" customFormat="false" ht="15" hidden="false" customHeight="false" outlineLevel="0" collapsed="false">
      <c r="A27" s="5" t="s">
        <v>645</v>
      </c>
      <c r="B27" s="6" t="n">
        <v>46302</v>
      </c>
      <c r="C27" s="62" t="n">
        <v>0.245833333333333</v>
      </c>
      <c r="D27" s="62" t="n">
        <v>0.572916666666667</v>
      </c>
      <c r="E27" s="63" t="s">
        <v>774</v>
      </c>
      <c r="F27" s="64" t="s">
        <v>774</v>
      </c>
      <c r="G27" s="65" t="str">
        <f aca="false" t="array" ref="G27:G27">_xlfn.XLOOKUP(A27&amp;"|"&amp;B27,ShiftRoster[Employee ID]&amp;"|"&amp;ShiftRoster[Date],ShiftRoster[Shift Code],_xlfn.XLOOKUP(A27,TRIM(SUBSTITUTE('worker file'!$A$2:$A$406,_xlfn.UNICHAR(160)," ")),'worker file'!$X$2:$X$406,"?"),0,-1)</f>
        <v>DAY</v>
      </c>
      <c r="H27" s="65" t="str">
        <f aca="false">_xlfn.XLOOKUP(G27,ShiftCodes[Code],ShiftCodes[Work Schedule],"Unknown")</f>
        <v>Shift A – Day (Mon–Fri 06:00–14:30)</v>
      </c>
      <c r="I27" s="66" t="n">
        <f aca="false">_xlfn.XLOOKUP(G27,ShiftCodes[Code],ShiftCodes[Start],"")</f>
        <v>0.25</v>
      </c>
      <c r="J27" s="67" t="n">
        <f aca="false">IF(OR(C27="",I27=""),"",ROUND((MOD(C27-I27+0.5,1)-0.5)*1440,0))</f>
        <v>-6</v>
      </c>
      <c r="K27" s="65" t="str">
        <f aca="false">IF(J27="","",IF(ABS(J27)&gt;$U$3,"Off-schedule","OK"))</f>
        <v>OK</v>
      </c>
      <c r="L27" s="68" t="s">
        <v>775</v>
      </c>
      <c r="M27" s="5" t="str">
        <f aca="false">TEXT(B27,"ddd")</f>
        <v>Wed</v>
      </c>
      <c r="N27" s="69" t="n">
        <f aca="false">IF(OR(C27="",D27=""),"",ROUND((MOD(D27-C27,1)-IF(ISNUMBER(E27),MOD(F27-E27,1),0))*24,2))</f>
        <v>7.85</v>
      </c>
      <c r="O27" s="5" t="s">
        <v>768</v>
      </c>
      <c r="P27" s="6" t="n">
        <v>46302</v>
      </c>
      <c r="Q27" s="5" t="str">
        <f aca="false">IF(B27&lt;$U$1,"Prior period",IF(B27&gt;$U$2,"Future period","Current period"))</f>
        <v>Current period</v>
      </c>
      <c r="R27" s="5" t="str">
        <f aca="false" t="array" ref="R27:R27">_xlfn.XLOOKUP(A27,TRIM(SUBSTITUTE('worker file'!$A$2:$A$406,_xlfn.UNICHAR(160)," ")),'worker file'!$D$2:$D$406,"Not found")</f>
        <v>CA</v>
      </c>
    </row>
    <row r="28" customFormat="false" ht="15" hidden="false" customHeight="false" outlineLevel="0" collapsed="false">
      <c r="A28" s="5" t="s">
        <v>645</v>
      </c>
      <c r="B28" s="6" t="n">
        <v>46303</v>
      </c>
      <c r="C28" s="62" t="n">
        <v>0.250694444444444</v>
      </c>
      <c r="D28" s="62" t="n">
        <v>0.599305555555556</v>
      </c>
      <c r="E28" s="63" t="n">
        <v>0.404166666666667</v>
      </c>
      <c r="F28" s="64" t="n">
        <v>0.425</v>
      </c>
      <c r="G28" s="65" t="str">
        <f aca="false" t="array" ref="G28:G28">_xlfn.XLOOKUP(A28&amp;"|"&amp;B28,ShiftRoster[Employee ID]&amp;"|"&amp;ShiftRoster[Date],ShiftRoster[Shift Code],_xlfn.XLOOKUP(A28,TRIM(SUBSTITUTE('worker file'!$A$2:$A$406,_xlfn.UNICHAR(160)," ")),'worker file'!$X$2:$X$406,"?"),0,-1)</f>
        <v>DAY</v>
      </c>
      <c r="H28" s="65" t="str">
        <f aca="false">_xlfn.XLOOKUP(G28,ShiftCodes[Code],ShiftCodes[Work Schedule],"Unknown")</f>
        <v>Shift A – Day (Mon–Fri 06:00–14:30)</v>
      </c>
      <c r="I28" s="66" t="n">
        <f aca="false">_xlfn.XLOOKUP(G28,ShiftCodes[Code],ShiftCodes[Start],"")</f>
        <v>0.25</v>
      </c>
      <c r="J28" s="67" t="n">
        <f aca="false">IF(OR(C28="",I28=""),"",ROUND((MOD(C28-I28+0.5,1)-0.5)*1440,0))</f>
        <v>1</v>
      </c>
      <c r="K28" s="65" t="str">
        <f aca="false">IF(J28="","",IF(ABS(J28)&gt;$U$3,"Off-schedule","OK"))</f>
        <v>OK</v>
      </c>
      <c r="L28" s="68"/>
      <c r="M28" s="5" t="str">
        <f aca="false">TEXT(B28,"ddd")</f>
        <v>Thu</v>
      </c>
      <c r="N28" s="69" t="n">
        <f aca="false">IF(OR(C28="",D28=""),"",ROUND((MOD(D28-C28,1)-IF(ISNUMBER(E28),MOD(F28-E28,1),0))*24,2))</f>
        <v>7.87</v>
      </c>
      <c r="O28" s="5" t="s">
        <v>768</v>
      </c>
      <c r="P28" s="6" t="n">
        <v>46303</v>
      </c>
      <c r="Q28" s="5" t="str">
        <f aca="false">IF(B28&lt;$U$1,"Prior period",IF(B28&gt;$U$2,"Future period","Current period"))</f>
        <v>Current period</v>
      </c>
      <c r="R28" s="5" t="str">
        <f aca="false" t="array" ref="R28:R28">_xlfn.XLOOKUP(A28,TRIM(SUBSTITUTE('worker file'!$A$2:$A$406,_xlfn.UNICHAR(160)," ")),'worker file'!$D$2:$D$406,"Not found")</f>
        <v>CA</v>
      </c>
    </row>
    <row r="29" customFormat="false" ht="15" hidden="false" customHeight="false" outlineLevel="0" collapsed="false">
      <c r="A29" s="5" t="s">
        <v>645</v>
      </c>
      <c r="B29" s="6" t="n">
        <v>46304</v>
      </c>
      <c r="C29" s="62" t="n">
        <v>0.249305555555556</v>
      </c>
      <c r="D29" s="62" t="n">
        <v>0.6</v>
      </c>
      <c r="E29" s="63" t="n">
        <v>0.404861111111111</v>
      </c>
      <c r="F29" s="64" t="n">
        <v>0.425694444444444</v>
      </c>
      <c r="G29" s="65" t="str">
        <f aca="false" t="array" ref="G29:G29">_xlfn.XLOOKUP(A29&amp;"|"&amp;B29,ShiftRoster[Employee ID]&amp;"|"&amp;ShiftRoster[Date],ShiftRoster[Shift Code],_xlfn.XLOOKUP(A29,TRIM(SUBSTITUTE('worker file'!$A$2:$A$406,_xlfn.UNICHAR(160)," ")),'worker file'!$X$2:$X$406,"?"),0,-1)</f>
        <v>DAY</v>
      </c>
      <c r="H29" s="65" t="str">
        <f aca="false">_xlfn.XLOOKUP(G29,ShiftCodes[Code],ShiftCodes[Work Schedule],"Unknown")</f>
        <v>Shift A – Day (Mon–Fri 06:00–14:30)</v>
      </c>
      <c r="I29" s="66" t="n">
        <f aca="false">_xlfn.XLOOKUP(G29,ShiftCodes[Code],ShiftCodes[Start],"")</f>
        <v>0.25</v>
      </c>
      <c r="J29" s="67" t="n">
        <f aca="false">IF(OR(C29="",I29=""),"",ROUND((MOD(C29-I29+0.5,1)-0.5)*1440,0))</f>
        <v>-1</v>
      </c>
      <c r="K29" s="65" t="str">
        <f aca="false">IF(J29="","",IF(ABS(J29)&gt;$U$3,"Off-schedule","OK"))</f>
        <v>OK</v>
      </c>
      <c r="L29" s="68"/>
      <c r="M29" s="5" t="str">
        <f aca="false">TEXT(B29,"ddd")</f>
        <v>Fri</v>
      </c>
      <c r="N29" s="69" t="n">
        <f aca="false">IF(OR(C29="",D29=""),"",ROUND((MOD(D29-C29,1)-IF(ISNUMBER(E29),MOD(F29-E29,1),0))*24,2))</f>
        <v>7.92</v>
      </c>
      <c r="O29" s="5" t="s">
        <v>768</v>
      </c>
      <c r="P29" s="6" t="n">
        <v>46304</v>
      </c>
      <c r="Q29" s="5" t="str">
        <f aca="false">IF(B29&lt;$U$1,"Prior period",IF(B29&gt;$U$2,"Future period","Current period"))</f>
        <v>Current period</v>
      </c>
      <c r="R29" s="5" t="str">
        <f aca="false" t="array" ref="R29:R29">_xlfn.XLOOKUP(A29,TRIM(SUBSTITUTE('worker file'!$A$2:$A$406,_xlfn.UNICHAR(160)," ")),'worker file'!$D$2:$D$406,"Not found")</f>
        <v>CA</v>
      </c>
    </row>
    <row r="30" customFormat="false" ht="15" hidden="false" customHeight="false" outlineLevel="0" collapsed="false">
      <c r="A30" s="5" t="s">
        <v>645</v>
      </c>
      <c r="B30" s="6" t="n">
        <v>46307</v>
      </c>
      <c r="C30" s="62" t="n">
        <v>0.247916666666667</v>
      </c>
      <c r="D30" s="62" t="n">
        <v>0.598611111111111</v>
      </c>
      <c r="E30" s="63" t="n">
        <v>0.415972222222222</v>
      </c>
      <c r="F30" s="64" t="n">
        <v>0.436805555555556</v>
      </c>
      <c r="G30" s="65" t="str">
        <f aca="false" t="array" ref="G30:G30">_xlfn.XLOOKUP(A30&amp;"|"&amp;B30,ShiftRoster[Employee ID]&amp;"|"&amp;ShiftRoster[Date],ShiftRoster[Shift Code],_xlfn.XLOOKUP(A30,TRIM(SUBSTITUTE('worker file'!$A$2:$A$406,_xlfn.UNICHAR(160)," ")),'worker file'!$X$2:$X$406,"?"),0,-1)</f>
        <v>DAY</v>
      </c>
      <c r="H30" s="65" t="str">
        <f aca="false">_xlfn.XLOOKUP(G30,ShiftCodes[Code],ShiftCodes[Work Schedule],"Unknown")</f>
        <v>Shift A – Day (Mon–Fri 06:00–14:30)</v>
      </c>
      <c r="I30" s="66" t="n">
        <f aca="false">_xlfn.XLOOKUP(G30,ShiftCodes[Code],ShiftCodes[Start],"")</f>
        <v>0.25</v>
      </c>
      <c r="J30" s="67" t="n">
        <f aca="false">IF(OR(C30="",I30=""),"",ROUND((MOD(C30-I30+0.5,1)-0.5)*1440,0))</f>
        <v>-3</v>
      </c>
      <c r="K30" s="65" t="str">
        <f aca="false">IF(J30="","",IF(ABS(J30)&gt;$U$3,"Off-schedule","OK"))</f>
        <v>OK</v>
      </c>
      <c r="L30" s="68"/>
      <c r="M30" s="5" t="str">
        <f aca="false">TEXT(B30,"ddd")</f>
        <v>Mon</v>
      </c>
      <c r="N30" s="69" t="n">
        <f aca="false">IF(OR(C30="",D30=""),"",ROUND((MOD(D30-C30,1)-IF(ISNUMBER(E30),MOD(F30-E30,1),0))*24,2))</f>
        <v>7.92</v>
      </c>
      <c r="O30" s="5" t="s">
        <v>768</v>
      </c>
      <c r="P30" s="6" t="n">
        <v>46307</v>
      </c>
      <c r="Q30" s="5" t="str">
        <f aca="false">IF(B30&lt;$U$1,"Prior period",IF(B30&gt;$U$2,"Future period","Current period"))</f>
        <v>Current period</v>
      </c>
      <c r="R30" s="5" t="str">
        <f aca="false" t="array" ref="R30:R30">_xlfn.XLOOKUP(A30,TRIM(SUBSTITUTE('worker file'!$A$2:$A$406,_xlfn.UNICHAR(160)," ")),'worker file'!$D$2:$D$406,"Not found")</f>
        <v>CA</v>
      </c>
    </row>
    <row r="31" customFormat="false" ht="15" hidden="false" customHeight="false" outlineLevel="0" collapsed="false">
      <c r="A31" s="5" t="s">
        <v>645</v>
      </c>
      <c r="B31" s="6" t="n">
        <v>46308</v>
      </c>
      <c r="C31" s="62" t="n">
        <v>0.245833333333333</v>
      </c>
      <c r="D31" s="62" t="n">
        <v>0.598611111111111</v>
      </c>
      <c r="E31" s="63" t="n">
        <v>0.416666666666667</v>
      </c>
      <c r="F31" s="64" t="n">
        <v>0.4375</v>
      </c>
      <c r="G31" s="65" t="str">
        <f aca="false" t="array" ref="G31:G31">_xlfn.XLOOKUP(A31&amp;"|"&amp;B31,ShiftRoster[Employee ID]&amp;"|"&amp;ShiftRoster[Date],ShiftRoster[Shift Code],_xlfn.XLOOKUP(A31,TRIM(SUBSTITUTE('worker file'!$A$2:$A$406,_xlfn.UNICHAR(160)," ")),'worker file'!$X$2:$X$406,"?"),0,-1)</f>
        <v>DAY</v>
      </c>
      <c r="H31" s="65" t="str">
        <f aca="false">_xlfn.XLOOKUP(G31,ShiftCodes[Code],ShiftCodes[Work Schedule],"Unknown")</f>
        <v>Shift A – Day (Mon–Fri 06:00–14:30)</v>
      </c>
      <c r="I31" s="66" t="n">
        <f aca="false">_xlfn.XLOOKUP(G31,ShiftCodes[Code],ShiftCodes[Start],"")</f>
        <v>0.25</v>
      </c>
      <c r="J31" s="67" t="n">
        <f aca="false">IF(OR(C31="",I31=""),"",ROUND((MOD(C31-I31+0.5,1)-0.5)*1440,0))</f>
        <v>-6</v>
      </c>
      <c r="K31" s="65" t="str">
        <f aca="false">IF(J31="","",IF(ABS(J31)&gt;$U$3,"Off-schedule","OK"))</f>
        <v>OK</v>
      </c>
      <c r="L31" s="68"/>
      <c r="M31" s="5" t="str">
        <f aca="false">TEXT(B31,"ddd")</f>
        <v>Tue</v>
      </c>
      <c r="N31" s="69" t="n">
        <f aca="false">IF(OR(C31="",D31=""),"",ROUND((MOD(D31-C31,1)-IF(ISNUMBER(E31),MOD(F31-E31,1),0))*24,2))</f>
        <v>7.97</v>
      </c>
      <c r="O31" s="5" t="s">
        <v>768</v>
      </c>
      <c r="P31" s="6" t="n">
        <v>46308</v>
      </c>
      <c r="Q31" s="5" t="str">
        <f aca="false">IF(B31&lt;$U$1,"Prior period",IF(B31&gt;$U$2,"Future period","Current period"))</f>
        <v>Current period</v>
      </c>
      <c r="R31" s="5" t="str">
        <f aca="false" t="array" ref="R31:R31">_xlfn.XLOOKUP(A31,TRIM(SUBSTITUTE('worker file'!$A$2:$A$406,_xlfn.UNICHAR(160)," ")),'worker file'!$D$2:$D$406,"Not found")</f>
        <v>CA</v>
      </c>
    </row>
    <row r="32" customFormat="false" ht="15" hidden="false" customHeight="false" outlineLevel="0" collapsed="false">
      <c r="A32" s="5" t="s">
        <v>645</v>
      </c>
      <c r="B32" s="6" t="n">
        <v>46309</v>
      </c>
      <c r="C32" s="62" t="n">
        <v>0.252083333333333</v>
      </c>
      <c r="D32" s="62" t="n">
        <v>0.604861111111111</v>
      </c>
      <c r="E32" s="63" t="n">
        <v>0.427083333333333</v>
      </c>
      <c r="F32" s="64" t="n">
        <v>0.447916666666667</v>
      </c>
      <c r="G32" s="65" t="str">
        <f aca="false" t="array" ref="G32:G32">_xlfn.XLOOKUP(A32&amp;"|"&amp;B32,ShiftRoster[Employee ID]&amp;"|"&amp;ShiftRoster[Date],ShiftRoster[Shift Code],_xlfn.XLOOKUP(A32,TRIM(SUBSTITUTE('worker file'!$A$2:$A$406,_xlfn.UNICHAR(160)," ")),'worker file'!$X$2:$X$406,"?"),0,-1)</f>
        <v>DAY</v>
      </c>
      <c r="H32" s="65" t="str">
        <f aca="false">_xlfn.XLOOKUP(G32,ShiftCodes[Code],ShiftCodes[Work Schedule],"Unknown")</f>
        <v>Shift A – Day (Mon–Fri 06:00–14:30)</v>
      </c>
      <c r="I32" s="66" t="n">
        <f aca="false">_xlfn.XLOOKUP(G32,ShiftCodes[Code],ShiftCodes[Start],"")</f>
        <v>0.25</v>
      </c>
      <c r="J32" s="67" t="n">
        <f aca="false">IF(OR(C32="",I32=""),"",ROUND((MOD(C32-I32+0.5,1)-0.5)*1440,0))</f>
        <v>3</v>
      </c>
      <c r="K32" s="65" t="str">
        <f aca="false">IF(J32="","",IF(ABS(J32)&gt;$U$3,"Off-schedule","OK"))</f>
        <v>OK</v>
      </c>
      <c r="L32" s="68"/>
      <c r="M32" s="5" t="str">
        <f aca="false">TEXT(B32,"ddd")</f>
        <v>Wed</v>
      </c>
      <c r="N32" s="69" t="n">
        <f aca="false">IF(OR(C32="",D32=""),"",ROUND((MOD(D32-C32,1)-IF(ISNUMBER(E32),MOD(F32-E32,1),0))*24,2))</f>
        <v>7.97</v>
      </c>
      <c r="O32" s="5" t="s">
        <v>768</v>
      </c>
      <c r="P32" s="6" t="n">
        <v>46309</v>
      </c>
      <c r="Q32" s="5" t="str">
        <f aca="false">IF(B32&lt;$U$1,"Prior period",IF(B32&gt;$U$2,"Future period","Current period"))</f>
        <v>Current period</v>
      </c>
      <c r="R32" s="5" t="str">
        <f aca="false" t="array" ref="R32:R32">_xlfn.XLOOKUP(A32,TRIM(SUBSTITUTE('worker file'!$A$2:$A$406,_xlfn.UNICHAR(160)," ")),'worker file'!$D$2:$D$406,"Not found")</f>
        <v>CA</v>
      </c>
    </row>
    <row r="33" customFormat="false" ht="15" hidden="false" customHeight="false" outlineLevel="0" collapsed="false">
      <c r="A33" s="5" t="s">
        <v>645</v>
      </c>
      <c r="B33" s="6" t="n">
        <v>46310</v>
      </c>
      <c r="C33" s="62" t="n">
        <v>0.247916666666667</v>
      </c>
      <c r="D33" s="62" t="n">
        <v>0.601388888888889</v>
      </c>
      <c r="E33" s="63" t="n">
        <v>0.397916666666667</v>
      </c>
      <c r="F33" s="64" t="n">
        <v>0.41875</v>
      </c>
      <c r="G33" s="65" t="str">
        <f aca="false" t="array" ref="G33:G33">_xlfn.XLOOKUP(A33&amp;"|"&amp;B33,ShiftRoster[Employee ID]&amp;"|"&amp;ShiftRoster[Date],ShiftRoster[Shift Code],_xlfn.XLOOKUP(A33,TRIM(SUBSTITUTE('worker file'!$A$2:$A$406,_xlfn.UNICHAR(160)," ")),'worker file'!$X$2:$X$406,"?"),0,-1)</f>
        <v>DAY</v>
      </c>
      <c r="H33" s="65" t="str">
        <f aca="false">_xlfn.XLOOKUP(G33,ShiftCodes[Code],ShiftCodes[Work Schedule],"Unknown")</f>
        <v>Shift A – Day (Mon–Fri 06:00–14:30)</v>
      </c>
      <c r="I33" s="66" t="n">
        <f aca="false">_xlfn.XLOOKUP(G33,ShiftCodes[Code],ShiftCodes[Start],"")</f>
        <v>0.25</v>
      </c>
      <c r="J33" s="67" t="n">
        <f aca="false">IF(OR(C33="",I33=""),"",ROUND((MOD(C33-I33+0.5,1)-0.5)*1440,0))</f>
        <v>-3</v>
      </c>
      <c r="K33" s="65" t="str">
        <f aca="false">IF(J33="","",IF(ABS(J33)&gt;$U$3,"Off-schedule","OK"))</f>
        <v>OK</v>
      </c>
      <c r="L33" s="68"/>
      <c r="M33" s="5" t="str">
        <f aca="false">TEXT(B33,"ddd")</f>
        <v>Thu</v>
      </c>
      <c r="N33" s="69" t="n">
        <f aca="false">IF(OR(C33="",D33=""),"",ROUND((MOD(D33-C33,1)-IF(ISNUMBER(E33),MOD(F33-E33,1),0))*24,2))</f>
        <v>7.98</v>
      </c>
      <c r="O33" s="5" t="s">
        <v>768</v>
      </c>
      <c r="P33" s="6" t="n">
        <v>46310</v>
      </c>
      <c r="Q33" s="5" t="str">
        <f aca="false">IF(B33&lt;$U$1,"Prior period",IF(B33&gt;$U$2,"Future period","Current period"))</f>
        <v>Current period</v>
      </c>
      <c r="R33" s="5" t="str">
        <f aca="false" t="array" ref="R33:R33">_xlfn.XLOOKUP(A33,TRIM(SUBSTITUTE('worker file'!$A$2:$A$406,_xlfn.UNICHAR(160)," ")),'worker file'!$D$2:$D$406,"Not found")</f>
        <v>CA</v>
      </c>
    </row>
    <row r="34" customFormat="false" ht="15" hidden="false" customHeight="false" outlineLevel="0" collapsed="false">
      <c r="A34" s="5" t="s">
        <v>645</v>
      </c>
      <c r="B34" s="6" t="n">
        <v>46311</v>
      </c>
      <c r="C34" s="62" t="n">
        <v>0.245833333333333</v>
      </c>
      <c r="D34" s="62" t="n">
        <v>0.598611111111111</v>
      </c>
      <c r="E34" s="63" t="n">
        <v>0.393055555555556</v>
      </c>
      <c r="F34" s="64" t="n">
        <v>0.413888888888889</v>
      </c>
      <c r="G34" s="65" t="str">
        <f aca="false" t="array" ref="G34:G34">_xlfn.XLOOKUP(A34&amp;"|"&amp;B34,ShiftRoster[Employee ID]&amp;"|"&amp;ShiftRoster[Date],ShiftRoster[Shift Code],_xlfn.XLOOKUP(A34,TRIM(SUBSTITUTE('worker file'!$A$2:$A$406,_xlfn.UNICHAR(160)," ")),'worker file'!$X$2:$X$406,"?"),0,-1)</f>
        <v>DAY</v>
      </c>
      <c r="H34" s="65" t="str">
        <f aca="false">_xlfn.XLOOKUP(G34,ShiftCodes[Code],ShiftCodes[Work Schedule],"Unknown")</f>
        <v>Shift A – Day (Mon–Fri 06:00–14:30)</v>
      </c>
      <c r="I34" s="66" t="n">
        <f aca="false">_xlfn.XLOOKUP(G34,ShiftCodes[Code],ShiftCodes[Start],"")</f>
        <v>0.25</v>
      </c>
      <c r="J34" s="67" t="n">
        <f aca="false">IF(OR(C34="",I34=""),"",ROUND((MOD(C34-I34+0.5,1)-0.5)*1440,0))</f>
        <v>-6</v>
      </c>
      <c r="K34" s="65" t="str">
        <f aca="false">IF(J34="","",IF(ABS(J34)&gt;$U$3,"Off-schedule","OK"))</f>
        <v>OK</v>
      </c>
      <c r="L34" s="68"/>
      <c r="M34" s="5" t="str">
        <f aca="false">TEXT(B34,"ddd")</f>
        <v>Fri</v>
      </c>
      <c r="N34" s="69" t="n">
        <f aca="false">IF(OR(C34="",D34=""),"",ROUND((MOD(D34-C34,1)-IF(ISNUMBER(E34),MOD(F34-E34,1),0))*24,2))</f>
        <v>7.97</v>
      </c>
      <c r="O34" s="5" t="s">
        <v>768</v>
      </c>
      <c r="P34" s="6" t="n">
        <v>46311</v>
      </c>
      <c r="Q34" s="5" t="str">
        <f aca="false">IF(B34&lt;$U$1,"Prior period",IF(B34&gt;$U$2,"Future period","Current period"))</f>
        <v>Current period</v>
      </c>
      <c r="R34" s="5" t="str">
        <f aca="false" t="array" ref="R34:R34">_xlfn.XLOOKUP(A34,TRIM(SUBSTITUTE('worker file'!$A$2:$A$406,_xlfn.UNICHAR(160)," ")),'worker file'!$D$2:$D$406,"Not found")</f>
        <v>CA</v>
      </c>
    </row>
    <row r="35" customFormat="false" ht="15" hidden="false" customHeight="false" outlineLevel="0" collapsed="false">
      <c r="A35" s="5" t="s">
        <v>579</v>
      </c>
      <c r="B35" s="6" t="n">
        <v>46300</v>
      </c>
      <c r="C35" s="62" t="n">
        <v>0.58125</v>
      </c>
      <c r="D35" s="62" t="n">
        <v>0.929861111111111</v>
      </c>
      <c r="E35" s="63" t="n">
        <v>0.740972222222222</v>
      </c>
      <c r="F35" s="64" t="n">
        <v>0.761805555555556</v>
      </c>
      <c r="G35" s="65" t="str">
        <f aca="false" t="array" ref="G35:G35">_xlfn.XLOOKUP(A35&amp;"|"&amp;B35,ShiftRoster[Employee ID]&amp;"|"&amp;ShiftRoster[Date],ShiftRoster[Shift Code],_xlfn.XLOOKUP(A35,TRIM(SUBSTITUTE('worker file'!$A$2:$A$406,_xlfn.UNICHAR(160)," ")),'worker file'!$X$2:$X$406,"?"),0,-1)</f>
        <v>SWNG</v>
      </c>
      <c r="H35" s="65" t="str">
        <f aca="false">_xlfn.XLOOKUP(G35,ShiftCodes[Code],ShiftCodes[Work Schedule],"Unknown")</f>
        <v>Shift B – Swing (Mon–Fri 14:00–22:30)</v>
      </c>
      <c r="I35" s="66" t="n">
        <f aca="false">_xlfn.XLOOKUP(G35,ShiftCodes[Code],ShiftCodes[Start],"")</f>
        <v>0.583333333333333</v>
      </c>
      <c r="J35" s="67" t="n">
        <f aca="false">IF(OR(C35="",I35=""),"",ROUND((MOD(C35-I35+0.5,1)-0.5)*1440,0))</f>
        <v>-3</v>
      </c>
      <c r="K35" s="65" t="str">
        <f aca="false">IF(J35="","",IF(ABS(J35)&gt;$U$3,"Off-schedule","OK"))</f>
        <v>OK</v>
      </c>
      <c r="L35" s="68"/>
      <c r="M35" s="5" t="str">
        <f aca="false">TEXT(B35,"ddd")</f>
        <v>Mon</v>
      </c>
      <c r="N35" s="69" t="n">
        <f aca="false">IF(OR(C35="",D35=""),"",ROUND((MOD(D35-C35,1)-IF(ISNUMBER(E35),MOD(F35-E35,1),0))*24,2))</f>
        <v>7.87</v>
      </c>
      <c r="O35" s="5" t="s">
        <v>768</v>
      </c>
      <c r="P35" s="6" t="n">
        <v>46300</v>
      </c>
      <c r="Q35" s="5" t="str">
        <f aca="false">IF(B35&lt;$U$1,"Prior period",IF(B35&gt;$U$2,"Future period","Current period"))</f>
        <v>Current period</v>
      </c>
      <c r="R35" s="5" t="str">
        <f aca="false" t="array" ref="R35:R35">_xlfn.XLOOKUP(A35,TRIM(SUBSTITUTE('worker file'!$A$2:$A$406,_xlfn.UNICHAR(160)," ")),'worker file'!$D$2:$D$406,"Not found")</f>
        <v>TX</v>
      </c>
    </row>
    <row r="36" customFormat="false" ht="15" hidden="false" customHeight="false" outlineLevel="0" collapsed="false">
      <c r="A36" s="5" t="s">
        <v>579</v>
      </c>
      <c r="B36" s="6" t="n">
        <v>46301</v>
      </c>
      <c r="C36" s="62" t="n">
        <v>0.579861111111111</v>
      </c>
      <c r="D36" s="62" t="n">
        <v>0.93125</v>
      </c>
      <c r="E36" s="63" t="n">
        <v>0.755555555555556</v>
      </c>
      <c r="F36" s="64" t="n">
        <v>0.776388888888889</v>
      </c>
      <c r="G36" s="65" t="str">
        <f aca="false" t="array" ref="G36:G36">_xlfn.XLOOKUP(A36&amp;"|"&amp;B36,ShiftRoster[Employee ID]&amp;"|"&amp;ShiftRoster[Date],ShiftRoster[Shift Code],_xlfn.XLOOKUP(A36,TRIM(SUBSTITUTE('worker file'!$A$2:$A$406,_xlfn.UNICHAR(160)," ")),'worker file'!$X$2:$X$406,"?"),0,-1)</f>
        <v>SWNG</v>
      </c>
      <c r="H36" s="65" t="str">
        <f aca="false">_xlfn.XLOOKUP(G36,ShiftCodes[Code],ShiftCodes[Work Schedule],"Unknown")</f>
        <v>Shift B – Swing (Mon–Fri 14:00–22:30)</v>
      </c>
      <c r="I36" s="66" t="n">
        <f aca="false">_xlfn.XLOOKUP(G36,ShiftCodes[Code],ShiftCodes[Start],"")</f>
        <v>0.583333333333333</v>
      </c>
      <c r="J36" s="67" t="n">
        <f aca="false">IF(OR(C36="",I36=""),"",ROUND((MOD(C36-I36+0.5,1)-0.5)*1440,0))</f>
        <v>-5</v>
      </c>
      <c r="K36" s="65" t="str">
        <f aca="false">IF(J36="","",IF(ABS(J36)&gt;$U$3,"Off-schedule","OK"))</f>
        <v>OK</v>
      </c>
      <c r="L36" s="68"/>
      <c r="M36" s="5" t="str">
        <f aca="false">TEXT(B36,"ddd")</f>
        <v>Tue</v>
      </c>
      <c r="N36" s="69" t="n">
        <f aca="false">IF(OR(C36="",D36=""),"",ROUND((MOD(D36-C36,1)-IF(ISNUMBER(E36),MOD(F36-E36,1),0))*24,2))</f>
        <v>7.93</v>
      </c>
      <c r="O36" s="5" t="s">
        <v>768</v>
      </c>
      <c r="P36" s="6" t="n">
        <v>46301</v>
      </c>
      <c r="Q36" s="5" t="str">
        <f aca="false">IF(B36&lt;$U$1,"Prior period",IF(B36&gt;$U$2,"Future period","Current period"))</f>
        <v>Current period</v>
      </c>
      <c r="R36" s="5" t="str">
        <f aca="false" t="array" ref="R36:R36">_xlfn.XLOOKUP(A36,TRIM(SUBSTITUTE('worker file'!$A$2:$A$406,_xlfn.UNICHAR(160)," ")),'worker file'!$D$2:$D$406,"Not found")</f>
        <v>TX</v>
      </c>
    </row>
    <row r="37" customFormat="false" ht="15" hidden="false" customHeight="false" outlineLevel="0" collapsed="false">
      <c r="A37" s="5" t="s">
        <v>579</v>
      </c>
      <c r="B37" s="6" t="n">
        <v>46302</v>
      </c>
      <c r="C37" s="62" t="n">
        <v>0.579861111111111</v>
      </c>
      <c r="D37" s="62" t="n">
        <v>0.93125</v>
      </c>
      <c r="E37" s="63" t="n">
        <v>0.751388888888889</v>
      </c>
      <c r="F37" s="64" t="n">
        <v>0.772222222222222</v>
      </c>
      <c r="G37" s="65" t="str">
        <f aca="false" t="array" ref="G37:G37">_xlfn.XLOOKUP(A37&amp;"|"&amp;B37,ShiftRoster[Employee ID]&amp;"|"&amp;ShiftRoster[Date],ShiftRoster[Shift Code],_xlfn.XLOOKUP(A37,TRIM(SUBSTITUTE('worker file'!$A$2:$A$406,_xlfn.UNICHAR(160)," ")),'worker file'!$X$2:$X$406,"?"),0,-1)</f>
        <v>SWNG</v>
      </c>
      <c r="H37" s="65" t="str">
        <f aca="false">_xlfn.XLOOKUP(G37,ShiftCodes[Code],ShiftCodes[Work Schedule],"Unknown")</f>
        <v>Shift B – Swing (Mon–Fri 14:00–22:30)</v>
      </c>
      <c r="I37" s="66" t="n">
        <f aca="false">_xlfn.XLOOKUP(G37,ShiftCodes[Code],ShiftCodes[Start],"")</f>
        <v>0.583333333333333</v>
      </c>
      <c r="J37" s="67" t="n">
        <f aca="false">IF(OR(C37="",I37=""),"",ROUND((MOD(C37-I37+0.5,1)-0.5)*1440,0))</f>
        <v>-5</v>
      </c>
      <c r="K37" s="65" t="str">
        <f aca="false">IF(J37="","",IF(ABS(J37)&gt;$U$3,"Off-schedule","OK"))</f>
        <v>OK</v>
      </c>
      <c r="L37" s="68"/>
      <c r="M37" s="5" t="str">
        <f aca="false">TEXT(B37,"ddd")</f>
        <v>Wed</v>
      </c>
      <c r="N37" s="69" t="n">
        <f aca="false">IF(OR(C37="",D37=""),"",ROUND((MOD(D37-C37,1)-IF(ISNUMBER(E37),MOD(F37-E37,1),0))*24,2))</f>
        <v>7.93</v>
      </c>
      <c r="O37" s="5" t="s">
        <v>768</v>
      </c>
      <c r="P37" s="6" t="n">
        <v>46302</v>
      </c>
      <c r="Q37" s="5" t="str">
        <f aca="false">IF(B37&lt;$U$1,"Prior period",IF(B37&gt;$U$2,"Future period","Current period"))</f>
        <v>Current period</v>
      </c>
      <c r="R37" s="5" t="str">
        <f aca="false" t="array" ref="R37:R37">_xlfn.XLOOKUP(A37,TRIM(SUBSTITUTE('worker file'!$A$2:$A$406,_xlfn.UNICHAR(160)," ")),'worker file'!$D$2:$D$406,"Not found")</f>
        <v>TX</v>
      </c>
    </row>
    <row r="38" customFormat="false" ht="15" hidden="false" customHeight="false" outlineLevel="0" collapsed="false">
      <c r="A38" s="5" t="s">
        <v>579</v>
      </c>
      <c r="B38" s="6" t="n">
        <v>46303</v>
      </c>
      <c r="C38" s="62" t="n">
        <v>0.585416666666667</v>
      </c>
      <c r="D38" s="62" t="n">
        <v>0.939583333333333</v>
      </c>
      <c r="E38" s="63" t="n">
        <v>0.734722222222222</v>
      </c>
      <c r="F38" s="64" t="n">
        <v>0.755555555555556</v>
      </c>
      <c r="G38" s="65" t="str">
        <f aca="false" t="array" ref="G38:G38">_xlfn.XLOOKUP(A38&amp;"|"&amp;B38,ShiftRoster[Employee ID]&amp;"|"&amp;ShiftRoster[Date],ShiftRoster[Shift Code],_xlfn.XLOOKUP(A38,TRIM(SUBSTITUTE('worker file'!$A$2:$A$406,_xlfn.UNICHAR(160)," ")),'worker file'!$X$2:$X$406,"?"),0,-1)</f>
        <v>SWNG</v>
      </c>
      <c r="H38" s="65" t="str">
        <f aca="false">_xlfn.XLOOKUP(G38,ShiftCodes[Code],ShiftCodes[Work Schedule],"Unknown")</f>
        <v>Shift B – Swing (Mon–Fri 14:00–22:30)</v>
      </c>
      <c r="I38" s="66" t="n">
        <f aca="false">_xlfn.XLOOKUP(G38,ShiftCodes[Code],ShiftCodes[Start],"")</f>
        <v>0.583333333333333</v>
      </c>
      <c r="J38" s="67" t="n">
        <f aca="false">IF(OR(C38="",I38=""),"",ROUND((MOD(C38-I38+0.5,1)-0.5)*1440,0))</f>
        <v>3</v>
      </c>
      <c r="K38" s="65" t="str">
        <f aca="false">IF(J38="","",IF(ABS(J38)&gt;$U$3,"Off-schedule","OK"))</f>
        <v>OK</v>
      </c>
      <c r="L38" s="68"/>
      <c r="M38" s="5" t="str">
        <f aca="false">TEXT(B38,"ddd")</f>
        <v>Thu</v>
      </c>
      <c r="N38" s="69" t="n">
        <f aca="false">IF(OR(C38="",D38=""),"",ROUND((MOD(D38-C38,1)-IF(ISNUMBER(E38),MOD(F38-E38,1),0))*24,2))</f>
        <v>8</v>
      </c>
      <c r="O38" s="5" t="s">
        <v>768</v>
      </c>
      <c r="P38" s="6" t="n">
        <v>46303</v>
      </c>
      <c r="Q38" s="5" t="str">
        <f aca="false">IF(B38&lt;$U$1,"Prior period",IF(B38&gt;$U$2,"Future period","Current period"))</f>
        <v>Current period</v>
      </c>
      <c r="R38" s="5" t="str">
        <f aca="false" t="array" ref="R38:R38">_xlfn.XLOOKUP(A38,TRIM(SUBSTITUTE('worker file'!$A$2:$A$406,_xlfn.UNICHAR(160)," ")),'worker file'!$D$2:$D$406,"Not found")</f>
        <v>TX</v>
      </c>
    </row>
    <row r="39" customFormat="false" ht="15" hidden="false" customHeight="false" outlineLevel="0" collapsed="false">
      <c r="A39" s="5" t="s">
        <v>579</v>
      </c>
      <c r="B39" s="6" t="n">
        <v>46304</v>
      </c>
      <c r="C39" s="62" t="n">
        <v>0.582638888888889</v>
      </c>
      <c r="D39" s="62" t="n">
        <v>0.934027777777778</v>
      </c>
      <c r="E39" s="63" t="n">
        <v>0.74375</v>
      </c>
      <c r="F39" s="64" t="n">
        <v>0.764583333333333</v>
      </c>
      <c r="G39" s="65" t="str">
        <f aca="false" t="array" ref="G39:G39">_xlfn.XLOOKUP(A39&amp;"|"&amp;B39,ShiftRoster[Employee ID]&amp;"|"&amp;ShiftRoster[Date],ShiftRoster[Shift Code],_xlfn.XLOOKUP(A39,TRIM(SUBSTITUTE('worker file'!$A$2:$A$406,_xlfn.UNICHAR(160)," ")),'worker file'!$X$2:$X$406,"?"),0,-1)</f>
        <v>SWNG</v>
      </c>
      <c r="H39" s="65" t="str">
        <f aca="false">_xlfn.XLOOKUP(G39,ShiftCodes[Code],ShiftCodes[Work Schedule],"Unknown")</f>
        <v>Shift B – Swing (Mon–Fri 14:00–22:30)</v>
      </c>
      <c r="I39" s="66" t="n">
        <f aca="false">_xlfn.XLOOKUP(G39,ShiftCodes[Code],ShiftCodes[Start],"")</f>
        <v>0.583333333333333</v>
      </c>
      <c r="J39" s="67" t="n">
        <f aca="false">IF(OR(C39="",I39=""),"",ROUND((MOD(C39-I39+0.5,1)-0.5)*1440,0))</f>
        <v>-1</v>
      </c>
      <c r="K39" s="65" t="str">
        <f aca="false">IF(J39="","",IF(ABS(J39)&gt;$U$3,"Off-schedule","OK"))</f>
        <v>OK</v>
      </c>
      <c r="L39" s="68"/>
      <c r="M39" s="5" t="str">
        <f aca="false">TEXT(B39,"ddd")</f>
        <v>Fri</v>
      </c>
      <c r="N39" s="69" t="n">
        <f aca="false">IF(OR(C39="",D39=""),"",ROUND((MOD(D39-C39,1)-IF(ISNUMBER(E39),MOD(F39-E39,1),0))*24,2))</f>
        <v>7.93</v>
      </c>
      <c r="O39" s="5" t="s">
        <v>768</v>
      </c>
      <c r="P39" s="6" t="n">
        <v>46304</v>
      </c>
      <c r="Q39" s="5" t="str">
        <f aca="false">IF(B39&lt;$U$1,"Prior period",IF(B39&gt;$U$2,"Future period","Current period"))</f>
        <v>Current period</v>
      </c>
      <c r="R39" s="5" t="str">
        <f aca="false" t="array" ref="R39:R39">_xlfn.XLOOKUP(A39,TRIM(SUBSTITUTE('worker file'!$A$2:$A$406,_xlfn.UNICHAR(160)," ")),'worker file'!$D$2:$D$406,"Not found")</f>
        <v>TX</v>
      </c>
    </row>
    <row r="40" customFormat="false" ht="15" hidden="false" customHeight="false" outlineLevel="0" collapsed="false">
      <c r="A40" s="5" t="s">
        <v>579</v>
      </c>
      <c r="B40" s="6" t="n">
        <v>46307</v>
      </c>
      <c r="C40" s="62" t="n">
        <v>0.586111111111111</v>
      </c>
      <c r="D40" s="62" t="n">
        <v>0.936111111111111</v>
      </c>
      <c r="E40" s="63" t="n">
        <v>0.752083333333333</v>
      </c>
      <c r="F40" s="64" t="n">
        <v>0.772916666666667</v>
      </c>
      <c r="G40" s="65" t="str">
        <f aca="false" t="array" ref="G40:G40">_xlfn.XLOOKUP(A40&amp;"|"&amp;B40,ShiftRoster[Employee ID]&amp;"|"&amp;ShiftRoster[Date],ShiftRoster[Shift Code],_xlfn.XLOOKUP(A40,TRIM(SUBSTITUTE('worker file'!$A$2:$A$406,_xlfn.UNICHAR(160)," ")),'worker file'!$X$2:$X$406,"?"),0,-1)</f>
        <v>SWNG</v>
      </c>
      <c r="H40" s="65" t="str">
        <f aca="false">_xlfn.XLOOKUP(G40,ShiftCodes[Code],ShiftCodes[Work Schedule],"Unknown")</f>
        <v>Shift B – Swing (Mon–Fri 14:00–22:30)</v>
      </c>
      <c r="I40" s="66" t="n">
        <f aca="false">_xlfn.XLOOKUP(G40,ShiftCodes[Code],ShiftCodes[Start],"")</f>
        <v>0.583333333333333</v>
      </c>
      <c r="J40" s="67" t="n">
        <f aca="false">IF(OR(C40="",I40=""),"",ROUND((MOD(C40-I40+0.5,1)-0.5)*1440,0))</f>
        <v>4</v>
      </c>
      <c r="K40" s="65" t="str">
        <f aca="false">IF(J40="","",IF(ABS(J40)&gt;$U$3,"Off-schedule","OK"))</f>
        <v>OK</v>
      </c>
      <c r="L40" s="68"/>
      <c r="M40" s="5" t="str">
        <f aca="false">TEXT(B40,"ddd")</f>
        <v>Mon</v>
      </c>
      <c r="N40" s="69" t="n">
        <f aca="false">IF(OR(C40="",D40=""),"",ROUND((MOD(D40-C40,1)-IF(ISNUMBER(E40),MOD(F40-E40,1),0))*24,2))</f>
        <v>7.9</v>
      </c>
      <c r="O40" s="5" t="s">
        <v>768</v>
      </c>
      <c r="P40" s="6" t="n">
        <v>46307</v>
      </c>
      <c r="Q40" s="5" t="str">
        <f aca="false">IF(B40&lt;$U$1,"Prior period",IF(B40&gt;$U$2,"Future period","Current period"))</f>
        <v>Current period</v>
      </c>
      <c r="R40" s="5" t="str">
        <f aca="false" t="array" ref="R40:R40">_xlfn.XLOOKUP(A40,TRIM(SUBSTITUTE('worker file'!$A$2:$A$406,_xlfn.UNICHAR(160)," ")),'worker file'!$D$2:$D$406,"Not found")</f>
        <v>TX</v>
      </c>
    </row>
    <row r="41" customFormat="false" ht="15" hidden="false" customHeight="false" outlineLevel="0" collapsed="false">
      <c r="A41" s="5" t="s">
        <v>579</v>
      </c>
      <c r="B41" s="6" t="n">
        <v>46308</v>
      </c>
      <c r="C41" s="62" t="n">
        <v>0.585416666666667</v>
      </c>
      <c r="D41" s="62" t="n">
        <v>0.934722222222222</v>
      </c>
      <c r="E41" s="63" t="n">
        <v>0.747222222222222</v>
      </c>
      <c r="F41" s="64" t="n">
        <v>0.768055555555556</v>
      </c>
      <c r="G41" s="65" t="str">
        <f aca="false" t="array" ref="G41:G41">_xlfn.XLOOKUP(A41&amp;"|"&amp;B41,ShiftRoster[Employee ID]&amp;"|"&amp;ShiftRoster[Date],ShiftRoster[Shift Code],_xlfn.XLOOKUP(A41,TRIM(SUBSTITUTE('worker file'!$A$2:$A$406,_xlfn.UNICHAR(160)," ")),'worker file'!$X$2:$X$406,"?"),0,-1)</f>
        <v>SWNG</v>
      </c>
      <c r="H41" s="65" t="str">
        <f aca="false">_xlfn.XLOOKUP(G41,ShiftCodes[Code],ShiftCodes[Work Schedule],"Unknown")</f>
        <v>Shift B – Swing (Mon–Fri 14:00–22:30)</v>
      </c>
      <c r="I41" s="66" t="n">
        <f aca="false">_xlfn.XLOOKUP(G41,ShiftCodes[Code],ShiftCodes[Start],"")</f>
        <v>0.583333333333333</v>
      </c>
      <c r="J41" s="67" t="n">
        <f aca="false">IF(OR(C41="",I41=""),"",ROUND((MOD(C41-I41+0.5,1)-0.5)*1440,0))</f>
        <v>3</v>
      </c>
      <c r="K41" s="65" t="str">
        <f aca="false">IF(J41="","",IF(ABS(J41)&gt;$U$3,"Off-schedule","OK"))</f>
        <v>OK</v>
      </c>
      <c r="L41" s="68"/>
      <c r="M41" s="5" t="str">
        <f aca="false">TEXT(B41,"ddd")</f>
        <v>Tue</v>
      </c>
      <c r="N41" s="69" t="n">
        <f aca="false">IF(OR(C41="",D41=""),"",ROUND((MOD(D41-C41,1)-IF(ISNUMBER(E41),MOD(F41-E41,1),0))*24,2))</f>
        <v>7.88</v>
      </c>
      <c r="O41" s="5" t="s">
        <v>768</v>
      </c>
      <c r="P41" s="6" t="n">
        <v>46308</v>
      </c>
      <c r="Q41" s="5" t="str">
        <f aca="false">IF(B41&lt;$U$1,"Prior period",IF(B41&gt;$U$2,"Future period","Current period"))</f>
        <v>Current period</v>
      </c>
      <c r="R41" s="5" t="str">
        <f aca="false" t="array" ref="R41:R41">_xlfn.XLOOKUP(A41,TRIM(SUBSTITUTE('worker file'!$A$2:$A$406,_xlfn.UNICHAR(160)," ")),'worker file'!$D$2:$D$406,"Not found")</f>
        <v>TX</v>
      </c>
    </row>
    <row r="42" customFormat="false" ht="15" hidden="false" customHeight="false" outlineLevel="0" collapsed="false">
      <c r="A42" s="5" t="s">
        <v>579</v>
      </c>
      <c r="B42" s="6" t="n">
        <v>46309</v>
      </c>
      <c r="C42" s="62" t="n">
        <v>0.584027777777778</v>
      </c>
      <c r="D42" s="62" t="n">
        <v>0.936111111111111</v>
      </c>
      <c r="E42" s="63" t="n">
        <v>0.750694444444444</v>
      </c>
      <c r="F42" s="64" t="n">
        <v>0.771527777777778</v>
      </c>
      <c r="G42" s="65" t="str">
        <f aca="false" t="array" ref="G42:G42">_xlfn.XLOOKUP(A42&amp;"|"&amp;B42,ShiftRoster[Employee ID]&amp;"|"&amp;ShiftRoster[Date],ShiftRoster[Shift Code],_xlfn.XLOOKUP(A42,TRIM(SUBSTITUTE('worker file'!$A$2:$A$406,_xlfn.UNICHAR(160)," ")),'worker file'!$X$2:$X$406,"?"),0,-1)</f>
        <v>SWNG</v>
      </c>
      <c r="H42" s="65" t="str">
        <f aca="false">_xlfn.XLOOKUP(G42,ShiftCodes[Code],ShiftCodes[Work Schedule],"Unknown")</f>
        <v>Shift B – Swing (Mon–Fri 14:00–22:30)</v>
      </c>
      <c r="I42" s="66" t="n">
        <f aca="false">_xlfn.XLOOKUP(G42,ShiftCodes[Code],ShiftCodes[Start],"")</f>
        <v>0.583333333333333</v>
      </c>
      <c r="J42" s="67" t="n">
        <f aca="false">IF(OR(C42="",I42=""),"",ROUND((MOD(C42-I42+0.5,1)-0.5)*1440,0))</f>
        <v>1</v>
      </c>
      <c r="K42" s="65" t="str">
        <f aca="false">IF(J42="","",IF(ABS(J42)&gt;$U$3,"Off-schedule","OK"))</f>
        <v>OK</v>
      </c>
      <c r="L42" s="68"/>
      <c r="M42" s="5" t="str">
        <f aca="false">TEXT(B42,"ddd")</f>
        <v>Wed</v>
      </c>
      <c r="N42" s="69" t="n">
        <f aca="false">IF(OR(C42="",D42=""),"",ROUND((MOD(D42-C42,1)-IF(ISNUMBER(E42),MOD(F42-E42,1),0))*24,2))</f>
        <v>7.95</v>
      </c>
      <c r="O42" s="5" t="s">
        <v>768</v>
      </c>
      <c r="P42" s="6" t="n">
        <v>46309</v>
      </c>
      <c r="Q42" s="5" t="str">
        <f aca="false">IF(B42&lt;$U$1,"Prior period",IF(B42&gt;$U$2,"Future period","Current period"))</f>
        <v>Current period</v>
      </c>
      <c r="R42" s="5" t="str">
        <f aca="false" t="array" ref="R42:R42">_xlfn.XLOOKUP(A42,TRIM(SUBSTITUTE('worker file'!$A$2:$A$406,_xlfn.UNICHAR(160)," ")),'worker file'!$D$2:$D$406,"Not found")</f>
        <v>TX</v>
      </c>
    </row>
    <row r="43" customFormat="false" ht="15" hidden="false" customHeight="false" outlineLevel="0" collapsed="false">
      <c r="A43" s="5" t="s">
        <v>579</v>
      </c>
      <c r="B43" s="6" t="n">
        <v>46310</v>
      </c>
      <c r="C43" s="62" t="n">
        <v>0.585416666666667</v>
      </c>
      <c r="D43" s="62" t="n">
        <v>0.936805555555556</v>
      </c>
      <c r="E43" s="63" t="n">
        <v>0.732638888888889</v>
      </c>
      <c r="F43" s="64" t="n">
        <v>0.753472222222222</v>
      </c>
      <c r="G43" s="65" t="str">
        <f aca="false" t="array" ref="G43:G43">_xlfn.XLOOKUP(A43&amp;"|"&amp;B43,ShiftRoster[Employee ID]&amp;"|"&amp;ShiftRoster[Date],ShiftRoster[Shift Code],_xlfn.XLOOKUP(A43,TRIM(SUBSTITUTE('worker file'!$A$2:$A$406,_xlfn.UNICHAR(160)," ")),'worker file'!$X$2:$X$406,"?"),0,-1)</f>
        <v>SWNG</v>
      </c>
      <c r="H43" s="65" t="str">
        <f aca="false">_xlfn.XLOOKUP(G43,ShiftCodes[Code],ShiftCodes[Work Schedule],"Unknown")</f>
        <v>Shift B – Swing (Mon–Fri 14:00–22:30)</v>
      </c>
      <c r="I43" s="66" t="n">
        <f aca="false">_xlfn.XLOOKUP(G43,ShiftCodes[Code],ShiftCodes[Start],"")</f>
        <v>0.583333333333333</v>
      </c>
      <c r="J43" s="67" t="n">
        <f aca="false">IF(OR(C43="",I43=""),"",ROUND((MOD(C43-I43+0.5,1)-0.5)*1440,0))</f>
        <v>3</v>
      </c>
      <c r="K43" s="65" t="str">
        <f aca="false">IF(J43="","",IF(ABS(J43)&gt;$U$3,"Off-schedule","OK"))</f>
        <v>OK</v>
      </c>
      <c r="L43" s="68"/>
      <c r="M43" s="5" t="str">
        <f aca="false">TEXT(B43,"ddd")</f>
        <v>Thu</v>
      </c>
      <c r="N43" s="69" t="n">
        <f aca="false">IF(OR(C43="",D43=""),"",ROUND((MOD(D43-C43,1)-IF(ISNUMBER(E43),MOD(F43-E43,1),0))*24,2))</f>
        <v>7.93</v>
      </c>
      <c r="O43" s="5" t="s">
        <v>768</v>
      </c>
      <c r="P43" s="6" t="n">
        <v>46310</v>
      </c>
      <c r="Q43" s="5" t="str">
        <f aca="false">IF(B43&lt;$U$1,"Prior period",IF(B43&gt;$U$2,"Future period","Current period"))</f>
        <v>Current period</v>
      </c>
      <c r="R43" s="5" t="str">
        <f aca="false" t="array" ref="R43:R43">_xlfn.XLOOKUP(A43,TRIM(SUBSTITUTE('worker file'!$A$2:$A$406,_xlfn.UNICHAR(160)," ")),'worker file'!$D$2:$D$406,"Not found")</f>
        <v>TX</v>
      </c>
    </row>
    <row r="44" customFormat="false" ht="15" hidden="false" customHeight="false" outlineLevel="0" collapsed="false">
      <c r="A44" s="5" t="s">
        <v>579</v>
      </c>
      <c r="B44" s="6" t="n">
        <v>46311</v>
      </c>
      <c r="C44" s="62" t="n">
        <v>0.583333333333333</v>
      </c>
      <c r="D44" s="62" t="n">
        <v>0.934722222222222</v>
      </c>
      <c r="E44" s="63" t="n">
        <v>0.750694444444444</v>
      </c>
      <c r="F44" s="64" t="n">
        <v>0.771527777777778</v>
      </c>
      <c r="G44" s="65" t="str">
        <f aca="false" t="array" ref="G44:G44">_xlfn.XLOOKUP(A44&amp;"|"&amp;B44,ShiftRoster[Employee ID]&amp;"|"&amp;ShiftRoster[Date],ShiftRoster[Shift Code],_xlfn.XLOOKUP(A44,TRIM(SUBSTITUTE('worker file'!$A$2:$A$406,_xlfn.UNICHAR(160)," ")),'worker file'!$X$2:$X$406,"?"),0,-1)</f>
        <v>SWNG</v>
      </c>
      <c r="H44" s="65" t="str">
        <f aca="false">_xlfn.XLOOKUP(G44,ShiftCodes[Code],ShiftCodes[Work Schedule],"Unknown")</f>
        <v>Shift B – Swing (Mon–Fri 14:00–22:30)</v>
      </c>
      <c r="I44" s="66" t="n">
        <f aca="false">_xlfn.XLOOKUP(G44,ShiftCodes[Code],ShiftCodes[Start],"")</f>
        <v>0.583333333333333</v>
      </c>
      <c r="J44" s="67" t="n">
        <f aca="false">IF(OR(C44="",I44=""),"",ROUND((MOD(C44-I44+0.5,1)-0.5)*1440,0))</f>
        <v>0</v>
      </c>
      <c r="K44" s="65" t="str">
        <f aca="false">IF(J44="","",IF(ABS(J44)&gt;$U$3,"Off-schedule","OK"))</f>
        <v>OK</v>
      </c>
      <c r="L44" s="68"/>
      <c r="M44" s="5" t="str">
        <f aca="false">TEXT(B44,"ddd")</f>
        <v>Fri</v>
      </c>
      <c r="N44" s="69" t="n">
        <f aca="false">IF(OR(C44="",D44=""),"",ROUND((MOD(D44-C44,1)-IF(ISNUMBER(E44),MOD(F44-E44,1),0))*24,2))</f>
        <v>7.93</v>
      </c>
      <c r="O44" s="5" t="s">
        <v>768</v>
      </c>
      <c r="P44" s="6" t="n">
        <v>46311</v>
      </c>
      <c r="Q44" s="5" t="str">
        <f aca="false">IF(B44&lt;$U$1,"Prior period",IF(B44&gt;$U$2,"Future period","Current period"))</f>
        <v>Current period</v>
      </c>
      <c r="R44" s="5" t="str">
        <f aca="false" t="array" ref="R44:R44">_xlfn.XLOOKUP(A44,TRIM(SUBSTITUTE('worker file'!$A$2:$A$406,_xlfn.UNICHAR(160)," ")),'worker file'!$D$2:$D$406,"Not found")</f>
        <v>TX</v>
      </c>
    </row>
    <row r="45" customFormat="false" ht="15" hidden="false" customHeight="false" outlineLevel="0" collapsed="false">
      <c r="A45" s="5" t="s">
        <v>131</v>
      </c>
      <c r="B45" s="6" t="n">
        <v>46300</v>
      </c>
      <c r="C45" s="62" t="n">
        <v>0.584027777777778</v>
      </c>
      <c r="D45" s="62" t="n">
        <v>0.934722222222222</v>
      </c>
      <c r="E45" s="63" t="n">
        <v>0.761805555555556</v>
      </c>
      <c r="F45" s="64" t="n">
        <v>0.782638888888889</v>
      </c>
      <c r="G45" s="65" t="str">
        <f aca="false" t="array" ref="G45:G45">_xlfn.XLOOKUP(A45&amp;"|"&amp;B45,ShiftRoster[Employee ID]&amp;"|"&amp;ShiftRoster[Date],ShiftRoster[Shift Code],_xlfn.XLOOKUP(A45,TRIM(SUBSTITUTE('worker file'!$A$2:$A$406,_xlfn.UNICHAR(160)," ")),'worker file'!$X$2:$X$406,"?"),0,-1)</f>
        <v>SWNG</v>
      </c>
      <c r="H45" s="65" t="str">
        <f aca="false">_xlfn.XLOOKUP(G45,ShiftCodes[Code],ShiftCodes[Work Schedule],"Unknown")</f>
        <v>Shift B – Swing (Mon–Fri 14:00–22:30)</v>
      </c>
      <c r="I45" s="66" t="n">
        <f aca="false">_xlfn.XLOOKUP(G45,ShiftCodes[Code],ShiftCodes[Start],"")</f>
        <v>0.583333333333333</v>
      </c>
      <c r="J45" s="67" t="n">
        <f aca="false">IF(OR(C45="",I45=""),"",ROUND((MOD(C45-I45+0.5,1)-0.5)*1440,0))</f>
        <v>1</v>
      </c>
      <c r="K45" s="65" t="str">
        <f aca="false">IF(J45="","",IF(ABS(J45)&gt;$U$3,"Off-schedule","OK"))</f>
        <v>OK</v>
      </c>
      <c r="L45" s="68"/>
      <c r="M45" s="5" t="str">
        <f aca="false">TEXT(B45,"ddd")</f>
        <v>Mon</v>
      </c>
      <c r="N45" s="69" t="n">
        <f aca="false">IF(OR(C45="",D45=""),"",ROUND((MOD(D45-C45,1)-IF(ISNUMBER(E45),MOD(F45-E45,1),0))*24,2))</f>
        <v>7.92</v>
      </c>
      <c r="O45" s="5" t="s">
        <v>768</v>
      </c>
      <c r="P45" s="6" t="n">
        <v>46300</v>
      </c>
      <c r="Q45" s="5" t="str">
        <f aca="false">IF(B45&lt;$U$1,"Prior period",IF(B45&gt;$U$2,"Future period","Current period"))</f>
        <v>Current period</v>
      </c>
      <c r="R45" s="5" t="str">
        <f aca="false" t="array" ref="R45:R45">_xlfn.XLOOKUP(A45,TRIM(SUBSTITUTE('worker file'!$A$2:$A$406,_xlfn.UNICHAR(160)," ")),'worker file'!$D$2:$D$406,"Not found")</f>
        <v>CA</v>
      </c>
    </row>
    <row r="46" customFormat="false" ht="15" hidden="false" customHeight="false" outlineLevel="0" collapsed="false">
      <c r="A46" s="5" t="s">
        <v>131</v>
      </c>
      <c r="B46" s="6" t="n">
        <v>46301</v>
      </c>
      <c r="C46" s="62" t="n">
        <v>0.580555555555556</v>
      </c>
      <c r="D46" s="62" t="n">
        <v>0.932638888888889</v>
      </c>
      <c r="E46" s="63" t="n">
        <v>0.738194444444445</v>
      </c>
      <c r="F46" s="64" t="n">
        <v>0.759027777777778</v>
      </c>
      <c r="G46" s="65" t="str">
        <f aca="false" t="array" ref="G46:G46">_xlfn.XLOOKUP(A46&amp;"|"&amp;B46,ShiftRoster[Employee ID]&amp;"|"&amp;ShiftRoster[Date],ShiftRoster[Shift Code],_xlfn.XLOOKUP(A46,TRIM(SUBSTITUTE('worker file'!$A$2:$A$406,_xlfn.UNICHAR(160)," ")),'worker file'!$X$2:$X$406,"?"),0,-1)</f>
        <v>SWNG</v>
      </c>
      <c r="H46" s="65" t="str">
        <f aca="false">_xlfn.XLOOKUP(G46,ShiftCodes[Code],ShiftCodes[Work Schedule],"Unknown")</f>
        <v>Shift B – Swing (Mon–Fri 14:00–22:30)</v>
      </c>
      <c r="I46" s="66" t="n">
        <f aca="false">_xlfn.XLOOKUP(G46,ShiftCodes[Code],ShiftCodes[Start],"")</f>
        <v>0.583333333333333</v>
      </c>
      <c r="J46" s="67" t="n">
        <f aca="false">IF(OR(C46="",I46=""),"",ROUND((MOD(C46-I46+0.5,1)-0.5)*1440,0))</f>
        <v>-4</v>
      </c>
      <c r="K46" s="65" t="str">
        <f aca="false">IF(J46="","",IF(ABS(J46)&gt;$U$3,"Off-schedule","OK"))</f>
        <v>OK</v>
      </c>
      <c r="L46" s="68"/>
      <c r="M46" s="5" t="str">
        <f aca="false">TEXT(B46,"ddd")</f>
        <v>Tue</v>
      </c>
      <c r="N46" s="69" t="n">
        <f aca="false">IF(OR(C46="",D46=""),"",ROUND((MOD(D46-C46,1)-IF(ISNUMBER(E46),MOD(F46-E46,1),0))*24,2))</f>
        <v>7.95</v>
      </c>
      <c r="O46" s="5" t="s">
        <v>768</v>
      </c>
      <c r="P46" s="6" t="n">
        <v>46301</v>
      </c>
      <c r="Q46" s="5" t="str">
        <f aca="false">IF(B46&lt;$U$1,"Prior period",IF(B46&gt;$U$2,"Future period","Current period"))</f>
        <v>Current period</v>
      </c>
      <c r="R46" s="5" t="str">
        <f aca="false" t="array" ref="R46:R46">_xlfn.XLOOKUP(A46,TRIM(SUBSTITUTE('worker file'!$A$2:$A$406,_xlfn.UNICHAR(160)," ")),'worker file'!$D$2:$D$406,"Not found")</f>
        <v>CA</v>
      </c>
    </row>
    <row r="47" customFormat="false" ht="15" hidden="false" customHeight="false" outlineLevel="0" collapsed="false">
      <c r="A47" s="5" t="s">
        <v>131</v>
      </c>
      <c r="B47" s="6" t="n">
        <v>46302</v>
      </c>
      <c r="C47" s="62" t="n">
        <v>0.579861111111111</v>
      </c>
      <c r="D47" s="62" t="n">
        <v>0.929166666666667</v>
      </c>
      <c r="E47" s="63" t="n">
        <v>0.745833333333333</v>
      </c>
      <c r="F47" s="64" t="n">
        <v>0.766666666666667</v>
      </c>
      <c r="G47" s="65" t="str">
        <f aca="false" t="array" ref="G47:G47">_xlfn.XLOOKUP(A47&amp;"|"&amp;B47,ShiftRoster[Employee ID]&amp;"|"&amp;ShiftRoster[Date],ShiftRoster[Shift Code],_xlfn.XLOOKUP(A47,TRIM(SUBSTITUTE('worker file'!$A$2:$A$406,_xlfn.UNICHAR(160)," ")),'worker file'!$X$2:$X$406,"?"),0,-1)</f>
        <v>SWNG</v>
      </c>
      <c r="H47" s="65" t="str">
        <f aca="false">_xlfn.XLOOKUP(G47,ShiftCodes[Code],ShiftCodes[Work Schedule],"Unknown")</f>
        <v>Shift B – Swing (Mon–Fri 14:00–22:30)</v>
      </c>
      <c r="I47" s="66" t="n">
        <f aca="false">_xlfn.XLOOKUP(G47,ShiftCodes[Code],ShiftCodes[Start],"")</f>
        <v>0.583333333333333</v>
      </c>
      <c r="J47" s="67" t="n">
        <f aca="false">IF(OR(C47="",I47=""),"",ROUND((MOD(C47-I47+0.5,1)-0.5)*1440,0))</f>
        <v>-5</v>
      </c>
      <c r="K47" s="65" t="str">
        <f aca="false">IF(J47="","",IF(ABS(J47)&gt;$U$3,"Off-schedule","OK"))</f>
        <v>OK</v>
      </c>
      <c r="L47" s="68"/>
      <c r="M47" s="5" t="str">
        <f aca="false">TEXT(B47,"ddd")</f>
        <v>Wed</v>
      </c>
      <c r="N47" s="69" t="n">
        <f aca="false">IF(OR(C47="",D47=""),"",ROUND((MOD(D47-C47,1)-IF(ISNUMBER(E47),MOD(F47-E47,1),0))*24,2))</f>
        <v>7.88</v>
      </c>
      <c r="O47" s="5" t="s">
        <v>768</v>
      </c>
      <c r="P47" s="6" t="n">
        <v>46302</v>
      </c>
      <c r="Q47" s="5" t="str">
        <f aca="false">IF(B47&lt;$U$1,"Prior period",IF(B47&gt;$U$2,"Future period","Current period"))</f>
        <v>Current period</v>
      </c>
      <c r="R47" s="5" t="str">
        <f aca="false" t="array" ref="R47:R47">_xlfn.XLOOKUP(A47,TRIM(SUBSTITUTE('worker file'!$A$2:$A$406,_xlfn.UNICHAR(160)," ")),'worker file'!$D$2:$D$406,"Not found")</f>
        <v>CA</v>
      </c>
    </row>
    <row r="48" customFormat="false" ht="15" hidden="false" customHeight="false" outlineLevel="0" collapsed="false">
      <c r="A48" s="5" t="s">
        <v>131</v>
      </c>
      <c r="B48" s="6" t="n">
        <v>46303</v>
      </c>
      <c r="C48" s="62" t="n">
        <v>0.585416666666667</v>
      </c>
      <c r="D48" s="62" t="n">
        <v>0.936805555555556</v>
      </c>
      <c r="E48" s="63" t="n">
        <v>0.745138888888889</v>
      </c>
      <c r="F48" s="64" t="n">
        <v>0.765972222222222</v>
      </c>
      <c r="G48" s="65" t="str">
        <f aca="false" t="array" ref="G48:G48">_xlfn.XLOOKUP(A48&amp;"|"&amp;B48,ShiftRoster[Employee ID]&amp;"|"&amp;ShiftRoster[Date],ShiftRoster[Shift Code],_xlfn.XLOOKUP(A48,TRIM(SUBSTITUTE('worker file'!$A$2:$A$406,_xlfn.UNICHAR(160)," ")),'worker file'!$X$2:$X$406,"?"),0,-1)</f>
        <v>SWNG</v>
      </c>
      <c r="H48" s="65" t="str">
        <f aca="false">_xlfn.XLOOKUP(G48,ShiftCodes[Code],ShiftCodes[Work Schedule],"Unknown")</f>
        <v>Shift B – Swing (Mon–Fri 14:00–22:30)</v>
      </c>
      <c r="I48" s="66" t="n">
        <f aca="false">_xlfn.XLOOKUP(G48,ShiftCodes[Code],ShiftCodes[Start],"")</f>
        <v>0.583333333333333</v>
      </c>
      <c r="J48" s="67" t="n">
        <f aca="false">IF(OR(C48="",I48=""),"",ROUND((MOD(C48-I48+0.5,1)-0.5)*1440,0))</f>
        <v>3</v>
      </c>
      <c r="K48" s="65" t="str">
        <f aca="false">IF(J48="","",IF(ABS(J48)&gt;$U$3,"Off-schedule","OK"))</f>
        <v>OK</v>
      </c>
      <c r="L48" s="68"/>
      <c r="M48" s="5" t="str">
        <f aca="false">TEXT(B48,"ddd")</f>
        <v>Thu</v>
      </c>
      <c r="N48" s="69" t="n">
        <f aca="false">IF(OR(C48="",D48=""),"",ROUND((MOD(D48-C48,1)-IF(ISNUMBER(E48),MOD(F48-E48,1),0))*24,2))</f>
        <v>7.93</v>
      </c>
      <c r="O48" s="5" t="s">
        <v>768</v>
      </c>
      <c r="P48" s="6" t="n">
        <v>46303</v>
      </c>
      <c r="Q48" s="5" t="str">
        <f aca="false">IF(B48&lt;$U$1,"Prior period",IF(B48&gt;$U$2,"Future period","Current period"))</f>
        <v>Current period</v>
      </c>
      <c r="R48" s="5" t="str">
        <f aca="false" t="array" ref="R48:R48">_xlfn.XLOOKUP(A48,TRIM(SUBSTITUTE('worker file'!$A$2:$A$406,_xlfn.UNICHAR(160)," ")),'worker file'!$D$2:$D$406,"Not found")</f>
        <v>CA</v>
      </c>
    </row>
    <row r="49" customFormat="false" ht="15" hidden="false" customHeight="false" outlineLevel="0" collapsed="false">
      <c r="A49" s="5" t="s">
        <v>131</v>
      </c>
      <c r="B49" s="6" t="n">
        <v>46304</v>
      </c>
      <c r="C49" s="62" t="n">
        <v>0.584722222222222</v>
      </c>
      <c r="D49" s="62" t="n">
        <v>0.935416666666667</v>
      </c>
      <c r="E49" s="63" t="n">
        <v>0.765277777777778</v>
      </c>
      <c r="F49" s="64" t="n">
        <v>0.786111111111111</v>
      </c>
      <c r="G49" s="65" t="str">
        <f aca="false" t="array" ref="G49:G49">_xlfn.XLOOKUP(A49&amp;"|"&amp;B49,ShiftRoster[Employee ID]&amp;"|"&amp;ShiftRoster[Date],ShiftRoster[Shift Code],_xlfn.XLOOKUP(A49,TRIM(SUBSTITUTE('worker file'!$A$2:$A$406,_xlfn.UNICHAR(160)," ")),'worker file'!$X$2:$X$406,"?"),0,-1)</f>
        <v>SWNG</v>
      </c>
      <c r="H49" s="65" t="str">
        <f aca="false">_xlfn.XLOOKUP(G49,ShiftCodes[Code],ShiftCodes[Work Schedule],"Unknown")</f>
        <v>Shift B – Swing (Mon–Fri 14:00–22:30)</v>
      </c>
      <c r="I49" s="66" t="n">
        <f aca="false">_xlfn.XLOOKUP(G49,ShiftCodes[Code],ShiftCodes[Start],"")</f>
        <v>0.583333333333333</v>
      </c>
      <c r="J49" s="67" t="n">
        <f aca="false">IF(OR(C49="",I49=""),"",ROUND((MOD(C49-I49+0.5,1)-0.5)*1440,0))</f>
        <v>2</v>
      </c>
      <c r="K49" s="65" t="str">
        <f aca="false">IF(J49="","",IF(ABS(J49)&gt;$U$3,"Off-schedule","OK"))</f>
        <v>OK</v>
      </c>
      <c r="L49" s="68"/>
      <c r="M49" s="5" t="str">
        <f aca="false">TEXT(B49,"ddd")</f>
        <v>Fri</v>
      </c>
      <c r="N49" s="69" t="n">
        <f aca="false">IF(OR(C49="",D49=""),"",ROUND((MOD(D49-C49,1)-IF(ISNUMBER(E49),MOD(F49-E49,1),0))*24,2))</f>
        <v>7.92</v>
      </c>
      <c r="O49" s="5" t="s">
        <v>768</v>
      </c>
      <c r="P49" s="6" t="n">
        <v>46304</v>
      </c>
      <c r="Q49" s="5" t="str">
        <f aca="false">IF(B49&lt;$U$1,"Prior period",IF(B49&gt;$U$2,"Future period","Current period"))</f>
        <v>Current period</v>
      </c>
      <c r="R49" s="5" t="str">
        <f aca="false" t="array" ref="R49:R49">_xlfn.XLOOKUP(A49,TRIM(SUBSTITUTE('worker file'!$A$2:$A$406,_xlfn.UNICHAR(160)," ")),'worker file'!$D$2:$D$406,"Not found")</f>
        <v>CA</v>
      </c>
    </row>
    <row r="50" customFormat="false" ht="15" hidden="false" customHeight="false" outlineLevel="0" collapsed="false">
      <c r="A50" s="5" t="s">
        <v>131</v>
      </c>
      <c r="B50" s="6" t="n">
        <v>46307</v>
      </c>
      <c r="C50" s="62" t="n">
        <v>0.579166666666667</v>
      </c>
      <c r="D50" s="62" t="n">
        <v>0.930555555555556</v>
      </c>
      <c r="E50" s="63" t="n">
        <v>0.743055555555556</v>
      </c>
      <c r="F50" s="64" t="n">
        <v>0.763888888888889</v>
      </c>
      <c r="G50" s="65" t="str">
        <f aca="false" t="array" ref="G50:G50">_xlfn.XLOOKUP(A50&amp;"|"&amp;B50,ShiftRoster[Employee ID]&amp;"|"&amp;ShiftRoster[Date],ShiftRoster[Shift Code],_xlfn.XLOOKUP(A50,TRIM(SUBSTITUTE('worker file'!$A$2:$A$406,_xlfn.UNICHAR(160)," ")),'worker file'!$X$2:$X$406,"?"),0,-1)</f>
        <v>SWNG</v>
      </c>
      <c r="H50" s="65" t="str">
        <f aca="false">_xlfn.XLOOKUP(G50,ShiftCodes[Code],ShiftCodes[Work Schedule],"Unknown")</f>
        <v>Shift B – Swing (Mon–Fri 14:00–22:30)</v>
      </c>
      <c r="I50" s="66" t="n">
        <f aca="false">_xlfn.XLOOKUP(G50,ShiftCodes[Code],ShiftCodes[Start],"")</f>
        <v>0.583333333333333</v>
      </c>
      <c r="J50" s="67" t="n">
        <f aca="false">IF(OR(C50="",I50=""),"",ROUND((MOD(C50-I50+0.5,1)-0.5)*1440,0))</f>
        <v>-6</v>
      </c>
      <c r="K50" s="65" t="str">
        <f aca="false">IF(J50="","",IF(ABS(J50)&gt;$U$3,"Off-schedule","OK"))</f>
        <v>OK</v>
      </c>
      <c r="L50" s="68"/>
      <c r="M50" s="5" t="str">
        <f aca="false">TEXT(B50,"ddd")</f>
        <v>Mon</v>
      </c>
      <c r="N50" s="69" t="n">
        <f aca="false">IF(OR(C50="",D50=""),"",ROUND((MOD(D50-C50,1)-IF(ISNUMBER(E50),MOD(F50-E50,1),0))*24,2))</f>
        <v>7.93</v>
      </c>
      <c r="O50" s="5" t="s">
        <v>768</v>
      </c>
      <c r="P50" s="6" t="n">
        <v>46307</v>
      </c>
      <c r="Q50" s="5" t="str">
        <f aca="false">IF(B50&lt;$U$1,"Prior period",IF(B50&gt;$U$2,"Future period","Current period"))</f>
        <v>Current period</v>
      </c>
      <c r="R50" s="5" t="str">
        <f aca="false" t="array" ref="R50:R50">_xlfn.XLOOKUP(A50,TRIM(SUBSTITUTE('worker file'!$A$2:$A$406,_xlfn.UNICHAR(160)," ")),'worker file'!$D$2:$D$406,"Not found")</f>
        <v>CA</v>
      </c>
    </row>
    <row r="51" customFormat="false" ht="15" hidden="false" customHeight="false" outlineLevel="0" collapsed="false">
      <c r="A51" s="5" t="s">
        <v>131</v>
      </c>
      <c r="B51" s="6" t="n">
        <v>46308</v>
      </c>
      <c r="C51" s="62" t="n">
        <v>0.583333333333333</v>
      </c>
      <c r="D51" s="62" t="n">
        <v>0.936805555555556</v>
      </c>
      <c r="E51" s="63" t="n">
        <v>0.746527777777778</v>
      </c>
      <c r="F51" s="64" t="n">
        <v>0.767361111111111</v>
      </c>
      <c r="G51" s="65" t="str">
        <f aca="false" t="array" ref="G51:G51">_xlfn.XLOOKUP(A51&amp;"|"&amp;B51,ShiftRoster[Employee ID]&amp;"|"&amp;ShiftRoster[Date],ShiftRoster[Shift Code],_xlfn.XLOOKUP(A51,TRIM(SUBSTITUTE('worker file'!$A$2:$A$406,_xlfn.UNICHAR(160)," ")),'worker file'!$X$2:$X$406,"?"),0,-1)</f>
        <v>SWNG</v>
      </c>
      <c r="H51" s="65" t="str">
        <f aca="false">_xlfn.XLOOKUP(G51,ShiftCodes[Code],ShiftCodes[Work Schedule],"Unknown")</f>
        <v>Shift B – Swing (Mon–Fri 14:00–22:30)</v>
      </c>
      <c r="I51" s="66" t="n">
        <f aca="false">_xlfn.XLOOKUP(G51,ShiftCodes[Code],ShiftCodes[Start],"")</f>
        <v>0.583333333333333</v>
      </c>
      <c r="J51" s="67" t="n">
        <f aca="false">IF(OR(C51="",I51=""),"",ROUND((MOD(C51-I51+0.5,1)-0.5)*1440,0))</f>
        <v>0</v>
      </c>
      <c r="K51" s="65" t="str">
        <f aca="false">IF(J51="","",IF(ABS(J51)&gt;$U$3,"Off-schedule","OK"))</f>
        <v>OK</v>
      </c>
      <c r="L51" s="68"/>
      <c r="M51" s="5" t="str">
        <f aca="false">TEXT(B51,"ddd")</f>
        <v>Tue</v>
      </c>
      <c r="N51" s="69" t="n">
        <f aca="false">IF(OR(C51="",D51=""),"",ROUND((MOD(D51-C51,1)-IF(ISNUMBER(E51),MOD(F51-E51,1),0))*24,2))</f>
        <v>7.98</v>
      </c>
      <c r="O51" s="5" t="s">
        <v>768</v>
      </c>
      <c r="P51" s="6" t="n">
        <v>46308</v>
      </c>
      <c r="Q51" s="5" t="str">
        <f aca="false">IF(B51&lt;$U$1,"Prior period",IF(B51&gt;$U$2,"Future period","Current period"))</f>
        <v>Current period</v>
      </c>
      <c r="R51" s="5" t="str">
        <f aca="false" t="array" ref="R51:R51">_xlfn.XLOOKUP(A51,TRIM(SUBSTITUTE('worker file'!$A$2:$A$406,_xlfn.UNICHAR(160)," ")),'worker file'!$D$2:$D$406,"Not found")</f>
        <v>CA</v>
      </c>
    </row>
    <row r="52" customFormat="false" ht="15" hidden="false" customHeight="false" outlineLevel="0" collapsed="false">
      <c r="A52" s="5" t="s">
        <v>131</v>
      </c>
      <c r="B52" s="6" t="n">
        <v>46309</v>
      </c>
      <c r="C52" s="62" t="n">
        <v>0.579166666666667</v>
      </c>
      <c r="D52" s="62" t="n">
        <v>0.931944444444445</v>
      </c>
      <c r="E52" s="63" t="n">
        <v>0.745138888888889</v>
      </c>
      <c r="F52" s="64" t="n">
        <v>0.765972222222222</v>
      </c>
      <c r="G52" s="65" t="str">
        <f aca="false" t="array" ref="G52:G52">_xlfn.XLOOKUP(A52&amp;"|"&amp;B52,ShiftRoster[Employee ID]&amp;"|"&amp;ShiftRoster[Date],ShiftRoster[Shift Code],_xlfn.XLOOKUP(A52,TRIM(SUBSTITUTE('worker file'!$A$2:$A$406,_xlfn.UNICHAR(160)," ")),'worker file'!$X$2:$X$406,"?"),0,-1)</f>
        <v>SWNG</v>
      </c>
      <c r="H52" s="65" t="str">
        <f aca="false">_xlfn.XLOOKUP(G52,ShiftCodes[Code],ShiftCodes[Work Schedule],"Unknown")</f>
        <v>Shift B – Swing (Mon–Fri 14:00–22:30)</v>
      </c>
      <c r="I52" s="66" t="n">
        <f aca="false">_xlfn.XLOOKUP(G52,ShiftCodes[Code],ShiftCodes[Start],"")</f>
        <v>0.583333333333333</v>
      </c>
      <c r="J52" s="67" t="n">
        <f aca="false">IF(OR(C52="",I52=""),"",ROUND((MOD(C52-I52+0.5,1)-0.5)*1440,0))</f>
        <v>-6</v>
      </c>
      <c r="K52" s="65" t="str">
        <f aca="false">IF(J52="","",IF(ABS(J52)&gt;$U$3,"Off-schedule","OK"))</f>
        <v>OK</v>
      </c>
      <c r="L52" s="68" t="s">
        <v>776</v>
      </c>
      <c r="M52" s="5" t="str">
        <f aca="false">TEXT(B52,"ddd")</f>
        <v>Wed</v>
      </c>
      <c r="N52" s="69" t="n">
        <f aca="false">IF(OR(C52="",D52=""),"",ROUND((MOD(D52-C52,1)-IF(ISNUMBER(E52),MOD(F52-E52,1),0))*24,2))</f>
        <v>7.97</v>
      </c>
      <c r="O52" s="5" t="s">
        <v>768</v>
      </c>
      <c r="P52" s="6" t="n">
        <v>46309</v>
      </c>
      <c r="Q52" s="5" t="str">
        <f aca="false">IF(B52&lt;$U$1,"Prior period",IF(B52&gt;$U$2,"Future period","Current period"))</f>
        <v>Current period</v>
      </c>
      <c r="R52" s="5" t="str">
        <f aca="false" t="array" ref="R52:R52">_xlfn.XLOOKUP(A52,TRIM(SUBSTITUTE('worker file'!$A$2:$A$406,_xlfn.UNICHAR(160)," ")),'worker file'!$D$2:$D$406,"Not found")</f>
        <v>CA</v>
      </c>
    </row>
    <row r="53" customFormat="false" ht="15" hidden="false" customHeight="false" outlineLevel="0" collapsed="false">
      <c r="A53" s="5" t="s">
        <v>131</v>
      </c>
      <c r="B53" s="6" t="n">
        <v>46310</v>
      </c>
      <c r="C53" s="62" t="n">
        <v>0.583333333333333</v>
      </c>
      <c r="D53" s="62" t="n">
        <v>0.936805555555556</v>
      </c>
      <c r="E53" s="63" t="n">
        <v>0.733333333333333</v>
      </c>
      <c r="F53" s="64" t="n">
        <v>0.754166666666667</v>
      </c>
      <c r="G53" s="65" t="str">
        <f aca="false" t="array" ref="G53:G53">_xlfn.XLOOKUP(A53&amp;"|"&amp;B53,ShiftRoster[Employee ID]&amp;"|"&amp;ShiftRoster[Date],ShiftRoster[Shift Code],_xlfn.XLOOKUP(A53,TRIM(SUBSTITUTE('worker file'!$A$2:$A$406,_xlfn.UNICHAR(160)," ")),'worker file'!$X$2:$X$406,"?"),0,-1)</f>
        <v>SWNG</v>
      </c>
      <c r="H53" s="65" t="str">
        <f aca="false">_xlfn.XLOOKUP(G53,ShiftCodes[Code],ShiftCodes[Work Schedule],"Unknown")</f>
        <v>Shift B – Swing (Mon–Fri 14:00–22:30)</v>
      </c>
      <c r="I53" s="66" t="n">
        <f aca="false">_xlfn.XLOOKUP(G53,ShiftCodes[Code],ShiftCodes[Start],"")</f>
        <v>0.583333333333333</v>
      </c>
      <c r="J53" s="67" t="n">
        <f aca="false">IF(OR(C53="",I53=""),"",ROUND((MOD(C53-I53+0.5,1)-0.5)*1440,0))</f>
        <v>0</v>
      </c>
      <c r="K53" s="65" t="str">
        <f aca="false">IF(J53="","",IF(ABS(J53)&gt;$U$3,"Off-schedule","OK"))</f>
        <v>OK</v>
      </c>
      <c r="L53" s="68"/>
      <c r="M53" s="5" t="str">
        <f aca="false">TEXT(B53,"ddd")</f>
        <v>Thu</v>
      </c>
      <c r="N53" s="69" t="n">
        <f aca="false">IF(OR(C53="",D53=""),"",ROUND((MOD(D53-C53,1)-IF(ISNUMBER(E53),MOD(F53-E53,1),0))*24,2))</f>
        <v>7.98</v>
      </c>
      <c r="O53" s="5" t="s">
        <v>768</v>
      </c>
      <c r="P53" s="6" t="n">
        <v>46310</v>
      </c>
      <c r="Q53" s="5" t="str">
        <f aca="false">IF(B53&lt;$U$1,"Prior period",IF(B53&gt;$U$2,"Future period","Current period"))</f>
        <v>Current period</v>
      </c>
      <c r="R53" s="5" t="str">
        <f aca="false" t="array" ref="R53:R53">_xlfn.XLOOKUP(A53,TRIM(SUBSTITUTE('worker file'!$A$2:$A$406,_xlfn.UNICHAR(160)," ")),'worker file'!$D$2:$D$406,"Not found")</f>
        <v>CA</v>
      </c>
    </row>
    <row r="54" customFormat="false" ht="15" hidden="false" customHeight="false" outlineLevel="0" collapsed="false">
      <c r="A54" s="5" t="s">
        <v>131</v>
      </c>
      <c r="B54" s="6" t="n">
        <v>46311</v>
      </c>
      <c r="C54" s="62" t="n">
        <v>0.584027777777778</v>
      </c>
      <c r="D54" s="62" t="n">
        <v>0.936805555555556</v>
      </c>
      <c r="E54" s="63" t="n">
        <v>0.752083333333333</v>
      </c>
      <c r="F54" s="64" t="n">
        <v>0.772916666666667</v>
      </c>
      <c r="G54" s="65" t="str">
        <f aca="false" t="array" ref="G54:G54">_xlfn.XLOOKUP(A54&amp;"|"&amp;B54,ShiftRoster[Employee ID]&amp;"|"&amp;ShiftRoster[Date],ShiftRoster[Shift Code],_xlfn.XLOOKUP(A54,TRIM(SUBSTITUTE('worker file'!$A$2:$A$406,_xlfn.UNICHAR(160)," ")),'worker file'!$X$2:$X$406,"?"),0,-1)</f>
        <v>SWNG</v>
      </c>
      <c r="H54" s="65" t="str">
        <f aca="false">_xlfn.XLOOKUP(G54,ShiftCodes[Code],ShiftCodes[Work Schedule],"Unknown")</f>
        <v>Shift B – Swing (Mon–Fri 14:00–22:30)</v>
      </c>
      <c r="I54" s="66" t="n">
        <f aca="false">_xlfn.XLOOKUP(G54,ShiftCodes[Code],ShiftCodes[Start],"")</f>
        <v>0.583333333333333</v>
      </c>
      <c r="J54" s="67" t="n">
        <f aca="false">IF(OR(C54="",I54=""),"",ROUND((MOD(C54-I54+0.5,1)-0.5)*1440,0))</f>
        <v>1</v>
      </c>
      <c r="K54" s="65" t="str">
        <f aca="false">IF(J54="","",IF(ABS(J54)&gt;$U$3,"Off-schedule","OK"))</f>
        <v>OK</v>
      </c>
      <c r="L54" s="68"/>
      <c r="M54" s="5" t="str">
        <f aca="false">TEXT(B54,"ddd")</f>
        <v>Fri</v>
      </c>
      <c r="N54" s="69" t="n">
        <f aca="false">IF(OR(C54="",D54=""),"",ROUND((MOD(D54-C54,1)-IF(ISNUMBER(E54),MOD(F54-E54,1),0))*24,2))</f>
        <v>7.97</v>
      </c>
      <c r="O54" s="5" t="s">
        <v>768</v>
      </c>
      <c r="P54" s="6" t="n">
        <v>46311</v>
      </c>
      <c r="Q54" s="5" t="str">
        <f aca="false">IF(B54&lt;$U$1,"Prior period",IF(B54&gt;$U$2,"Future period","Current period"))</f>
        <v>Current period</v>
      </c>
      <c r="R54" s="5" t="str">
        <f aca="false" t="array" ref="R54:R54">_xlfn.XLOOKUP(A54,TRIM(SUBSTITUTE('worker file'!$A$2:$A$406,_xlfn.UNICHAR(160)," ")),'worker file'!$D$2:$D$406,"Not found")</f>
        <v>CA</v>
      </c>
    </row>
    <row r="55" customFormat="false" ht="15" hidden="false" customHeight="false" outlineLevel="0" collapsed="false">
      <c r="A55" s="5" t="s">
        <v>134</v>
      </c>
      <c r="B55" s="6" t="n">
        <v>46300</v>
      </c>
      <c r="C55" s="62" t="n">
        <v>0.579166666666667</v>
      </c>
      <c r="D55" s="62" t="n">
        <v>0.927777777777778</v>
      </c>
      <c r="E55" s="63" t="n">
        <v>0.75</v>
      </c>
      <c r="F55" s="64" t="n">
        <v>0.770833333333333</v>
      </c>
      <c r="G55" s="65" t="str">
        <f aca="false" t="array" ref="G55:G55">_xlfn.XLOOKUP(A55&amp;"|"&amp;B55,ShiftRoster[Employee ID]&amp;"|"&amp;ShiftRoster[Date],ShiftRoster[Shift Code],_xlfn.XLOOKUP(A55,TRIM(SUBSTITUTE('worker file'!$A$2:$A$406,_xlfn.UNICHAR(160)," ")),'worker file'!$X$2:$X$406,"?"),0,-1)</f>
        <v>SWNG</v>
      </c>
      <c r="H55" s="65" t="str">
        <f aca="false">_xlfn.XLOOKUP(G55,ShiftCodes[Code],ShiftCodes[Work Schedule],"Unknown")</f>
        <v>Shift B – Swing (Mon–Fri 14:00–22:30)</v>
      </c>
      <c r="I55" s="66" t="n">
        <f aca="false">_xlfn.XLOOKUP(G55,ShiftCodes[Code],ShiftCodes[Start],"")</f>
        <v>0.583333333333333</v>
      </c>
      <c r="J55" s="67" t="n">
        <f aca="false">IF(OR(C55="",I55=""),"",ROUND((MOD(C55-I55+0.5,1)-0.5)*1440,0))</f>
        <v>-6</v>
      </c>
      <c r="K55" s="65" t="str">
        <f aca="false">IF(J55="","",IF(ABS(J55)&gt;$U$3,"Off-schedule","OK"))</f>
        <v>OK</v>
      </c>
      <c r="L55" s="68"/>
      <c r="M55" s="5" t="str">
        <f aca="false">TEXT(B55,"ddd")</f>
        <v>Mon</v>
      </c>
      <c r="N55" s="69" t="n">
        <f aca="false">IF(OR(C55="",D55=""),"",ROUND((MOD(D55-C55,1)-IF(ISNUMBER(E55),MOD(F55-E55,1),0))*24,2))</f>
        <v>7.87</v>
      </c>
      <c r="O55" s="5" t="s">
        <v>768</v>
      </c>
      <c r="P55" s="6" t="n">
        <v>46300</v>
      </c>
      <c r="Q55" s="5" t="str">
        <f aca="false">IF(B55&lt;$U$1,"Prior period",IF(B55&gt;$U$2,"Future period","Current period"))</f>
        <v>Current period</v>
      </c>
      <c r="R55" s="5" t="str">
        <f aca="false" t="array" ref="R55:R55">_xlfn.XLOOKUP(A55,TRIM(SUBSTITUTE('worker file'!$A$2:$A$406,_xlfn.UNICHAR(160)," ")),'worker file'!$D$2:$D$406,"Not found")</f>
        <v>CA</v>
      </c>
    </row>
    <row r="56" customFormat="false" ht="15" hidden="false" customHeight="false" outlineLevel="0" collapsed="false">
      <c r="A56" s="5" t="s">
        <v>134</v>
      </c>
      <c r="B56" s="6" t="n">
        <v>46301</v>
      </c>
      <c r="C56" s="62" t="n">
        <v>0.579166666666667</v>
      </c>
      <c r="D56" s="62" t="n">
        <v>0.933333333333333</v>
      </c>
      <c r="E56" s="63" t="n">
        <v>0.760416666666667</v>
      </c>
      <c r="F56" s="64" t="n">
        <v>0.78125</v>
      </c>
      <c r="G56" s="65" t="str">
        <f aca="false" t="array" ref="G56:G56">_xlfn.XLOOKUP(A56&amp;"|"&amp;B56,ShiftRoster[Employee ID]&amp;"|"&amp;ShiftRoster[Date],ShiftRoster[Shift Code],_xlfn.XLOOKUP(A56,TRIM(SUBSTITUTE('worker file'!$A$2:$A$406,_xlfn.UNICHAR(160)," ")),'worker file'!$X$2:$X$406,"?"),0,-1)</f>
        <v>SWNG</v>
      </c>
      <c r="H56" s="65" t="str">
        <f aca="false">_xlfn.XLOOKUP(G56,ShiftCodes[Code],ShiftCodes[Work Schedule],"Unknown")</f>
        <v>Shift B – Swing (Mon–Fri 14:00–22:30)</v>
      </c>
      <c r="I56" s="66" t="n">
        <f aca="false">_xlfn.XLOOKUP(G56,ShiftCodes[Code],ShiftCodes[Start],"")</f>
        <v>0.583333333333333</v>
      </c>
      <c r="J56" s="67" t="n">
        <f aca="false">IF(OR(C56="",I56=""),"",ROUND((MOD(C56-I56+0.5,1)-0.5)*1440,0))</f>
        <v>-6</v>
      </c>
      <c r="K56" s="65" t="str">
        <f aca="false">IF(J56="","",IF(ABS(J56)&gt;$U$3,"Off-schedule","OK"))</f>
        <v>OK</v>
      </c>
      <c r="L56" s="68"/>
      <c r="M56" s="5" t="str">
        <f aca="false">TEXT(B56,"ddd")</f>
        <v>Tue</v>
      </c>
      <c r="N56" s="69" t="n">
        <f aca="false">IF(OR(C56="",D56=""),"",ROUND((MOD(D56-C56,1)-IF(ISNUMBER(E56),MOD(F56-E56,1),0))*24,2))</f>
        <v>8</v>
      </c>
      <c r="O56" s="5" t="s">
        <v>768</v>
      </c>
      <c r="P56" s="6" t="n">
        <v>46301</v>
      </c>
      <c r="Q56" s="5" t="str">
        <f aca="false">IF(B56&lt;$U$1,"Prior period",IF(B56&gt;$U$2,"Future period","Current period"))</f>
        <v>Current period</v>
      </c>
      <c r="R56" s="5" t="str">
        <f aca="false" t="array" ref="R56:R56">_xlfn.XLOOKUP(A56,TRIM(SUBSTITUTE('worker file'!$A$2:$A$406,_xlfn.UNICHAR(160)," ")),'worker file'!$D$2:$D$406,"Not found")</f>
        <v>CA</v>
      </c>
    </row>
    <row r="57" customFormat="false" ht="15" hidden="false" customHeight="false" outlineLevel="0" collapsed="false">
      <c r="A57" s="5" t="s">
        <v>134</v>
      </c>
      <c r="B57" s="6" t="n">
        <v>46302</v>
      </c>
      <c r="C57" s="62" t="n">
        <v>0.580555555555556</v>
      </c>
      <c r="D57" s="62" t="n">
        <v>0.93125</v>
      </c>
      <c r="E57" s="63" t="n">
        <v>0.754861111111111</v>
      </c>
      <c r="F57" s="64" t="n">
        <v>0.775694444444445</v>
      </c>
      <c r="G57" s="65" t="str">
        <f aca="false" t="array" ref="G57:G57">_xlfn.XLOOKUP(A57&amp;"|"&amp;B57,ShiftRoster[Employee ID]&amp;"|"&amp;ShiftRoster[Date],ShiftRoster[Shift Code],_xlfn.XLOOKUP(A57,TRIM(SUBSTITUTE('worker file'!$A$2:$A$406,_xlfn.UNICHAR(160)," ")),'worker file'!$X$2:$X$406,"?"),0,-1)</f>
        <v>SWNG</v>
      </c>
      <c r="H57" s="65" t="str">
        <f aca="false">_xlfn.XLOOKUP(G57,ShiftCodes[Code],ShiftCodes[Work Schedule],"Unknown")</f>
        <v>Shift B – Swing (Mon–Fri 14:00–22:30)</v>
      </c>
      <c r="I57" s="66" t="n">
        <f aca="false">_xlfn.XLOOKUP(G57,ShiftCodes[Code],ShiftCodes[Start],"")</f>
        <v>0.583333333333333</v>
      </c>
      <c r="J57" s="67" t="n">
        <f aca="false">IF(OR(C57="",I57=""),"",ROUND((MOD(C57-I57+0.5,1)-0.5)*1440,0))</f>
        <v>-4</v>
      </c>
      <c r="K57" s="65" t="str">
        <f aca="false">IF(J57="","",IF(ABS(J57)&gt;$U$3,"Off-schedule","OK"))</f>
        <v>OK</v>
      </c>
      <c r="L57" s="68"/>
      <c r="M57" s="5" t="str">
        <f aca="false">TEXT(B57,"ddd")</f>
        <v>Wed</v>
      </c>
      <c r="N57" s="69" t="n">
        <f aca="false">IF(OR(C57="",D57=""),"",ROUND((MOD(D57-C57,1)-IF(ISNUMBER(E57),MOD(F57-E57,1),0))*24,2))</f>
        <v>7.92</v>
      </c>
      <c r="O57" s="5" t="s">
        <v>768</v>
      </c>
      <c r="P57" s="6" t="n">
        <v>46302</v>
      </c>
      <c r="Q57" s="5" t="str">
        <f aca="false">IF(B57&lt;$U$1,"Prior period",IF(B57&gt;$U$2,"Future period","Current period"))</f>
        <v>Current period</v>
      </c>
      <c r="R57" s="5" t="str">
        <f aca="false" t="array" ref="R57:R57">_xlfn.XLOOKUP(A57,TRIM(SUBSTITUTE('worker file'!$A$2:$A$406,_xlfn.UNICHAR(160)," ")),'worker file'!$D$2:$D$406,"Not found")</f>
        <v>CA</v>
      </c>
    </row>
    <row r="58" customFormat="false" ht="15" hidden="false" customHeight="false" outlineLevel="0" collapsed="false">
      <c r="A58" s="5" t="s">
        <v>134</v>
      </c>
      <c r="B58" s="6" t="n">
        <v>46303</v>
      </c>
      <c r="C58" s="62" t="n">
        <v>0.582638888888889</v>
      </c>
      <c r="D58" s="62" t="n">
        <v>0.933333333333333</v>
      </c>
      <c r="E58" s="63" t="n">
        <v>0.763888888888889</v>
      </c>
      <c r="F58" s="64" t="n">
        <v>0.784722222222222</v>
      </c>
      <c r="G58" s="65" t="str">
        <f aca="false" t="array" ref="G58:G58">_xlfn.XLOOKUP(A58&amp;"|"&amp;B58,ShiftRoster[Employee ID]&amp;"|"&amp;ShiftRoster[Date],ShiftRoster[Shift Code],_xlfn.XLOOKUP(A58,TRIM(SUBSTITUTE('worker file'!$A$2:$A$406,_xlfn.UNICHAR(160)," ")),'worker file'!$X$2:$X$406,"?"),0,-1)</f>
        <v>SWNG</v>
      </c>
      <c r="H58" s="65" t="str">
        <f aca="false">_xlfn.XLOOKUP(G58,ShiftCodes[Code],ShiftCodes[Work Schedule],"Unknown")</f>
        <v>Shift B – Swing (Mon–Fri 14:00–22:30)</v>
      </c>
      <c r="I58" s="66" t="n">
        <f aca="false">_xlfn.XLOOKUP(G58,ShiftCodes[Code],ShiftCodes[Start],"")</f>
        <v>0.583333333333333</v>
      </c>
      <c r="J58" s="67" t="n">
        <f aca="false">IF(OR(C58="",I58=""),"",ROUND((MOD(C58-I58+0.5,1)-0.5)*1440,0))</f>
        <v>-1</v>
      </c>
      <c r="K58" s="65" t="str">
        <f aca="false">IF(J58="","",IF(ABS(J58)&gt;$U$3,"Off-schedule","OK"))</f>
        <v>OK</v>
      </c>
      <c r="L58" s="68"/>
      <c r="M58" s="5" t="str">
        <f aca="false">TEXT(B58,"ddd")</f>
        <v>Thu</v>
      </c>
      <c r="N58" s="69" t="n">
        <f aca="false">IF(OR(C58="",D58=""),"",ROUND((MOD(D58-C58,1)-IF(ISNUMBER(E58),MOD(F58-E58,1),0))*24,2))</f>
        <v>7.92</v>
      </c>
      <c r="O58" s="5" t="s">
        <v>768</v>
      </c>
      <c r="P58" s="6" t="n">
        <v>46303</v>
      </c>
      <c r="Q58" s="5" t="str">
        <f aca="false">IF(B58&lt;$U$1,"Prior period",IF(B58&gt;$U$2,"Future period","Current period"))</f>
        <v>Current period</v>
      </c>
      <c r="R58" s="5" t="str">
        <f aca="false" t="array" ref="R58:R58">_xlfn.XLOOKUP(A58,TRIM(SUBSTITUTE('worker file'!$A$2:$A$406,_xlfn.UNICHAR(160)," ")),'worker file'!$D$2:$D$406,"Not found")</f>
        <v>CA</v>
      </c>
    </row>
    <row r="59" customFormat="false" ht="15" hidden="false" customHeight="false" outlineLevel="0" collapsed="false">
      <c r="A59" s="5" t="s">
        <v>134</v>
      </c>
      <c r="B59" s="6" t="n">
        <v>46304</v>
      </c>
      <c r="C59" s="62" t="n">
        <v>0.586111111111111</v>
      </c>
      <c r="D59" s="62" t="n">
        <v>0.936805555555556</v>
      </c>
      <c r="E59" s="63" t="n">
        <v>0.770138888888889</v>
      </c>
      <c r="F59" s="64" t="n">
        <v>0.790972222222222</v>
      </c>
      <c r="G59" s="65" t="str">
        <f aca="false" t="array" ref="G59:G59">_xlfn.XLOOKUP(A59&amp;"|"&amp;B59,ShiftRoster[Employee ID]&amp;"|"&amp;ShiftRoster[Date],ShiftRoster[Shift Code],_xlfn.XLOOKUP(A59,TRIM(SUBSTITUTE('worker file'!$A$2:$A$406,_xlfn.UNICHAR(160)," ")),'worker file'!$X$2:$X$406,"?"),0,-1)</f>
        <v>SWNG</v>
      </c>
      <c r="H59" s="65" t="str">
        <f aca="false">_xlfn.XLOOKUP(G59,ShiftCodes[Code],ShiftCodes[Work Schedule],"Unknown")</f>
        <v>Shift B – Swing (Mon–Fri 14:00–22:30)</v>
      </c>
      <c r="I59" s="66" t="n">
        <f aca="false">_xlfn.XLOOKUP(G59,ShiftCodes[Code],ShiftCodes[Start],"")</f>
        <v>0.583333333333333</v>
      </c>
      <c r="J59" s="67" t="n">
        <f aca="false">IF(OR(C59="",I59=""),"",ROUND((MOD(C59-I59+0.5,1)-0.5)*1440,0))</f>
        <v>4</v>
      </c>
      <c r="K59" s="65" t="str">
        <f aca="false">IF(J59="","",IF(ABS(J59)&gt;$U$3,"Off-schedule","OK"))</f>
        <v>OK</v>
      </c>
      <c r="L59" s="68"/>
      <c r="M59" s="5" t="str">
        <f aca="false">TEXT(B59,"ddd")</f>
        <v>Fri</v>
      </c>
      <c r="N59" s="69" t="n">
        <f aca="false">IF(OR(C59="",D59=""),"",ROUND((MOD(D59-C59,1)-IF(ISNUMBER(E59),MOD(F59-E59,1),0))*24,2))</f>
        <v>7.92</v>
      </c>
      <c r="O59" s="5" t="s">
        <v>768</v>
      </c>
      <c r="P59" s="6" t="n">
        <v>46304</v>
      </c>
      <c r="Q59" s="5" t="str">
        <f aca="false">IF(B59&lt;$U$1,"Prior period",IF(B59&gt;$U$2,"Future period","Current period"))</f>
        <v>Current period</v>
      </c>
      <c r="R59" s="5" t="str">
        <f aca="false" t="array" ref="R59:R59">_xlfn.XLOOKUP(A59,TRIM(SUBSTITUTE('worker file'!$A$2:$A$406,_xlfn.UNICHAR(160)," ")),'worker file'!$D$2:$D$406,"Not found")</f>
        <v>CA</v>
      </c>
    </row>
    <row r="60" customFormat="false" ht="15" hidden="false" customHeight="false" outlineLevel="0" collapsed="false">
      <c r="A60" s="5" t="s">
        <v>134</v>
      </c>
      <c r="B60" s="6" t="n">
        <v>46307</v>
      </c>
      <c r="C60" s="62" t="n">
        <v>0.581944444444445</v>
      </c>
      <c r="D60" s="62" t="n">
        <v>0.935416666666667</v>
      </c>
      <c r="E60" s="63" t="n">
        <v>0.727777777777778</v>
      </c>
      <c r="F60" s="64" t="n">
        <v>0.748611111111111</v>
      </c>
      <c r="G60" s="65" t="str">
        <f aca="false" t="array" ref="G60:G60">_xlfn.XLOOKUP(A60&amp;"|"&amp;B60,ShiftRoster[Employee ID]&amp;"|"&amp;ShiftRoster[Date],ShiftRoster[Shift Code],_xlfn.XLOOKUP(A60,TRIM(SUBSTITUTE('worker file'!$A$2:$A$406,_xlfn.UNICHAR(160)," ")),'worker file'!$X$2:$X$406,"?"),0,-1)</f>
        <v>SWNG</v>
      </c>
      <c r="H60" s="65" t="str">
        <f aca="false">_xlfn.XLOOKUP(G60,ShiftCodes[Code],ShiftCodes[Work Schedule],"Unknown")</f>
        <v>Shift B – Swing (Mon–Fri 14:00–22:30)</v>
      </c>
      <c r="I60" s="66" t="n">
        <f aca="false">_xlfn.XLOOKUP(G60,ShiftCodes[Code],ShiftCodes[Start],"")</f>
        <v>0.583333333333333</v>
      </c>
      <c r="J60" s="67" t="n">
        <f aca="false">IF(OR(C60="",I60=""),"",ROUND((MOD(C60-I60+0.5,1)-0.5)*1440,0))</f>
        <v>-2</v>
      </c>
      <c r="K60" s="65" t="str">
        <f aca="false">IF(J60="","",IF(ABS(J60)&gt;$U$3,"Off-schedule","OK"))</f>
        <v>OK</v>
      </c>
      <c r="L60" s="68"/>
      <c r="M60" s="5" t="str">
        <f aca="false">TEXT(B60,"ddd")</f>
        <v>Mon</v>
      </c>
      <c r="N60" s="69" t="n">
        <f aca="false">IF(OR(C60="",D60=""),"",ROUND((MOD(D60-C60,1)-IF(ISNUMBER(E60),MOD(F60-E60,1),0))*24,2))</f>
        <v>7.98</v>
      </c>
      <c r="O60" s="5" t="s">
        <v>768</v>
      </c>
      <c r="P60" s="6" t="n">
        <v>46307</v>
      </c>
      <c r="Q60" s="5" t="str">
        <f aca="false">IF(B60&lt;$U$1,"Prior period",IF(B60&gt;$U$2,"Future period","Current period"))</f>
        <v>Current period</v>
      </c>
      <c r="R60" s="5" t="str">
        <f aca="false" t="array" ref="R60:R60">_xlfn.XLOOKUP(A60,TRIM(SUBSTITUTE('worker file'!$A$2:$A$406,_xlfn.UNICHAR(160)," ")),'worker file'!$D$2:$D$406,"Not found")</f>
        <v>CA</v>
      </c>
    </row>
    <row r="61" customFormat="false" ht="15" hidden="false" customHeight="false" outlineLevel="0" collapsed="false">
      <c r="A61" s="5" t="s">
        <v>134</v>
      </c>
      <c r="B61" s="6" t="n">
        <v>46308</v>
      </c>
      <c r="C61" s="62" t="n">
        <v>0.580555555555556</v>
      </c>
      <c r="D61" s="62" t="n">
        <v>0.0180555555555556</v>
      </c>
      <c r="E61" s="63" t="n">
        <v>0.764583333333333</v>
      </c>
      <c r="F61" s="64" t="n">
        <v>0.785416666666667</v>
      </c>
      <c r="G61" s="65" t="str">
        <f aca="false" t="array" ref="G61:G61">_xlfn.XLOOKUP(A61&amp;"|"&amp;B61,ShiftRoster[Employee ID]&amp;"|"&amp;ShiftRoster[Date],ShiftRoster[Shift Code],_xlfn.XLOOKUP(A61,TRIM(SUBSTITUTE('worker file'!$A$2:$A$406,_xlfn.UNICHAR(160)," ")),'worker file'!$X$2:$X$406,"?"),0,-1)</f>
        <v>SWNG</v>
      </c>
      <c r="H61" s="65" t="str">
        <f aca="false">_xlfn.XLOOKUP(G61,ShiftCodes[Code],ShiftCodes[Work Schedule],"Unknown")</f>
        <v>Shift B – Swing (Mon–Fri 14:00–22:30)</v>
      </c>
      <c r="I61" s="66" t="n">
        <f aca="false">_xlfn.XLOOKUP(G61,ShiftCodes[Code],ShiftCodes[Start],"")</f>
        <v>0.583333333333333</v>
      </c>
      <c r="J61" s="67" t="n">
        <f aca="false">IF(OR(C61="",I61=""),"",ROUND((MOD(C61-I61+0.5,1)-0.5)*1440,0))</f>
        <v>-4</v>
      </c>
      <c r="K61" s="65" t="str">
        <f aca="false">IF(J61="","",IF(ABS(J61)&gt;$U$3,"Off-schedule","OK"))</f>
        <v>OK</v>
      </c>
      <c r="L61" s="68" t="s">
        <v>777</v>
      </c>
      <c r="M61" s="5" t="str">
        <f aca="false">TEXT(B61,"ddd")</f>
        <v>Tue</v>
      </c>
      <c r="N61" s="69" t="n">
        <f aca="false">IF(OR(C61="",D61=""),"",ROUND((MOD(D61-C61,1)-IF(ISNUMBER(E61),MOD(F61-E61,1),0))*24,2))</f>
        <v>10</v>
      </c>
      <c r="O61" s="5" t="s">
        <v>768</v>
      </c>
      <c r="P61" s="6" t="n">
        <v>46309</v>
      </c>
      <c r="Q61" s="5" t="str">
        <f aca="false">IF(B61&lt;$U$1,"Prior period",IF(B61&gt;$U$2,"Future period","Current period"))</f>
        <v>Current period</v>
      </c>
      <c r="R61" s="5" t="str">
        <f aca="false" t="array" ref="R61:R61">_xlfn.XLOOKUP(A61,TRIM(SUBSTITUTE('worker file'!$A$2:$A$406,_xlfn.UNICHAR(160)," ")),'worker file'!$D$2:$D$406,"Not found")</f>
        <v>CA</v>
      </c>
    </row>
    <row r="62" customFormat="false" ht="15" hidden="false" customHeight="false" outlineLevel="0" collapsed="false">
      <c r="A62" s="5" t="s">
        <v>134</v>
      </c>
      <c r="B62" s="6" t="n">
        <v>46309</v>
      </c>
      <c r="C62" s="62" t="n">
        <v>0.579166666666667</v>
      </c>
      <c r="D62" s="62" t="n">
        <v>0.928472222222222</v>
      </c>
      <c r="E62" s="63" t="n">
        <v>0.755555555555556</v>
      </c>
      <c r="F62" s="64" t="n">
        <v>0.776388888888889</v>
      </c>
      <c r="G62" s="65" t="str">
        <f aca="false" t="array" ref="G62:G62">_xlfn.XLOOKUP(A62&amp;"|"&amp;B62,ShiftRoster[Employee ID]&amp;"|"&amp;ShiftRoster[Date],ShiftRoster[Shift Code],_xlfn.XLOOKUP(A62,TRIM(SUBSTITUTE('worker file'!$A$2:$A$406,_xlfn.UNICHAR(160)," ")),'worker file'!$X$2:$X$406,"?"),0,-1)</f>
        <v>SWNG</v>
      </c>
      <c r="H62" s="65" t="str">
        <f aca="false">_xlfn.XLOOKUP(G62,ShiftCodes[Code],ShiftCodes[Work Schedule],"Unknown")</f>
        <v>Shift B – Swing (Mon–Fri 14:00–22:30)</v>
      </c>
      <c r="I62" s="66" t="n">
        <f aca="false">_xlfn.XLOOKUP(G62,ShiftCodes[Code],ShiftCodes[Start],"")</f>
        <v>0.583333333333333</v>
      </c>
      <c r="J62" s="67" t="n">
        <f aca="false">IF(OR(C62="",I62=""),"",ROUND((MOD(C62-I62+0.5,1)-0.5)*1440,0))</f>
        <v>-6</v>
      </c>
      <c r="K62" s="65" t="str">
        <f aca="false">IF(J62="","",IF(ABS(J62)&gt;$U$3,"Off-schedule","OK"))</f>
        <v>OK</v>
      </c>
      <c r="L62" s="68"/>
      <c r="M62" s="5" t="str">
        <f aca="false">TEXT(B62,"ddd")</f>
        <v>Wed</v>
      </c>
      <c r="N62" s="69" t="n">
        <f aca="false">IF(OR(C62="",D62=""),"",ROUND((MOD(D62-C62,1)-IF(ISNUMBER(E62),MOD(F62-E62,1),0))*24,2))</f>
        <v>7.88</v>
      </c>
      <c r="O62" s="5" t="s">
        <v>768</v>
      </c>
      <c r="P62" s="6" t="n">
        <v>46309</v>
      </c>
      <c r="Q62" s="5" t="str">
        <f aca="false">IF(B62&lt;$U$1,"Prior period",IF(B62&gt;$U$2,"Future period","Current period"))</f>
        <v>Current period</v>
      </c>
      <c r="R62" s="5" t="str">
        <f aca="false" t="array" ref="R62:R62">_xlfn.XLOOKUP(A62,TRIM(SUBSTITUTE('worker file'!$A$2:$A$406,_xlfn.UNICHAR(160)," ")),'worker file'!$D$2:$D$406,"Not found")</f>
        <v>CA</v>
      </c>
    </row>
    <row r="63" customFormat="false" ht="15" hidden="false" customHeight="false" outlineLevel="0" collapsed="false">
      <c r="A63" s="5" t="s">
        <v>134</v>
      </c>
      <c r="B63" s="6" t="n">
        <v>46310</v>
      </c>
      <c r="C63" s="62" t="n">
        <v>0.58125</v>
      </c>
      <c r="D63" s="62" t="n">
        <v>0.934722222222222</v>
      </c>
      <c r="E63" s="63" t="n">
        <v>0.730555555555556</v>
      </c>
      <c r="F63" s="64" t="n">
        <v>0.751388888888889</v>
      </c>
      <c r="G63" s="65" t="str">
        <f aca="false" t="array" ref="G63:G63">_xlfn.XLOOKUP(A63&amp;"|"&amp;B63,ShiftRoster[Employee ID]&amp;"|"&amp;ShiftRoster[Date],ShiftRoster[Shift Code],_xlfn.XLOOKUP(A63,TRIM(SUBSTITUTE('worker file'!$A$2:$A$406,_xlfn.UNICHAR(160)," ")),'worker file'!$X$2:$X$406,"?"),0,-1)</f>
        <v>SWNG</v>
      </c>
      <c r="H63" s="65" t="str">
        <f aca="false">_xlfn.XLOOKUP(G63,ShiftCodes[Code],ShiftCodes[Work Schedule],"Unknown")</f>
        <v>Shift B – Swing (Mon–Fri 14:00–22:30)</v>
      </c>
      <c r="I63" s="66" t="n">
        <f aca="false">_xlfn.XLOOKUP(G63,ShiftCodes[Code],ShiftCodes[Start],"")</f>
        <v>0.583333333333333</v>
      </c>
      <c r="J63" s="67" t="n">
        <f aca="false">IF(OR(C63="",I63=""),"",ROUND((MOD(C63-I63+0.5,1)-0.5)*1440,0))</f>
        <v>-3</v>
      </c>
      <c r="K63" s="65" t="str">
        <f aca="false">IF(J63="","",IF(ABS(J63)&gt;$U$3,"Off-schedule","OK"))</f>
        <v>OK</v>
      </c>
      <c r="L63" s="68"/>
      <c r="M63" s="5" t="str">
        <f aca="false">TEXT(B63,"ddd")</f>
        <v>Thu</v>
      </c>
      <c r="N63" s="69" t="n">
        <f aca="false">IF(OR(C63="",D63=""),"",ROUND((MOD(D63-C63,1)-IF(ISNUMBER(E63),MOD(F63-E63,1),0))*24,2))</f>
        <v>7.98</v>
      </c>
      <c r="O63" s="5" t="s">
        <v>768</v>
      </c>
      <c r="P63" s="6" t="n">
        <v>46310</v>
      </c>
      <c r="Q63" s="5" t="str">
        <f aca="false">IF(B63&lt;$U$1,"Prior period",IF(B63&gt;$U$2,"Future period","Current period"))</f>
        <v>Current period</v>
      </c>
      <c r="R63" s="5" t="str">
        <f aca="false" t="array" ref="R63:R63">_xlfn.XLOOKUP(A63,TRIM(SUBSTITUTE('worker file'!$A$2:$A$406,_xlfn.UNICHAR(160)," ")),'worker file'!$D$2:$D$406,"Not found")</f>
        <v>CA</v>
      </c>
    </row>
    <row r="64" customFormat="false" ht="15" hidden="false" customHeight="false" outlineLevel="0" collapsed="false">
      <c r="A64" s="5" t="s">
        <v>134</v>
      </c>
      <c r="B64" s="6" t="n">
        <v>46311</v>
      </c>
      <c r="C64" s="62" t="n">
        <v>0.58125</v>
      </c>
      <c r="D64" s="62" t="n">
        <v>0.934722222222222</v>
      </c>
      <c r="E64" s="63" t="n">
        <v>0.745833333333333</v>
      </c>
      <c r="F64" s="64" t="n">
        <v>0.766666666666667</v>
      </c>
      <c r="G64" s="65" t="str">
        <f aca="false" t="array" ref="G64:G64">_xlfn.XLOOKUP(A64&amp;"|"&amp;B64,ShiftRoster[Employee ID]&amp;"|"&amp;ShiftRoster[Date],ShiftRoster[Shift Code],_xlfn.XLOOKUP(A64,TRIM(SUBSTITUTE('worker file'!$A$2:$A$406,_xlfn.UNICHAR(160)," ")),'worker file'!$X$2:$X$406,"?"),0,-1)</f>
        <v>SWNG</v>
      </c>
      <c r="H64" s="65" t="str">
        <f aca="false">_xlfn.XLOOKUP(G64,ShiftCodes[Code],ShiftCodes[Work Schedule],"Unknown")</f>
        <v>Shift B – Swing (Mon–Fri 14:00–22:30)</v>
      </c>
      <c r="I64" s="66" t="n">
        <f aca="false">_xlfn.XLOOKUP(G64,ShiftCodes[Code],ShiftCodes[Start],"")</f>
        <v>0.583333333333333</v>
      </c>
      <c r="J64" s="67" t="n">
        <f aca="false">IF(OR(C64="",I64=""),"",ROUND((MOD(C64-I64+0.5,1)-0.5)*1440,0))</f>
        <v>-3</v>
      </c>
      <c r="K64" s="65" t="str">
        <f aca="false">IF(J64="","",IF(ABS(J64)&gt;$U$3,"Off-schedule","OK"))</f>
        <v>OK</v>
      </c>
      <c r="L64" s="68"/>
      <c r="M64" s="5" t="str">
        <f aca="false">TEXT(B64,"ddd")</f>
        <v>Fri</v>
      </c>
      <c r="N64" s="69" t="n">
        <f aca="false">IF(OR(C64="",D64=""),"",ROUND((MOD(D64-C64,1)-IF(ISNUMBER(E64),MOD(F64-E64,1),0))*24,2))</f>
        <v>7.98</v>
      </c>
      <c r="O64" s="5" t="s">
        <v>768</v>
      </c>
      <c r="P64" s="6" t="n">
        <v>46311</v>
      </c>
      <c r="Q64" s="5" t="str">
        <f aca="false">IF(B64&lt;$U$1,"Prior period",IF(B64&gt;$U$2,"Future period","Current period"))</f>
        <v>Current period</v>
      </c>
      <c r="R64" s="5" t="str">
        <f aca="false" t="array" ref="R64:R64">_xlfn.XLOOKUP(A64,TRIM(SUBSTITUTE('worker file'!$A$2:$A$406,_xlfn.UNICHAR(160)," ")),'worker file'!$D$2:$D$406,"Not found")</f>
        <v>CA</v>
      </c>
    </row>
    <row r="65" customFormat="false" ht="15" hidden="false" customHeight="false" outlineLevel="0" collapsed="false">
      <c r="A65" s="5" t="s">
        <v>137</v>
      </c>
      <c r="B65" s="6" t="n">
        <v>46300</v>
      </c>
      <c r="C65" s="62" t="n">
        <v>0.25</v>
      </c>
      <c r="D65" s="62" t="n">
        <v>0.604166666666667</v>
      </c>
      <c r="E65" s="63" t="n">
        <v>0.426388888888889</v>
      </c>
      <c r="F65" s="64" t="n">
        <v>0.447222222222222</v>
      </c>
      <c r="G65" s="65" t="str">
        <f aca="false" t="array" ref="G65:G65">_xlfn.XLOOKUP(A65&amp;"|"&amp;B65,ShiftRoster[Employee ID]&amp;"|"&amp;ShiftRoster[Date],ShiftRoster[Shift Code],_xlfn.XLOOKUP(A65,TRIM(SUBSTITUTE('worker file'!$A$2:$A$406,_xlfn.UNICHAR(160)," ")),'worker file'!$X$2:$X$406,"?"),0,-1)</f>
        <v>DAY</v>
      </c>
      <c r="H65" s="65" t="str">
        <f aca="false">_xlfn.XLOOKUP(G65,ShiftCodes[Code],ShiftCodes[Work Schedule],"Unknown")</f>
        <v>Shift A – Day (Mon–Fri 06:00–14:30)</v>
      </c>
      <c r="I65" s="66" t="n">
        <f aca="false">_xlfn.XLOOKUP(G65,ShiftCodes[Code],ShiftCodes[Start],"")</f>
        <v>0.25</v>
      </c>
      <c r="J65" s="67" t="n">
        <f aca="false">IF(OR(C65="",I65=""),"",ROUND((MOD(C65-I65+0.5,1)-0.5)*1440,0))</f>
        <v>0</v>
      </c>
      <c r="K65" s="65" t="str">
        <f aca="false">IF(J65="","",IF(ABS(J65)&gt;$U$3,"Off-schedule","OK"))</f>
        <v>OK</v>
      </c>
      <c r="L65" s="68"/>
      <c r="M65" s="5" t="str">
        <f aca="false">TEXT(B65,"ddd")</f>
        <v>Mon</v>
      </c>
      <c r="N65" s="69" t="n">
        <f aca="false">IF(OR(C65="",D65=""),"",ROUND((MOD(D65-C65,1)-IF(ISNUMBER(E65),MOD(F65-E65,1),0))*24,2))</f>
        <v>8</v>
      </c>
      <c r="O65" s="5" t="s">
        <v>768</v>
      </c>
      <c r="P65" s="6" t="n">
        <v>46300</v>
      </c>
      <c r="Q65" s="5" t="str">
        <f aca="false">IF(B65&lt;$U$1,"Prior period",IF(B65&gt;$U$2,"Future period","Current period"))</f>
        <v>Current period</v>
      </c>
      <c r="R65" s="5" t="str">
        <f aca="false" t="array" ref="R65:R65">_xlfn.XLOOKUP(A65,TRIM(SUBSTITUTE('worker file'!$A$2:$A$406,_xlfn.UNICHAR(160)," ")),'worker file'!$D$2:$D$406,"Not found")</f>
        <v>CA</v>
      </c>
    </row>
    <row r="66" customFormat="false" ht="15" hidden="false" customHeight="false" outlineLevel="0" collapsed="false">
      <c r="A66" s="5" t="s">
        <v>137</v>
      </c>
      <c r="B66" s="6" t="n">
        <v>46301</v>
      </c>
      <c r="C66" s="62" t="n">
        <v>0.247916666666667</v>
      </c>
      <c r="D66" s="62" t="n">
        <v>0.597916666666667</v>
      </c>
      <c r="E66" s="63" t="n">
        <v>0.4</v>
      </c>
      <c r="F66" s="64" t="n">
        <v>0.420833333333333</v>
      </c>
      <c r="G66" s="65" t="str">
        <f aca="false" t="array" ref="G66:G66">_xlfn.XLOOKUP(A66&amp;"|"&amp;B66,ShiftRoster[Employee ID]&amp;"|"&amp;ShiftRoster[Date],ShiftRoster[Shift Code],_xlfn.XLOOKUP(A66,TRIM(SUBSTITUTE('worker file'!$A$2:$A$406,_xlfn.UNICHAR(160)," ")),'worker file'!$X$2:$X$406,"?"),0,-1)</f>
        <v>DAY</v>
      </c>
      <c r="H66" s="65" t="str">
        <f aca="false">_xlfn.XLOOKUP(G66,ShiftCodes[Code],ShiftCodes[Work Schedule],"Unknown")</f>
        <v>Shift A – Day (Mon–Fri 06:00–14:30)</v>
      </c>
      <c r="I66" s="66" t="n">
        <f aca="false">_xlfn.XLOOKUP(G66,ShiftCodes[Code],ShiftCodes[Start],"")</f>
        <v>0.25</v>
      </c>
      <c r="J66" s="67" t="n">
        <f aca="false">IF(OR(C66="",I66=""),"",ROUND((MOD(C66-I66+0.5,1)-0.5)*1440,0))</f>
        <v>-3</v>
      </c>
      <c r="K66" s="65" t="str">
        <f aca="false">IF(J66="","",IF(ABS(J66)&gt;$U$3,"Off-schedule","OK"))</f>
        <v>OK</v>
      </c>
      <c r="L66" s="68"/>
      <c r="M66" s="5" t="str">
        <f aca="false">TEXT(B66,"ddd")</f>
        <v>Tue</v>
      </c>
      <c r="N66" s="69" t="n">
        <f aca="false">IF(OR(C66="",D66=""),"",ROUND((MOD(D66-C66,1)-IF(ISNUMBER(E66),MOD(F66-E66,1),0))*24,2))</f>
        <v>7.9</v>
      </c>
      <c r="O66" s="5" t="s">
        <v>768</v>
      </c>
      <c r="P66" s="6" t="n">
        <v>46301</v>
      </c>
      <c r="Q66" s="5" t="str">
        <f aca="false">IF(B66&lt;$U$1,"Prior period",IF(B66&gt;$U$2,"Future period","Current period"))</f>
        <v>Current period</v>
      </c>
      <c r="R66" s="5" t="str">
        <f aca="false" t="array" ref="R66:R66">_xlfn.XLOOKUP(A66,TRIM(SUBSTITUTE('worker file'!$A$2:$A$406,_xlfn.UNICHAR(160)," ")),'worker file'!$D$2:$D$406,"Not found")</f>
        <v>CA</v>
      </c>
    </row>
    <row r="67" customFormat="false" ht="15" hidden="false" customHeight="false" outlineLevel="0" collapsed="false">
      <c r="A67" s="5" t="s">
        <v>137</v>
      </c>
      <c r="B67" s="6" t="n">
        <v>46302</v>
      </c>
      <c r="C67" s="62" t="n">
        <v>0.247222222222222</v>
      </c>
      <c r="D67" s="62" t="n">
        <v>0.597916666666667</v>
      </c>
      <c r="E67" s="63" t="n">
        <v>0.411805555555556</v>
      </c>
      <c r="F67" s="64" t="n">
        <v>0.432638888888889</v>
      </c>
      <c r="G67" s="65" t="str">
        <f aca="false" t="array" ref="G67:G67">_xlfn.XLOOKUP(A67&amp;"|"&amp;B67,ShiftRoster[Employee ID]&amp;"|"&amp;ShiftRoster[Date],ShiftRoster[Shift Code],_xlfn.XLOOKUP(A67,TRIM(SUBSTITUTE('worker file'!$A$2:$A$406,_xlfn.UNICHAR(160)," ")),'worker file'!$X$2:$X$406,"?"),0,-1)</f>
        <v>DAY</v>
      </c>
      <c r="H67" s="65" t="str">
        <f aca="false">_xlfn.XLOOKUP(G67,ShiftCodes[Code],ShiftCodes[Work Schedule],"Unknown")</f>
        <v>Shift A – Day (Mon–Fri 06:00–14:30)</v>
      </c>
      <c r="I67" s="66" t="n">
        <f aca="false">_xlfn.XLOOKUP(G67,ShiftCodes[Code],ShiftCodes[Start],"")</f>
        <v>0.25</v>
      </c>
      <c r="J67" s="67" t="n">
        <f aca="false">IF(OR(C67="",I67=""),"",ROUND((MOD(C67-I67+0.5,1)-0.5)*1440,0))</f>
        <v>-4</v>
      </c>
      <c r="K67" s="65" t="str">
        <f aca="false">IF(J67="","",IF(ABS(J67)&gt;$U$3,"Off-schedule","OK"))</f>
        <v>OK</v>
      </c>
      <c r="L67" s="68"/>
      <c r="M67" s="5" t="str">
        <f aca="false">TEXT(B67,"ddd")</f>
        <v>Wed</v>
      </c>
      <c r="N67" s="69" t="n">
        <f aca="false">IF(OR(C67="",D67=""),"",ROUND((MOD(D67-C67,1)-IF(ISNUMBER(E67),MOD(F67-E67,1),0))*24,2))</f>
        <v>7.92</v>
      </c>
      <c r="O67" s="5" t="s">
        <v>768</v>
      </c>
      <c r="P67" s="6" t="n">
        <v>46302</v>
      </c>
      <c r="Q67" s="5" t="str">
        <f aca="false">IF(B67&lt;$U$1,"Prior period",IF(B67&gt;$U$2,"Future period","Current period"))</f>
        <v>Current period</v>
      </c>
      <c r="R67" s="5" t="str">
        <f aca="false" t="array" ref="R67:R67">_xlfn.XLOOKUP(A67,TRIM(SUBSTITUTE('worker file'!$A$2:$A$406,_xlfn.UNICHAR(160)," ")),'worker file'!$D$2:$D$406,"Not found")</f>
        <v>CA</v>
      </c>
    </row>
    <row r="68" customFormat="false" ht="15" hidden="false" customHeight="false" outlineLevel="0" collapsed="false">
      <c r="A68" s="5" t="s">
        <v>137</v>
      </c>
      <c r="B68" s="6" t="n">
        <v>46303</v>
      </c>
      <c r="C68" s="62" t="n">
        <v>0.252083333333333</v>
      </c>
      <c r="D68" s="62" t="n">
        <v>0.60625</v>
      </c>
      <c r="E68" s="63" t="n">
        <v>0.420138888888889</v>
      </c>
      <c r="F68" s="64" t="n">
        <v>0.440972222222222</v>
      </c>
      <c r="G68" s="65" t="str">
        <f aca="false" t="array" ref="G68:G68">_xlfn.XLOOKUP(A68&amp;"|"&amp;B68,ShiftRoster[Employee ID]&amp;"|"&amp;ShiftRoster[Date],ShiftRoster[Shift Code],_xlfn.XLOOKUP(A68,TRIM(SUBSTITUTE('worker file'!$A$2:$A$406,_xlfn.UNICHAR(160)," ")),'worker file'!$X$2:$X$406,"?"),0,-1)</f>
        <v>DAY</v>
      </c>
      <c r="H68" s="65" t="str">
        <f aca="false">_xlfn.XLOOKUP(G68,ShiftCodes[Code],ShiftCodes[Work Schedule],"Unknown")</f>
        <v>Shift A – Day (Mon–Fri 06:00–14:30)</v>
      </c>
      <c r="I68" s="66" t="n">
        <f aca="false">_xlfn.XLOOKUP(G68,ShiftCodes[Code],ShiftCodes[Start],"")</f>
        <v>0.25</v>
      </c>
      <c r="J68" s="67" t="n">
        <f aca="false">IF(OR(C68="",I68=""),"",ROUND((MOD(C68-I68+0.5,1)-0.5)*1440,0))</f>
        <v>3</v>
      </c>
      <c r="K68" s="65" t="str">
        <f aca="false">IF(J68="","",IF(ABS(J68)&gt;$U$3,"Off-schedule","OK"))</f>
        <v>OK</v>
      </c>
      <c r="L68" s="68"/>
      <c r="M68" s="5" t="str">
        <f aca="false">TEXT(B68,"ddd")</f>
        <v>Thu</v>
      </c>
      <c r="N68" s="69" t="n">
        <f aca="false">IF(OR(C68="",D68=""),"",ROUND((MOD(D68-C68,1)-IF(ISNUMBER(E68),MOD(F68-E68,1),0))*24,2))</f>
        <v>8</v>
      </c>
      <c r="O68" s="5" t="s">
        <v>768</v>
      </c>
      <c r="P68" s="6" t="n">
        <v>46303</v>
      </c>
      <c r="Q68" s="5" t="str">
        <f aca="false">IF(B68&lt;$U$1,"Prior period",IF(B68&gt;$U$2,"Future period","Current period"))</f>
        <v>Current period</v>
      </c>
      <c r="R68" s="5" t="str">
        <f aca="false" t="array" ref="R68:R68">_xlfn.XLOOKUP(A68,TRIM(SUBSTITUTE('worker file'!$A$2:$A$406,_xlfn.UNICHAR(160)," ")),'worker file'!$D$2:$D$406,"Not found")</f>
        <v>CA</v>
      </c>
    </row>
    <row r="69" customFormat="false" ht="15" hidden="false" customHeight="false" outlineLevel="0" collapsed="false">
      <c r="A69" s="5" t="s">
        <v>137</v>
      </c>
      <c r="B69" s="6" t="n">
        <v>46304</v>
      </c>
      <c r="C69" s="62" t="n">
        <v>0.247916666666667</v>
      </c>
      <c r="D69" s="62" t="n">
        <v>0.598611111111111</v>
      </c>
      <c r="E69" s="63" t="n">
        <v>0.477083333333333</v>
      </c>
      <c r="F69" s="64" t="n">
        <v>0.497916666666667</v>
      </c>
      <c r="G69" s="65" t="str">
        <f aca="false" t="array" ref="G69:G69">_xlfn.XLOOKUP(A69&amp;"|"&amp;B69,ShiftRoster[Employee ID]&amp;"|"&amp;ShiftRoster[Date],ShiftRoster[Shift Code],_xlfn.XLOOKUP(A69,TRIM(SUBSTITUTE('worker file'!$A$2:$A$406,_xlfn.UNICHAR(160)," ")),'worker file'!$X$2:$X$406,"?"),0,-1)</f>
        <v>DAY</v>
      </c>
      <c r="H69" s="65" t="str">
        <f aca="false">_xlfn.XLOOKUP(G69,ShiftCodes[Code],ShiftCodes[Work Schedule],"Unknown")</f>
        <v>Shift A – Day (Mon–Fri 06:00–14:30)</v>
      </c>
      <c r="I69" s="66" t="n">
        <f aca="false">_xlfn.XLOOKUP(G69,ShiftCodes[Code],ShiftCodes[Start],"")</f>
        <v>0.25</v>
      </c>
      <c r="J69" s="67" t="n">
        <f aca="false">IF(OR(C69="",I69=""),"",ROUND((MOD(C69-I69+0.5,1)-0.5)*1440,0))</f>
        <v>-3</v>
      </c>
      <c r="K69" s="65" t="str">
        <f aca="false">IF(J69="","",IF(ABS(J69)&gt;$U$3,"Off-schedule","OK"))</f>
        <v>OK</v>
      </c>
      <c r="L69" s="68" t="s">
        <v>778</v>
      </c>
      <c r="M69" s="5" t="str">
        <f aca="false">TEXT(B69,"ddd")</f>
        <v>Fri</v>
      </c>
      <c r="N69" s="69" t="n">
        <f aca="false">IF(OR(C69="",D69=""),"",ROUND((MOD(D69-C69,1)-IF(ISNUMBER(E69),MOD(F69-E69,1),0))*24,2))</f>
        <v>7.92</v>
      </c>
      <c r="O69" s="5" t="s">
        <v>768</v>
      </c>
      <c r="P69" s="6" t="n">
        <v>46304</v>
      </c>
      <c r="Q69" s="5" t="str">
        <f aca="false">IF(B69&lt;$U$1,"Prior period",IF(B69&gt;$U$2,"Future period","Current period"))</f>
        <v>Current period</v>
      </c>
      <c r="R69" s="5" t="str">
        <f aca="false" t="array" ref="R69:R69">_xlfn.XLOOKUP(A69,TRIM(SUBSTITUTE('worker file'!$A$2:$A$406,_xlfn.UNICHAR(160)," ")),'worker file'!$D$2:$D$406,"Not found")</f>
        <v>CA</v>
      </c>
    </row>
    <row r="70" customFormat="false" ht="15" hidden="false" customHeight="false" outlineLevel="0" collapsed="false">
      <c r="A70" s="5" t="s">
        <v>137</v>
      </c>
      <c r="B70" s="6" t="n">
        <v>46307</v>
      </c>
      <c r="C70" s="62" t="n">
        <v>0.25</v>
      </c>
      <c r="D70" s="62" t="n">
        <v>0.6</v>
      </c>
      <c r="E70" s="63" t="n">
        <v>0.420833333333333</v>
      </c>
      <c r="F70" s="64" t="n">
        <v>0.441666666666667</v>
      </c>
      <c r="G70" s="65" t="str">
        <f aca="false" t="array" ref="G70:G70">_xlfn.XLOOKUP(A70&amp;"|"&amp;B70,ShiftRoster[Employee ID]&amp;"|"&amp;ShiftRoster[Date],ShiftRoster[Shift Code],_xlfn.XLOOKUP(A70,TRIM(SUBSTITUTE('worker file'!$A$2:$A$406,_xlfn.UNICHAR(160)," ")),'worker file'!$X$2:$X$406,"?"),0,-1)</f>
        <v>DAY</v>
      </c>
      <c r="H70" s="65" t="str">
        <f aca="false">_xlfn.XLOOKUP(G70,ShiftCodes[Code],ShiftCodes[Work Schedule],"Unknown")</f>
        <v>Shift A – Day (Mon–Fri 06:00–14:30)</v>
      </c>
      <c r="I70" s="66" t="n">
        <f aca="false">_xlfn.XLOOKUP(G70,ShiftCodes[Code],ShiftCodes[Start],"")</f>
        <v>0.25</v>
      </c>
      <c r="J70" s="67" t="n">
        <f aca="false">IF(OR(C70="",I70=""),"",ROUND((MOD(C70-I70+0.5,1)-0.5)*1440,0))</f>
        <v>0</v>
      </c>
      <c r="K70" s="65" t="str">
        <f aca="false">IF(J70="","",IF(ABS(J70)&gt;$U$3,"Off-schedule","OK"))</f>
        <v>OK</v>
      </c>
      <c r="L70" s="68"/>
      <c r="M70" s="5" t="str">
        <f aca="false">TEXT(B70,"ddd")</f>
        <v>Mon</v>
      </c>
      <c r="N70" s="69" t="n">
        <f aca="false">IF(OR(C70="",D70=""),"",ROUND((MOD(D70-C70,1)-IF(ISNUMBER(E70),MOD(F70-E70,1),0))*24,2))</f>
        <v>7.9</v>
      </c>
      <c r="O70" s="5" t="s">
        <v>768</v>
      </c>
      <c r="P70" s="6" t="n">
        <v>46307</v>
      </c>
      <c r="Q70" s="5" t="str">
        <f aca="false">IF(B70&lt;$U$1,"Prior period",IF(B70&gt;$U$2,"Future period","Current period"))</f>
        <v>Current period</v>
      </c>
      <c r="R70" s="5" t="str">
        <f aca="false" t="array" ref="R70:R70">_xlfn.XLOOKUP(A70,TRIM(SUBSTITUTE('worker file'!$A$2:$A$406,_xlfn.UNICHAR(160)," ")),'worker file'!$D$2:$D$406,"Not found")</f>
        <v>CA</v>
      </c>
    </row>
    <row r="71" customFormat="false" ht="15" hidden="false" customHeight="false" outlineLevel="0" collapsed="false">
      <c r="A71" s="5" t="s">
        <v>137</v>
      </c>
      <c r="B71" s="6" t="n">
        <v>46308</v>
      </c>
      <c r="C71" s="62" t="n">
        <v>0.252083333333333</v>
      </c>
      <c r="D71" s="62" t="n">
        <v>0.601388888888889</v>
      </c>
      <c r="E71" s="63" t="n">
        <v>0.4</v>
      </c>
      <c r="F71" s="64" t="n">
        <v>0.420833333333333</v>
      </c>
      <c r="G71" s="65" t="str">
        <f aca="false" t="array" ref="G71:G71">_xlfn.XLOOKUP(A71&amp;"|"&amp;B71,ShiftRoster[Employee ID]&amp;"|"&amp;ShiftRoster[Date],ShiftRoster[Shift Code],_xlfn.XLOOKUP(A71,TRIM(SUBSTITUTE('worker file'!$A$2:$A$406,_xlfn.UNICHAR(160)," ")),'worker file'!$X$2:$X$406,"?"),0,-1)</f>
        <v>DAY</v>
      </c>
      <c r="H71" s="65" t="str">
        <f aca="false">_xlfn.XLOOKUP(G71,ShiftCodes[Code],ShiftCodes[Work Schedule],"Unknown")</f>
        <v>Shift A – Day (Mon–Fri 06:00–14:30)</v>
      </c>
      <c r="I71" s="66" t="n">
        <f aca="false">_xlfn.XLOOKUP(G71,ShiftCodes[Code],ShiftCodes[Start],"")</f>
        <v>0.25</v>
      </c>
      <c r="J71" s="67" t="n">
        <f aca="false">IF(OR(C71="",I71=""),"",ROUND((MOD(C71-I71+0.5,1)-0.5)*1440,0))</f>
        <v>3</v>
      </c>
      <c r="K71" s="65" t="str">
        <f aca="false">IF(J71="","",IF(ABS(J71)&gt;$U$3,"Off-schedule","OK"))</f>
        <v>OK</v>
      </c>
      <c r="L71" s="68"/>
      <c r="M71" s="5" t="str">
        <f aca="false">TEXT(B71,"ddd")</f>
        <v>Tue</v>
      </c>
      <c r="N71" s="69" t="n">
        <f aca="false">IF(OR(C71="",D71=""),"",ROUND((MOD(D71-C71,1)-IF(ISNUMBER(E71),MOD(F71-E71,1),0))*24,2))</f>
        <v>7.88</v>
      </c>
      <c r="O71" s="5" t="s">
        <v>768</v>
      </c>
      <c r="P71" s="6" t="n">
        <v>46308</v>
      </c>
      <c r="Q71" s="5" t="str">
        <f aca="false">IF(B71&lt;$U$1,"Prior period",IF(B71&gt;$U$2,"Future period","Current period"))</f>
        <v>Current period</v>
      </c>
      <c r="R71" s="5" t="str">
        <f aca="false" t="array" ref="R71:R71">_xlfn.XLOOKUP(A71,TRIM(SUBSTITUTE('worker file'!$A$2:$A$406,_xlfn.UNICHAR(160)," ")),'worker file'!$D$2:$D$406,"Not found")</f>
        <v>CA</v>
      </c>
    </row>
    <row r="72" customFormat="false" ht="15" hidden="false" customHeight="false" outlineLevel="0" collapsed="false">
      <c r="A72" s="5" t="s">
        <v>137</v>
      </c>
      <c r="B72" s="6" t="n">
        <v>46309</v>
      </c>
      <c r="C72" s="71" t="n">
        <v>0.25</v>
      </c>
      <c r="D72" s="71" t="n">
        <v>0.604166666666667</v>
      </c>
      <c r="E72" s="72" t="n">
        <v>0.416666666666667</v>
      </c>
      <c r="F72" s="73" t="n">
        <v>0.4375</v>
      </c>
      <c r="G72" s="65" t="str">
        <f aca="false" t="array" ref="G72:G72">_xlfn.XLOOKUP(A72&amp;"|"&amp;B72,ShiftRoster[Employee ID]&amp;"|"&amp;ShiftRoster[Date],ShiftRoster[Shift Code],_xlfn.XLOOKUP(A72,TRIM(SUBSTITUTE('worker file'!$A$2:$A$406,_xlfn.UNICHAR(160)," ")),'worker file'!$X$2:$X$406,"?"),0,-1)</f>
        <v>DAY</v>
      </c>
      <c r="H72" s="65" t="str">
        <f aca="false">_xlfn.XLOOKUP(G72,ShiftCodes[Code],ShiftCodes[Work Schedule],"Unknown")</f>
        <v>Shift A – Day (Mon–Fri 06:00–14:30)</v>
      </c>
      <c r="I72" s="66" t="n">
        <f aca="false">_xlfn.XLOOKUP(G72,ShiftCodes[Code],ShiftCodes[Start],"")</f>
        <v>0.25</v>
      </c>
      <c r="J72" s="67" t="n">
        <f aca="false">IF(OR(C72="",I72=""),"",ROUND((MOD(C72-I72+0.5,1)-0.5)*1440,0))</f>
        <v>0</v>
      </c>
      <c r="K72" s="65" t="str">
        <f aca="false">IF(J72="","",IF(ABS(J72)&gt;$U$3,"Off-schedule","OK"))</f>
        <v>OK</v>
      </c>
      <c r="L72" s="68" t="s">
        <v>779</v>
      </c>
      <c r="M72" s="5" t="str">
        <f aca="false">TEXT(B72,"ddd")</f>
        <v>Wed</v>
      </c>
      <c r="N72" s="69" t="n">
        <f aca="false">IF(OR(C72="",D72=""),"",ROUND((MOD(D72-C72,1)-IF(ISNUMBER(E72),MOD(F72-E72,1),0))*24,2))</f>
        <v>8</v>
      </c>
      <c r="O72" s="5" t="s">
        <v>780</v>
      </c>
      <c r="P72" s="6" t="n">
        <v>46312</v>
      </c>
      <c r="Q72" s="5" t="str">
        <f aca="false">IF(B72&lt;$U$1,"Prior period",IF(B72&gt;$U$2,"Future period","Current period"))</f>
        <v>Current period</v>
      </c>
      <c r="R72" s="5" t="str">
        <f aca="false" t="array" ref="R72:R72">_xlfn.XLOOKUP(A72,TRIM(SUBSTITUTE('worker file'!$A$2:$A$406,_xlfn.UNICHAR(160)," ")),'worker file'!$D$2:$D$406,"Not found")</f>
        <v>CA</v>
      </c>
    </row>
    <row r="73" customFormat="false" ht="15" hidden="false" customHeight="false" outlineLevel="0" collapsed="false">
      <c r="A73" s="5" t="s">
        <v>139</v>
      </c>
      <c r="B73" s="6" t="n">
        <v>46300</v>
      </c>
      <c r="C73" s="62" t="n">
        <v>0.246527777777778</v>
      </c>
      <c r="D73" s="62" t="n">
        <v>0.601388888888889</v>
      </c>
      <c r="E73" s="63" t="n">
        <v>0.414583333333333</v>
      </c>
      <c r="F73" s="64" t="n">
        <v>0.435416666666667</v>
      </c>
      <c r="G73" s="65" t="str">
        <f aca="false" t="array" ref="G73:G73">_xlfn.XLOOKUP(A73&amp;"|"&amp;B73,ShiftRoster[Employee ID]&amp;"|"&amp;ShiftRoster[Date],ShiftRoster[Shift Code],_xlfn.XLOOKUP(A73,TRIM(SUBSTITUTE('worker file'!$A$2:$A$406,_xlfn.UNICHAR(160)," ")),'worker file'!$X$2:$X$406,"?"),0,-1)</f>
        <v>PT</v>
      </c>
      <c r="H73" s="65" t="str">
        <f aca="false">_xlfn.XLOOKUP(G73,ShiftCodes[Code],ShiftCodes[Work Schedule],"Unknown")</f>
        <v>Part-time – Day (Mon/Wed/Fri 06:00–14:30)</v>
      </c>
      <c r="I73" s="66" t="n">
        <f aca="false">_xlfn.XLOOKUP(G73,ShiftCodes[Code],ShiftCodes[Start],"")</f>
        <v>0.25</v>
      </c>
      <c r="J73" s="67" t="n">
        <f aca="false">IF(OR(C73="",I73=""),"",ROUND((MOD(C73-I73+0.5,1)-0.5)*1440,0))</f>
        <v>-5</v>
      </c>
      <c r="K73" s="65" t="str">
        <f aca="false">IF(J73="","",IF(ABS(J73)&gt;$U$3,"Off-schedule","OK"))</f>
        <v>OK</v>
      </c>
      <c r="L73" s="68"/>
      <c r="M73" s="5" t="str">
        <f aca="false">TEXT(B73,"ddd")</f>
        <v>Mon</v>
      </c>
      <c r="N73" s="69" t="n">
        <f aca="false">IF(OR(C73="",D73=""),"",ROUND((MOD(D73-C73,1)-IF(ISNUMBER(E73),MOD(F73-E73,1),0))*24,2))</f>
        <v>8.02</v>
      </c>
      <c r="O73" s="5" t="s">
        <v>768</v>
      </c>
      <c r="P73" s="6" t="n">
        <v>46300</v>
      </c>
      <c r="Q73" s="5" t="str">
        <f aca="false">IF(B73&lt;$U$1,"Prior period",IF(B73&gt;$U$2,"Future period","Current period"))</f>
        <v>Current period</v>
      </c>
      <c r="R73" s="5" t="str">
        <f aca="false" t="array" ref="R73:R73">_xlfn.XLOOKUP(A73,TRIM(SUBSTITUTE('worker file'!$A$2:$A$406,_xlfn.UNICHAR(160)," ")),'worker file'!$D$2:$D$406,"Not found")</f>
        <v>CA</v>
      </c>
    </row>
    <row r="74" customFormat="false" ht="15" hidden="false" customHeight="false" outlineLevel="0" collapsed="false">
      <c r="A74" s="5" t="s">
        <v>139</v>
      </c>
      <c r="B74" s="6" t="n">
        <v>46302</v>
      </c>
      <c r="C74" s="62" t="n">
        <v>0.251388888888889</v>
      </c>
      <c r="D74" s="62" t="n">
        <v>0.603472222222222</v>
      </c>
      <c r="E74" s="63" t="n">
        <v>0.41875</v>
      </c>
      <c r="F74" s="64" t="n">
        <v>0.439583333333333</v>
      </c>
      <c r="G74" s="65" t="str">
        <f aca="false" t="array" ref="G74:G74">_xlfn.XLOOKUP(A74&amp;"|"&amp;B74,ShiftRoster[Employee ID]&amp;"|"&amp;ShiftRoster[Date],ShiftRoster[Shift Code],_xlfn.XLOOKUP(A74,TRIM(SUBSTITUTE('worker file'!$A$2:$A$406,_xlfn.UNICHAR(160)," ")),'worker file'!$X$2:$X$406,"?"),0,-1)</f>
        <v>PT</v>
      </c>
      <c r="H74" s="65" t="str">
        <f aca="false">_xlfn.XLOOKUP(G74,ShiftCodes[Code],ShiftCodes[Work Schedule],"Unknown")</f>
        <v>Part-time – Day (Mon/Wed/Fri 06:00–14:30)</v>
      </c>
      <c r="I74" s="66" t="n">
        <f aca="false">_xlfn.XLOOKUP(G74,ShiftCodes[Code],ShiftCodes[Start],"")</f>
        <v>0.25</v>
      </c>
      <c r="J74" s="67" t="n">
        <f aca="false">IF(OR(C74="",I74=""),"",ROUND((MOD(C74-I74+0.5,1)-0.5)*1440,0))</f>
        <v>2</v>
      </c>
      <c r="K74" s="65" t="str">
        <f aca="false">IF(J74="","",IF(ABS(J74)&gt;$U$3,"Off-schedule","OK"))</f>
        <v>OK</v>
      </c>
      <c r="L74" s="68"/>
      <c r="M74" s="5" t="str">
        <f aca="false">TEXT(B74,"ddd")</f>
        <v>Wed</v>
      </c>
      <c r="N74" s="69" t="n">
        <f aca="false">IF(OR(C74="",D74=""),"",ROUND((MOD(D74-C74,1)-IF(ISNUMBER(E74),MOD(F74-E74,1),0))*24,2))</f>
        <v>7.95</v>
      </c>
      <c r="O74" s="5" t="s">
        <v>768</v>
      </c>
      <c r="P74" s="6" t="n">
        <v>46302</v>
      </c>
      <c r="Q74" s="5" t="str">
        <f aca="false">IF(B74&lt;$U$1,"Prior period",IF(B74&gt;$U$2,"Future period","Current period"))</f>
        <v>Current period</v>
      </c>
      <c r="R74" s="5" t="str">
        <f aca="false" t="array" ref="R74:R74">_xlfn.XLOOKUP(A74,TRIM(SUBSTITUTE('worker file'!$A$2:$A$406,_xlfn.UNICHAR(160)," ")),'worker file'!$D$2:$D$406,"Not found")</f>
        <v>CA</v>
      </c>
    </row>
    <row r="75" customFormat="false" ht="15" hidden="false" customHeight="false" outlineLevel="0" collapsed="false">
      <c r="A75" s="5" t="s">
        <v>139</v>
      </c>
      <c r="B75" s="6" t="n">
        <v>46304</v>
      </c>
      <c r="C75" s="62" t="n">
        <v>0.248611111111111</v>
      </c>
      <c r="D75" s="62" t="n">
        <v>0.605555555555556</v>
      </c>
      <c r="E75" s="63" t="n">
        <v>0.415277777777778</v>
      </c>
      <c r="F75" s="64" t="n">
        <v>0.436111111111111</v>
      </c>
      <c r="G75" s="65" t="str">
        <f aca="false" t="array" ref="G75:G75">_xlfn.XLOOKUP(A75&amp;"|"&amp;B75,ShiftRoster[Employee ID]&amp;"|"&amp;ShiftRoster[Date],ShiftRoster[Shift Code],_xlfn.XLOOKUP(A75,TRIM(SUBSTITUTE('worker file'!$A$2:$A$406,_xlfn.UNICHAR(160)," ")),'worker file'!$X$2:$X$406,"?"),0,-1)</f>
        <v>PT</v>
      </c>
      <c r="H75" s="65" t="str">
        <f aca="false">_xlfn.XLOOKUP(G75,ShiftCodes[Code],ShiftCodes[Work Schedule],"Unknown")</f>
        <v>Part-time – Day (Mon/Wed/Fri 06:00–14:30)</v>
      </c>
      <c r="I75" s="66" t="n">
        <f aca="false">_xlfn.XLOOKUP(G75,ShiftCodes[Code],ShiftCodes[Start],"")</f>
        <v>0.25</v>
      </c>
      <c r="J75" s="67" t="n">
        <f aca="false">IF(OR(C75="",I75=""),"",ROUND((MOD(C75-I75+0.5,1)-0.5)*1440,0))</f>
        <v>-2</v>
      </c>
      <c r="K75" s="65" t="str">
        <f aca="false">IF(J75="","",IF(ABS(J75)&gt;$U$3,"Off-schedule","OK"))</f>
        <v>OK</v>
      </c>
      <c r="L75" s="68"/>
      <c r="M75" s="5" t="str">
        <f aca="false">TEXT(B75,"ddd")</f>
        <v>Fri</v>
      </c>
      <c r="N75" s="69" t="n">
        <f aca="false">IF(OR(C75="",D75=""),"",ROUND((MOD(D75-C75,1)-IF(ISNUMBER(E75),MOD(F75-E75,1),0))*24,2))</f>
        <v>8.07</v>
      </c>
      <c r="O75" s="5" t="s">
        <v>768</v>
      </c>
      <c r="P75" s="6" t="n">
        <v>46304</v>
      </c>
      <c r="Q75" s="5" t="str">
        <f aca="false">IF(B75&lt;$U$1,"Prior period",IF(B75&gt;$U$2,"Future period","Current period"))</f>
        <v>Current period</v>
      </c>
      <c r="R75" s="5" t="str">
        <f aca="false" t="array" ref="R75:R75">_xlfn.XLOOKUP(A75,TRIM(SUBSTITUTE('worker file'!$A$2:$A$406,_xlfn.UNICHAR(160)," ")),'worker file'!$D$2:$D$406,"Not found")</f>
        <v>CA</v>
      </c>
    </row>
    <row r="76" customFormat="false" ht="15" hidden="false" customHeight="false" outlineLevel="0" collapsed="false">
      <c r="A76" s="5" t="s">
        <v>139</v>
      </c>
      <c r="B76" s="6" t="n">
        <v>46307</v>
      </c>
      <c r="C76" s="62" t="n">
        <v>0.252083333333333</v>
      </c>
      <c r="D76" s="62" t="n">
        <v>0.604861111111111</v>
      </c>
      <c r="E76" s="63" t="n">
        <v>0.420833333333333</v>
      </c>
      <c r="F76" s="64" t="n">
        <v>0.441666666666667</v>
      </c>
      <c r="G76" s="65" t="str">
        <f aca="false" t="array" ref="G76:G76">_xlfn.XLOOKUP(A76&amp;"|"&amp;B76,ShiftRoster[Employee ID]&amp;"|"&amp;ShiftRoster[Date],ShiftRoster[Shift Code],_xlfn.XLOOKUP(A76,TRIM(SUBSTITUTE('worker file'!$A$2:$A$406,_xlfn.UNICHAR(160)," ")),'worker file'!$X$2:$X$406,"?"),0,-1)</f>
        <v>PT</v>
      </c>
      <c r="H76" s="65" t="str">
        <f aca="false">_xlfn.XLOOKUP(G76,ShiftCodes[Code],ShiftCodes[Work Schedule],"Unknown")</f>
        <v>Part-time – Day (Mon/Wed/Fri 06:00–14:30)</v>
      </c>
      <c r="I76" s="66" t="n">
        <f aca="false">_xlfn.XLOOKUP(G76,ShiftCodes[Code],ShiftCodes[Start],"")</f>
        <v>0.25</v>
      </c>
      <c r="J76" s="67" t="n">
        <f aca="false">IF(OR(C76="",I76=""),"",ROUND((MOD(C76-I76+0.5,1)-0.5)*1440,0))</f>
        <v>3</v>
      </c>
      <c r="K76" s="65" t="str">
        <f aca="false">IF(J76="","",IF(ABS(J76)&gt;$U$3,"Off-schedule","OK"))</f>
        <v>OK</v>
      </c>
      <c r="L76" s="68"/>
      <c r="M76" s="5" t="str">
        <f aca="false">TEXT(B76,"ddd")</f>
        <v>Mon</v>
      </c>
      <c r="N76" s="69" t="n">
        <f aca="false">IF(OR(C76="",D76=""),"",ROUND((MOD(D76-C76,1)-IF(ISNUMBER(E76),MOD(F76-E76,1),0))*24,2))</f>
        <v>7.97</v>
      </c>
      <c r="O76" s="5" t="s">
        <v>768</v>
      </c>
      <c r="P76" s="6" t="n">
        <v>46307</v>
      </c>
      <c r="Q76" s="5" t="str">
        <f aca="false">IF(B76&lt;$U$1,"Prior period",IF(B76&gt;$U$2,"Future period","Current period"))</f>
        <v>Current period</v>
      </c>
      <c r="R76" s="5" t="str">
        <f aca="false" t="array" ref="R76:R76">_xlfn.XLOOKUP(A76,TRIM(SUBSTITUTE('worker file'!$A$2:$A$406,_xlfn.UNICHAR(160)," ")),'worker file'!$D$2:$D$406,"Not found")</f>
        <v>CA</v>
      </c>
    </row>
    <row r="77" customFormat="false" ht="15" hidden="false" customHeight="false" outlineLevel="0" collapsed="false">
      <c r="A77" s="5" t="s">
        <v>139</v>
      </c>
      <c r="B77" s="6" t="n">
        <v>46309</v>
      </c>
      <c r="C77" s="62" t="n">
        <v>0.249305555555556</v>
      </c>
      <c r="D77" s="62" t="n">
        <v>0.606944444444445</v>
      </c>
      <c r="E77" s="63" t="n">
        <v>0.417361111111111</v>
      </c>
      <c r="F77" s="64" t="n">
        <v>0.438194444444444</v>
      </c>
      <c r="G77" s="65" t="str">
        <f aca="false" t="array" ref="G77:G77">_xlfn.XLOOKUP(A77&amp;"|"&amp;B77,ShiftRoster[Employee ID]&amp;"|"&amp;ShiftRoster[Date],ShiftRoster[Shift Code],_xlfn.XLOOKUP(A77,TRIM(SUBSTITUTE('worker file'!$A$2:$A$406,_xlfn.UNICHAR(160)," ")),'worker file'!$X$2:$X$406,"?"),0,-1)</f>
        <v>PT</v>
      </c>
      <c r="H77" s="65" t="str">
        <f aca="false">_xlfn.XLOOKUP(G77,ShiftCodes[Code],ShiftCodes[Work Schedule],"Unknown")</f>
        <v>Part-time – Day (Mon/Wed/Fri 06:00–14:30)</v>
      </c>
      <c r="I77" s="66" t="n">
        <f aca="false">_xlfn.XLOOKUP(G77,ShiftCodes[Code],ShiftCodes[Start],"")</f>
        <v>0.25</v>
      </c>
      <c r="J77" s="67" t="n">
        <f aca="false">IF(OR(C77="",I77=""),"",ROUND((MOD(C77-I77+0.5,1)-0.5)*1440,0))</f>
        <v>-1</v>
      </c>
      <c r="K77" s="65" t="str">
        <f aca="false">IF(J77="","",IF(ABS(J77)&gt;$U$3,"Off-schedule","OK"))</f>
        <v>OK</v>
      </c>
      <c r="L77" s="68"/>
      <c r="M77" s="5" t="str">
        <f aca="false">TEXT(B77,"ddd")</f>
        <v>Wed</v>
      </c>
      <c r="N77" s="69" t="n">
        <f aca="false">IF(OR(C77="",D77=""),"",ROUND((MOD(D77-C77,1)-IF(ISNUMBER(E77),MOD(F77-E77,1),0))*24,2))</f>
        <v>8.08</v>
      </c>
      <c r="O77" s="5" t="s">
        <v>768</v>
      </c>
      <c r="P77" s="6" t="n">
        <v>46309</v>
      </c>
      <c r="Q77" s="5" t="str">
        <f aca="false">IF(B77&lt;$U$1,"Prior period",IF(B77&gt;$U$2,"Future period","Current period"))</f>
        <v>Current period</v>
      </c>
      <c r="R77" s="5" t="str">
        <f aca="false" t="array" ref="R77:R77">_xlfn.XLOOKUP(A77,TRIM(SUBSTITUTE('worker file'!$A$2:$A$406,_xlfn.UNICHAR(160)," ")),'worker file'!$D$2:$D$406,"Not found")</f>
        <v>CA</v>
      </c>
    </row>
    <row r="78" customFormat="false" ht="15" hidden="false" customHeight="false" outlineLevel="0" collapsed="false">
      <c r="A78" s="5" t="s">
        <v>139</v>
      </c>
      <c r="B78" s="6" t="n">
        <v>46311</v>
      </c>
      <c r="C78" s="62" t="n">
        <v>0.247916666666667</v>
      </c>
      <c r="D78" s="62" t="n">
        <v>0.604166666666667</v>
      </c>
      <c r="E78" s="63" t="n">
        <v>0.417361111111111</v>
      </c>
      <c r="F78" s="64" t="n">
        <v>0.438194444444444</v>
      </c>
      <c r="G78" s="65" t="str">
        <f aca="false" t="array" ref="G78:G78">_xlfn.XLOOKUP(A78&amp;"|"&amp;B78,ShiftRoster[Employee ID]&amp;"|"&amp;ShiftRoster[Date],ShiftRoster[Shift Code],_xlfn.XLOOKUP(A78,TRIM(SUBSTITUTE('worker file'!$A$2:$A$406,_xlfn.UNICHAR(160)," ")),'worker file'!$X$2:$X$406,"?"),0,-1)</f>
        <v>PT</v>
      </c>
      <c r="H78" s="65" t="str">
        <f aca="false">_xlfn.XLOOKUP(G78,ShiftCodes[Code],ShiftCodes[Work Schedule],"Unknown")</f>
        <v>Part-time – Day (Mon/Wed/Fri 06:00–14:30)</v>
      </c>
      <c r="I78" s="66" t="n">
        <f aca="false">_xlfn.XLOOKUP(G78,ShiftCodes[Code],ShiftCodes[Start],"")</f>
        <v>0.25</v>
      </c>
      <c r="J78" s="67" t="n">
        <f aca="false">IF(OR(C78="",I78=""),"",ROUND((MOD(C78-I78+0.5,1)-0.5)*1440,0))</f>
        <v>-3</v>
      </c>
      <c r="K78" s="65" t="str">
        <f aca="false">IF(J78="","",IF(ABS(J78)&gt;$U$3,"Off-schedule","OK"))</f>
        <v>OK</v>
      </c>
      <c r="L78" s="68"/>
      <c r="M78" s="5" t="str">
        <f aca="false">TEXT(B78,"ddd")</f>
        <v>Fri</v>
      </c>
      <c r="N78" s="69" t="n">
        <f aca="false">IF(OR(C78="",D78=""),"",ROUND((MOD(D78-C78,1)-IF(ISNUMBER(E78),MOD(F78-E78,1),0))*24,2))</f>
        <v>8.05</v>
      </c>
      <c r="O78" s="5" t="s">
        <v>768</v>
      </c>
      <c r="P78" s="6" t="n">
        <v>46311</v>
      </c>
      <c r="Q78" s="5" t="str">
        <f aca="false">IF(B78&lt;$U$1,"Prior period",IF(B78&gt;$U$2,"Future period","Current period"))</f>
        <v>Current period</v>
      </c>
      <c r="R78" s="5" t="str">
        <f aca="false" t="array" ref="R78:R78">_xlfn.XLOOKUP(A78,TRIM(SUBSTITUTE('worker file'!$A$2:$A$406,_xlfn.UNICHAR(160)," ")),'worker file'!$D$2:$D$406,"Not found")</f>
        <v>CA</v>
      </c>
    </row>
    <row r="79" customFormat="false" ht="15" hidden="false" customHeight="false" outlineLevel="0" collapsed="false">
      <c r="A79" s="5" t="s">
        <v>147</v>
      </c>
      <c r="B79" s="6" t="n">
        <v>46300</v>
      </c>
      <c r="C79" s="62" t="n">
        <v>0.252777777777778</v>
      </c>
      <c r="D79" s="62" t="n">
        <v>0.602083333333333</v>
      </c>
      <c r="E79" s="63" t="n">
        <v>0.422222222222222</v>
      </c>
      <c r="F79" s="64" t="n">
        <v>0.443055555555556</v>
      </c>
      <c r="G79" s="65" t="str">
        <f aca="false" t="array" ref="G79:G79">_xlfn.XLOOKUP(A79&amp;"|"&amp;B79,ShiftRoster[Employee ID]&amp;"|"&amp;ShiftRoster[Date],ShiftRoster[Shift Code],_xlfn.XLOOKUP(A79,TRIM(SUBSTITUTE('worker file'!$A$2:$A$406,_xlfn.UNICHAR(160)," ")),'worker file'!$X$2:$X$406,"?"),0,-1)</f>
        <v>DAY</v>
      </c>
      <c r="H79" s="65" t="str">
        <f aca="false">_xlfn.XLOOKUP(G79,ShiftCodes[Code],ShiftCodes[Work Schedule],"Unknown")</f>
        <v>Shift A – Day (Mon–Fri 06:00–14:30)</v>
      </c>
      <c r="I79" s="66" t="n">
        <f aca="false">_xlfn.XLOOKUP(G79,ShiftCodes[Code],ShiftCodes[Start],"")</f>
        <v>0.25</v>
      </c>
      <c r="J79" s="67" t="n">
        <f aca="false">IF(OR(C79="",I79=""),"",ROUND((MOD(C79-I79+0.5,1)-0.5)*1440,0))</f>
        <v>4</v>
      </c>
      <c r="K79" s="65" t="str">
        <f aca="false">IF(J79="","",IF(ABS(J79)&gt;$U$3,"Off-schedule","OK"))</f>
        <v>OK</v>
      </c>
      <c r="L79" s="68"/>
      <c r="M79" s="5" t="str">
        <f aca="false">TEXT(B79,"ddd")</f>
        <v>Mon</v>
      </c>
      <c r="N79" s="69" t="n">
        <f aca="false">IF(OR(C79="",D79=""),"",ROUND((MOD(D79-C79,1)-IF(ISNUMBER(E79),MOD(F79-E79,1),0))*24,2))</f>
        <v>7.88</v>
      </c>
      <c r="O79" s="5" t="s">
        <v>768</v>
      </c>
      <c r="P79" s="6" t="n">
        <v>46300</v>
      </c>
      <c r="Q79" s="5" t="str">
        <f aca="false">IF(B79&lt;$U$1,"Prior period",IF(B79&gt;$U$2,"Future period","Current period"))</f>
        <v>Current period</v>
      </c>
      <c r="R79" s="5" t="str">
        <f aca="false" t="array" ref="R79:R79">_xlfn.XLOOKUP(A79,TRIM(SUBSTITUTE('worker file'!$A$2:$A$406,_xlfn.UNICHAR(160)," ")),'worker file'!$D$2:$D$406,"Not found")</f>
        <v>CA</v>
      </c>
    </row>
    <row r="80" customFormat="false" ht="15" hidden="false" customHeight="false" outlineLevel="0" collapsed="false">
      <c r="A80" s="5" t="s">
        <v>147</v>
      </c>
      <c r="B80" s="6" t="n">
        <v>46301</v>
      </c>
      <c r="C80" s="62" t="n">
        <v>0.250694444444444</v>
      </c>
      <c r="D80" s="62" t="n">
        <v>0.601388888888889</v>
      </c>
      <c r="E80" s="63" t="n">
        <v>0.4</v>
      </c>
      <c r="F80" s="64" t="n">
        <v>0.420833333333333</v>
      </c>
      <c r="G80" s="65" t="str">
        <f aca="false" t="array" ref="G80:G80">_xlfn.XLOOKUP(A80&amp;"|"&amp;B80,ShiftRoster[Employee ID]&amp;"|"&amp;ShiftRoster[Date],ShiftRoster[Shift Code],_xlfn.XLOOKUP(A80,TRIM(SUBSTITUTE('worker file'!$A$2:$A$406,_xlfn.UNICHAR(160)," ")),'worker file'!$X$2:$X$406,"?"),0,-1)</f>
        <v>DAY</v>
      </c>
      <c r="H80" s="65" t="str">
        <f aca="false">_xlfn.XLOOKUP(G80,ShiftCodes[Code],ShiftCodes[Work Schedule],"Unknown")</f>
        <v>Shift A – Day (Mon–Fri 06:00–14:30)</v>
      </c>
      <c r="I80" s="66" t="n">
        <f aca="false">_xlfn.XLOOKUP(G80,ShiftCodes[Code],ShiftCodes[Start],"")</f>
        <v>0.25</v>
      </c>
      <c r="J80" s="67" t="n">
        <f aca="false">IF(OR(C80="",I80=""),"",ROUND((MOD(C80-I80+0.5,1)-0.5)*1440,0))</f>
        <v>1</v>
      </c>
      <c r="K80" s="65" t="str">
        <f aca="false">IF(J80="","",IF(ABS(J80)&gt;$U$3,"Off-schedule","OK"))</f>
        <v>OK</v>
      </c>
      <c r="L80" s="68"/>
      <c r="M80" s="5" t="str">
        <f aca="false">TEXT(B80,"ddd")</f>
        <v>Tue</v>
      </c>
      <c r="N80" s="69" t="n">
        <f aca="false">IF(OR(C80="",D80=""),"",ROUND((MOD(D80-C80,1)-IF(ISNUMBER(E80),MOD(F80-E80,1),0))*24,2))</f>
        <v>7.92</v>
      </c>
      <c r="O80" s="5" t="s">
        <v>768</v>
      </c>
      <c r="P80" s="6" t="n">
        <v>46301</v>
      </c>
      <c r="Q80" s="5" t="str">
        <f aca="false">IF(B80&lt;$U$1,"Prior period",IF(B80&gt;$U$2,"Future period","Current period"))</f>
        <v>Current period</v>
      </c>
      <c r="R80" s="5" t="str">
        <f aca="false" t="array" ref="R80:R80">_xlfn.XLOOKUP(A80,TRIM(SUBSTITUTE('worker file'!$A$2:$A$406,_xlfn.UNICHAR(160)," ")),'worker file'!$D$2:$D$406,"Not found")</f>
        <v>CA</v>
      </c>
    </row>
    <row r="81" customFormat="false" ht="15" hidden="false" customHeight="false" outlineLevel="0" collapsed="false">
      <c r="A81" s="5" t="s">
        <v>147</v>
      </c>
      <c r="B81" s="6" t="n">
        <v>46302</v>
      </c>
      <c r="C81" s="62" t="n">
        <v>0.25</v>
      </c>
      <c r="D81" s="62" t="n">
        <v>0.708333333333333</v>
      </c>
      <c r="E81" s="63" t="n">
        <v>0.413194444444444</v>
      </c>
      <c r="F81" s="64" t="n">
        <v>0.434027777777778</v>
      </c>
      <c r="G81" s="65" t="str">
        <f aca="false" t="array" ref="G81:G81">_xlfn.XLOOKUP(A81&amp;"|"&amp;B81,ShiftRoster[Employee ID]&amp;"|"&amp;ShiftRoster[Date],ShiftRoster[Shift Code],_xlfn.XLOOKUP(A81,TRIM(SUBSTITUTE('worker file'!$A$2:$A$406,_xlfn.UNICHAR(160)," ")),'worker file'!$X$2:$X$406,"?"),0,-1)</f>
        <v>DAY</v>
      </c>
      <c r="H81" s="65" t="str">
        <f aca="false">_xlfn.XLOOKUP(G81,ShiftCodes[Code],ShiftCodes[Work Schedule],"Unknown")</f>
        <v>Shift A – Day (Mon–Fri 06:00–14:30)</v>
      </c>
      <c r="I81" s="66" t="n">
        <f aca="false">_xlfn.XLOOKUP(G81,ShiftCodes[Code],ShiftCodes[Start],"")</f>
        <v>0.25</v>
      </c>
      <c r="J81" s="67" t="n">
        <f aca="false">IF(OR(C81="",I81=""),"",ROUND((MOD(C81-I81+0.5,1)-0.5)*1440,0))</f>
        <v>0</v>
      </c>
      <c r="K81" s="65" t="str">
        <f aca="false">IF(J81="","",IF(ABS(J81)&gt;$U$3,"Off-schedule","OK"))</f>
        <v>OK</v>
      </c>
      <c r="L81" s="68" t="s">
        <v>781</v>
      </c>
      <c r="M81" s="5" t="str">
        <f aca="false">TEXT(B81,"ddd")</f>
        <v>Wed</v>
      </c>
      <c r="N81" s="69" t="n">
        <f aca="false">IF(OR(C81="",D81=""),"",ROUND((MOD(D81-C81,1)-IF(ISNUMBER(E81),MOD(F81-E81,1),0))*24,2))</f>
        <v>10.5</v>
      </c>
      <c r="O81" s="5" t="s">
        <v>768</v>
      </c>
      <c r="P81" s="6" t="n">
        <v>46302</v>
      </c>
      <c r="Q81" s="5" t="str">
        <f aca="false">IF(B81&lt;$U$1,"Prior period",IF(B81&gt;$U$2,"Future period","Current period"))</f>
        <v>Current period</v>
      </c>
      <c r="R81" s="5" t="str">
        <f aca="false" t="array" ref="R81:R81">_xlfn.XLOOKUP(A81,TRIM(SUBSTITUTE('worker file'!$A$2:$A$406,_xlfn.UNICHAR(160)," ")),'worker file'!$D$2:$D$406,"Not found")</f>
        <v>CA</v>
      </c>
    </row>
    <row r="82" customFormat="false" ht="15" hidden="false" customHeight="false" outlineLevel="0" collapsed="false">
      <c r="A82" s="5" t="s">
        <v>147</v>
      </c>
      <c r="B82" s="6" t="n">
        <v>46303</v>
      </c>
      <c r="C82" s="62" t="n">
        <v>0.249305555555556</v>
      </c>
      <c r="D82" s="62" t="n">
        <v>0.603472222222222</v>
      </c>
      <c r="E82" s="63" t="n">
        <v>0.418055555555556</v>
      </c>
      <c r="F82" s="64" t="n">
        <v>0.438888888888889</v>
      </c>
      <c r="G82" s="65" t="str">
        <f aca="false" t="array" ref="G82:G82">_xlfn.XLOOKUP(A82&amp;"|"&amp;B82,ShiftRoster[Employee ID]&amp;"|"&amp;ShiftRoster[Date],ShiftRoster[Shift Code],_xlfn.XLOOKUP(A82,TRIM(SUBSTITUTE('worker file'!$A$2:$A$406,_xlfn.UNICHAR(160)," ")),'worker file'!$X$2:$X$406,"?"),0,-1)</f>
        <v>DAY</v>
      </c>
      <c r="H82" s="65" t="str">
        <f aca="false">_xlfn.XLOOKUP(G82,ShiftCodes[Code],ShiftCodes[Work Schedule],"Unknown")</f>
        <v>Shift A – Day (Mon–Fri 06:00–14:30)</v>
      </c>
      <c r="I82" s="66" t="n">
        <f aca="false">_xlfn.XLOOKUP(G82,ShiftCodes[Code],ShiftCodes[Start],"")</f>
        <v>0.25</v>
      </c>
      <c r="J82" s="67" t="n">
        <f aca="false">IF(OR(C82="",I82=""),"",ROUND((MOD(C82-I82+0.5,1)-0.5)*1440,0))</f>
        <v>-1</v>
      </c>
      <c r="K82" s="65" t="str">
        <f aca="false">IF(J82="","",IF(ABS(J82)&gt;$U$3,"Off-schedule","OK"))</f>
        <v>OK</v>
      </c>
      <c r="L82" s="68"/>
      <c r="M82" s="5" t="str">
        <f aca="false">TEXT(B82,"ddd")</f>
        <v>Thu</v>
      </c>
      <c r="N82" s="69" t="n">
        <f aca="false">IF(OR(C82="",D82=""),"",ROUND((MOD(D82-C82,1)-IF(ISNUMBER(E82),MOD(F82-E82,1),0))*24,2))</f>
        <v>8</v>
      </c>
      <c r="O82" s="5" t="s">
        <v>768</v>
      </c>
      <c r="P82" s="6" t="n">
        <v>46303</v>
      </c>
      <c r="Q82" s="5" t="str">
        <f aca="false">IF(B82&lt;$U$1,"Prior period",IF(B82&gt;$U$2,"Future period","Current period"))</f>
        <v>Current period</v>
      </c>
      <c r="R82" s="5" t="str">
        <f aca="false" t="array" ref="R82:R82">_xlfn.XLOOKUP(A82,TRIM(SUBSTITUTE('worker file'!$A$2:$A$406,_xlfn.UNICHAR(160)," ")),'worker file'!$D$2:$D$406,"Not found")</f>
        <v>CA</v>
      </c>
    </row>
    <row r="83" customFormat="false" ht="15" hidden="false" customHeight="false" outlineLevel="0" collapsed="false">
      <c r="A83" s="5" t="s">
        <v>147</v>
      </c>
      <c r="B83" s="6" t="n">
        <v>46304</v>
      </c>
      <c r="C83" s="62" t="n">
        <v>0.245833333333333</v>
      </c>
      <c r="D83" s="62" t="n">
        <v>0.594444444444444</v>
      </c>
      <c r="E83" s="63" t="n">
        <v>0.404861111111111</v>
      </c>
      <c r="F83" s="64" t="n">
        <v>0.425694444444444</v>
      </c>
      <c r="G83" s="65" t="str">
        <f aca="false" t="array" ref="G83:G83">_xlfn.XLOOKUP(A83&amp;"|"&amp;B83,ShiftRoster[Employee ID]&amp;"|"&amp;ShiftRoster[Date],ShiftRoster[Shift Code],_xlfn.XLOOKUP(A83,TRIM(SUBSTITUTE('worker file'!$A$2:$A$406,_xlfn.UNICHAR(160)," ")),'worker file'!$X$2:$X$406,"?"),0,-1)</f>
        <v>DAY</v>
      </c>
      <c r="H83" s="65" t="str">
        <f aca="false">_xlfn.XLOOKUP(G83,ShiftCodes[Code],ShiftCodes[Work Schedule],"Unknown")</f>
        <v>Shift A – Day (Mon–Fri 06:00–14:30)</v>
      </c>
      <c r="I83" s="66" t="n">
        <f aca="false">_xlfn.XLOOKUP(G83,ShiftCodes[Code],ShiftCodes[Start],"")</f>
        <v>0.25</v>
      </c>
      <c r="J83" s="67" t="n">
        <f aca="false">IF(OR(C83="",I83=""),"",ROUND((MOD(C83-I83+0.5,1)-0.5)*1440,0))</f>
        <v>-6</v>
      </c>
      <c r="K83" s="65" t="str">
        <f aca="false">IF(J83="","",IF(ABS(J83)&gt;$U$3,"Off-schedule","OK"))</f>
        <v>OK</v>
      </c>
      <c r="L83" s="68"/>
      <c r="M83" s="5" t="str">
        <f aca="false">TEXT(B83,"ddd")</f>
        <v>Fri</v>
      </c>
      <c r="N83" s="69" t="n">
        <f aca="false">IF(OR(C83="",D83=""),"",ROUND((MOD(D83-C83,1)-IF(ISNUMBER(E83),MOD(F83-E83,1),0))*24,2))</f>
        <v>7.87</v>
      </c>
      <c r="O83" s="5" t="s">
        <v>768</v>
      </c>
      <c r="P83" s="6" t="n">
        <v>46304</v>
      </c>
      <c r="Q83" s="5" t="str">
        <f aca="false">IF(B83&lt;$U$1,"Prior period",IF(B83&gt;$U$2,"Future period","Current period"))</f>
        <v>Current period</v>
      </c>
      <c r="R83" s="5" t="str">
        <f aca="false" t="array" ref="R83:R83">_xlfn.XLOOKUP(A83,TRIM(SUBSTITUTE('worker file'!$A$2:$A$406,_xlfn.UNICHAR(160)," ")),'worker file'!$D$2:$D$406,"Not found")</f>
        <v>CA</v>
      </c>
    </row>
    <row r="84" customFormat="false" ht="15" hidden="false" customHeight="false" outlineLevel="0" collapsed="false">
      <c r="A84" s="5" t="s">
        <v>147</v>
      </c>
      <c r="B84" s="6" t="n">
        <v>46307</v>
      </c>
      <c r="C84" s="62" t="n">
        <v>0.249305555555556</v>
      </c>
      <c r="D84" s="62" t="n">
        <v>0.601388888888889</v>
      </c>
      <c r="E84" s="63" t="n">
        <v>0.416666666666667</v>
      </c>
      <c r="F84" s="64" t="n">
        <v>0.4375</v>
      </c>
      <c r="G84" s="65" t="str">
        <f aca="false" t="array" ref="G84:G84">_xlfn.XLOOKUP(A84&amp;"|"&amp;B84,ShiftRoster[Employee ID]&amp;"|"&amp;ShiftRoster[Date],ShiftRoster[Shift Code],_xlfn.XLOOKUP(A84,TRIM(SUBSTITUTE('worker file'!$A$2:$A$406,_xlfn.UNICHAR(160)," ")),'worker file'!$X$2:$X$406,"?"),0,-1)</f>
        <v>DAY</v>
      </c>
      <c r="H84" s="65" t="str">
        <f aca="false">_xlfn.XLOOKUP(G84,ShiftCodes[Code],ShiftCodes[Work Schedule],"Unknown")</f>
        <v>Shift A – Day (Mon–Fri 06:00–14:30)</v>
      </c>
      <c r="I84" s="66" t="n">
        <f aca="false">_xlfn.XLOOKUP(G84,ShiftCodes[Code],ShiftCodes[Start],"")</f>
        <v>0.25</v>
      </c>
      <c r="J84" s="67" t="n">
        <f aca="false">IF(OR(C84="",I84=""),"",ROUND((MOD(C84-I84+0.5,1)-0.5)*1440,0))</f>
        <v>-1</v>
      </c>
      <c r="K84" s="65" t="str">
        <f aca="false">IF(J84="","",IF(ABS(J84)&gt;$U$3,"Off-schedule","OK"))</f>
        <v>OK</v>
      </c>
      <c r="L84" s="68"/>
      <c r="M84" s="5" t="str">
        <f aca="false">TEXT(B84,"ddd")</f>
        <v>Mon</v>
      </c>
      <c r="N84" s="69" t="n">
        <f aca="false">IF(OR(C84="",D84=""),"",ROUND((MOD(D84-C84,1)-IF(ISNUMBER(E84),MOD(F84-E84,1),0))*24,2))</f>
        <v>7.95</v>
      </c>
      <c r="O84" s="5" t="s">
        <v>768</v>
      </c>
      <c r="P84" s="6" t="n">
        <v>46307</v>
      </c>
      <c r="Q84" s="5" t="str">
        <f aca="false">IF(B84&lt;$U$1,"Prior period",IF(B84&gt;$U$2,"Future period","Current period"))</f>
        <v>Current period</v>
      </c>
      <c r="R84" s="5" t="str">
        <f aca="false" t="array" ref="R84:R84">_xlfn.XLOOKUP(A84,TRIM(SUBSTITUTE('worker file'!$A$2:$A$406,_xlfn.UNICHAR(160)," ")),'worker file'!$D$2:$D$406,"Not found")</f>
        <v>CA</v>
      </c>
    </row>
    <row r="85" customFormat="false" ht="15" hidden="false" customHeight="false" outlineLevel="0" collapsed="false">
      <c r="A85" s="5" t="s">
        <v>147</v>
      </c>
      <c r="B85" s="6" t="n">
        <v>46308</v>
      </c>
      <c r="C85" s="62" t="n">
        <v>0.25</v>
      </c>
      <c r="D85" s="62" t="n">
        <v>0.602777777777778</v>
      </c>
      <c r="E85" s="63" t="n">
        <v>0.419444444444444</v>
      </c>
      <c r="F85" s="64" t="n">
        <v>0.440277777777778</v>
      </c>
      <c r="G85" s="65" t="str">
        <f aca="false" t="array" ref="G85:G85">_xlfn.XLOOKUP(A85&amp;"|"&amp;B85,ShiftRoster[Employee ID]&amp;"|"&amp;ShiftRoster[Date],ShiftRoster[Shift Code],_xlfn.XLOOKUP(A85,TRIM(SUBSTITUTE('worker file'!$A$2:$A$406,_xlfn.UNICHAR(160)," ")),'worker file'!$X$2:$X$406,"?"),0,-1)</f>
        <v>DAY</v>
      </c>
      <c r="H85" s="65" t="str">
        <f aca="false">_xlfn.XLOOKUP(G85,ShiftCodes[Code],ShiftCodes[Work Schedule],"Unknown")</f>
        <v>Shift A – Day (Mon–Fri 06:00–14:30)</v>
      </c>
      <c r="I85" s="66" t="n">
        <f aca="false">_xlfn.XLOOKUP(G85,ShiftCodes[Code],ShiftCodes[Start],"")</f>
        <v>0.25</v>
      </c>
      <c r="J85" s="67" t="n">
        <f aca="false">IF(OR(C85="",I85=""),"",ROUND((MOD(C85-I85+0.5,1)-0.5)*1440,0))</f>
        <v>0</v>
      </c>
      <c r="K85" s="65" t="str">
        <f aca="false">IF(J85="","",IF(ABS(J85)&gt;$U$3,"Off-schedule","OK"))</f>
        <v>OK</v>
      </c>
      <c r="L85" s="68"/>
      <c r="M85" s="5" t="str">
        <f aca="false">TEXT(B85,"ddd")</f>
        <v>Tue</v>
      </c>
      <c r="N85" s="69" t="n">
        <f aca="false">IF(OR(C85="",D85=""),"",ROUND((MOD(D85-C85,1)-IF(ISNUMBER(E85),MOD(F85-E85,1),0))*24,2))</f>
        <v>7.97</v>
      </c>
      <c r="O85" s="5" t="s">
        <v>768</v>
      </c>
      <c r="P85" s="6" t="n">
        <v>46308</v>
      </c>
      <c r="Q85" s="5" t="str">
        <f aca="false">IF(B85&lt;$U$1,"Prior period",IF(B85&gt;$U$2,"Future period","Current period"))</f>
        <v>Current period</v>
      </c>
      <c r="R85" s="5" t="str">
        <f aca="false" t="array" ref="R85:R85">_xlfn.XLOOKUP(A85,TRIM(SUBSTITUTE('worker file'!$A$2:$A$406,_xlfn.UNICHAR(160)," ")),'worker file'!$D$2:$D$406,"Not found")</f>
        <v>CA</v>
      </c>
    </row>
    <row r="86" customFormat="false" ht="15" hidden="false" customHeight="false" outlineLevel="0" collapsed="false">
      <c r="A86" s="5" t="s">
        <v>147</v>
      </c>
      <c r="B86" s="6" t="n">
        <v>46309</v>
      </c>
      <c r="C86" s="62" t="n">
        <v>0.250694444444444</v>
      </c>
      <c r="D86" s="62" t="n">
        <v>0.6</v>
      </c>
      <c r="E86" s="63" t="n">
        <v>0.406944444444444</v>
      </c>
      <c r="F86" s="64" t="n">
        <v>0.427777777777778</v>
      </c>
      <c r="G86" s="65" t="str">
        <f aca="false" t="array" ref="G86:G86">_xlfn.XLOOKUP(A86&amp;"|"&amp;B86,ShiftRoster[Employee ID]&amp;"|"&amp;ShiftRoster[Date],ShiftRoster[Shift Code],_xlfn.XLOOKUP(A86,TRIM(SUBSTITUTE('worker file'!$A$2:$A$406,_xlfn.UNICHAR(160)," ")),'worker file'!$X$2:$X$406,"?"),0,-1)</f>
        <v>DAY</v>
      </c>
      <c r="H86" s="65" t="str">
        <f aca="false">_xlfn.XLOOKUP(G86,ShiftCodes[Code],ShiftCodes[Work Schedule],"Unknown")</f>
        <v>Shift A – Day (Mon–Fri 06:00–14:30)</v>
      </c>
      <c r="I86" s="66" t="n">
        <f aca="false">_xlfn.XLOOKUP(G86,ShiftCodes[Code],ShiftCodes[Start],"")</f>
        <v>0.25</v>
      </c>
      <c r="J86" s="67" t="n">
        <f aca="false">IF(OR(C86="",I86=""),"",ROUND((MOD(C86-I86+0.5,1)-0.5)*1440,0))</f>
        <v>1</v>
      </c>
      <c r="K86" s="65" t="str">
        <f aca="false">IF(J86="","",IF(ABS(J86)&gt;$U$3,"Off-schedule","OK"))</f>
        <v>OK</v>
      </c>
      <c r="L86" s="68"/>
      <c r="M86" s="5" t="str">
        <f aca="false">TEXT(B86,"ddd")</f>
        <v>Wed</v>
      </c>
      <c r="N86" s="69" t="n">
        <f aca="false">IF(OR(C86="",D86=""),"",ROUND((MOD(D86-C86,1)-IF(ISNUMBER(E86),MOD(F86-E86,1),0))*24,2))</f>
        <v>7.88</v>
      </c>
      <c r="O86" s="5" t="s">
        <v>768</v>
      </c>
      <c r="P86" s="6" t="n">
        <v>46309</v>
      </c>
      <c r="Q86" s="5" t="str">
        <f aca="false">IF(B86&lt;$U$1,"Prior period",IF(B86&gt;$U$2,"Future period","Current period"))</f>
        <v>Current period</v>
      </c>
      <c r="R86" s="5" t="str">
        <f aca="false" t="array" ref="R86:R86">_xlfn.XLOOKUP(A86,TRIM(SUBSTITUTE('worker file'!$A$2:$A$406,_xlfn.UNICHAR(160)," ")),'worker file'!$D$2:$D$406,"Not found")</f>
        <v>CA</v>
      </c>
    </row>
    <row r="87" customFormat="false" ht="15" hidden="false" customHeight="false" outlineLevel="0" collapsed="false">
      <c r="A87" s="5" t="s">
        <v>147</v>
      </c>
      <c r="B87" s="6" t="n">
        <v>46310</v>
      </c>
      <c r="C87" s="62" t="n">
        <v>0.246527777777778</v>
      </c>
      <c r="D87" s="62" t="n">
        <v>0.599305555555556</v>
      </c>
      <c r="E87" s="63" t="n">
        <v>0.422222222222222</v>
      </c>
      <c r="F87" s="64" t="n">
        <v>0.443055555555556</v>
      </c>
      <c r="G87" s="65" t="str">
        <f aca="false" t="array" ref="G87:G87">_xlfn.XLOOKUP(A87&amp;"|"&amp;B87,ShiftRoster[Employee ID]&amp;"|"&amp;ShiftRoster[Date],ShiftRoster[Shift Code],_xlfn.XLOOKUP(A87,TRIM(SUBSTITUTE('worker file'!$A$2:$A$406,_xlfn.UNICHAR(160)," ")),'worker file'!$X$2:$X$406,"?"),0,-1)</f>
        <v>DAY</v>
      </c>
      <c r="H87" s="65" t="str">
        <f aca="false">_xlfn.XLOOKUP(G87,ShiftCodes[Code],ShiftCodes[Work Schedule],"Unknown")</f>
        <v>Shift A – Day (Mon–Fri 06:00–14:30)</v>
      </c>
      <c r="I87" s="66" t="n">
        <f aca="false">_xlfn.XLOOKUP(G87,ShiftCodes[Code],ShiftCodes[Start],"")</f>
        <v>0.25</v>
      </c>
      <c r="J87" s="67" t="n">
        <f aca="false">IF(OR(C87="",I87=""),"",ROUND((MOD(C87-I87+0.5,1)-0.5)*1440,0))</f>
        <v>-5</v>
      </c>
      <c r="K87" s="65" t="str">
        <f aca="false">IF(J87="","",IF(ABS(J87)&gt;$U$3,"Off-schedule","OK"))</f>
        <v>OK</v>
      </c>
      <c r="L87" s="68"/>
      <c r="M87" s="5" t="str">
        <f aca="false">TEXT(B87,"ddd")</f>
        <v>Thu</v>
      </c>
      <c r="N87" s="69" t="n">
        <f aca="false">IF(OR(C87="",D87=""),"",ROUND((MOD(D87-C87,1)-IF(ISNUMBER(E87),MOD(F87-E87,1),0))*24,2))</f>
        <v>7.97</v>
      </c>
      <c r="O87" s="5" t="s">
        <v>768</v>
      </c>
      <c r="P87" s="6" t="n">
        <v>46310</v>
      </c>
      <c r="Q87" s="5" t="str">
        <f aca="false">IF(B87&lt;$U$1,"Prior period",IF(B87&gt;$U$2,"Future period","Current period"))</f>
        <v>Current period</v>
      </c>
      <c r="R87" s="5" t="str">
        <f aca="false" t="array" ref="R87:R87">_xlfn.XLOOKUP(A87,TRIM(SUBSTITUTE('worker file'!$A$2:$A$406,_xlfn.UNICHAR(160)," ")),'worker file'!$D$2:$D$406,"Not found")</f>
        <v>CA</v>
      </c>
    </row>
    <row r="88" customFormat="false" ht="15" hidden="false" customHeight="false" outlineLevel="0" collapsed="false">
      <c r="A88" s="5" t="s">
        <v>147</v>
      </c>
      <c r="B88" s="6" t="n">
        <v>46311</v>
      </c>
      <c r="C88" s="62" t="n">
        <v>0.248611111111111</v>
      </c>
      <c r="D88" s="62" t="n">
        <v>0.598611111111111</v>
      </c>
      <c r="E88" s="63" t="n">
        <v>0.401388888888889</v>
      </c>
      <c r="F88" s="64" t="n">
        <v>0.422222222222222</v>
      </c>
      <c r="G88" s="65" t="str">
        <f aca="false" t="array" ref="G88:G88">_xlfn.XLOOKUP(A88&amp;"|"&amp;B88,ShiftRoster[Employee ID]&amp;"|"&amp;ShiftRoster[Date],ShiftRoster[Shift Code],_xlfn.XLOOKUP(A88,TRIM(SUBSTITUTE('worker file'!$A$2:$A$406,_xlfn.UNICHAR(160)," ")),'worker file'!$X$2:$X$406,"?"),0,-1)</f>
        <v>DAY</v>
      </c>
      <c r="H88" s="65" t="str">
        <f aca="false">_xlfn.XLOOKUP(G88,ShiftCodes[Code],ShiftCodes[Work Schedule],"Unknown")</f>
        <v>Shift A – Day (Mon–Fri 06:00–14:30)</v>
      </c>
      <c r="I88" s="66" t="n">
        <f aca="false">_xlfn.XLOOKUP(G88,ShiftCodes[Code],ShiftCodes[Start],"")</f>
        <v>0.25</v>
      </c>
      <c r="J88" s="67" t="n">
        <f aca="false">IF(OR(C88="",I88=""),"",ROUND((MOD(C88-I88+0.5,1)-0.5)*1440,0))</f>
        <v>-2</v>
      </c>
      <c r="K88" s="65" t="str">
        <f aca="false">IF(J88="","",IF(ABS(J88)&gt;$U$3,"Off-schedule","OK"))</f>
        <v>OK</v>
      </c>
      <c r="L88" s="68"/>
      <c r="M88" s="5" t="str">
        <f aca="false">TEXT(B88,"ddd")</f>
        <v>Fri</v>
      </c>
      <c r="N88" s="69" t="n">
        <f aca="false">IF(OR(C88="",D88=""),"",ROUND((MOD(D88-C88,1)-IF(ISNUMBER(E88),MOD(F88-E88,1),0))*24,2))</f>
        <v>7.9</v>
      </c>
      <c r="O88" s="5" t="s">
        <v>768</v>
      </c>
      <c r="P88" s="6" t="n">
        <v>46311</v>
      </c>
      <c r="Q88" s="5" t="str">
        <f aca="false">IF(B88&lt;$U$1,"Prior period",IF(B88&gt;$U$2,"Future period","Current period"))</f>
        <v>Current period</v>
      </c>
      <c r="R88" s="5" t="str">
        <f aca="false" t="array" ref="R88:R88">_xlfn.XLOOKUP(A88,TRIM(SUBSTITUTE('worker file'!$A$2:$A$406,_xlfn.UNICHAR(160)," ")),'worker file'!$D$2:$D$406,"Not found")</f>
        <v>CA</v>
      </c>
    </row>
    <row r="89" customFormat="false" ht="15" hidden="false" customHeight="false" outlineLevel="0" collapsed="false">
      <c r="A89" s="5" t="s">
        <v>150</v>
      </c>
      <c r="B89" s="6" t="n">
        <v>46299</v>
      </c>
      <c r="C89" s="62" t="n">
        <v>0.251388888888889</v>
      </c>
      <c r="D89" s="62" t="n">
        <v>0.770138888888889</v>
      </c>
      <c r="E89" s="63" t="n">
        <v>0.429861111111111</v>
      </c>
      <c r="F89" s="64" t="n">
        <v>0.450694444444444</v>
      </c>
      <c r="G89" s="65" t="str">
        <f aca="false" t="array" ref="G89:G89">_xlfn.XLOOKUP(A89&amp;"|"&amp;B89,ShiftRoster[Employee ID]&amp;"|"&amp;ShiftRoster[Date],ShiftRoster[Shift Code],_xlfn.XLOOKUP(A89,TRIM(SUBSTITUTE('worker file'!$A$2:$A$406,_xlfn.UNICHAR(160)," ")),'worker file'!$X$2:$X$406,"?"),0,-1)</f>
        <v>WKND</v>
      </c>
      <c r="H89" s="65" t="str">
        <f aca="false">_xlfn.XLOOKUP(G89,ShiftCodes[Code],ShiftCodes[Work Schedule],"Unknown")</f>
        <v>Shift D – Weekend (Fri–Sun 06:00–18:30)</v>
      </c>
      <c r="I89" s="66" t="n">
        <f aca="false">_xlfn.XLOOKUP(G89,ShiftCodes[Code],ShiftCodes[Start],"")</f>
        <v>0.25</v>
      </c>
      <c r="J89" s="67" t="n">
        <f aca="false">IF(OR(C89="",I89=""),"",ROUND((MOD(C89-I89+0.5,1)-0.5)*1440,0))</f>
        <v>2</v>
      </c>
      <c r="K89" s="65" t="str">
        <f aca="false">IF(J89="","",IF(ABS(J89)&gt;$U$3,"Off-schedule","OK"))</f>
        <v>OK</v>
      </c>
      <c r="L89" s="68"/>
      <c r="M89" s="5" t="str">
        <f aca="false">TEXT(B89,"ddd")</f>
        <v>Sun</v>
      </c>
      <c r="N89" s="69" t="n">
        <f aca="false">IF(OR(C89="",D89=""),"",ROUND((MOD(D89-C89,1)-IF(ISNUMBER(E89),MOD(F89-E89,1),0))*24,2))</f>
        <v>11.95</v>
      </c>
      <c r="O89" s="5" t="s">
        <v>768</v>
      </c>
      <c r="P89" s="6" t="n">
        <v>46299</v>
      </c>
      <c r="Q89" s="5" t="str">
        <f aca="false">IF(B89&lt;$U$1,"Prior period",IF(B89&gt;$U$2,"Future period","Current period"))</f>
        <v>Current period</v>
      </c>
      <c r="R89" s="5" t="str">
        <f aca="false" t="array" ref="R89:R89">_xlfn.XLOOKUP(A89,TRIM(SUBSTITUTE('worker file'!$A$2:$A$406,_xlfn.UNICHAR(160)," ")),'worker file'!$D$2:$D$406,"Not found")</f>
        <v>TX</v>
      </c>
    </row>
    <row r="90" customFormat="false" ht="15" hidden="false" customHeight="false" outlineLevel="0" collapsed="false">
      <c r="A90" s="5" t="s">
        <v>150</v>
      </c>
      <c r="B90" s="6" t="n">
        <v>46304</v>
      </c>
      <c r="C90" s="62" t="n">
        <v>0.251388888888889</v>
      </c>
      <c r="D90" s="62" t="n">
        <v>0.772222222222222</v>
      </c>
      <c r="E90" s="63" t="n">
        <v>0.431944444444444</v>
      </c>
      <c r="F90" s="64" t="n">
        <v>0.452777777777778</v>
      </c>
      <c r="G90" s="65" t="str">
        <f aca="false" t="array" ref="G90:G90">_xlfn.XLOOKUP(A90&amp;"|"&amp;B90,ShiftRoster[Employee ID]&amp;"|"&amp;ShiftRoster[Date],ShiftRoster[Shift Code],_xlfn.XLOOKUP(A90,TRIM(SUBSTITUTE('worker file'!$A$2:$A$406,_xlfn.UNICHAR(160)," ")),'worker file'!$X$2:$X$406,"?"),0,-1)</f>
        <v>WKND</v>
      </c>
      <c r="H90" s="65" t="str">
        <f aca="false">_xlfn.XLOOKUP(G90,ShiftCodes[Code],ShiftCodes[Work Schedule],"Unknown")</f>
        <v>Shift D – Weekend (Fri–Sun 06:00–18:30)</v>
      </c>
      <c r="I90" s="66" t="n">
        <f aca="false">_xlfn.XLOOKUP(G90,ShiftCodes[Code],ShiftCodes[Start],"")</f>
        <v>0.25</v>
      </c>
      <c r="J90" s="67" t="n">
        <f aca="false">IF(OR(C90="",I90=""),"",ROUND((MOD(C90-I90+0.5,1)-0.5)*1440,0))</f>
        <v>2</v>
      </c>
      <c r="K90" s="65" t="str">
        <f aca="false">IF(J90="","",IF(ABS(J90)&gt;$U$3,"Off-schedule","OK"))</f>
        <v>OK</v>
      </c>
      <c r="L90" s="68"/>
      <c r="M90" s="5" t="str">
        <f aca="false">TEXT(B90,"ddd")</f>
        <v>Fri</v>
      </c>
      <c r="N90" s="69" t="n">
        <f aca="false">IF(OR(C90="",D90=""),"",ROUND((MOD(D90-C90,1)-IF(ISNUMBER(E90),MOD(F90-E90,1),0))*24,2))</f>
        <v>12</v>
      </c>
      <c r="O90" s="5" t="s">
        <v>768</v>
      </c>
      <c r="P90" s="6" t="n">
        <v>46304</v>
      </c>
      <c r="Q90" s="5" t="str">
        <f aca="false">IF(B90&lt;$U$1,"Prior period",IF(B90&gt;$U$2,"Future period","Current period"))</f>
        <v>Current period</v>
      </c>
      <c r="R90" s="5" t="str">
        <f aca="false" t="array" ref="R90:R90">_xlfn.XLOOKUP(A90,TRIM(SUBSTITUTE('worker file'!$A$2:$A$406,_xlfn.UNICHAR(160)," ")),'worker file'!$D$2:$D$406,"Not found")</f>
        <v>TX</v>
      </c>
    </row>
    <row r="91" customFormat="false" ht="15" hidden="false" customHeight="false" outlineLevel="0" collapsed="false">
      <c r="A91" s="5" t="s">
        <v>150</v>
      </c>
      <c r="B91" s="6" t="n">
        <v>46305</v>
      </c>
      <c r="C91" s="62" t="n">
        <v>0.249305555555556</v>
      </c>
      <c r="D91" s="62" t="n">
        <v>0.765277777777778</v>
      </c>
      <c r="E91" s="63" t="n">
        <v>0.4</v>
      </c>
      <c r="F91" s="64" t="n">
        <v>0.420833333333333</v>
      </c>
      <c r="G91" s="65" t="str">
        <f aca="false" t="array" ref="G91:G91">_xlfn.XLOOKUP(A91&amp;"|"&amp;B91,ShiftRoster[Employee ID]&amp;"|"&amp;ShiftRoster[Date],ShiftRoster[Shift Code],_xlfn.XLOOKUP(A91,TRIM(SUBSTITUTE('worker file'!$A$2:$A$406,_xlfn.UNICHAR(160)," ")),'worker file'!$X$2:$X$406,"?"),0,-1)</f>
        <v>WKND</v>
      </c>
      <c r="H91" s="65" t="str">
        <f aca="false">_xlfn.XLOOKUP(G91,ShiftCodes[Code],ShiftCodes[Work Schedule],"Unknown")</f>
        <v>Shift D – Weekend (Fri–Sun 06:00–18:30)</v>
      </c>
      <c r="I91" s="66" t="n">
        <f aca="false">_xlfn.XLOOKUP(G91,ShiftCodes[Code],ShiftCodes[Start],"")</f>
        <v>0.25</v>
      </c>
      <c r="J91" s="67" t="n">
        <f aca="false">IF(OR(C91="",I91=""),"",ROUND((MOD(C91-I91+0.5,1)-0.5)*1440,0))</f>
        <v>-1</v>
      </c>
      <c r="K91" s="65" t="str">
        <f aca="false">IF(J91="","",IF(ABS(J91)&gt;$U$3,"Off-schedule","OK"))</f>
        <v>OK</v>
      </c>
      <c r="L91" s="68"/>
      <c r="M91" s="5" t="str">
        <f aca="false">TEXT(B91,"ddd")</f>
        <v>Sat</v>
      </c>
      <c r="N91" s="69" t="n">
        <f aca="false">IF(OR(C91="",D91=""),"",ROUND((MOD(D91-C91,1)-IF(ISNUMBER(E91),MOD(F91-E91,1),0))*24,2))</f>
        <v>11.88</v>
      </c>
      <c r="O91" s="5" t="s">
        <v>768</v>
      </c>
      <c r="P91" s="6" t="n">
        <v>46305</v>
      </c>
      <c r="Q91" s="5" t="str">
        <f aca="false">IF(B91&lt;$U$1,"Prior period",IF(B91&gt;$U$2,"Future period","Current period"))</f>
        <v>Current period</v>
      </c>
      <c r="R91" s="5" t="str">
        <f aca="false" t="array" ref="R91:R91">_xlfn.XLOOKUP(A91,TRIM(SUBSTITUTE('worker file'!$A$2:$A$406,_xlfn.UNICHAR(160)," ")),'worker file'!$D$2:$D$406,"Not found")</f>
        <v>TX</v>
      </c>
    </row>
    <row r="92" customFormat="false" ht="15" hidden="false" customHeight="false" outlineLevel="0" collapsed="false">
      <c r="A92" s="5" t="s">
        <v>150</v>
      </c>
      <c r="B92" s="6" t="n">
        <v>46306</v>
      </c>
      <c r="C92" s="62" t="n">
        <v>0.245833333333333</v>
      </c>
      <c r="D92" s="62" t="n">
        <v>0.761805555555556</v>
      </c>
      <c r="E92" s="63" t="n">
        <v>0.399305555555556</v>
      </c>
      <c r="F92" s="64" t="n">
        <v>0.420138888888889</v>
      </c>
      <c r="G92" s="65" t="str">
        <f aca="false" t="array" ref="G92:G92">_xlfn.XLOOKUP(A92&amp;"|"&amp;B92,ShiftRoster[Employee ID]&amp;"|"&amp;ShiftRoster[Date],ShiftRoster[Shift Code],_xlfn.XLOOKUP(A92,TRIM(SUBSTITUTE('worker file'!$A$2:$A$406,_xlfn.UNICHAR(160)," ")),'worker file'!$X$2:$X$406,"?"),0,-1)</f>
        <v>WKND</v>
      </c>
      <c r="H92" s="65" t="str">
        <f aca="false">_xlfn.XLOOKUP(G92,ShiftCodes[Code],ShiftCodes[Work Schedule],"Unknown")</f>
        <v>Shift D – Weekend (Fri–Sun 06:00–18:30)</v>
      </c>
      <c r="I92" s="66" t="n">
        <f aca="false">_xlfn.XLOOKUP(G92,ShiftCodes[Code],ShiftCodes[Start],"")</f>
        <v>0.25</v>
      </c>
      <c r="J92" s="67" t="n">
        <f aca="false">IF(OR(C92="",I92=""),"",ROUND((MOD(C92-I92+0.5,1)-0.5)*1440,0))</f>
        <v>-6</v>
      </c>
      <c r="K92" s="65" t="str">
        <f aca="false">IF(J92="","",IF(ABS(J92)&gt;$U$3,"Off-schedule","OK"))</f>
        <v>OK</v>
      </c>
      <c r="L92" s="68"/>
      <c r="M92" s="5" t="str">
        <f aca="false">TEXT(B92,"ddd")</f>
        <v>Sun</v>
      </c>
      <c r="N92" s="69" t="n">
        <f aca="false">IF(OR(C92="",D92=""),"",ROUND((MOD(D92-C92,1)-IF(ISNUMBER(E92),MOD(F92-E92,1),0))*24,2))</f>
        <v>11.88</v>
      </c>
      <c r="O92" s="5" t="s">
        <v>768</v>
      </c>
      <c r="P92" s="6" t="n">
        <v>46306</v>
      </c>
      <c r="Q92" s="5" t="str">
        <f aca="false">IF(B92&lt;$U$1,"Prior period",IF(B92&gt;$U$2,"Future period","Current period"))</f>
        <v>Current period</v>
      </c>
      <c r="R92" s="5" t="str">
        <f aca="false" t="array" ref="R92:R92">_xlfn.XLOOKUP(A92,TRIM(SUBSTITUTE('worker file'!$A$2:$A$406,_xlfn.UNICHAR(160)," ")),'worker file'!$D$2:$D$406,"Not found")</f>
        <v>TX</v>
      </c>
    </row>
    <row r="93" customFormat="false" ht="15" hidden="false" customHeight="false" outlineLevel="0" collapsed="false">
      <c r="A93" s="5" t="s">
        <v>150</v>
      </c>
      <c r="B93" s="6" t="n">
        <v>46311</v>
      </c>
      <c r="C93" s="62" t="n">
        <v>0.251388888888889</v>
      </c>
      <c r="D93" s="62" t="n">
        <v>0.767361111111111</v>
      </c>
      <c r="E93" s="63" t="n">
        <v>0.423611111111111</v>
      </c>
      <c r="F93" s="64" t="n">
        <v>0.444444444444444</v>
      </c>
      <c r="G93" s="65" t="str">
        <f aca="false" t="array" ref="G93:G93">_xlfn.XLOOKUP(A93&amp;"|"&amp;B93,ShiftRoster[Employee ID]&amp;"|"&amp;ShiftRoster[Date],ShiftRoster[Shift Code],_xlfn.XLOOKUP(A93,TRIM(SUBSTITUTE('worker file'!$A$2:$A$406,_xlfn.UNICHAR(160)," ")),'worker file'!$X$2:$X$406,"?"),0,-1)</f>
        <v>WKND</v>
      </c>
      <c r="H93" s="65" t="str">
        <f aca="false">_xlfn.XLOOKUP(G93,ShiftCodes[Code],ShiftCodes[Work Schedule],"Unknown")</f>
        <v>Shift D – Weekend (Fri–Sun 06:00–18:30)</v>
      </c>
      <c r="I93" s="66" t="n">
        <f aca="false">_xlfn.XLOOKUP(G93,ShiftCodes[Code],ShiftCodes[Start],"")</f>
        <v>0.25</v>
      </c>
      <c r="J93" s="67" t="n">
        <f aca="false">IF(OR(C93="",I93=""),"",ROUND((MOD(C93-I93+0.5,1)-0.5)*1440,0))</f>
        <v>2</v>
      </c>
      <c r="K93" s="65" t="str">
        <f aca="false">IF(J93="","",IF(ABS(J93)&gt;$U$3,"Off-schedule","OK"))</f>
        <v>OK</v>
      </c>
      <c r="L93" s="68"/>
      <c r="M93" s="5" t="str">
        <f aca="false">TEXT(B93,"ddd")</f>
        <v>Fri</v>
      </c>
      <c r="N93" s="69" t="n">
        <f aca="false">IF(OR(C93="",D93=""),"",ROUND((MOD(D93-C93,1)-IF(ISNUMBER(E93),MOD(F93-E93,1),0))*24,2))</f>
        <v>11.88</v>
      </c>
      <c r="O93" s="5" t="s">
        <v>768</v>
      </c>
      <c r="P93" s="6" t="n">
        <v>46311</v>
      </c>
      <c r="Q93" s="5" t="str">
        <f aca="false">IF(B93&lt;$U$1,"Prior period",IF(B93&gt;$U$2,"Future period","Current period"))</f>
        <v>Current period</v>
      </c>
      <c r="R93" s="5" t="str">
        <f aca="false" t="array" ref="R93:R93">_xlfn.XLOOKUP(A93,TRIM(SUBSTITUTE('worker file'!$A$2:$A$406,_xlfn.UNICHAR(160)," ")),'worker file'!$D$2:$D$406,"Not found")</f>
        <v>TX</v>
      </c>
    </row>
    <row r="94" customFormat="false" ht="15" hidden="false" customHeight="false" outlineLevel="0" collapsed="false">
      <c r="A94" s="5" t="s">
        <v>150</v>
      </c>
      <c r="B94" s="6" t="n">
        <v>46312</v>
      </c>
      <c r="C94" s="62" t="n">
        <v>0.245833333333333</v>
      </c>
      <c r="D94" s="62" t="n">
        <v>0.763194444444444</v>
      </c>
      <c r="E94" s="63" t="n">
        <v>0.402777777777778</v>
      </c>
      <c r="F94" s="64" t="n">
        <v>0.423611111111111</v>
      </c>
      <c r="G94" s="65" t="str">
        <f aca="false" t="array" ref="G94:G94">_xlfn.XLOOKUP(A94&amp;"|"&amp;B94,ShiftRoster[Employee ID]&amp;"|"&amp;ShiftRoster[Date],ShiftRoster[Shift Code],_xlfn.XLOOKUP(A94,TRIM(SUBSTITUTE('worker file'!$A$2:$A$406,_xlfn.UNICHAR(160)," ")),'worker file'!$X$2:$X$406,"?"),0,-1)</f>
        <v>WKND</v>
      </c>
      <c r="H94" s="65" t="str">
        <f aca="false">_xlfn.XLOOKUP(G94,ShiftCodes[Code],ShiftCodes[Work Schedule],"Unknown")</f>
        <v>Shift D – Weekend (Fri–Sun 06:00–18:30)</v>
      </c>
      <c r="I94" s="66" t="n">
        <f aca="false">_xlfn.XLOOKUP(G94,ShiftCodes[Code],ShiftCodes[Start],"")</f>
        <v>0.25</v>
      </c>
      <c r="J94" s="67" t="n">
        <f aca="false">IF(OR(C94="",I94=""),"",ROUND((MOD(C94-I94+0.5,1)-0.5)*1440,0))</f>
        <v>-6</v>
      </c>
      <c r="K94" s="65" t="str">
        <f aca="false">IF(J94="","",IF(ABS(J94)&gt;$U$3,"Off-schedule","OK"))</f>
        <v>OK</v>
      </c>
      <c r="L94" s="68"/>
      <c r="M94" s="5" t="str">
        <f aca="false">TEXT(B94,"ddd")</f>
        <v>Sat</v>
      </c>
      <c r="N94" s="69" t="n">
        <f aca="false">IF(OR(C94="",D94=""),"",ROUND((MOD(D94-C94,1)-IF(ISNUMBER(E94),MOD(F94-E94,1),0))*24,2))</f>
        <v>11.92</v>
      </c>
      <c r="O94" s="5" t="s">
        <v>768</v>
      </c>
      <c r="P94" s="6" t="n">
        <v>46312</v>
      </c>
      <c r="Q94" s="5" t="str">
        <f aca="false">IF(B94&lt;$U$1,"Prior period",IF(B94&gt;$U$2,"Future period","Current period"))</f>
        <v>Current period</v>
      </c>
      <c r="R94" s="5" t="str">
        <f aca="false" t="array" ref="R94:R94">_xlfn.XLOOKUP(A94,TRIM(SUBSTITUTE('worker file'!$A$2:$A$406,_xlfn.UNICHAR(160)," ")),'worker file'!$D$2:$D$406,"Not found")</f>
        <v>TX</v>
      </c>
    </row>
    <row r="95" customFormat="false" ht="15" hidden="false" customHeight="false" outlineLevel="0" collapsed="false">
      <c r="A95" s="5" t="s">
        <v>157</v>
      </c>
      <c r="B95" s="6" t="n">
        <v>46300</v>
      </c>
      <c r="C95" s="62" t="n">
        <v>0.245833333333333</v>
      </c>
      <c r="D95" s="62" t="n">
        <v>0.599305555555556</v>
      </c>
      <c r="E95" s="63" t="n">
        <v>0.400694444444444</v>
      </c>
      <c r="F95" s="64" t="n">
        <v>0.421527777777778</v>
      </c>
      <c r="G95" s="65" t="str">
        <f aca="false" t="array" ref="G95:G95">_xlfn.XLOOKUP(A95&amp;"|"&amp;B95,ShiftRoster[Employee ID]&amp;"|"&amp;ShiftRoster[Date],ShiftRoster[Shift Code],_xlfn.XLOOKUP(A95,TRIM(SUBSTITUTE('worker file'!$A$2:$A$406,_xlfn.UNICHAR(160)," ")),'worker file'!$X$2:$X$406,"?"),0,-1)</f>
        <v>DAY</v>
      </c>
      <c r="H95" s="65" t="str">
        <f aca="false">_xlfn.XLOOKUP(G95,ShiftCodes[Code],ShiftCodes[Work Schedule],"Unknown")</f>
        <v>Shift A – Day (Mon–Fri 06:00–14:30)</v>
      </c>
      <c r="I95" s="66" t="n">
        <f aca="false">_xlfn.XLOOKUP(G95,ShiftCodes[Code],ShiftCodes[Start],"")</f>
        <v>0.25</v>
      </c>
      <c r="J95" s="67" t="n">
        <f aca="false">IF(OR(C95="",I95=""),"",ROUND((MOD(C95-I95+0.5,1)-0.5)*1440,0))</f>
        <v>-6</v>
      </c>
      <c r="K95" s="65" t="str">
        <f aca="false">IF(J95="","",IF(ABS(J95)&gt;$U$3,"Off-schedule","OK"))</f>
        <v>OK</v>
      </c>
      <c r="L95" s="68"/>
      <c r="M95" s="5" t="str">
        <f aca="false">TEXT(B95,"ddd")</f>
        <v>Mon</v>
      </c>
      <c r="N95" s="69" t="n">
        <f aca="false">IF(OR(C95="",D95=""),"",ROUND((MOD(D95-C95,1)-IF(ISNUMBER(E95),MOD(F95-E95,1),0))*24,2))</f>
        <v>7.98</v>
      </c>
      <c r="O95" s="5" t="s">
        <v>768</v>
      </c>
      <c r="P95" s="6" t="n">
        <v>46300</v>
      </c>
      <c r="Q95" s="5" t="str">
        <f aca="false">IF(B95&lt;$U$1,"Prior period",IF(B95&gt;$U$2,"Future period","Current period"))</f>
        <v>Current period</v>
      </c>
      <c r="R95" s="5" t="str">
        <f aca="false" t="array" ref="R95:R95">_xlfn.XLOOKUP(A95,TRIM(SUBSTITUTE('worker file'!$A$2:$A$406,_xlfn.UNICHAR(160)," ")),'worker file'!$D$2:$D$406,"Not found")</f>
        <v>CA</v>
      </c>
    </row>
    <row r="96" customFormat="false" ht="15" hidden="false" customHeight="false" outlineLevel="0" collapsed="false">
      <c r="A96" s="5" t="s">
        <v>157</v>
      </c>
      <c r="B96" s="6" t="n">
        <v>46301</v>
      </c>
      <c r="C96" s="62" t="n">
        <v>0.252777777777778</v>
      </c>
      <c r="D96" s="62" t="n">
        <v>0.601388888888889</v>
      </c>
      <c r="E96" s="63" t="n">
        <v>0.4125</v>
      </c>
      <c r="F96" s="64" t="n">
        <v>0.433333333333333</v>
      </c>
      <c r="G96" s="65" t="str">
        <f aca="false" t="array" ref="G96:G96">_xlfn.XLOOKUP(A96&amp;"|"&amp;B96,ShiftRoster[Employee ID]&amp;"|"&amp;ShiftRoster[Date],ShiftRoster[Shift Code],_xlfn.XLOOKUP(A96,TRIM(SUBSTITUTE('worker file'!$A$2:$A$406,_xlfn.UNICHAR(160)," ")),'worker file'!$X$2:$X$406,"?"),0,-1)</f>
        <v>DAY</v>
      </c>
      <c r="H96" s="65" t="str">
        <f aca="false">_xlfn.XLOOKUP(G96,ShiftCodes[Code],ShiftCodes[Work Schedule],"Unknown")</f>
        <v>Shift A – Day (Mon–Fri 06:00–14:30)</v>
      </c>
      <c r="I96" s="66" t="n">
        <f aca="false">_xlfn.XLOOKUP(G96,ShiftCodes[Code],ShiftCodes[Start],"")</f>
        <v>0.25</v>
      </c>
      <c r="J96" s="67" t="n">
        <f aca="false">IF(OR(C96="",I96=""),"",ROUND((MOD(C96-I96+0.5,1)-0.5)*1440,0))</f>
        <v>4</v>
      </c>
      <c r="K96" s="65" t="str">
        <f aca="false">IF(J96="","",IF(ABS(J96)&gt;$U$3,"Off-schedule","OK"))</f>
        <v>OK</v>
      </c>
      <c r="L96" s="68"/>
      <c r="M96" s="5" t="str">
        <f aca="false">TEXT(B96,"ddd")</f>
        <v>Tue</v>
      </c>
      <c r="N96" s="69" t="n">
        <f aca="false">IF(OR(C96="",D96=""),"",ROUND((MOD(D96-C96,1)-IF(ISNUMBER(E96),MOD(F96-E96,1),0))*24,2))</f>
        <v>7.87</v>
      </c>
      <c r="O96" s="5" t="s">
        <v>768</v>
      </c>
      <c r="P96" s="6" t="n">
        <v>46301</v>
      </c>
      <c r="Q96" s="5" t="str">
        <f aca="false">IF(B96&lt;$U$1,"Prior period",IF(B96&gt;$U$2,"Future period","Current period"))</f>
        <v>Current period</v>
      </c>
      <c r="R96" s="5" t="str">
        <f aca="false" t="array" ref="R96:R96">_xlfn.XLOOKUP(A96,TRIM(SUBSTITUTE('worker file'!$A$2:$A$406,_xlfn.UNICHAR(160)," ")),'worker file'!$D$2:$D$406,"Not found")</f>
        <v>CA</v>
      </c>
    </row>
    <row r="97" customFormat="false" ht="15" hidden="false" customHeight="false" outlineLevel="0" collapsed="false">
      <c r="A97" s="5" t="s">
        <v>157</v>
      </c>
      <c r="B97" s="6" t="n">
        <v>46302</v>
      </c>
      <c r="C97" s="62" t="n">
        <v>0.245833333333333</v>
      </c>
      <c r="D97" s="62" t="n">
        <v>0.6625</v>
      </c>
      <c r="E97" s="63" t="n">
        <v>0.433333333333333</v>
      </c>
      <c r="F97" s="64" t="n">
        <v>0.454166666666667</v>
      </c>
      <c r="G97" s="65" t="str">
        <f aca="false" t="array" ref="G97:G97">_xlfn.XLOOKUP(A97&amp;"|"&amp;B97,ShiftRoster[Employee ID]&amp;"|"&amp;ShiftRoster[Date],ShiftRoster[Shift Code],_xlfn.XLOOKUP(A97,TRIM(SUBSTITUTE('worker file'!$A$2:$A$406,_xlfn.UNICHAR(160)," ")),'worker file'!$X$2:$X$406,"?"),0,-1)</f>
        <v>DAY</v>
      </c>
      <c r="H97" s="65" t="str">
        <f aca="false">_xlfn.XLOOKUP(G97,ShiftCodes[Code],ShiftCodes[Work Schedule],"Unknown")</f>
        <v>Shift A – Day (Mon–Fri 06:00–14:30)</v>
      </c>
      <c r="I97" s="66" t="n">
        <f aca="false">_xlfn.XLOOKUP(G97,ShiftCodes[Code],ShiftCodes[Start],"")</f>
        <v>0.25</v>
      </c>
      <c r="J97" s="67" t="n">
        <f aca="false">IF(OR(C97="",I97=""),"",ROUND((MOD(C97-I97+0.5,1)-0.5)*1440,0))</f>
        <v>-6</v>
      </c>
      <c r="K97" s="65" t="str">
        <f aca="false">IF(J97="","",IF(ABS(J97)&gt;$U$3,"Off-schedule","OK"))</f>
        <v>OK</v>
      </c>
      <c r="L97" s="68" t="s">
        <v>781</v>
      </c>
      <c r="M97" s="5" t="str">
        <f aca="false">TEXT(B97,"ddd")</f>
        <v>Wed</v>
      </c>
      <c r="N97" s="69" t="n">
        <f aca="false">IF(OR(C97="",D97=""),"",ROUND((MOD(D97-C97,1)-IF(ISNUMBER(E97),MOD(F97-E97,1),0))*24,2))</f>
        <v>9.5</v>
      </c>
      <c r="O97" s="5" t="s">
        <v>768</v>
      </c>
      <c r="P97" s="6" t="n">
        <v>46302</v>
      </c>
      <c r="Q97" s="5" t="str">
        <f aca="false">IF(B97&lt;$U$1,"Prior period",IF(B97&gt;$U$2,"Future period","Current period"))</f>
        <v>Current period</v>
      </c>
      <c r="R97" s="5" t="str">
        <f aca="false" t="array" ref="R97:R97">_xlfn.XLOOKUP(A97,TRIM(SUBSTITUTE('worker file'!$A$2:$A$406,_xlfn.UNICHAR(160)," ")),'worker file'!$D$2:$D$406,"Not found")</f>
        <v>CA</v>
      </c>
    </row>
    <row r="98" customFormat="false" ht="15" hidden="false" customHeight="false" outlineLevel="0" collapsed="false">
      <c r="A98" s="5" t="s">
        <v>157</v>
      </c>
      <c r="B98" s="6" t="n">
        <v>46303</v>
      </c>
      <c r="C98" s="62" t="n">
        <v>0.25</v>
      </c>
      <c r="D98" s="62" t="n">
        <v>0.602777777777778</v>
      </c>
      <c r="E98" s="63" t="n">
        <v>0.411111111111111</v>
      </c>
      <c r="F98" s="64" t="n">
        <v>0.431944444444444</v>
      </c>
      <c r="G98" s="65" t="str">
        <f aca="false" t="array" ref="G98:G98">_xlfn.XLOOKUP(A98&amp;"|"&amp;B98,ShiftRoster[Employee ID]&amp;"|"&amp;ShiftRoster[Date],ShiftRoster[Shift Code],_xlfn.XLOOKUP(A98,TRIM(SUBSTITUTE('worker file'!$A$2:$A$406,_xlfn.UNICHAR(160)," ")),'worker file'!$X$2:$X$406,"?"),0,-1)</f>
        <v>DAY</v>
      </c>
      <c r="H98" s="65" t="str">
        <f aca="false">_xlfn.XLOOKUP(G98,ShiftCodes[Code],ShiftCodes[Work Schedule],"Unknown")</f>
        <v>Shift A – Day (Mon–Fri 06:00–14:30)</v>
      </c>
      <c r="I98" s="66" t="n">
        <f aca="false">_xlfn.XLOOKUP(G98,ShiftCodes[Code],ShiftCodes[Start],"")</f>
        <v>0.25</v>
      </c>
      <c r="J98" s="67" t="n">
        <f aca="false">IF(OR(C98="",I98=""),"",ROUND((MOD(C98-I98+0.5,1)-0.5)*1440,0))</f>
        <v>0</v>
      </c>
      <c r="K98" s="65" t="str">
        <f aca="false">IF(J98="","",IF(ABS(J98)&gt;$U$3,"Off-schedule","OK"))</f>
        <v>OK</v>
      </c>
      <c r="L98" s="68"/>
      <c r="M98" s="5" t="str">
        <f aca="false">TEXT(B98,"ddd")</f>
        <v>Thu</v>
      </c>
      <c r="N98" s="69" t="n">
        <f aca="false">IF(OR(C98="",D98=""),"",ROUND((MOD(D98-C98,1)-IF(ISNUMBER(E98),MOD(F98-E98,1),0))*24,2))</f>
        <v>7.97</v>
      </c>
      <c r="O98" s="5" t="s">
        <v>768</v>
      </c>
      <c r="P98" s="6" t="n">
        <v>46303</v>
      </c>
      <c r="Q98" s="5" t="str">
        <f aca="false">IF(B98&lt;$U$1,"Prior period",IF(B98&gt;$U$2,"Future period","Current period"))</f>
        <v>Current period</v>
      </c>
      <c r="R98" s="5" t="str">
        <f aca="false" t="array" ref="R98:R98">_xlfn.XLOOKUP(A98,TRIM(SUBSTITUTE('worker file'!$A$2:$A$406,_xlfn.UNICHAR(160)," ")),'worker file'!$D$2:$D$406,"Not found")</f>
        <v>CA</v>
      </c>
    </row>
    <row r="99" customFormat="false" ht="15" hidden="false" customHeight="false" outlineLevel="0" collapsed="false">
      <c r="A99" s="5" t="s">
        <v>157</v>
      </c>
      <c r="B99" s="6" t="n">
        <v>46304</v>
      </c>
      <c r="C99" s="62" t="n">
        <v>0.246527777777778</v>
      </c>
      <c r="D99" s="62" t="n">
        <v>0.599305555555556</v>
      </c>
      <c r="E99" s="63" t="n">
        <v>0.41875</v>
      </c>
      <c r="F99" s="64" t="n">
        <v>0.439583333333333</v>
      </c>
      <c r="G99" s="65" t="str">
        <f aca="false" t="array" ref="G99:G99">_xlfn.XLOOKUP(A99&amp;"|"&amp;B99,ShiftRoster[Employee ID]&amp;"|"&amp;ShiftRoster[Date],ShiftRoster[Shift Code],_xlfn.XLOOKUP(A99,TRIM(SUBSTITUTE('worker file'!$A$2:$A$406,_xlfn.UNICHAR(160)," ")),'worker file'!$X$2:$X$406,"?"),0,-1)</f>
        <v>DAY</v>
      </c>
      <c r="H99" s="65" t="str">
        <f aca="false">_xlfn.XLOOKUP(G99,ShiftCodes[Code],ShiftCodes[Work Schedule],"Unknown")</f>
        <v>Shift A – Day (Mon–Fri 06:00–14:30)</v>
      </c>
      <c r="I99" s="66" t="n">
        <f aca="false">_xlfn.XLOOKUP(G99,ShiftCodes[Code],ShiftCodes[Start],"")</f>
        <v>0.25</v>
      </c>
      <c r="J99" s="67" t="n">
        <f aca="false">IF(OR(C99="",I99=""),"",ROUND((MOD(C99-I99+0.5,1)-0.5)*1440,0))</f>
        <v>-5</v>
      </c>
      <c r="K99" s="65" t="str">
        <f aca="false">IF(J99="","",IF(ABS(J99)&gt;$U$3,"Off-schedule","OK"))</f>
        <v>OK</v>
      </c>
      <c r="L99" s="68"/>
      <c r="M99" s="5" t="str">
        <f aca="false">TEXT(B99,"ddd")</f>
        <v>Fri</v>
      </c>
      <c r="N99" s="69" t="n">
        <f aca="false">IF(OR(C99="",D99=""),"",ROUND((MOD(D99-C99,1)-IF(ISNUMBER(E99),MOD(F99-E99,1),0))*24,2))</f>
        <v>7.97</v>
      </c>
      <c r="O99" s="5" t="s">
        <v>768</v>
      </c>
      <c r="P99" s="6" t="n">
        <v>46304</v>
      </c>
      <c r="Q99" s="5" t="str">
        <f aca="false">IF(B99&lt;$U$1,"Prior period",IF(B99&gt;$U$2,"Future period","Current period"))</f>
        <v>Current period</v>
      </c>
      <c r="R99" s="5" t="str">
        <f aca="false" t="array" ref="R99:R99">_xlfn.XLOOKUP(A99,TRIM(SUBSTITUTE('worker file'!$A$2:$A$406,_xlfn.UNICHAR(160)," ")),'worker file'!$D$2:$D$406,"Not found")</f>
        <v>CA</v>
      </c>
    </row>
    <row r="100" customFormat="false" ht="15" hidden="false" customHeight="false" outlineLevel="0" collapsed="false">
      <c r="A100" s="5" t="s">
        <v>157</v>
      </c>
      <c r="B100" s="6" t="n">
        <v>46305</v>
      </c>
      <c r="C100" s="62" t="n">
        <v>0.248611111111111</v>
      </c>
      <c r="D100" s="62" t="n">
        <v>0.599305555555556</v>
      </c>
      <c r="E100" s="63" t="n">
        <v>0.420833333333333</v>
      </c>
      <c r="F100" s="64" t="n">
        <v>0.441666666666667</v>
      </c>
      <c r="G100" s="65" t="str">
        <f aca="false" t="array" ref="G100:G100">_xlfn.XLOOKUP(A100&amp;"|"&amp;B100,ShiftRoster[Employee ID]&amp;"|"&amp;ShiftRoster[Date],ShiftRoster[Shift Code],_xlfn.XLOOKUP(A100,TRIM(SUBSTITUTE('worker file'!$A$2:$A$406,_xlfn.UNICHAR(160)," ")),'worker file'!$X$2:$X$406,"?"),0,-1)</f>
        <v>DAY</v>
      </c>
      <c r="H100" s="65" t="str">
        <f aca="false">_xlfn.XLOOKUP(G100,ShiftCodes[Code],ShiftCodes[Work Schedule],"Unknown")</f>
        <v>Shift A – Day (Mon–Fri 06:00–14:30)</v>
      </c>
      <c r="I100" s="66" t="n">
        <f aca="false">_xlfn.XLOOKUP(G100,ShiftCodes[Code],ShiftCodes[Start],"")</f>
        <v>0.25</v>
      </c>
      <c r="J100" s="67" t="n">
        <f aca="false">IF(OR(C100="",I100=""),"",ROUND((MOD(C100-I100+0.5,1)-0.5)*1440,0))</f>
        <v>-2</v>
      </c>
      <c r="K100" s="65" t="str">
        <f aca="false">IF(J100="","",IF(ABS(J100)&gt;$U$3,"Off-schedule","OK"))</f>
        <v>OK</v>
      </c>
      <c r="L100" s="68" t="s">
        <v>770</v>
      </c>
      <c r="M100" s="5" t="str">
        <f aca="false">TEXT(B100,"ddd")</f>
        <v>Sat</v>
      </c>
      <c r="N100" s="69" t="n">
        <f aca="false">IF(OR(C100="",D100=""),"",ROUND((MOD(D100-C100,1)-IF(ISNUMBER(E100),MOD(F100-E100,1),0))*24,2))</f>
        <v>7.92</v>
      </c>
      <c r="O100" s="5" t="s">
        <v>768</v>
      </c>
      <c r="P100" s="6" t="n">
        <v>46305</v>
      </c>
      <c r="Q100" s="5" t="str">
        <f aca="false">IF(B100&lt;$U$1,"Prior period",IF(B100&gt;$U$2,"Future period","Current period"))</f>
        <v>Current period</v>
      </c>
      <c r="R100" s="5" t="str">
        <f aca="false" t="array" ref="R100:R100">_xlfn.XLOOKUP(A100,TRIM(SUBSTITUTE('worker file'!$A$2:$A$406,_xlfn.UNICHAR(160)," ")),'worker file'!$D$2:$D$406,"Not found")</f>
        <v>CA</v>
      </c>
    </row>
    <row r="101" customFormat="false" ht="15" hidden="false" customHeight="false" outlineLevel="0" collapsed="false">
      <c r="A101" s="5" t="s">
        <v>157</v>
      </c>
      <c r="B101" s="6" t="n">
        <v>46307</v>
      </c>
      <c r="C101" s="62" t="n">
        <v>0.252083333333333</v>
      </c>
      <c r="D101" s="62" t="n">
        <v>0.60625</v>
      </c>
      <c r="E101" s="63" t="n">
        <v>0.431944444444444</v>
      </c>
      <c r="F101" s="64" t="n">
        <v>0.452777777777778</v>
      </c>
      <c r="G101" s="65" t="str">
        <f aca="false" t="array" ref="G101:G101">_xlfn.XLOOKUP(A101&amp;"|"&amp;B101,ShiftRoster[Employee ID]&amp;"|"&amp;ShiftRoster[Date],ShiftRoster[Shift Code],_xlfn.XLOOKUP(A101,TRIM(SUBSTITUTE('worker file'!$A$2:$A$406,_xlfn.UNICHAR(160)," ")),'worker file'!$X$2:$X$406,"?"),0,-1)</f>
        <v>DAY</v>
      </c>
      <c r="H101" s="65" t="str">
        <f aca="false">_xlfn.XLOOKUP(G101,ShiftCodes[Code],ShiftCodes[Work Schedule],"Unknown")</f>
        <v>Shift A – Day (Mon–Fri 06:00–14:30)</v>
      </c>
      <c r="I101" s="66" t="n">
        <f aca="false">_xlfn.XLOOKUP(G101,ShiftCodes[Code],ShiftCodes[Start],"")</f>
        <v>0.25</v>
      </c>
      <c r="J101" s="67" t="n">
        <f aca="false">IF(OR(C101="",I101=""),"",ROUND((MOD(C101-I101+0.5,1)-0.5)*1440,0))</f>
        <v>3</v>
      </c>
      <c r="K101" s="65" t="str">
        <f aca="false">IF(J101="","",IF(ABS(J101)&gt;$U$3,"Off-schedule","OK"))</f>
        <v>OK</v>
      </c>
      <c r="L101" s="68"/>
      <c r="M101" s="5" t="str">
        <f aca="false">TEXT(B101,"ddd")</f>
        <v>Mon</v>
      </c>
      <c r="N101" s="69" t="n">
        <f aca="false">IF(OR(C101="",D101=""),"",ROUND((MOD(D101-C101,1)-IF(ISNUMBER(E101),MOD(F101-E101,1),0))*24,2))</f>
        <v>8</v>
      </c>
      <c r="O101" s="5" t="s">
        <v>768</v>
      </c>
      <c r="P101" s="6" t="n">
        <v>46307</v>
      </c>
      <c r="Q101" s="5" t="str">
        <f aca="false">IF(B101&lt;$U$1,"Prior period",IF(B101&gt;$U$2,"Future period","Current period"))</f>
        <v>Current period</v>
      </c>
      <c r="R101" s="5" t="str">
        <f aca="false" t="array" ref="R101:R101">_xlfn.XLOOKUP(A101,TRIM(SUBSTITUTE('worker file'!$A$2:$A$406,_xlfn.UNICHAR(160)," ")),'worker file'!$D$2:$D$406,"Not found")</f>
        <v>CA</v>
      </c>
    </row>
    <row r="102" customFormat="false" ht="15" hidden="false" customHeight="false" outlineLevel="0" collapsed="false">
      <c r="A102" s="5" t="s">
        <v>157</v>
      </c>
      <c r="B102" s="6" t="n">
        <v>46308</v>
      </c>
      <c r="C102" s="62" t="n">
        <v>0.247222222222222</v>
      </c>
      <c r="D102" s="62" t="n">
        <v>0.597916666666667</v>
      </c>
      <c r="E102" s="63" t="n">
        <v>0.431944444444444</v>
      </c>
      <c r="F102" s="64" t="n">
        <v>0.452777777777778</v>
      </c>
      <c r="G102" s="65" t="str">
        <f aca="false" t="array" ref="G102:G102">_xlfn.XLOOKUP(A102&amp;"|"&amp;B102,ShiftRoster[Employee ID]&amp;"|"&amp;ShiftRoster[Date],ShiftRoster[Shift Code],_xlfn.XLOOKUP(A102,TRIM(SUBSTITUTE('worker file'!$A$2:$A$406,_xlfn.UNICHAR(160)," ")),'worker file'!$X$2:$X$406,"?"),0,-1)</f>
        <v>DAY</v>
      </c>
      <c r="H102" s="65" t="str">
        <f aca="false">_xlfn.XLOOKUP(G102,ShiftCodes[Code],ShiftCodes[Work Schedule],"Unknown")</f>
        <v>Shift A – Day (Mon–Fri 06:00–14:30)</v>
      </c>
      <c r="I102" s="66" t="n">
        <f aca="false">_xlfn.XLOOKUP(G102,ShiftCodes[Code],ShiftCodes[Start],"")</f>
        <v>0.25</v>
      </c>
      <c r="J102" s="67" t="n">
        <f aca="false">IF(OR(C102="",I102=""),"",ROUND((MOD(C102-I102+0.5,1)-0.5)*1440,0))</f>
        <v>-4</v>
      </c>
      <c r="K102" s="65" t="str">
        <f aca="false">IF(J102="","",IF(ABS(J102)&gt;$U$3,"Off-schedule","OK"))</f>
        <v>OK</v>
      </c>
      <c r="L102" s="68"/>
      <c r="M102" s="5" t="str">
        <f aca="false">TEXT(B102,"ddd")</f>
        <v>Tue</v>
      </c>
      <c r="N102" s="69" t="n">
        <f aca="false">IF(OR(C102="",D102=""),"",ROUND((MOD(D102-C102,1)-IF(ISNUMBER(E102),MOD(F102-E102,1),0))*24,2))</f>
        <v>7.92</v>
      </c>
      <c r="O102" s="5" t="s">
        <v>768</v>
      </c>
      <c r="P102" s="6" t="n">
        <v>46308</v>
      </c>
      <c r="Q102" s="5" t="str">
        <f aca="false">IF(B102&lt;$U$1,"Prior period",IF(B102&gt;$U$2,"Future period","Current period"))</f>
        <v>Current period</v>
      </c>
      <c r="R102" s="5" t="str">
        <f aca="false" t="array" ref="R102:R102">_xlfn.XLOOKUP(A102,TRIM(SUBSTITUTE('worker file'!$A$2:$A$406,_xlfn.UNICHAR(160)," ")),'worker file'!$D$2:$D$406,"Not found")</f>
        <v>CA</v>
      </c>
    </row>
    <row r="103" customFormat="false" ht="15" hidden="false" customHeight="false" outlineLevel="0" collapsed="false">
      <c r="A103" s="5" t="s">
        <v>157</v>
      </c>
      <c r="B103" s="6" t="n">
        <v>46309</v>
      </c>
      <c r="C103" s="62" t="n">
        <v>0.249305555555556</v>
      </c>
      <c r="D103" s="62" t="n">
        <v>0.599305555555556</v>
      </c>
      <c r="E103" s="63" t="n">
        <v>0.4</v>
      </c>
      <c r="F103" s="64" t="n">
        <v>0.420833333333333</v>
      </c>
      <c r="G103" s="65" t="str">
        <f aca="false" t="array" ref="G103:G103">_xlfn.XLOOKUP(A103&amp;"|"&amp;B103,ShiftRoster[Employee ID]&amp;"|"&amp;ShiftRoster[Date],ShiftRoster[Shift Code],_xlfn.XLOOKUP(A103,TRIM(SUBSTITUTE('worker file'!$A$2:$A$406,_xlfn.UNICHAR(160)," ")),'worker file'!$X$2:$X$406,"?"),0,-1)</f>
        <v>DAY</v>
      </c>
      <c r="H103" s="65" t="str">
        <f aca="false">_xlfn.XLOOKUP(G103,ShiftCodes[Code],ShiftCodes[Work Schedule],"Unknown")</f>
        <v>Shift A – Day (Mon–Fri 06:00–14:30)</v>
      </c>
      <c r="I103" s="66" t="n">
        <f aca="false">_xlfn.XLOOKUP(G103,ShiftCodes[Code],ShiftCodes[Start],"")</f>
        <v>0.25</v>
      </c>
      <c r="J103" s="67" t="n">
        <f aca="false">IF(OR(C103="",I103=""),"",ROUND((MOD(C103-I103+0.5,1)-0.5)*1440,0))</f>
        <v>-1</v>
      </c>
      <c r="K103" s="65" t="str">
        <f aca="false">IF(J103="","",IF(ABS(J103)&gt;$U$3,"Off-schedule","OK"))</f>
        <v>OK</v>
      </c>
      <c r="L103" s="68"/>
      <c r="M103" s="5" t="str">
        <f aca="false">TEXT(B103,"ddd")</f>
        <v>Wed</v>
      </c>
      <c r="N103" s="69" t="n">
        <f aca="false">IF(OR(C103="",D103=""),"",ROUND((MOD(D103-C103,1)-IF(ISNUMBER(E103),MOD(F103-E103,1),0))*24,2))</f>
        <v>7.9</v>
      </c>
      <c r="O103" s="5" t="s">
        <v>768</v>
      </c>
      <c r="P103" s="6" t="n">
        <v>46309</v>
      </c>
      <c r="Q103" s="5" t="str">
        <f aca="false">IF(B103&lt;$U$1,"Prior period",IF(B103&gt;$U$2,"Future period","Current period"))</f>
        <v>Current period</v>
      </c>
      <c r="R103" s="5" t="str">
        <f aca="false" t="array" ref="R103:R103">_xlfn.XLOOKUP(A103,TRIM(SUBSTITUTE('worker file'!$A$2:$A$406,_xlfn.UNICHAR(160)," ")),'worker file'!$D$2:$D$406,"Not found")</f>
        <v>CA</v>
      </c>
    </row>
    <row r="104" customFormat="false" ht="15" hidden="false" customHeight="false" outlineLevel="0" collapsed="false">
      <c r="A104" s="5" t="s">
        <v>157</v>
      </c>
      <c r="B104" s="6" t="n">
        <v>46310</v>
      </c>
      <c r="C104" s="62" t="n">
        <v>0.251388888888889</v>
      </c>
      <c r="D104" s="62" t="n">
        <v>0.604166666666667</v>
      </c>
      <c r="E104" s="63" t="n">
        <v>0.402777777777778</v>
      </c>
      <c r="F104" s="64" t="n">
        <v>0.423611111111111</v>
      </c>
      <c r="G104" s="65" t="str">
        <f aca="false" t="array" ref="G104:G104">_xlfn.XLOOKUP(A104&amp;"|"&amp;B104,ShiftRoster[Employee ID]&amp;"|"&amp;ShiftRoster[Date],ShiftRoster[Shift Code],_xlfn.XLOOKUP(A104,TRIM(SUBSTITUTE('worker file'!$A$2:$A$406,_xlfn.UNICHAR(160)," ")),'worker file'!$X$2:$X$406,"?"),0,-1)</f>
        <v>DAY</v>
      </c>
      <c r="H104" s="65" t="str">
        <f aca="false">_xlfn.XLOOKUP(G104,ShiftCodes[Code],ShiftCodes[Work Schedule],"Unknown")</f>
        <v>Shift A – Day (Mon–Fri 06:00–14:30)</v>
      </c>
      <c r="I104" s="66" t="n">
        <f aca="false">_xlfn.XLOOKUP(G104,ShiftCodes[Code],ShiftCodes[Start],"")</f>
        <v>0.25</v>
      </c>
      <c r="J104" s="67" t="n">
        <f aca="false">IF(OR(C104="",I104=""),"",ROUND((MOD(C104-I104+0.5,1)-0.5)*1440,0))</f>
        <v>2</v>
      </c>
      <c r="K104" s="65" t="str">
        <f aca="false">IF(J104="","",IF(ABS(J104)&gt;$U$3,"Off-schedule","OK"))</f>
        <v>OK</v>
      </c>
      <c r="L104" s="68"/>
      <c r="M104" s="5" t="str">
        <f aca="false">TEXT(B104,"ddd")</f>
        <v>Thu</v>
      </c>
      <c r="N104" s="69" t="n">
        <f aca="false">IF(OR(C104="",D104=""),"",ROUND((MOD(D104-C104,1)-IF(ISNUMBER(E104),MOD(F104-E104,1),0))*24,2))</f>
        <v>7.97</v>
      </c>
      <c r="O104" s="5" t="s">
        <v>768</v>
      </c>
      <c r="P104" s="6" t="n">
        <v>46310</v>
      </c>
      <c r="Q104" s="5" t="str">
        <f aca="false">IF(B104&lt;$U$1,"Prior period",IF(B104&gt;$U$2,"Future period","Current period"))</f>
        <v>Current period</v>
      </c>
      <c r="R104" s="5" t="str">
        <f aca="false" t="array" ref="R104:R104">_xlfn.XLOOKUP(A104,TRIM(SUBSTITUTE('worker file'!$A$2:$A$406,_xlfn.UNICHAR(160)," ")),'worker file'!$D$2:$D$406,"Not found")</f>
        <v>CA</v>
      </c>
    </row>
    <row r="105" customFormat="false" ht="15" hidden="false" customHeight="false" outlineLevel="0" collapsed="false">
      <c r="A105" s="5" t="s">
        <v>157</v>
      </c>
      <c r="B105" s="6" t="n">
        <v>46311</v>
      </c>
      <c r="C105" s="62" t="n">
        <v>0.247916666666667</v>
      </c>
      <c r="D105" s="62" t="n">
        <v>0.596527777777778</v>
      </c>
      <c r="E105" s="63" t="n">
        <v>0.395138888888889</v>
      </c>
      <c r="F105" s="64" t="n">
        <v>0.415972222222222</v>
      </c>
      <c r="G105" s="65" t="str">
        <f aca="false" t="array" ref="G105:G105">_xlfn.XLOOKUP(A105&amp;"|"&amp;B105,ShiftRoster[Employee ID]&amp;"|"&amp;ShiftRoster[Date],ShiftRoster[Shift Code],_xlfn.XLOOKUP(A105,TRIM(SUBSTITUTE('worker file'!$A$2:$A$406,_xlfn.UNICHAR(160)," ")),'worker file'!$X$2:$X$406,"?"),0,-1)</f>
        <v>DAY</v>
      </c>
      <c r="H105" s="65" t="str">
        <f aca="false">_xlfn.XLOOKUP(G105,ShiftCodes[Code],ShiftCodes[Work Schedule],"Unknown")</f>
        <v>Shift A – Day (Mon–Fri 06:00–14:30)</v>
      </c>
      <c r="I105" s="66" t="n">
        <f aca="false">_xlfn.XLOOKUP(G105,ShiftCodes[Code],ShiftCodes[Start],"")</f>
        <v>0.25</v>
      </c>
      <c r="J105" s="67" t="n">
        <f aca="false">IF(OR(C105="",I105=""),"",ROUND((MOD(C105-I105+0.5,1)-0.5)*1440,0))</f>
        <v>-3</v>
      </c>
      <c r="K105" s="65" t="str">
        <f aca="false">IF(J105="","",IF(ABS(J105)&gt;$U$3,"Off-schedule","OK"))</f>
        <v>OK</v>
      </c>
      <c r="L105" s="68"/>
      <c r="M105" s="5" t="str">
        <f aca="false">TEXT(B105,"ddd")</f>
        <v>Fri</v>
      </c>
      <c r="N105" s="69" t="n">
        <f aca="false">IF(OR(C105="",D105=""),"",ROUND((MOD(D105-C105,1)-IF(ISNUMBER(E105),MOD(F105-E105,1),0))*24,2))</f>
        <v>7.87</v>
      </c>
      <c r="O105" s="5" t="s">
        <v>768</v>
      </c>
      <c r="P105" s="6" t="n">
        <v>46311</v>
      </c>
      <c r="Q105" s="5" t="str">
        <f aca="false">IF(B105&lt;$U$1,"Prior period",IF(B105&gt;$U$2,"Future period","Current period"))</f>
        <v>Current period</v>
      </c>
      <c r="R105" s="5" t="str">
        <f aca="false" t="array" ref="R105:R105">_xlfn.XLOOKUP(A105,TRIM(SUBSTITUTE('worker file'!$A$2:$A$406,_xlfn.UNICHAR(160)," ")),'worker file'!$D$2:$D$406,"Not found")</f>
        <v>CA</v>
      </c>
    </row>
    <row r="106" customFormat="false" ht="15" hidden="false" customHeight="false" outlineLevel="0" collapsed="false">
      <c r="A106" s="5" t="s">
        <v>166</v>
      </c>
      <c r="B106" s="6" t="n">
        <v>46299</v>
      </c>
      <c r="C106" s="62" t="n">
        <v>0.250694444444444</v>
      </c>
      <c r="D106" s="62" t="n">
        <v>0.76875</v>
      </c>
      <c r="E106" s="63" t="n">
        <v>0.425</v>
      </c>
      <c r="F106" s="64" t="n">
        <v>0.445833333333333</v>
      </c>
      <c r="G106" s="65" t="str">
        <f aca="false" t="array" ref="G106:G106">_xlfn.XLOOKUP(A106&amp;"|"&amp;B106,ShiftRoster[Employee ID]&amp;"|"&amp;ShiftRoster[Date],ShiftRoster[Shift Code],_xlfn.XLOOKUP(A106,TRIM(SUBSTITUTE('worker file'!$A$2:$A$406,_xlfn.UNICHAR(160)," ")),'worker file'!$X$2:$X$406,"?"),0,-1)</f>
        <v>WKND</v>
      </c>
      <c r="H106" s="65" t="str">
        <f aca="false">_xlfn.XLOOKUP(G106,ShiftCodes[Code],ShiftCodes[Work Schedule],"Unknown")</f>
        <v>Shift D – Weekend (Fri–Sun 06:00–18:30)</v>
      </c>
      <c r="I106" s="66" t="n">
        <f aca="false">_xlfn.XLOOKUP(G106,ShiftCodes[Code],ShiftCodes[Start],"")</f>
        <v>0.25</v>
      </c>
      <c r="J106" s="67" t="n">
        <f aca="false">IF(OR(C106="",I106=""),"",ROUND((MOD(C106-I106+0.5,1)-0.5)*1440,0))</f>
        <v>1</v>
      </c>
      <c r="K106" s="65" t="str">
        <f aca="false">IF(J106="","",IF(ABS(J106)&gt;$U$3,"Off-schedule","OK"))</f>
        <v>OK</v>
      </c>
      <c r="L106" s="68"/>
      <c r="M106" s="5" t="str">
        <f aca="false">TEXT(B106,"ddd")</f>
        <v>Sun</v>
      </c>
      <c r="N106" s="69" t="n">
        <f aca="false">IF(OR(C106="",D106=""),"",ROUND((MOD(D106-C106,1)-IF(ISNUMBER(E106),MOD(F106-E106,1),0))*24,2))</f>
        <v>11.93</v>
      </c>
      <c r="O106" s="5" t="s">
        <v>768</v>
      </c>
      <c r="P106" s="6" t="n">
        <v>46299</v>
      </c>
      <c r="Q106" s="5" t="str">
        <f aca="false">IF(B106&lt;$U$1,"Prior period",IF(B106&gt;$U$2,"Future period","Current period"))</f>
        <v>Current period</v>
      </c>
      <c r="R106" s="5" t="str">
        <f aca="false" t="array" ref="R106:R106">_xlfn.XLOOKUP(A106,TRIM(SUBSTITUTE('worker file'!$A$2:$A$406,_xlfn.UNICHAR(160)," ")),'worker file'!$D$2:$D$406,"Not found")</f>
        <v>TX</v>
      </c>
    </row>
    <row r="107" customFormat="false" ht="15" hidden="false" customHeight="false" outlineLevel="0" collapsed="false">
      <c r="A107" s="5" t="s">
        <v>166</v>
      </c>
      <c r="B107" s="6" t="n">
        <v>46304</v>
      </c>
      <c r="C107" s="62" t="n">
        <v>0.247916666666667</v>
      </c>
      <c r="D107" s="62" t="n">
        <v>0.770833333333333</v>
      </c>
      <c r="E107" s="63" t="n">
        <v>0.420138888888889</v>
      </c>
      <c r="F107" s="64" t="n">
        <v>0.440972222222222</v>
      </c>
      <c r="G107" s="65" t="str">
        <f aca="false" t="array" ref="G107:G107">_xlfn.XLOOKUP(A107&amp;"|"&amp;B107,ShiftRoster[Employee ID]&amp;"|"&amp;ShiftRoster[Date],ShiftRoster[Shift Code],_xlfn.XLOOKUP(A107,TRIM(SUBSTITUTE('worker file'!$A$2:$A$406,_xlfn.UNICHAR(160)," ")),'worker file'!$X$2:$X$406,"?"),0,-1)</f>
        <v>WKND</v>
      </c>
      <c r="H107" s="65" t="str">
        <f aca="false">_xlfn.XLOOKUP(G107,ShiftCodes[Code],ShiftCodes[Work Schedule],"Unknown")</f>
        <v>Shift D – Weekend (Fri–Sun 06:00–18:30)</v>
      </c>
      <c r="I107" s="66" t="n">
        <f aca="false">_xlfn.XLOOKUP(G107,ShiftCodes[Code],ShiftCodes[Start],"")</f>
        <v>0.25</v>
      </c>
      <c r="J107" s="67" t="n">
        <f aca="false">IF(OR(C107="",I107=""),"",ROUND((MOD(C107-I107+0.5,1)-0.5)*1440,0))</f>
        <v>-3</v>
      </c>
      <c r="K107" s="65" t="str">
        <f aca="false">IF(J107="","",IF(ABS(J107)&gt;$U$3,"Off-schedule","OK"))</f>
        <v>OK</v>
      </c>
      <c r="L107" s="68"/>
      <c r="M107" s="5" t="str">
        <f aca="false">TEXT(B107,"ddd")</f>
        <v>Fri</v>
      </c>
      <c r="N107" s="69" t="n">
        <f aca="false">IF(OR(C107="",D107=""),"",ROUND((MOD(D107-C107,1)-IF(ISNUMBER(E107),MOD(F107-E107,1),0))*24,2))</f>
        <v>12.05</v>
      </c>
      <c r="O107" s="5" t="s">
        <v>768</v>
      </c>
      <c r="P107" s="6" t="n">
        <v>46304</v>
      </c>
      <c r="Q107" s="5" t="str">
        <f aca="false">IF(B107&lt;$U$1,"Prior period",IF(B107&gt;$U$2,"Future period","Current period"))</f>
        <v>Current period</v>
      </c>
      <c r="R107" s="5" t="str">
        <f aca="false" t="array" ref="R107:R107">_xlfn.XLOOKUP(A107,TRIM(SUBSTITUTE('worker file'!$A$2:$A$406,_xlfn.UNICHAR(160)," ")),'worker file'!$D$2:$D$406,"Not found")</f>
        <v>TX</v>
      </c>
    </row>
    <row r="108" customFormat="false" ht="15" hidden="false" customHeight="false" outlineLevel="0" collapsed="false">
      <c r="A108" s="5" t="s">
        <v>166</v>
      </c>
      <c r="B108" s="6" t="n">
        <v>46305</v>
      </c>
      <c r="C108" s="62" t="n">
        <v>0.246527777777778</v>
      </c>
      <c r="D108" s="62" t="n">
        <v>0.768055555555556</v>
      </c>
      <c r="E108" s="63" t="n">
        <v>0.421527777777778</v>
      </c>
      <c r="F108" s="64" t="n">
        <v>0.442361111111111</v>
      </c>
      <c r="G108" s="65" t="str">
        <f aca="false" t="array" ref="G108:G108">_xlfn.XLOOKUP(A108&amp;"|"&amp;B108,ShiftRoster[Employee ID]&amp;"|"&amp;ShiftRoster[Date],ShiftRoster[Shift Code],_xlfn.XLOOKUP(A108,TRIM(SUBSTITUTE('worker file'!$A$2:$A$406,_xlfn.UNICHAR(160)," ")),'worker file'!$X$2:$X$406,"?"),0,-1)</f>
        <v>WKND</v>
      </c>
      <c r="H108" s="65" t="str">
        <f aca="false">_xlfn.XLOOKUP(G108,ShiftCodes[Code],ShiftCodes[Work Schedule],"Unknown")</f>
        <v>Shift D – Weekend (Fri–Sun 06:00–18:30)</v>
      </c>
      <c r="I108" s="66" t="n">
        <f aca="false">_xlfn.XLOOKUP(G108,ShiftCodes[Code],ShiftCodes[Start],"")</f>
        <v>0.25</v>
      </c>
      <c r="J108" s="67" t="n">
        <f aca="false">IF(OR(C108="",I108=""),"",ROUND((MOD(C108-I108+0.5,1)-0.5)*1440,0))</f>
        <v>-5</v>
      </c>
      <c r="K108" s="65" t="str">
        <f aca="false">IF(J108="","",IF(ABS(J108)&gt;$U$3,"Off-schedule","OK"))</f>
        <v>OK</v>
      </c>
      <c r="L108" s="68"/>
      <c r="M108" s="5" t="str">
        <f aca="false">TEXT(B108,"ddd")</f>
        <v>Sat</v>
      </c>
      <c r="N108" s="69" t="n">
        <f aca="false">IF(OR(C108="",D108=""),"",ROUND((MOD(D108-C108,1)-IF(ISNUMBER(E108),MOD(F108-E108,1),0))*24,2))</f>
        <v>12.02</v>
      </c>
      <c r="O108" s="5" t="s">
        <v>768</v>
      </c>
      <c r="P108" s="6" t="n">
        <v>46305</v>
      </c>
      <c r="Q108" s="5" t="str">
        <f aca="false">IF(B108&lt;$U$1,"Prior period",IF(B108&gt;$U$2,"Future period","Current period"))</f>
        <v>Current period</v>
      </c>
      <c r="R108" s="5" t="str">
        <f aca="false" t="array" ref="R108:R108">_xlfn.XLOOKUP(A108,TRIM(SUBSTITUTE('worker file'!$A$2:$A$406,_xlfn.UNICHAR(160)," ")),'worker file'!$D$2:$D$406,"Not found")</f>
        <v>TX</v>
      </c>
    </row>
    <row r="109" customFormat="false" ht="15" hidden="false" customHeight="false" outlineLevel="0" collapsed="false">
      <c r="A109" s="5" t="s">
        <v>166</v>
      </c>
      <c r="B109" s="6" t="n">
        <v>46306</v>
      </c>
      <c r="C109" s="62" t="n">
        <v>0.252777777777778</v>
      </c>
      <c r="D109" s="62" t="n">
        <v>0.772916666666667</v>
      </c>
      <c r="E109" s="63" t="n">
        <v>0.424305555555556</v>
      </c>
      <c r="F109" s="64" t="n">
        <v>0.445138888888889</v>
      </c>
      <c r="G109" s="65" t="str">
        <f aca="false" t="array" ref="G109:G109">_xlfn.XLOOKUP(A109&amp;"|"&amp;B109,ShiftRoster[Employee ID]&amp;"|"&amp;ShiftRoster[Date],ShiftRoster[Shift Code],_xlfn.XLOOKUP(A109,TRIM(SUBSTITUTE('worker file'!$A$2:$A$406,_xlfn.UNICHAR(160)," ")),'worker file'!$X$2:$X$406,"?"),0,-1)</f>
        <v>WKND</v>
      </c>
      <c r="H109" s="65" t="str">
        <f aca="false">_xlfn.XLOOKUP(G109,ShiftCodes[Code],ShiftCodes[Work Schedule],"Unknown")</f>
        <v>Shift D – Weekend (Fri–Sun 06:00–18:30)</v>
      </c>
      <c r="I109" s="66" t="n">
        <f aca="false">_xlfn.XLOOKUP(G109,ShiftCodes[Code],ShiftCodes[Start],"")</f>
        <v>0.25</v>
      </c>
      <c r="J109" s="67" t="n">
        <f aca="false">IF(OR(C109="",I109=""),"",ROUND((MOD(C109-I109+0.5,1)-0.5)*1440,0))</f>
        <v>4</v>
      </c>
      <c r="K109" s="65" t="str">
        <f aca="false">IF(J109="","",IF(ABS(J109)&gt;$U$3,"Off-schedule","OK"))</f>
        <v>OK</v>
      </c>
      <c r="L109" s="68"/>
      <c r="M109" s="5" t="str">
        <f aca="false">TEXT(B109,"ddd")</f>
        <v>Sun</v>
      </c>
      <c r="N109" s="69" t="n">
        <f aca="false">IF(OR(C109="",D109=""),"",ROUND((MOD(D109-C109,1)-IF(ISNUMBER(E109),MOD(F109-E109,1),0))*24,2))</f>
        <v>11.98</v>
      </c>
      <c r="O109" s="5" t="s">
        <v>768</v>
      </c>
      <c r="P109" s="6" t="n">
        <v>46306</v>
      </c>
      <c r="Q109" s="5" t="str">
        <f aca="false">IF(B109&lt;$U$1,"Prior period",IF(B109&gt;$U$2,"Future period","Current period"))</f>
        <v>Current period</v>
      </c>
      <c r="R109" s="5" t="str">
        <f aca="false" t="array" ref="R109:R109">_xlfn.XLOOKUP(A109,TRIM(SUBSTITUTE('worker file'!$A$2:$A$406,_xlfn.UNICHAR(160)," ")),'worker file'!$D$2:$D$406,"Not found")</f>
        <v>TX</v>
      </c>
    </row>
    <row r="110" customFormat="false" ht="15" hidden="false" customHeight="false" outlineLevel="0" collapsed="false">
      <c r="A110" s="5" t="s">
        <v>166</v>
      </c>
      <c r="B110" s="6" t="n">
        <v>46311</v>
      </c>
      <c r="C110" s="62" t="n">
        <v>0.247222222222222</v>
      </c>
      <c r="D110" s="62" t="n">
        <v>0.769444444444445</v>
      </c>
      <c r="E110" s="63" t="n">
        <v>0.422222222222222</v>
      </c>
      <c r="F110" s="64" t="n">
        <v>0.443055555555556</v>
      </c>
      <c r="G110" s="65" t="str">
        <f aca="false" t="array" ref="G110:G110">_xlfn.XLOOKUP(A110&amp;"|"&amp;B110,ShiftRoster[Employee ID]&amp;"|"&amp;ShiftRoster[Date],ShiftRoster[Shift Code],_xlfn.XLOOKUP(A110,TRIM(SUBSTITUTE('worker file'!$A$2:$A$406,_xlfn.UNICHAR(160)," ")),'worker file'!$X$2:$X$406,"?"),0,-1)</f>
        <v>WKND</v>
      </c>
      <c r="H110" s="65" t="str">
        <f aca="false">_xlfn.XLOOKUP(G110,ShiftCodes[Code],ShiftCodes[Work Schedule],"Unknown")</f>
        <v>Shift D – Weekend (Fri–Sun 06:00–18:30)</v>
      </c>
      <c r="I110" s="66" t="n">
        <f aca="false">_xlfn.XLOOKUP(G110,ShiftCodes[Code],ShiftCodes[Start],"")</f>
        <v>0.25</v>
      </c>
      <c r="J110" s="67" t="n">
        <f aca="false">IF(OR(C110="",I110=""),"",ROUND((MOD(C110-I110+0.5,1)-0.5)*1440,0))</f>
        <v>-4</v>
      </c>
      <c r="K110" s="65" t="str">
        <f aca="false">IF(J110="","",IF(ABS(J110)&gt;$U$3,"Off-schedule","OK"))</f>
        <v>OK</v>
      </c>
      <c r="L110" s="68"/>
      <c r="M110" s="5" t="str">
        <f aca="false">TEXT(B110,"ddd")</f>
        <v>Fri</v>
      </c>
      <c r="N110" s="69" t="n">
        <f aca="false">IF(OR(C110="",D110=""),"",ROUND((MOD(D110-C110,1)-IF(ISNUMBER(E110),MOD(F110-E110,1),0))*24,2))</f>
        <v>12.03</v>
      </c>
      <c r="O110" s="5" t="s">
        <v>768</v>
      </c>
      <c r="P110" s="6" t="n">
        <v>46311</v>
      </c>
      <c r="Q110" s="5" t="str">
        <f aca="false">IF(B110&lt;$U$1,"Prior period",IF(B110&gt;$U$2,"Future period","Current period"))</f>
        <v>Current period</v>
      </c>
      <c r="R110" s="5" t="str">
        <f aca="false" t="array" ref="R110:R110">_xlfn.XLOOKUP(A110,TRIM(SUBSTITUTE('worker file'!$A$2:$A$406,_xlfn.UNICHAR(160)," ")),'worker file'!$D$2:$D$406,"Not found")</f>
        <v>TX</v>
      </c>
    </row>
    <row r="111" customFormat="false" ht="15" hidden="false" customHeight="false" outlineLevel="0" collapsed="false">
      <c r="A111" s="5" t="s">
        <v>166</v>
      </c>
      <c r="B111" s="6" t="n">
        <v>46312</v>
      </c>
      <c r="C111" s="62" t="n">
        <v>0.253472222222222</v>
      </c>
      <c r="D111" s="62" t="n">
        <v>0.774305555555556</v>
      </c>
      <c r="E111" s="63" t="n">
        <v>0.425</v>
      </c>
      <c r="F111" s="64" t="n">
        <v>0.445833333333333</v>
      </c>
      <c r="G111" s="65" t="str">
        <f aca="false" t="array" ref="G111:G111">_xlfn.XLOOKUP(A111&amp;"|"&amp;B111,ShiftRoster[Employee ID]&amp;"|"&amp;ShiftRoster[Date],ShiftRoster[Shift Code],_xlfn.XLOOKUP(A111,TRIM(SUBSTITUTE('worker file'!$A$2:$A$406,_xlfn.UNICHAR(160)," ")),'worker file'!$X$2:$X$406,"?"),0,-1)</f>
        <v>WKND</v>
      </c>
      <c r="H111" s="65" t="str">
        <f aca="false">_xlfn.XLOOKUP(G111,ShiftCodes[Code],ShiftCodes[Work Schedule],"Unknown")</f>
        <v>Shift D – Weekend (Fri–Sun 06:00–18:30)</v>
      </c>
      <c r="I111" s="66" t="n">
        <f aca="false">_xlfn.XLOOKUP(G111,ShiftCodes[Code],ShiftCodes[Start],"")</f>
        <v>0.25</v>
      </c>
      <c r="J111" s="67" t="n">
        <f aca="false">IF(OR(C111="",I111=""),"",ROUND((MOD(C111-I111+0.5,1)-0.5)*1440,0))</f>
        <v>5</v>
      </c>
      <c r="K111" s="65" t="str">
        <f aca="false">IF(J111="","",IF(ABS(J111)&gt;$U$3,"Off-schedule","OK"))</f>
        <v>OK</v>
      </c>
      <c r="L111" s="68"/>
      <c r="M111" s="5" t="str">
        <f aca="false">TEXT(B111,"ddd")</f>
        <v>Sat</v>
      </c>
      <c r="N111" s="69" t="n">
        <f aca="false">IF(OR(C111="",D111=""),"",ROUND((MOD(D111-C111,1)-IF(ISNUMBER(E111),MOD(F111-E111,1),0))*24,2))</f>
        <v>12</v>
      </c>
      <c r="O111" s="5" t="s">
        <v>768</v>
      </c>
      <c r="P111" s="6" t="n">
        <v>46312</v>
      </c>
      <c r="Q111" s="5" t="str">
        <f aca="false">IF(B111&lt;$U$1,"Prior period",IF(B111&gt;$U$2,"Future period","Current period"))</f>
        <v>Current period</v>
      </c>
      <c r="R111" s="5" t="str">
        <f aca="false" t="array" ref="R111:R111">_xlfn.XLOOKUP(A111,TRIM(SUBSTITUTE('worker file'!$A$2:$A$406,_xlfn.UNICHAR(160)," ")),'worker file'!$D$2:$D$406,"Not found")</f>
        <v>TX</v>
      </c>
    </row>
    <row r="112" customFormat="false" ht="15" hidden="false" customHeight="false" outlineLevel="0" collapsed="false">
      <c r="A112" s="5" t="s">
        <v>168</v>
      </c>
      <c r="B112" s="6" t="n">
        <v>46299</v>
      </c>
      <c r="C112" s="62" t="n">
        <v>0.246527777777778</v>
      </c>
      <c r="D112" s="62" t="n">
        <v>0.766666666666667</v>
      </c>
      <c r="E112" s="63" t="n">
        <v>0.415277777777778</v>
      </c>
      <c r="F112" s="64" t="n">
        <v>0.436111111111111</v>
      </c>
      <c r="G112" s="65" t="str">
        <f aca="false" t="array" ref="G112:G112">_xlfn.XLOOKUP(A112&amp;"|"&amp;B112,ShiftRoster[Employee ID]&amp;"|"&amp;ShiftRoster[Date],ShiftRoster[Shift Code],_xlfn.XLOOKUP(A112,TRIM(SUBSTITUTE('worker file'!$A$2:$A$406,_xlfn.UNICHAR(160)," ")),'worker file'!$X$2:$X$406,"?"),0,-1)</f>
        <v>WKND</v>
      </c>
      <c r="H112" s="65" t="str">
        <f aca="false">_xlfn.XLOOKUP(G112,ShiftCodes[Code],ShiftCodes[Work Schedule],"Unknown")</f>
        <v>Shift D – Weekend (Fri–Sun 06:00–18:30)</v>
      </c>
      <c r="I112" s="66" t="n">
        <f aca="false">_xlfn.XLOOKUP(G112,ShiftCodes[Code],ShiftCodes[Start],"")</f>
        <v>0.25</v>
      </c>
      <c r="J112" s="67" t="n">
        <f aca="false">IF(OR(C112="",I112=""),"",ROUND((MOD(C112-I112+0.5,1)-0.5)*1440,0))</f>
        <v>-5</v>
      </c>
      <c r="K112" s="65" t="str">
        <f aca="false">IF(J112="","",IF(ABS(J112)&gt;$U$3,"Off-schedule","OK"))</f>
        <v>OK</v>
      </c>
      <c r="L112" s="68"/>
      <c r="M112" s="5" t="str">
        <f aca="false">TEXT(B112,"ddd")</f>
        <v>Sun</v>
      </c>
      <c r="N112" s="69" t="n">
        <f aca="false">IF(OR(C112="",D112=""),"",ROUND((MOD(D112-C112,1)-IF(ISNUMBER(E112),MOD(F112-E112,1),0))*24,2))</f>
        <v>11.98</v>
      </c>
      <c r="O112" s="5" t="s">
        <v>768</v>
      </c>
      <c r="P112" s="6" t="n">
        <v>46299</v>
      </c>
      <c r="Q112" s="5" t="str">
        <f aca="false">IF(B112&lt;$U$1,"Prior period",IF(B112&gt;$U$2,"Future period","Current period"))</f>
        <v>Current period</v>
      </c>
      <c r="R112" s="5" t="str">
        <f aca="false" t="array" ref="R112:R112">_xlfn.XLOOKUP(A112,TRIM(SUBSTITUTE('worker file'!$A$2:$A$406,_xlfn.UNICHAR(160)," ")),'worker file'!$D$2:$D$406,"Not found")</f>
        <v>CA</v>
      </c>
    </row>
    <row r="113" customFormat="false" ht="15" hidden="false" customHeight="false" outlineLevel="0" collapsed="false">
      <c r="A113" s="5" t="s">
        <v>168</v>
      </c>
      <c r="B113" s="6" t="n">
        <v>46304</v>
      </c>
      <c r="C113" s="62" t="n">
        <v>0.246527777777778</v>
      </c>
      <c r="D113" s="62" t="n">
        <v>0.7625</v>
      </c>
      <c r="E113" s="63" t="n">
        <v>0.413888888888889</v>
      </c>
      <c r="F113" s="64" t="n">
        <v>0.434722222222222</v>
      </c>
      <c r="G113" s="65" t="str">
        <f aca="false" t="array" ref="G113:G113">_xlfn.XLOOKUP(A113&amp;"|"&amp;B113,ShiftRoster[Employee ID]&amp;"|"&amp;ShiftRoster[Date],ShiftRoster[Shift Code],_xlfn.XLOOKUP(A113,TRIM(SUBSTITUTE('worker file'!$A$2:$A$406,_xlfn.UNICHAR(160)," ")),'worker file'!$X$2:$X$406,"?"),0,-1)</f>
        <v>WKND</v>
      </c>
      <c r="H113" s="65" t="str">
        <f aca="false">_xlfn.XLOOKUP(G113,ShiftCodes[Code],ShiftCodes[Work Schedule],"Unknown")</f>
        <v>Shift D – Weekend (Fri–Sun 06:00–18:30)</v>
      </c>
      <c r="I113" s="66" t="n">
        <f aca="false">_xlfn.XLOOKUP(G113,ShiftCodes[Code],ShiftCodes[Start],"")</f>
        <v>0.25</v>
      </c>
      <c r="J113" s="67" t="n">
        <f aca="false">IF(OR(C113="",I113=""),"",ROUND((MOD(C113-I113+0.5,1)-0.5)*1440,0))</f>
        <v>-5</v>
      </c>
      <c r="K113" s="65" t="str">
        <f aca="false">IF(J113="","",IF(ABS(J113)&gt;$U$3,"Off-schedule","OK"))</f>
        <v>OK</v>
      </c>
      <c r="L113" s="68"/>
      <c r="M113" s="5" t="str">
        <f aca="false">TEXT(B113,"ddd")</f>
        <v>Fri</v>
      </c>
      <c r="N113" s="69" t="n">
        <f aca="false">IF(OR(C113="",D113=""),"",ROUND((MOD(D113-C113,1)-IF(ISNUMBER(E113),MOD(F113-E113,1),0))*24,2))</f>
        <v>11.88</v>
      </c>
      <c r="O113" s="5" t="s">
        <v>768</v>
      </c>
      <c r="P113" s="6" t="n">
        <v>46304</v>
      </c>
      <c r="Q113" s="5" t="str">
        <f aca="false">IF(B113&lt;$U$1,"Prior period",IF(B113&gt;$U$2,"Future period","Current period"))</f>
        <v>Current period</v>
      </c>
      <c r="R113" s="5" t="str">
        <f aca="false" t="array" ref="R113:R113">_xlfn.XLOOKUP(A113,TRIM(SUBSTITUTE('worker file'!$A$2:$A$406,_xlfn.UNICHAR(160)," ")),'worker file'!$D$2:$D$406,"Not found")</f>
        <v>CA</v>
      </c>
    </row>
    <row r="114" customFormat="false" ht="15" hidden="false" customHeight="false" outlineLevel="0" collapsed="false">
      <c r="A114" s="5" t="s">
        <v>168</v>
      </c>
      <c r="B114" s="6" t="n">
        <v>46305</v>
      </c>
      <c r="C114" s="62" t="n">
        <v>0.252777777777778</v>
      </c>
      <c r="D114" s="62" t="n">
        <v>0.815277777777778</v>
      </c>
      <c r="E114" s="63" t="n">
        <v>0.429166666666667</v>
      </c>
      <c r="F114" s="64" t="n">
        <v>0.45</v>
      </c>
      <c r="G114" s="65" t="str">
        <f aca="false" t="array" ref="G114:G114">_xlfn.XLOOKUP(A114&amp;"|"&amp;B114,ShiftRoster[Employee ID]&amp;"|"&amp;ShiftRoster[Date],ShiftRoster[Shift Code],_xlfn.XLOOKUP(A114,TRIM(SUBSTITUTE('worker file'!$A$2:$A$406,_xlfn.UNICHAR(160)," ")),'worker file'!$X$2:$X$406,"?"),0,-1)</f>
        <v>WKND</v>
      </c>
      <c r="H114" s="65" t="str">
        <f aca="false">_xlfn.XLOOKUP(G114,ShiftCodes[Code],ShiftCodes[Work Schedule],"Unknown")</f>
        <v>Shift D – Weekend (Fri–Sun 06:00–18:30)</v>
      </c>
      <c r="I114" s="66" t="n">
        <f aca="false">_xlfn.XLOOKUP(G114,ShiftCodes[Code],ShiftCodes[Start],"")</f>
        <v>0.25</v>
      </c>
      <c r="J114" s="67" t="n">
        <f aca="false">IF(OR(C114="",I114=""),"",ROUND((MOD(C114-I114+0.5,1)-0.5)*1440,0))</f>
        <v>4</v>
      </c>
      <c r="K114" s="65" t="str">
        <f aca="false">IF(J114="","",IF(ABS(J114)&gt;$U$3,"Off-schedule","OK"))</f>
        <v>OK</v>
      </c>
      <c r="L114" s="68" t="s">
        <v>782</v>
      </c>
      <c r="M114" s="5" t="str">
        <f aca="false">TEXT(B114,"ddd")</f>
        <v>Sat</v>
      </c>
      <c r="N114" s="69" t="n">
        <f aca="false">IF(OR(C114="",D114=""),"",ROUND((MOD(D114-C114,1)-IF(ISNUMBER(E114),MOD(F114-E114,1),0))*24,2))</f>
        <v>13</v>
      </c>
      <c r="O114" s="5" t="s">
        <v>768</v>
      </c>
      <c r="P114" s="6" t="n">
        <v>46305</v>
      </c>
      <c r="Q114" s="5" t="str">
        <f aca="false">IF(B114&lt;$U$1,"Prior period",IF(B114&gt;$U$2,"Future period","Current period"))</f>
        <v>Current period</v>
      </c>
      <c r="R114" s="5" t="str">
        <f aca="false" t="array" ref="R114:R114">_xlfn.XLOOKUP(A114,TRIM(SUBSTITUTE('worker file'!$A$2:$A$406,_xlfn.UNICHAR(160)," ")),'worker file'!$D$2:$D$406,"Not found")</f>
        <v>CA</v>
      </c>
    </row>
    <row r="115" customFormat="false" ht="15" hidden="false" customHeight="false" outlineLevel="0" collapsed="false">
      <c r="A115" s="5" t="s">
        <v>168</v>
      </c>
      <c r="B115" s="6" t="n">
        <v>46306</v>
      </c>
      <c r="C115" s="62" t="n">
        <v>0.25</v>
      </c>
      <c r="D115" s="62" t="n">
        <v>0.770138888888889</v>
      </c>
      <c r="E115" s="63" t="n">
        <v>0.396527777777778</v>
      </c>
      <c r="F115" s="64" t="n">
        <v>0.417361111111111</v>
      </c>
      <c r="G115" s="65" t="str">
        <f aca="false" t="array" ref="G115:G115">_xlfn.XLOOKUP(A115&amp;"|"&amp;B115,ShiftRoster[Employee ID]&amp;"|"&amp;ShiftRoster[Date],ShiftRoster[Shift Code],_xlfn.XLOOKUP(A115,TRIM(SUBSTITUTE('worker file'!$A$2:$A$406,_xlfn.UNICHAR(160)," ")),'worker file'!$X$2:$X$406,"?"),0,-1)</f>
        <v>WKND</v>
      </c>
      <c r="H115" s="65" t="str">
        <f aca="false">_xlfn.XLOOKUP(G115,ShiftCodes[Code],ShiftCodes[Work Schedule],"Unknown")</f>
        <v>Shift D – Weekend (Fri–Sun 06:00–18:30)</v>
      </c>
      <c r="I115" s="66" t="n">
        <f aca="false">_xlfn.XLOOKUP(G115,ShiftCodes[Code],ShiftCodes[Start],"")</f>
        <v>0.25</v>
      </c>
      <c r="J115" s="67" t="n">
        <f aca="false">IF(OR(C115="",I115=""),"",ROUND((MOD(C115-I115+0.5,1)-0.5)*1440,0))</f>
        <v>0</v>
      </c>
      <c r="K115" s="65" t="str">
        <f aca="false">IF(J115="","",IF(ABS(J115)&gt;$U$3,"Off-schedule","OK"))</f>
        <v>OK</v>
      </c>
      <c r="L115" s="68"/>
      <c r="M115" s="5" t="str">
        <f aca="false">TEXT(B115,"ddd")</f>
        <v>Sun</v>
      </c>
      <c r="N115" s="69" t="n">
        <f aca="false">IF(OR(C115="",D115=""),"",ROUND((MOD(D115-C115,1)-IF(ISNUMBER(E115),MOD(F115-E115,1),0))*24,2))</f>
        <v>11.98</v>
      </c>
      <c r="O115" s="5" t="s">
        <v>768</v>
      </c>
      <c r="P115" s="6" t="n">
        <v>46306</v>
      </c>
      <c r="Q115" s="5" t="str">
        <f aca="false">IF(B115&lt;$U$1,"Prior period",IF(B115&gt;$U$2,"Future period","Current period"))</f>
        <v>Current period</v>
      </c>
      <c r="R115" s="5" t="str">
        <f aca="false" t="array" ref="R115:R115">_xlfn.XLOOKUP(A115,TRIM(SUBSTITUTE('worker file'!$A$2:$A$406,_xlfn.UNICHAR(160)," ")),'worker file'!$D$2:$D$406,"Not found")</f>
        <v>CA</v>
      </c>
    </row>
    <row r="116" customFormat="false" ht="15" hidden="false" customHeight="false" outlineLevel="0" collapsed="false">
      <c r="A116" s="5" t="s">
        <v>168</v>
      </c>
      <c r="B116" s="6" t="n">
        <v>46311</v>
      </c>
      <c r="C116" s="62" t="n">
        <v>0.251388888888889</v>
      </c>
      <c r="D116" s="62" t="n">
        <v>0.770833333333333</v>
      </c>
      <c r="E116" s="63" t="n">
        <v>0.436805555555556</v>
      </c>
      <c r="F116" s="64" t="n">
        <v>0.457638888888889</v>
      </c>
      <c r="G116" s="65" t="str">
        <f aca="false" t="array" ref="G116:G116">_xlfn.XLOOKUP(A116&amp;"|"&amp;B116,ShiftRoster[Employee ID]&amp;"|"&amp;ShiftRoster[Date],ShiftRoster[Shift Code],_xlfn.XLOOKUP(A116,TRIM(SUBSTITUTE('worker file'!$A$2:$A$406,_xlfn.UNICHAR(160)," ")),'worker file'!$X$2:$X$406,"?"),0,-1)</f>
        <v>WKND</v>
      </c>
      <c r="H116" s="65" t="str">
        <f aca="false">_xlfn.XLOOKUP(G116,ShiftCodes[Code],ShiftCodes[Work Schedule],"Unknown")</f>
        <v>Shift D – Weekend (Fri–Sun 06:00–18:30)</v>
      </c>
      <c r="I116" s="66" t="n">
        <f aca="false">_xlfn.XLOOKUP(G116,ShiftCodes[Code],ShiftCodes[Start],"")</f>
        <v>0.25</v>
      </c>
      <c r="J116" s="67" t="n">
        <f aca="false">IF(OR(C116="",I116=""),"",ROUND((MOD(C116-I116+0.5,1)-0.5)*1440,0))</f>
        <v>2</v>
      </c>
      <c r="K116" s="65" t="str">
        <f aca="false">IF(J116="","",IF(ABS(J116)&gt;$U$3,"Off-schedule","OK"))</f>
        <v>OK</v>
      </c>
      <c r="L116" s="68"/>
      <c r="M116" s="5" t="str">
        <f aca="false">TEXT(B116,"ddd")</f>
        <v>Fri</v>
      </c>
      <c r="N116" s="69" t="n">
        <f aca="false">IF(OR(C116="",D116=""),"",ROUND((MOD(D116-C116,1)-IF(ISNUMBER(E116),MOD(F116-E116,1),0))*24,2))</f>
        <v>11.97</v>
      </c>
      <c r="O116" s="5" t="s">
        <v>768</v>
      </c>
      <c r="P116" s="6" t="n">
        <v>46311</v>
      </c>
      <c r="Q116" s="5" t="str">
        <f aca="false">IF(B116&lt;$U$1,"Prior period",IF(B116&gt;$U$2,"Future period","Current period"))</f>
        <v>Current period</v>
      </c>
      <c r="R116" s="5" t="str">
        <f aca="false" t="array" ref="R116:R116">_xlfn.XLOOKUP(A116,TRIM(SUBSTITUTE('worker file'!$A$2:$A$406,_xlfn.UNICHAR(160)," ")),'worker file'!$D$2:$D$406,"Not found")</f>
        <v>CA</v>
      </c>
    </row>
    <row r="117" customFormat="false" ht="15" hidden="false" customHeight="false" outlineLevel="0" collapsed="false">
      <c r="A117" s="5" t="s">
        <v>168</v>
      </c>
      <c r="B117" s="6" t="n">
        <v>46312</v>
      </c>
      <c r="C117" s="62" t="n">
        <v>0.252777777777778</v>
      </c>
      <c r="D117" s="62" t="n">
        <v>0.772222222222222</v>
      </c>
      <c r="E117" s="63" t="n">
        <v>0.408333333333333</v>
      </c>
      <c r="F117" s="64" t="n">
        <v>0.429166666666667</v>
      </c>
      <c r="G117" s="65" t="str">
        <f aca="false" t="array" ref="G117:G117">_xlfn.XLOOKUP(A117&amp;"|"&amp;B117,ShiftRoster[Employee ID]&amp;"|"&amp;ShiftRoster[Date],ShiftRoster[Shift Code],_xlfn.XLOOKUP(A117,TRIM(SUBSTITUTE('worker file'!$A$2:$A$406,_xlfn.UNICHAR(160)," ")),'worker file'!$X$2:$X$406,"?"),0,-1)</f>
        <v>WKND</v>
      </c>
      <c r="H117" s="65" t="str">
        <f aca="false">_xlfn.XLOOKUP(G117,ShiftCodes[Code],ShiftCodes[Work Schedule],"Unknown")</f>
        <v>Shift D – Weekend (Fri–Sun 06:00–18:30)</v>
      </c>
      <c r="I117" s="66" t="n">
        <f aca="false">_xlfn.XLOOKUP(G117,ShiftCodes[Code],ShiftCodes[Start],"")</f>
        <v>0.25</v>
      </c>
      <c r="J117" s="67" t="n">
        <f aca="false">IF(OR(C117="",I117=""),"",ROUND((MOD(C117-I117+0.5,1)-0.5)*1440,0))</f>
        <v>4</v>
      </c>
      <c r="K117" s="65" t="str">
        <f aca="false">IF(J117="","",IF(ABS(J117)&gt;$U$3,"Off-schedule","OK"))</f>
        <v>OK</v>
      </c>
      <c r="L117" s="68"/>
      <c r="M117" s="5" t="str">
        <f aca="false">TEXT(B117,"ddd")</f>
        <v>Sat</v>
      </c>
      <c r="N117" s="69" t="n">
        <f aca="false">IF(OR(C117="",D117=""),"",ROUND((MOD(D117-C117,1)-IF(ISNUMBER(E117),MOD(F117-E117,1),0))*24,2))</f>
        <v>11.97</v>
      </c>
      <c r="O117" s="5" t="s">
        <v>768</v>
      </c>
      <c r="P117" s="6" t="n">
        <v>46312</v>
      </c>
      <c r="Q117" s="5" t="str">
        <f aca="false">IF(B117&lt;$U$1,"Prior period",IF(B117&gt;$U$2,"Future period","Current period"))</f>
        <v>Current period</v>
      </c>
      <c r="R117" s="5" t="str">
        <f aca="false" t="array" ref="R117:R117">_xlfn.XLOOKUP(A117,TRIM(SUBSTITUTE('worker file'!$A$2:$A$406,_xlfn.UNICHAR(160)," ")),'worker file'!$D$2:$D$406,"Not found")</f>
        <v>CA</v>
      </c>
    </row>
    <row r="118" customFormat="false" ht="15" hidden="false" customHeight="false" outlineLevel="0" collapsed="false">
      <c r="A118" s="5" t="s">
        <v>177</v>
      </c>
      <c r="B118" s="6" t="n">
        <v>46299</v>
      </c>
      <c r="C118" s="62" t="n">
        <v>0.247916666666667</v>
      </c>
      <c r="D118" s="62" t="n">
        <v>0.770833333333333</v>
      </c>
      <c r="E118" s="63" t="n">
        <v>0.422916666666667</v>
      </c>
      <c r="F118" s="64" t="n">
        <v>0.44375</v>
      </c>
      <c r="G118" s="65" t="str">
        <f aca="false" t="array" ref="G118:G118">_xlfn.XLOOKUP(A118&amp;"|"&amp;B118,ShiftRoster[Employee ID]&amp;"|"&amp;ShiftRoster[Date],ShiftRoster[Shift Code],_xlfn.XLOOKUP(A118,TRIM(SUBSTITUTE('worker file'!$A$2:$A$406,_xlfn.UNICHAR(160)," ")),'worker file'!$X$2:$X$406,"?"),0,-1)</f>
        <v>WKND</v>
      </c>
      <c r="H118" s="65" t="str">
        <f aca="false">_xlfn.XLOOKUP(G118,ShiftCodes[Code],ShiftCodes[Work Schedule],"Unknown")</f>
        <v>Shift D – Weekend (Fri–Sun 06:00–18:30)</v>
      </c>
      <c r="I118" s="66" t="n">
        <f aca="false">_xlfn.XLOOKUP(G118,ShiftCodes[Code],ShiftCodes[Start],"")</f>
        <v>0.25</v>
      </c>
      <c r="J118" s="67" t="n">
        <f aca="false">IF(OR(C118="",I118=""),"",ROUND((MOD(C118-I118+0.5,1)-0.5)*1440,0))</f>
        <v>-3</v>
      </c>
      <c r="K118" s="65" t="str">
        <f aca="false">IF(J118="","",IF(ABS(J118)&gt;$U$3,"Off-schedule","OK"))</f>
        <v>OK</v>
      </c>
      <c r="L118" s="68"/>
      <c r="M118" s="5" t="str">
        <f aca="false">TEXT(B118,"ddd")</f>
        <v>Sun</v>
      </c>
      <c r="N118" s="69" t="n">
        <f aca="false">IF(OR(C118="",D118=""),"",ROUND((MOD(D118-C118,1)-IF(ISNUMBER(E118),MOD(F118-E118,1),0))*24,2))</f>
        <v>12.05</v>
      </c>
      <c r="O118" s="5" t="s">
        <v>768</v>
      </c>
      <c r="P118" s="6" t="n">
        <v>46299</v>
      </c>
      <c r="Q118" s="5" t="str">
        <f aca="false">IF(B118&lt;$U$1,"Prior period",IF(B118&gt;$U$2,"Future period","Current period"))</f>
        <v>Current period</v>
      </c>
      <c r="R118" s="5" t="str">
        <f aca="false" t="array" ref="R118:R118">_xlfn.XLOOKUP(A118,TRIM(SUBSTITUTE('worker file'!$A$2:$A$406,_xlfn.UNICHAR(160)," ")),'worker file'!$D$2:$D$406,"Not found")</f>
        <v>CA</v>
      </c>
    </row>
    <row r="119" customFormat="false" ht="15" hidden="false" customHeight="false" outlineLevel="0" collapsed="false">
      <c r="A119" s="5" t="s">
        <v>177</v>
      </c>
      <c r="B119" s="6" t="n">
        <v>46304</v>
      </c>
      <c r="C119" s="62" t="n">
        <v>0.252777777777778</v>
      </c>
      <c r="D119" s="62" t="n">
        <v>0.772916666666667</v>
      </c>
      <c r="E119" s="63" t="n">
        <v>0.425694444444444</v>
      </c>
      <c r="F119" s="64" t="n">
        <v>0.446527777777778</v>
      </c>
      <c r="G119" s="65" t="str">
        <f aca="false" t="array" ref="G119:G119">_xlfn.XLOOKUP(A119&amp;"|"&amp;B119,ShiftRoster[Employee ID]&amp;"|"&amp;ShiftRoster[Date],ShiftRoster[Shift Code],_xlfn.XLOOKUP(A119,TRIM(SUBSTITUTE('worker file'!$A$2:$A$406,_xlfn.UNICHAR(160)," ")),'worker file'!$X$2:$X$406,"?"),0,-1)</f>
        <v>WKND</v>
      </c>
      <c r="H119" s="65" t="str">
        <f aca="false">_xlfn.XLOOKUP(G119,ShiftCodes[Code],ShiftCodes[Work Schedule],"Unknown")</f>
        <v>Shift D – Weekend (Fri–Sun 06:00–18:30)</v>
      </c>
      <c r="I119" s="66" t="n">
        <f aca="false">_xlfn.XLOOKUP(G119,ShiftCodes[Code],ShiftCodes[Start],"")</f>
        <v>0.25</v>
      </c>
      <c r="J119" s="67" t="n">
        <f aca="false">IF(OR(C119="",I119=""),"",ROUND((MOD(C119-I119+0.5,1)-0.5)*1440,0))</f>
        <v>4</v>
      </c>
      <c r="K119" s="65" t="str">
        <f aca="false">IF(J119="","",IF(ABS(J119)&gt;$U$3,"Off-schedule","OK"))</f>
        <v>OK</v>
      </c>
      <c r="L119" s="68"/>
      <c r="M119" s="5" t="str">
        <f aca="false">TEXT(B119,"ddd")</f>
        <v>Fri</v>
      </c>
      <c r="N119" s="69" t="n">
        <f aca="false">IF(OR(C119="",D119=""),"",ROUND((MOD(D119-C119,1)-IF(ISNUMBER(E119),MOD(F119-E119,1),0))*24,2))</f>
        <v>11.98</v>
      </c>
      <c r="O119" s="5" t="s">
        <v>768</v>
      </c>
      <c r="P119" s="6" t="n">
        <v>46304</v>
      </c>
      <c r="Q119" s="5" t="str">
        <f aca="false">IF(B119&lt;$U$1,"Prior period",IF(B119&gt;$U$2,"Future period","Current period"))</f>
        <v>Current period</v>
      </c>
      <c r="R119" s="5" t="str">
        <f aca="false" t="array" ref="R119:R119">_xlfn.XLOOKUP(A119,TRIM(SUBSTITUTE('worker file'!$A$2:$A$406,_xlfn.UNICHAR(160)," ")),'worker file'!$D$2:$D$406,"Not found")</f>
        <v>CA</v>
      </c>
    </row>
    <row r="120" customFormat="false" ht="15" hidden="false" customHeight="false" outlineLevel="0" collapsed="false">
      <c r="A120" s="5" t="s">
        <v>177</v>
      </c>
      <c r="B120" s="6" t="n">
        <v>46305</v>
      </c>
      <c r="C120" s="62" t="n">
        <v>0.251388888888889</v>
      </c>
      <c r="D120" s="62" t="n">
        <v>0.770138888888889</v>
      </c>
      <c r="E120" s="63" t="n">
        <v>0.427083333333333</v>
      </c>
      <c r="F120" s="64" t="n">
        <v>0.447916666666667</v>
      </c>
      <c r="G120" s="65" t="str">
        <f aca="false" t="array" ref="G120:G120">_xlfn.XLOOKUP(A120&amp;"|"&amp;B120,ShiftRoster[Employee ID]&amp;"|"&amp;ShiftRoster[Date],ShiftRoster[Shift Code],_xlfn.XLOOKUP(A120,TRIM(SUBSTITUTE('worker file'!$A$2:$A$406,_xlfn.UNICHAR(160)," ")),'worker file'!$X$2:$X$406,"?"),0,-1)</f>
        <v>WKND</v>
      </c>
      <c r="H120" s="65" t="str">
        <f aca="false">_xlfn.XLOOKUP(G120,ShiftCodes[Code],ShiftCodes[Work Schedule],"Unknown")</f>
        <v>Shift D – Weekend (Fri–Sun 06:00–18:30)</v>
      </c>
      <c r="I120" s="66" t="n">
        <f aca="false">_xlfn.XLOOKUP(G120,ShiftCodes[Code],ShiftCodes[Start],"")</f>
        <v>0.25</v>
      </c>
      <c r="J120" s="67" t="n">
        <f aca="false">IF(OR(C120="",I120=""),"",ROUND((MOD(C120-I120+0.5,1)-0.5)*1440,0))</f>
        <v>2</v>
      </c>
      <c r="K120" s="65" t="str">
        <f aca="false">IF(J120="","",IF(ABS(J120)&gt;$U$3,"Off-schedule","OK"))</f>
        <v>OK</v>
      </c>
      <c r="L120" s="68"/>
      <c r="M120" s="5" t="str">
        <f aca="false">TEXT(B120,"ddd")</f>
        <v>Sat</v>
      </c>
      <c r="N120" s="69" t="n">
        <f aca="false">IF(OR(C120="",D120=""),"",ROUND((MOD(D120-C120,1)-IF(ISNUMBER(E120),MOD(F120-E120,1),0))*24,2))</f>
        <v>11.95</v>
      </c>
      <c r="O120" s="5" t="s">
        <v>768</v>
      </c>
      <c r="P120" s="6" t="n">
        <v>46305</v>
      </c>
      <c r="Q120" s="5" t="str">
        <f aca="false">IF(B120&lt;$U$1,"Prior period",IF(B120&gt;$U$2,"Future period","Current period"))</f>
        <v>Current period</v>
      </c>
      <c r="R120" s="5" t="str">
        <f aca="false" t="array" ref="R120:R120">_xlfn.XLOOKUP(A120,TRIM(SUBSTITUTE('worker file'!$A$2:$A$406,_xlfn.UNICHAR(160)," ")),'worker file'!$D$2:$D$406,"Not found")</f>
        <v>CA</v>
      </c>
    </row>
    <row r="121" customFormat="false" ht="15" hidden="false" customHeight="false" outlineLevel="0" collapsed="false">
      <c r="A121" s="5" t="s">
        <v>177</v>
      </c>
      <c r="B121" s="6" t="n">
        <v>46306</v>
      </c>
      <c r="C121" s="62" t="n">
        <v>0.25</v>
      </c>
      <c r="D121" s="62" t="n">
        <v>0.767361111111111</v>
      </c>
      <c r="E121" s="63" t="n">
        <v>0.422222222222222</v>
      </c>
      <c r="F121" s="64" t="n">
        <v>0.443055555555556</v>
      </c>
      <c r="G121" s="65" t="str">
        <f aca="false" t="array" ref="G121:G121">_xlfn.XLOOKUP(A121&amp;"|"&amp;B121,ShiftRoster[Employee ID]&amp;"|"&amp;ShiftRoster[Date],ShiftRoster[Shift Code],_xlfn.XLOOKUP(A121,TRIM(SUBSTITUTE('worker file'!$A$2:$A$406,_xlfn.UNICHAR(160)," ")),'worker file'!$X$2:$X$406,"?"),0,-1)</f>
        <v>WKND</v>
      </c>
      <c r="H121" s="65" t="str">
        <f aca="false">_xlfn.XLOOKUP(G121,ShiftCodes[Code],ShiftCodes[Work Schedule],"Unknown")</f>
        <v>Shift D – Weekend (Fri–Sun 06:00–18:30)</v>
      </c>
      <c r="I121" s="66" t="n">
        <f aca="false">_xlfn.XLOOKUP(G121,ShiftCodes[Code],ShiftCodes[Start],"")</f>
        <v>0.25</v>
      </c>
      <c r="J121" s="67" t="n">
        <f aca="false">IF(OR(C121="",I121=""),"",ROUND((MOD(C121-I121+0.5,1)-0.5)*1440,0))</f>
        <v>0</v>
      </c>
      <c r="K121" s="65" t="str">
        <f aca="false">IF(J121="","",IF(ABS(J121)&gt;$U$3,"Off-schedule","OK"))</f>
        <v>OK</v>
      </c>
      <c r="L121" s="68"/>
      <c r="M121" s="5" t="str">
        <f aca="false">TEXT(B121,"ddd")</f>
        <v>Sun</v>
      </c>
      <c r="N121" s="69" t="n">
        <f aca="false">IF(OR(C121="",D121=""),"",ROUND((MOD(D121-C121,1)-IF(ISNUMBER(E121),MOD(F121-E121,1),0))*24,2))</f>
        <v>11.92</v>
      </c>
      <c r="O121" s="5" t="s">
        <v>768</v>
      </c>
      <c r="P121" s="6" t="n">
        <v>46306</v>
      </c>
      <c r="Q121" s="5" t="str">
        <f aca="false">IF(B121&lt;$U$1,"Prior period",IF(B121&gt;$U$2,"Future period","Current period"))</f>
        <v>Current period</v>
      </c>
      <c r="R121" s="5" t="str">
        <f aca="false" t="array" ref="R121:R121">_xlfn.XLOOKUP(A121,TRIM(SUBSTITUTE('worker file'!$A$2:$A$406,_xlfn.UNICHAR(160)," ")),'worker file'!$D$2:$D$406,"Not found")</f>
        <v>CA</v>
      </c>
    </row>
    <row r="122" customFormat="false" ht="15" hidden="false" customHeight="false" outlineLevel="0" collapsed="false">
      <c r="A122" s="5" t="s">
        <v>177</v>
      </c>
      <c r="B122" s="6" t="n">
        <v>46311</v>
      </c>
      <c r="C122" s="62" t="n">
        <v>0.252083333333333</v>
      </c>
      <c r="D122" s="62" t="n">
        <v>0.771527777777778</v>
      </c>
      <c r="E122" s="63" t="n">
        <v>0.427777777777778</v>
      </c>
      <c r="F122" s="64" t="n">
        <v>0.448611111111111</v>
      </c>
      <c r="G122" s="65" t="str">
        <f aca="false" t="array" ref="G122:G122">_xlfn.XLOOKUP(A122&amp;"|"&amp;B122,ShiftRoster[Employee ID]&amp;"|"&amp;ShiftRoster[Date],ShiftRoster[Shift Code],_xlfn.XLOOKUP(A122,TRIM(SUBSTITUTE('worker file'!$A$2:$A$406,_xlfn.UNICHAR(160)," ")),'worker file'!$X$2:$X$406,"?"),0,-1)</f>
        <v>WKND</v>
      </c>
      <c r="H122" s="65" t="str">
        <f aca="false">_xlfn.XLOOKUP(G122,ShiftCodes[Code],ShiftCodes[Work Schedule],"Unknown")</f>
        <v>Shift D – Weekend (Fri–Sun 06:00–18:30)</v>
      </c>
      <c r="I122" s="66" t="n">
        <f aca="false">_xlfn.XLOOKUP(G122,ShiftCodes[Code],ShiftCodes[Start],"")</f>
        <v>0.25</v>
      </c>
      <c r="J122" s="67" t="n">
        <f aca="false">IF(OR(C122="",I122=""),"",ROUND((MOD(C122-I122+0.5,1)-0.5)*1440,0))</f>
        <v>3</v>
      </c>
      <c r="K122" s="65" t="str">
        <f aca="false">IF(J122="","",IF(ABS(J122)&gt;$U$3,"Off-schedule","OK"))</f>
        <v>OK</v>
      </c>
      <c r="L122" s="68"/>
      <c r="M122" s="5" t="str">
        <f aca="false">TEXT(B122,"ddd")</f>
        <v>Fri</v>
      </c>
      <c r="N122" s="69" t="n">
        <f aca="false">IF(OR(C122="",D122=""),"",ROUND((MOD(D122-C122,1)-IF(ISNUMBER(E122),MOD(F122-E122,1),0))*24,2))</f>
        <v>11.97</v>
      </c>
      <c r="O122" s="5" t="s">
        <v>768</v>
      </c>
      <c r="P122" s="6" t="n">
        <v>46311</v>
      </c>
      <c r="Q122" s="5" t="str">
        <f aca="false">IF(B122&lt;$U$1,"Prior period",IF(B122&gt;$U$2,"Future period","Current period"))</f>
        <v>Current period</v>
      </c>
      <c r="R122" s="5" t="str">
        <f aca="false" t="array" ref="R122:R122">_xlfn.XLOOKUP(A122,TRIM(SUBSTITUTE('worker file'!$A$2:$A$406,_xlfn.UNICHAR(160)," ")),'worker file'!$D$2:$D$406,"Not found")</f>
        <v>CA</v>
      </c>
    </row>
    <row r="123" customFormat="false" ht="15" hidden="false" customHeight="false" outlineLevel="0" collapsed="false">
      <c r="A123" s="5" t="s">
        <v>177</v>
      </c>
      <c r="B123" s="6" t="n">
        <v>46312</v>
      </c>
      <c r="C123" s="62" t="n">
        <v>0.250694444444444</v>
      </c>
      <c r="D123" s="62" t="n">
        <v>0.76875</v>
      </c>
      <c r="E123" s="63" t="n">
        <v>0.422916666666667</v>
      </c>
      <c r="F123" s="64" t="n">
        <v>0.44375</v>
      </c>
      <c r="G123" s="65" t="str">
        <f aca="false" t="array" ref="G123:G123">_xlfn.XLOOKUP(A123&amp;"|"&amp;B123,ShiftRoster[Employee ID]&amp;"|"&amp;ShiftRoster[Date],ShiftRoster[Shift Code],_xlfn.XLOOKUP(A123,TRIM(SUBSTITUTE('worker file'!$A$2:$A$406,_xlfn.UNICHAR(160)," ")),'worker file'!$X$2:$X$406,"?"),0,-1)</f>
        <v>WKND</v>
      </c>
      <c r="H123" s="65" t="str">
        <f aca="false">_xlfn.XLOOKUP(G123,ShiftCodes[Code],ShiftCodes[Work Schedule],"Unknown")</f>
        <v>Shift D – Weekend (Fri–Sun 06:00–18:30)</v>
      </c>
      <c r="I123" s="66" t="n">
        <f aca="false">_xlfn.XLOOKUP(G123,ShiftCodes[Code],ShiftCodes[Start],"")</f>
        <v>0.25</v>
      </c>
      <c r="J123" s="67" t="n">
        <f aca="false">IF(OR(C123="",I123=""),"",ROUND((MOD(C123-I123+0.5,1)-0.5)*1440,0))</f>
        <v>1</v>
      </c>
      <c r="K123" s="65" t="str">
        <f aca="false">IF(J123="","",IF(ABS(J123)&gt;$U$3,"Off-schedule","OK"))</f>
        <v>OK</v>
      </c>
      <c r="L123" s="68"/>
      <c r="M123" s="5" t="str">
        <f aca="false">TEXT(B123,"ddd")</f>
        <v>Sat</v>
      </c>
      <c r="N123" s="69" t="n">
        <f aca="false">IF(OR(C123="",D123=""),"",ROUND((MOD(D123-C123,1)-IF(ISNUMBER(E123),MOD(F123-E123,1),0))*24,2))</f>
        <v>11.93</v>
      </c>
      <c r="O123" s="5" t="s">
        <v>768</v>
      </c>
      <c r="P123" s="6" t="n">
        <v>46312</v>
      </c>
      <c r="Q123" s="5" t="str">
        <f aca="false">IF(B123&lt;$U$1,"Prior period",IF(B123&gt;$U$2,"Future period","Current period"))</f>
        <v>Current period</v>
      </c>
      <c r="R123" s="5" t="str">
        <f aca="false" t="array" ref="R123:R123">_xlfn.XLOOKUP(A123,TRIM(SUBSTITUTE('worker file'!$A$2:$A$406,_xlfn.UNICHAR(160)," ")),'worker file'!$D$2:$D$406,"Not found")</f>
        <v>CA</v>
      </c>
    </row>
    <row r="124" customFormat="false" ht="15" hidden="false" customHeight="false" outlineLevel="0" collapsed="false">
      <c r="A124" s="5" t="s">
        <v>194</v>
      </c>
      <c r="B124" s="6" t="n">
        <v>46296</v>
      </c>
      <c r="C124" s="62" t="n">
        <v>0.25</v>
      </c>
      <c r="D124" s="62" t="n">
        <v>0.604166666666667</v>
      </c>
      <c r="E124" s="63" t="n">
        <v>0.409722222222222</v>
      </c>
      <c r="F124" s="64" t="n">
        <v>0.430555555555556</v>
      </c>
      <c r="G124" s="65" t="str">
        <f aca="false" t="array" ref="G124:G124">_xlfn.XLOOKUP(A124&amp;"|"&amp;B124,ShiftRoster[Employee ID]&amp;"|"&amp;ShiftRoster[Date],ShiftRoster[Shift Code],_xlfn.XLOOKUP(A124,TRIM(SUBSTITUTE('worker file'!$A$2:$A$406,_xlfn.UNICHAR(160)," ")),'worker file'!$X$2:$X$406,"?"),0,-1)</f>
        <v>DAY</v>
      </c>
      <c r="H124" s="65" t="str">
        <f aca="false">_xlfn.XLOOKUP(G124,ShiftCodes[Code],ShiftCodes[Work Schedule],"Unknown")</f>
        <v>Shift A – Day (Mon–Fri 06:00–14:30)</v>
      </c>
      <c r="I124" s="66" t="n">
        <f aca="false">_xlfn.XLOOKUP(G124,ShiftCodes[Code],ShiftCodes[Start],"")</f>
        <v>0.25</v>
      </c>
      <c r="J124" s="67" t="n">
        <f aca="false">IF(OR(C124="",I124=""),"",ROUND((MOD(C124-I124+0.5,1)-0.5)*1440,0))</f>
        <v>0</v>
      </c>
      <c r="K124" s="65" t="str">
        <f aca="false">IF(J124="","",IF(ABS(J124)&gt;$U$3,"Off-schedule","OK"))</f>
        <v>OK</v>
      </c>
      <c r="L124" s="68" t="s">
        <v>783</v>
      </c>
      <c r="M124" s="5" t="str">
        <f aca="false">TEXT(B124,"ddd")</f>
        <v>Thu</v>
      </c>
      <c r="N124" s="69" t="n">
        <f aca="false">IF(OR(C124="",D124=""),"",ROUND((MOD(D124-C124,1)-IF(ISNUMBER(E124),MOD(F124-E124,1),0))*24,2))</f>
        <v>8</v>
      </c>
      <c r="O124" s="5" t="s">
        <v>784</v>
      </c>
      <c r="P124" s="6" t="n">
        <v>46307</v>
      </c>
      <c r="Q124" s="5" t="str">
        <f aca="false">IF(B124&lt;$U$1,"Prior period",IF(B124&gt;$U$2,"Future period","Current period"))</f>
        <v>Prior period</v>
      </c>
      <c r="R124" s="5" t="str">
        <f aca="false" t="array" ref="R124:R124">_xlfn.XLOOKUP(A124,TRIM(SUBSTITUTE('worker file'!$A$2:$A$406,_xlfn.UNICHAR(160)," ")),'worker file'!$D$2:$D$406,"Not found")</f>
        <v>CA</v>
      </c>
    </row>
    <row r="125" customFormat="false" ht="15" hidden="false" customHeight="false" outlineLevel="0" collapsed="false">
      <c r="A125" s="5" t="s">
        <v>194</v>
      </c>
      <c r="B125" s="6" t="n">
        <v>46300</v>
      </c>
      <c r="C125" s="62" t="n">
        <v>0.251388888888889</v>
      </c>
      <c r="D125" s="62" t="n">
        <v>0.602777777777778</v>
      </c>
      <c r="E125" s="63" t="n">
        <v>0.41875</v>
      </c>
      <c r="F125" s="64" t="n">
        <v>0.439583333333333</v>
      </c>
      <c r="G125" s="65" t="str">
        <f aca="false" t="array" ref="G125:G125">_xlfn.XLOOKUP(A125&amp;"|"&amp;B125,ShiftRoster[Employee ID]&amp;"|"&amp;ShiftRoster[Date],ShiftRoster[Shift Code],_xlfn.XLOOKUP(A125,TRIM(SUBSTITUTE('worker file'!$A$2:$A$406,_xlfn.UNICHAR(160)," ")),'worker file'!$X$2:$X$406,"?"),0,-1)</f>
        <v>DAY</v>
      </c>
      <c r="H125" s="65" t="str">
        <f aca="false">_xlfn.XLOOKUP(G125,ShiftCodes[Code],ShiftCodes[Work Schedule],"Unknown")</f>
        <v>Shift A – Day (Mon–Fri 06:00–14:30)</v>
      </c>
      <c r="I125" s="66" t="n">
        <f aca="false">_xlfn.XLOOKUP(G125,ShiftCodes[Code],ShiftCodes[Start],"")</f>
        <v>0.25</v>
      </c>
      <c r="J125" s="67" t="n">
        <f aca="false">IF(OR(C125="",I125=""),"",ROUND((MOD(C125-I125+0.5,1)-0.5)*1440,0))</f>
        <v>2</v>
      </c>
      <c r="K125" s="65" t="str">
        <f aca="false">IF(J125="","",IF(ABS(J125)&gt;$U$3,"Off-schedule","OK"))</f>
        <v>OK</v>
      </c>
      <c r="L125" s="68"/>
      <c r="M125" s="5" t="str">
        <f aca="false">TEXT(B125,"ddd")</f>
        <v>Mon</v>
      </c>
      <c r="N125" s="69" t="n">
        <f aca="false">IF(OR(C125="",D125=""),"",ROUND((MOD(D125-C125,1)-IF(ISNUMBER(E125),MOD(F125-E125,1),0))*24,2))</f>
        <v>7.93</v>
      </c>
      <c r="O125" s="5" t="s">
        <v>768</v>
      </c>
      <c r="P125" s="6" t="n">
        <v>46300</v>
      </c>
      <c r="Q125" s="5" t="str">
        <f aca="false">IF(B125&lt;$U$1,"Prior period",IF(B125&gt;$U$2,"Future period","Current period"))</f>
        <v>Current period</v>
      </c>
      <c r="R125" s="5" t="str">
        <f aca="false" t="array" ref="R125:R125">_xlfn.XLOOKUP(A125,TRIM(SUBSTITUTE('worker file'!$A$2:$A$406,_xlfn.UNICHAR(160)," ")),'worker file'!$D$2:$D$406,"Not found")</f>
        <v>CA</v>
      </c>
    </row>
    <row r="126" customFormat="false" ht="15" hidden="false" customHeight="false" outlineLevel="0" collapsed="false">
      <c r="A126" s="5" t="s">
        <v>194</v>
      </c>
      <c r="B126" s="6" t="n">
        <v>46301</v>
      </c>
      <c r="C126" s="62" t="n">
        <v>0.248611111111111</v>
      </c>
      <c r="D126" s="62" t="n">
        <v>0.599305555555556</v>
      </c>
      <c r="E126" s="63" t="n">
        <v>0.398611111111111</v>
      </c>
      <c r="F126" s="64" t="n">
        <v>0.419444444444444</v>
      </c>
      <c r="G126" s="65" t="str">
        <f aca="false" t="array" ref="G126:G126">_xlfn.XLOOKUP(A126&amp;"|"&amp;B126,ShiftRoster[Employee ID]&amp;"|"&amp;ShiftRoster[Date],ShiftRoster[Shift Code],_xlfn.XLOOKUP(A126,TRIM(SUBSTITUTE('worker file'!$A$2:$A$406,_xlfn.UNICHAR(160)," ")),'worker file'!$X$2:$X$406,"?"),0,-1)</f>
        <v>DAY</v>
      </c>
      <c r="H126" s="65" t="str">
        <f aca="false">_xlfn.XLOOKUP(G126,ShiftCodes[Code],ShiftCodes[Work Schedule],"Unknown")</f>
        <v>Shift A – Day (Mon–Fri 06:00–14:30)</v>
      </c>
      <c r="I126" s="66" t="n">
        <f aca="false">_xlfn.XLOOKUP(G126,ShiftCodes[Code],ShiftCodes[Start],"")</f>
        <v>0.25</v>
      </c>
      <c r="J126" s="67" t="n">
        <f aca="false">IF(OR(C126="",I126=""),"",ROUND((MOD(C126-I126+0.5,1)-0.5)*1440,0))</f>
        <v>-2</v>
      </c>
      <c r="K126" s="65" t="str">
        <f aca="false">IF(J126="","",IF(ABS(J126)&gt;$U$3,"Off-schedule","OK"))</f>
        <v>OK</v>
      </c>
      <c r="L126" s="68"/>
      <c r="M126" s="5" t="str">
        <f aca="false">TEXT(B126,"ddd")</f>
        <v>Tue</v>
      </c>
      <c r="N126" s="69" t="n">
        <f aca="false">IF(OR(C126="",D126=""),"",ROUND((MOD(D126-C126,1)-IF(ISNUMBER(E126),MOD(F126-E126,1),0))*24,2))</f>
        <v>7.92</v>
      </c>
      <c r="O126" s="5" t="s">
        <v>768</v>
      </c>
      <c r="P126" s="6" t="n">
        <v>46301</v>
      </c>
      <c r="Q126" s="5" t="str">
        <f aca="false">IF(B126&lt;$U$1,"Prior period",IF(B126&gt;$U$2,"Future period","Current period"))</f>
        <v>Current period</v>
      </c>
      <c r="R126" s="5" t="str">
        <f aca="false" t="array" ref="R126:R126">_xlfn.XLOOKUP(A126,TRIM(SUBSTITUTE('worker file'!$A$2:$A$406,_xlfn.UNICHAR(160)," ")),'worker file'!$D$2:$D$406,"Not found")</f>
        <v>CA</v>
      </c>
    </row>
    <row r="127" customFormat="false" ht="15" hidden="false" customHeight="false" outlineLevel="0" collapsed="false">
      <c r="A127" s="5" t="s">
        <v>194</v>
      </c>
      <c r="B127" s="6" t="n">
        <v>46302</v>
      </c>
      <c r="C127" s="62" t="n">
        <v>0.252777777777778</v>
      </c>
      <c r="D127" s="62" t="n">
        <v>0.602777777777778</v>
      </c>
      <c r="E127" s="63" t="n">
        <v>0.404166666666667</v>
      </c>
      <c r="F127" s="64" t="n">
        <v>0.425</v>
      </c>
      <c r="G127" s="65" t="str">
        <f aca="false" t="array" ref="G127:G127">_xlfn.XLOOKUP(A127&amp;"|"&amp;B127,ShiftRoster[Employee ID]&amp;"|"&amp;ShiftRoster[Date],ShiftRoster[Shift Code],_xlfn.XLOOKUP(A127,TRIM(SUBSTITUTE('worker file'!$A$2:$A$406,_xlfn.UNICHAR(160)," ")),'worker file'!$X$2:$X$406,"?"),0,-1)</f>
        <v>DAY</v>
      </c>
      <c r="H127" s="65" t="str">
        <f aca="false">_xlfn.XLOOKUP(G127,ShiftCodes[Code],ShiftCodes[Work Schedule],"Unknown")</f>
        <v>Shift A – Day (Mon–Fri 06:00–14:30)</v>
      </c>
      <c r="I127" s="66" t="n">
        <f aca="false">_xlfn.XLOOKUP(G127,ShiftCodes[Code],ShiftCodes[Start],"")</f>
        <v>0.25</v>
      </c>
      <c r="J127" s="67" t="n">
        <f aca="false">IF(OR(C127="",I127=""),"",ROUND((MOD(C127-I127+0.5,1)-0.5)*1440,0))</f>
        <v>4</v>
      </c>
      <c r="K127" s="65" t="str">
        <f aca="false">IF(J127="","",IF(ABS(J127)&gt;$U$3,"Off-schedule","OK"))</f>
        <v>OK</v>
      </c>
      <c r="L127" s="68"/>
      <c r="M127" s="5" t="str">
        <f aca="false">TEXT(B127,"ddd")</f>
        <v>Wed</v>
      </c>
      <c r="N127" s="69" t="n">
        <f aca="false">IF(OR(C127="",D127=""),"",ROUND((MOD(D127-C127,1)-IF(ISNUMBER(E127),MOD(F127-E127,1),0))*24,2))</f>
        <v>7.9</v>
      </c>
      <c r="O127" s="5" t="s">
        <v>768</v>
      </c>
      <c r="P127" s="6" t="n">
        <v>46302</v>
      </c>
      <c r="Q127" s="5" t="str">
        <f aca="false">IF(B127&lt;$U$1,"Prior period",IF(B127&gt;$U$2,"Future period","Current period"))</f>
        <v>Current period</v>
      </c>
      <c r="R127" s="5" t="str">
        <f aca="false" t="array" ref="R127:R127">_xlfn.XLOOKUP(A127,TRIM(SUBSTITUTE('worker file'!$A$2:$A$406,_xlfn.UNICHAR(160)," ")),'worker file'!$D$2:$D$406,"Not found")</f>
        <v>CA</v>
      </c>
    </row>
    <row r="128" customFormat="false" ht="15" hidden="false" customHeight="false" outlineLevel="0" collapsed="false">
      <c r="A128" s="5" t="s">
        <v>194</v>
      </c>
      <c r="B128" s="6" t="n">
        <v>46303</v>
      </c>
      <c r="C128" s="62" t="n">
        <v>0.250694444444444</v>
      </c>
      <c r="D128" s="62" t="n">
        <v>0.600694444444444</v>
      </c>
      <c r="E128" s="63" t="n">
        <v>0.430555555555556</v>
      </c>
      <c r="F128" s="64" t="n">
        <v>0.451388888888889</v>
      </c>
      <c r="G128" s="65" t="str">
        <f aca="false" t="array" ref="G128:G128">_xlfn.XLOOKUP(A128&amp;"|"&amp;B128,ShiftRoster[Employee ID]&amp;"|"&amp;ShiftRoster[Date],ShiftRoster[Shift Code],_xlfn.XLOOKUP(A128,TRIM(SUBSTITUTE('worker file'!$A$2:$A$406,_xlfn.UNICHAR(160)," ")),'worker file'!$X$2:$X$406,"?"),0,-1)</f>
        <v>DAY</v>
      </c>
      <c r="H128" s="65" t="str">
        <f aca="false">_xlfn.XLOOKUP(G128,ShiftCodes[Code],ShiftCodes[Work Schedule],"Unknown")</f>
        <v>Shift A – Day (Mon–Fri 06:00–14:30)</v>
      </c>
      <c r="I128" s="66" t="n">
        <f aca="false">_xlfn.XLOOKUP(G128,ShiftCodes[Code],ShiftCodes[Start],"")</f>
        <v>0.25</v>
      </c>
      <c r="J128" s="67" t="n">
        <f aca="false">IF(OR(C128="",I128=""),"",ROUND((MOD(C128-I128+0.5,1)-0.5)*1440,0))</f>
        <v>1</v>
      </c>
      <c r="K128" s="65" t="str">
        <f aca="false">IF(J128="","",IF(ABS(J128)&gt;$U$3,"Off-schedule","OK"))</f>
        <v>OK</v>
      </c>
      <c r="L128" s="68"/>
      <c r="M128" s="5" t="str">
        <f aca="false">TEXT(B128,"ddd")</f>
        <v>Thu</v>
      </c>
      <c r="N128" s="69" t="n">
        <f aca="false">IF(OR(C128="",D128=""),"",ROUND((MOD(D128-C128,1)-IF(ISNUMBER(E128),MOD(F128-E128,1),0))*24,2))</f>
        <v>7.9</v>
      </c>
      <c r="O128" s="5" t="s">
        <v>768</v>
      </c>
      <c r="P128" s="6" t="n">
        <v>46303</v>
      </c>
      <c r="Q128" s="5" t="str">
        <f aca="false">IF(B128&lt;$U$1,"Prior period",IF(B128&gt;$U$2,"Future period","Current period"))</f>
        <v>Current period</v>
      </c>
      <c r="R128" s="5" t="str">
        <f aca="false" t="array" ref="R128:R128">_xlfn.XLOOKUP(A128,TRIM(SUBSTITUTE('worker file'!$A$2:$A$406,_xlfn.UNICHAR(160)," ")),'worker file'!$D$2:$D$406,"Not found")</f>
        <v>CA</v>
      </c>
    </row>
    <row r="129" customFormat="false" ht="15" hidden="false" customHeight="false" outlineLevel="0" collapsed="false">
      <c r="A129" s="5" t="s">
        <v>194</v>
      </c>
      <c r="B129" s="6" t="n">
        <v>46304</v>
      </c>
      <c r="C129" s="62" t="n">
        <v>0.247222222222222</v>
      </c>
      <c r="D129" s="62" t="n">
        <v>0.597222222222222</v>
      </c>
      <c r="E129" s="63" t="n">
        <v>0.395833333333333</v>
      </c>
      <c r="F129" s="64" t="n">
        <v>0.416666666666667</v>
      </c>
      <c r="G129" s="65" t="str">
        <f aca="false" t="array" ref="G129:G129">_xlfn.XLOOKUP(A129&amp;"|"&amp;B129,ShiftRoster[Employee ID]&amp;"|"&amp;ShiftRoster[Date],ShiftRoster[Shift Code],_xlfn.XLOOKUP(A129,TRIM(SUBSTITUTE('worker file'!$A$2:$A$406,_xlfn.UNICHAR(160)," ")),'worker file'!$X$2:$X$406,"?"),0,-1)</f>
        <v>DAY</v>
      </c>
      <c r="H129" s="65" t="str">
        <f aca="false">_xlfn.XLOOKUP(G129,ShiftCodes[Code],ShiftCodes[Work Schedule],"Unknown")</f>
        <v>Shift A – Day (Mon–Fri 06:00–14:30)</v>
      </c>
      <c r="I129" s="66" t="n">
        <f aca="false">_xlfn.XLOOKUP(G129,ShiftCodes[Code],ShiftCodes[Start],"")</f>
        <v>0.25</v>
      </c>
      <c r="J129" s="67" t="n">
        <f aca="false">IF(OR(C129="",I129=""),"",ROUND((MOD(C129-I129+0.5,1)-0.5)*1440,0))</f>
        <v>-4</v>
      </c>
      <c r="K129" s="65" t="str">
        <f aca="false">IF(J129="","",IF(ABS(J129)&gt;$U$3,"Off-schedule","OK"))</f>
        <v>OK</v>
      </c>
      <c r="L129" s="68"/>
      <c r="M129" s="5" t="str">
        <f aca="false">TEXT(B129,"ddd")</f>
        <v>Fri</v>
      </c>
      <c r="N129" s="69" t="n">
        <f aca="false">IF(OR(C129="",D129=""),"",ROUND((MOD(D129-C129,1)-IF(ISNUMBER(E129),MOD(F129-E129,1),0))*24,2))</f>
        <v>7.9</v>
      </c>
      <c r="O129" s="5" t="s">
        <v>768</v>
      </c>
      <c r="P129" s="6" t="n">
        <v>46304</v>
      </c>
      <c r="Q129" s="5" t="str">
        <f aca="false">IF(B129&lt;$U$1,"Prior period",IF(B129&gt;$U$2,"Future period","Current period"))</f>
        <v>Current period</v>
      </c>
      <c r="R129" s="5" t="str">
        <f aca="false" t="array" ref="R129:R129">_xlfn.XLOOKUP(A129,TRIM(SUBSTITUTE('worker file'!$A$2:$A$406,_xlfn.UNICHAR(160)," ")),'worker file'!$D$2:$D$406,"Not found")</f>
        <v>CA</v>
      </c>
    </row>
    <row r="130" customFormat="false" ht="15" hidden="false" customHeight="false" outlineLevel="0" collapsed="false">
      <c r="A130" s="5" t="s">
        <v>194</v>
      </c>
      <c r="B130" s="6" t="n">
        <v>46307</v>
      </c>
      <c r="C130" s="62" t="n">
        <v>0.245833333333333</v>
      </c>
      <c r="D130" s="62" t="n">
        <v>0.597222222222222</v>
      </c>
      <c r="E130" s="63" t="n">
        <v>0.432638888888889</v>
      </c>
      <c r="F130" s="64" t="n">
        <v>0.453472222222222</v>
      </c>
      <c r="G130" s="65" t="str">
        <f aca="false" t="array" ref="G130:G130">_xlfn.XLOOKUP(A130&amp;"|"&amp;B130,ShiftRoster[Employee ID]&amp;"|"&amp;ShiftRoster[Date],ShiftRoster[Shift Code],_xlfn.XLOOKUP(A130,TRIM(SUBSTITUTE('worker file'!$A$2:$A$406,_xlfn.UNICHAR(160)," ")),'worker file'!$X$2:$X$406,"?"),0,-1)</f>
        <v>DAY</v>
      </c>
      <c r="H130" s="65" t="str">
        <f aca="false">_xlfn.XLOOKUP(G130,ShiftCodes[Code],ShiftCodes[Work Schedule],"Unknown")</f>
        <v>Shift A – Day (Mon–Fri 06:00–14:30)</v>
      </c>
      <c r="I130" s="66" t="n">
        <f aca="false">_xlfn.XLOOKUP(G130,ShiftCodes[Code],ShiftCodes[Start],"")</f>
        <v>0.25</v>
      </c>
      <c r="J130" s="67" t="n">
        <f aca="false">IF(OR(C130="",I130=""),"",ROUND((MOD(C130-I130+0.5,1)-0.5)*1440,0))</f>
        <v>-6</v>
      </c>
      <c r="K130" s="65" t="str">
        <f aca="false">IF(J130="","",IF(ABS(J130)&gt;$U$3,"Off-schedule","OK"))</f>
        <v>OK</v>
      </c>
      <c r="L130" s="68"/>
      <c r="M130" s="5" t="str">
        <f aca="false">TEXT(B130,"ddd")</f>
        <v>Mon</v>
      </c>
      <c r="N130" s="69" t="n">
        <f aca="false">IF(OR(C130="",D130=""),"",ROUND((MOD(D130-C130,1)-IF(ISNUMBER(E130),MOD(F130-E130,1),0))*24,2))</f>
        <v>7.93</v>
      </c>
      <c r="O130" s="5" t="s">
        <v>768</v>
      </c>
      <c r="P130" s="6" t="n">
        <v>46307</v>
      </c>
      <c r="Q130" s="5" t="str">
        <f aca="false">IF(B130&lt;$U$1,"Prior period",IF(B130&gt;$U$2,"Future period","Current period"))</f>
        <v>Current period</v>
      </c>
      <c r="R130" s="5" t="str">
        <f aca="false" t="array" ref="R130:R130">_xlfn.XLOOKUP(A130,TRIM(SUBSTITUTE('worker file'!$A$2:$A$406,_xlfn.UNICHAR(160)," ")),'worker file'!$D$2:$D$406,"Not found")</f>
        <v>CA</v>
      </c>
    </row>
    <row r="131" customFormat="false" ht="15" hidden="false" customHeight="false" outlineLevel="0" collapsed="false">
      <c r="A131" s="5" t="s">
        <v>194</v>
      </c>
      <c r="B131" s="6" t="n">
        <v>46308</v>
      </c>
      <c r="C131" s="62" t="n">
        <v>0.247222222222222</v>
      </c>
      <c r="D131" s="62" t="n">
        <v>0.597222222222222</v>
      </c>
      <c r="E131" s="63" t="n">
        <v>0.411805555555556</v>
      </c>
      <c r="F131" s="64" t="n">
        <v>0.432638888888889</v>
      </c>
      <c r="G131" s="65" t="str">
        <f aca="false" t="array" ref="G131:G131">_xlfn.XLOOKUP(A131&amp;"|"&amp;B131,ShiftRoster[Employee ID]&amp;"|"&amp;ShiftRoster[Date],ShiftRoster[Shift Code],_xlfn.XLOOKUP(A131,TRIM(SUBSTITUTE('worker file'!$A$2:$A$406,_xlfn.UNICHAR(160)," ")),'worker file'!$X$2:$X$406,"?"),0,-1)</f>
        <v>DAY</v>
      </c>
      <c r="H131" s="65" t="str">
        <f aca="false">_xlfn.XLOOKUP(G131,ShiftCodes[Code],ShiftCodes[Work Schedule],"Unknown")</f>
        <v>Shift A – Day (Mon–Fri 06:00–14:30)</v>
      </c>
      <c r="I131" s="66" t="n">
        <f aca="false">_xlfn.XLOOKUP(G131,ShiftCodes[Code],ShiftCodes[Start],"")</f>
        <v>0.25</v>
      </c>
      <c r="J131" s="67" t="n">
        <f aca="false">IF(OR(C131="",I131=""),"",ROUND((MOD(C131-I131+0.5,1)-0.5)*1440,0))</f>
        <v>-4</v>
      </c>
      <c r="K131" s="65" t="str">
        <f aca="false">IF(J131="","",IF(ABS(J131)&gt;$U$3,"Off-schedule","OK"))</f>
        <v>OK</v>
      </c>
      <c r="L131" s="68"/>
      <c r="M131" s="5" t="str">
        <f aca="false">TEXT(B131,"ddd")</f>
        <v>Tue</v>
      </c>
      <c r="N131" s="69" t="n">
        <f aca="false">IF(OR(C131="",D131=""),"",ROUND((MOD(D131-C131,1)-IF(ISNUMBER(E131),MOD(F131-E131,1),0))*24,2))</f>
        <v>7.9</v>
      </c>
      <c r="O131" s="5" t="s">
        <v>768</v>
      </c>
      <c r="P131" s="6" t="n">
        <v>46308</v>
      </c>
      <c r="Q131" s="5" t="str">
        <f aca="false">IF(B131&lt;$U$1,"Prior period",IF(B131&gt;$U$2,"Future period","Current period"))</f>
        <v>Current period</v>
      </c>
      <c r="R131" s="5" t="str">
        <f aca="false" t="array" ref="R131:R131">_xlfn.XLOOKUP(A131,TRIM(SUBSTITUTE('worker file'!$A$2:$A$406,_xlfn.UNICHAR(160)," ")),'worker file'!$D$2:$D$406,"Not found")</f>
        <v>CA</v>
      </c>
    </row>
    <row r="132" customFormat="false" ht="15" hidden="false" customHeight="false" outlineLevel="0" collapsed="false">
      <c r="A132" s="5" t="s">
        <v>194</v>
      </c>
      <c r="B132" s="6" t="n">
        <v>46309</v>
      </c>
      <c r="C132" s="62" t="n">
        <v>0.252083333333333</v>
      </c>
      <c r="D132" s="62" t="n">
        <v>0.602777777777778</v>
      </c>
      <c r="E132" s="63" t="n">
        <v>0.401388888888889</v>
      </c>
      <c r="F132" s="64" t="n">
        <v>0.422222222222222</v>
      </c>
      <c r="G132" s="65" t="str">
        <f aca="false" t="array" ref="G132:G132">_xlfn.XLOOKUP(A132&amp;"|"&amp;B132,ShiftRoster[Employee ID]&amp;"|"&amp;ShiftRoster[Date],ShiftRoster[Shift Code],_xlfn.XLOOKUP(A132,TRIM(SUBSTITUTE('worker file'!$A$2:$A$406,_xlfn.UNICHAR(160)," ")),'worker file'!$X$2:$X$406,"?"),0,-1)</f>
        <v>DAY</v>
      </c>
      <c r="H132" s="65" t="str">
        <f aca="false">_xlfn.XLOOKUP(G132,ShiftCodes[Code],ShiftCodes[Work Schedule],"Unknown")</f>
        <v>Shift A – Day (Mon–Fri 06:00–14:30)</v>
      </c>
      <c r="I132" s="66" t="n">
        <f aca="false">_xlfn.XLOOKUP(G132,ShiftCodes[Code],ShiftCodes[Start],"")</f>
        <v>0.25</v>
      </c>
      <c r="J132" s="67" t="n">
        <f aca="false">IF(OR(C132="",I132=""),"",ROUND((MOD(C132-I132+0.5,1)-0.5)*1440,0))</f>
        <v>3</v>
      </c>
      <c r="K132" s="65" t="str">
        <f aca="false">IF(J132="","",IF(ABS(J132)&gt;$U$3,"Off-schedule","OK"))</f>
        <v>OK</v>
      </c>
      <c r="L132" s="68"/>
      <c r="M132" s="5" t="str">
        <f aca="false">TEXT(B132,"ddd")</f>
        <v>Wed</v>
      </c>
      <c r="N132" s="69" t="n">
        <f aca="false">IF(OR(C132="",D132=""),"",ROUND((MOD(D132-C132,1)-IF(ISNUMBER(E132),MOD(F132-E132,1),0))*24,2))</f>
        <v>7.92</v>
      </c>
      <c r="O132" s="5" t="s">
        <v>768</v>
      </c>
      <c r="P132" s="6" t="n">
        <v>46309</v>
      </c>
      <c r="Q132" s="5" t="str">
        <f aca="false">IF(B132&lt;$U$1,"Prior period",IF(B132&gt;$U$2,"Future period","Current period"))</f>
        <v>Current period</v>
      </c>
      <c r="R132" s="5" t="str">
        <f aca="false" t="array" ref="R132:R132">_xlfn.XLOOKUP(A132,TRIM(SUBSTITUTE('worker file'!$A$2:$A$406,_xlfn.UNICHAR(160)," ")),'worker file'!$D$2:$D$406,"Not found")</f>
        <v>CA</v>
      </c>
    </row>
    <row r="133" customFormat="false" ht="15" hidden="false" customHeight="false" outlineLevel="0" collapsed="false">
      <c r="A133" s="5" t="s">
        <v>194</v>
      </c>
      <c r="B133" s="6" t="n">
        <v>46310</v>
      </c>
      <c r="C133" s="62" t="n">
        <v>0.247916666666667</v>
      </c>
      <c r="D133" s="62" t="n">
        <v>0.596527777777778</v>
      </c>
      <c r="E133" s="63" t="n">
        <v>0.427777777777778</v>
      </c>
      <c r="F133" s="64" t="n">
        <v>0.448611111111111</v>
      </c>
      <c r="G133" s="65" t="str">
        <f aca="false" t="array" ref="G133:G133">_xlfn.XLOOKUP(A133&amp;"|"&amp;B133,ShiftRoster[Employee ID]&amp;"|"&amp;ShiftRoster[Date],ShiftRoster[Shift Code],_xlfn.XLOOKUP(A133,TRIM(SUBSTITUTE('worker file'!$A$2:$A$406,_xlfn.UNICHAR(160)," ")),'worker file'!$X$2:$X$406,"?"),0,-1)</f>
        <v>DAY</v>
      </c>
      <c r="H133" s="65" t="str">
        <f aca="false">_xlfn.XLOOKUP(G133,ShiftCodes[Code],ShiftCodes[Work Schedule],"Unknown")</f>
        <v>Shift A – Day (Mon–Fri 06:00–14:30)</v>
      </c>
      <c r="I133" s="66" t="n">
        <f aca="false">_xlfn.XLOOKUP(G133,ShiftCodes[Code],ShiftCodes[Start],"")</f>
        <v>0.25</v>
      </c>
      <c r="J133" s="67" t="n">
        <f aca="false">IF(OR(C133="",I133=""),"",ROUND((MOD(C133-I133+0.5,1)-0.5)*1440,0))</f>
        <v>-3</v>
      </c>
      <c r="K133" s="65" t="str">
        <f aca="false">IF(J133="","",IF(ABS(J133)&gt;$U$3,"Off-schedule","OK"))</f>
        <v>OK</v>
      </c>
      <c r="L133" s="68"/>
      <c r="M133" s="5" t="str">
        <f aca="false">TEXT(B133,"ddd")</f>
        <v>Thu</v>
      </c>
      <c r="N133" s="69" t="n">
        <f aca="false">IF(OR(C133="",D133=""),"",ROUND((MOD(D133-C133,1)-IF(ISNUMBER(E133),MOD(F133-E133,1),0))*24,2))</f>
        <v>7.87</v>
      </c>
      <c r="O133" s="5" t="s">
        <v>768</v>
      </c>
      <c r="P133" s="6" t="n">
        <v>46310</v>
      </c>
      <c r="Q133" s="5" t="str">
        <f aca="false">IF(B133&lt;$U$1,"Prior period",IF(B133&gt;$U$2,"Future period","Current period"))</f>
        <v>Current period</v>
      </c>
      <c r="R133" s="5" t="str">
        <f aca="false" t="array" ref="R133:R133">_xlfn.XLOOKUP(A133,TRIM(SUBSTITUTE('worker file'!$A$2:$A$406,_xlfn.UNICHAR(160)," ")),'worker file'!$D$2:$D$406,"Not found")</f>
        <v>CA</v>
      </c>
    </row>
    <row r="134" customFormat="false" ht="15" hidden="false" customHeight="false" outlineLevel="0" collapsed="false">
      <c r="A134" s="5" t="s">
        <v>194</v>
      </c>
      <c r="B134" s="6" t="n">
        <v>46311</v>
      </c>
      <c r="C134" s="62" t="n">
        <v>0.25</v>
      </c>
      <c r="D134" s="62" t="n">
        <v>0.602083333333333</v>
      </c>
      <c r="E134" s="63" t="n">
        <v>0.397222222222222</v>
      </c>
      <c r="F134" s="64" t="n">
        <v>0.418055555555556</v>
      </c>
      <c r="G134" s="65" t="str">
        <f aca="false" t="array" ref="G134:G134">_xlfn.XLOOKUP(A134&amp;"|"&amp;B134,ShiftRoster[Employee ID]&amp;"|"&amp;ShiftRoster[Date],ShiftRoster[Shift Code],_xlfn.XLOOKUP(A134,TRIM(SUBSTITUTE('worker file'!$A$2:$A$406,_xlfn.UNICHAR(160)," ")),'worker file'!$X$2:$X$406,"?"),0,-1)</f>
        <v>DAY</v>
      </c>
      <c r="H134" s="65" t="str">
        <f aca="false">_xlfn.XLOOKUP(G134,ShiftCodes[Code],ShiftCodes[Work Schedule],"Unknown")</f>
        <v>Shift A – Day (Mon–Fri 06:00–14:30)</v>
      </c>
      <c r="I134" s="66" t="n">
        <f aca="false">_xlfn.XLOOKUP(G134,ShiftCodes[Code],ShiftCodes[Start],"")</f>
        <v>0.25</v>
      </c>
      <c r="J134" s="67" t="n">
        <f aca="false">IF(OR(C134="",I134=""),"",ROUND((MOD(C134-I134+0.5,1)-0.5)*1440,0))</f>
        <v>0</v>
      </c>
      <c r="K134" s="65" t="str">
        <f aca="false">IF(J134="","",IF(ABS(J134)&gt;$U$3,"Off-schedule","OK"))</f>
        <v>OK</v>
      </c>
      <c r="L134" s="68"/>
      <c r="M134" s="5" t="str">
        <f aca="false">TEXT(B134,"ddd")</f>
        <v>Fri</v>
      </c>
      <c r="N134" s="69" t="n">
        <f aca="false">IF(OR(C134="",D134=""),"",ROUND((MOD(D134-C134,1)-IF(ISNUMBER(E134),MOD(F134-E134,1),0))*24,2))</f>
        <v>7.95</v>
      </c>
      <c r="O134" s="5" t="s">
        <v>768</v>
      </c>
      <c r="P134" s="6" t="n">
        <v>46311</v>
      </c>
      <c r="Q134" s="5" t="str">
        <f aca="false">IF(B134&lt;$U$1,"Prior period",IF(B134&gt;$U$2,"Future period","Current period"))</f>
        <v>Current period</v>
      </c>
      <c r="R134" s="5" t="str">
        <f aca="false" t="array" ref="R134:R134">_xlfn.XLOOKUP(A134,TRIM(SUBSTITUTE('worker file'!$A$2:$A$406,_xlfn.UNICHAR(160)," ")),'worker file'!$D$2:$D$406,"Not found")</f>
        <v>CA</v>
      </c>
    </row>
    <row r="135" customFormat="false" ht="15" hidden="false" customHeight="false" outlineLevel="0" collapsed="false">
      <c r="A135" s="5" t="s">
        <v>196</v>
      </c>
      <c r="B135" s="6" t="n">
        <v>46300</v>
      </c>
      <c r="C135" s="62" t="n">
        <v>0.25</v>
      </c>
      <c r="D135" s="62" t="n">
        <v>0.600694444444444</v>
      </c>
      <c r="E135" s="63" t="n">
        <v>0.41875</v>
      </c>
      <c r="F135" s="64" t="n">
        <v>0.439583333333333</v>
      </c>
      <c r="G135" s="65" t="str">
        <f aca="false" t="array" ref="G135:G135">_xlfn.XLOOKUP(A135&amp;"|"&amp;B135,ShiftRoster[Employee ID]&amp;"|"&amp;ShiftRoster[Date],ShiftRoster[Shift Code],_xlfn.XLOOKUP(A135,TRIM(SUBSTITUTE('worker file'!$A$2:$A$406,_xlfn.UNICHAR(160)," ")),'worker file'!$X$2:$X$406,"?"),0,-1)</f>
        <v>PT</v>
      </c>
      <c r="H135" s="65" t="str">
        <f aca="false">_xlfn.XLOOKUP(G135,ShiftCodes[Code],ShiftCodes[Work Schedule],"Unknown")</f>
        <v>Part-time – Day (Mon/Wed/Fri 06:00–14:30)</v>
      </c>
      <c r="I135" s="66" t="n">
        <f aca="false">_xlfn.XLOOKUP(G135,ShiftCodes[Code],ShiftCodes[Start],"")</f>
        <v>0.25</v>
      </c>
      <c r="J135" s="67" t="n">
        <f aca="false">IF(OR(C135="",I135=""),"",ROUND((MOD(C135-I135+0.5,1)-0.5)*1440,0))</f>
        <v>0</v>
      </c>
      <c r="K135" s="65" t="str">
        <f aca="false">IF(J135="","",IF(ABS(J135)&gt;$U$3,"Off-schedule","OK"))</f>
        <v>OK</v>
      </c>
      <c r="L135" s="68"/>
      <c r="M135" s="5" t="str">
        <f aca="false">TEXT(B135,"ddd")</f>
        <v>Mon</v>
      </c>
      <c r="N135" s="69" t="n">
        <f aca="false">IF(OR(C135="",D135=""),"",ROUND((MOD(D135-C135,1)-IF(ISNUMBER(E135),MOD(F135-E135,1),0))*24,2))</f>
        <v>7.92</v>
      </c>
      <c r="O135" s="5" t="s">
        <v>768</v>
      </c>
      <c r="P135" s="6" t="n">
        <v>46300</v>
      </c>
      <c r="Q135" s="5" t="str">
        <f aca="false">IF(B135&lt;$U$1,"Prior period",IF(B135&gt;$U$2,"Future period","Current period"))</f>
        <v>Current period</v>
      </c>
      <c r="R135" s="5" t="str">
        <f aca="false" t="array" ref="R135:R135">_xlfn.XLOOKUP(A135,TRIM(SUBSTITUTE('worker file'!$A$2:$A$406,_xlfn.UNICHAR(160)," ")),'worker file'!$D$2:$D$406,"Not found")</f>
        <v>TX</v>
      </c>
    </row>
    <row r="136" customFormat="false" ht="15" hidden="false" customHeight="false" outlineLevel="0" collapsed="false">
      <c r="A136" s="5" t="s">
        <v>196</v>
      </c>
      <c r="B136" s="6" t="n">
        <v>46304</v>
      </c>
      <c r="C136" s="62" t="n">
        <v>0.252083333333333</v>
      </c>
      <c r="D136" s="62" t="n">
        <v>0.604861111111111</v>
      </c>
      <c r="E136" s="63" t="n">
        <v>0.419444444444444</v>
      </c>
      <c r="F136" s="64" t="n">
        <v>0.440277777777778</v>
      </c>
      <c r="G136" s="65" t="str">
        <f aca="false" t="array" ref="G136:G136">_xlfn.XLOOKUP(A136&amp;"|"&amp;B136,ShiftRoster[Employee ID]&amp;"|"&amp;ShiftRoster[Date],ShiftRoster[Shift Code],_xlfn.XLOOKUP(A136,TRIM(SUBSTITUTE('worker file'!$A$2:$A$406,_xlfn.UNICHAR(160)," ")),'worker file'!$X$2:$X$406,"?"),0,-1)</f>
        <v>PT</v>
      </c>
      <c r="H136" s="65" t="str">
        <f aca="false">_xlfn.XLOOKUP(G136,ShiftCodes[Code],ShiftCodes[Work Schedule],"Unknown")</f>
        <v>Part-time – Day (Mon/Wed/Fri 06:00–14:30)</v>
      </c>
      <c r="I136" s="66" t="n">
        <f aca="false">_xlfn.XLOOKUP(G136,ShiftCodes[Code],ShiftCodes[Start],"")</f>
        <v>0.25</v>
      </c>
      <c r="J136" s="67" t="n">
        <f aca="false">IF(OR(C136="",I136=""),"",ROUND((MOD(C136-I136+0.5,1)-0.5)*1440,0))</f>
        <v>3</v>
      </c>
      <c r="K136" s="65" t="str">
        <f aca="false">IF(J136="","",IF(ABS(J136)&gt;$U$3,"Off-schedule","OK"))</f>
        <v>OK</v>
      </c>
      <c r="L136" s="68"/>
      <c r="M136" s="5" t="str">
        <f aca="false">TEXT(B136,"ddd")</f>
        <v>Fri</v>
      </c>
      <c r="N136" s="69" t="n">
        <f aca="false">IF(OR(C136="",D136=""),"",ROUND((MOD(D136-C136,1)-IF(ISNUMBER(E136),MOD(F136-E136,1),0))*24,2))</f>
        <v>7.97</v>
      </c>
      <c r="O136" s="5" t="s">
        <v>768</v>
      </c>
      <c r="P136" s="6" t="n">
        <v>46304</v>
      </c>
      <c r="Q136" s="5" t="str">
        <f aca="false">IF(B136&lt;$U$1,"Prior period",IF(B136&gt;$U$2,"Future period","Current period"))</f>
        <v>Current period</v>
      </c>
      <c r="R136" s="5" t="str">
        <f aca="false" t="array" ref="R136:R136">_xlfn.XLOOKUP(A136,TRIM(SUBSTITUTE('worker file'!$A$2:$A$406,_xlfn.UNICHAR(160)," ")),'worker file'!$D$2:$D$406,"Not found")</f>
        <v>TX</v>
      </c>
    </row>
    <row r="137" customFormat="false" ht="15" hidden="false" customHeight="false" outlineLevel="0" collapsed="false">
      <c r="A137" s="5" t="s">
        <v>196</v>
      </c>
      <c r="B137" s="6" t="n">
        <v>46307</v>
      </c>
      <c r="C137" s="62" t="n">
        <v>0.247916666666667</v>
      </c>
      <c r="D137" s="62" t="n">
        <v>0.414583333333333</v>
      </c>
      <c r="E137" s="63"/>
      <c r="F137" s="64"/>
      <c r="G137" s="65" t="str">
        <f aca="false" t="array" ref="G137:G137">_xlfn.XLOOKUP(A137&amp;"|"&amp;B137,ShiftRoster[Employee ID]&amp;"|"&amp;ShiftRoster[Date],ShiftRoster[Shift Code],_xlfn.XLOOKUP(A137,TRIM(SUBSTITUTE('worker file'!$A$2:$A$406,_xlfn.UNICHAR(160)," ")),'worker file'!$X$2:$X$406,"?"),0,-1)</f>
        <v>PT</v>
      </c>
      <c r="H137" s="65" t="str">
        <f aca="false">_xlfn.XLOOKUP(G137,ShiftCodes[Code],ShiftCodes[Work Schedule],"Unknown")</f>
        <v>Part-time – Day (Mon/Wed/Fri 06:00–14:30)</v>
      </c>
      <c r="I137" s="66" t="n">
        <f aca="false">_xlfn.XLOOKUP(G137,ShiftCodes[Code],ShiftCodes[Start],"")</f>
        <v>0.25</v>
      </c>
      <c r="J137" s="67" t="n">
        <f aca="false">IF(OR(C137="",I137=""),"",ROUND((MOD(C137-I137+0.5,1)-0.5)*1440,0))</f>
        <v>-3</v>
      </c>
      <c r="K137" s="65" t="str">
        <f aca="false">IF(J137="","",IF(ABS(J137)&gt;$U$3,"Off-schedule","OK"))</f>
        <v>OK</v>
      </c>
      <c r="L137" s="68" t="s">
        <v>785</v>
      </c>
      <c r="M137" s="5" t="str">
        <f aca="false">TEXT(B137,"ddd")</f>
        <v>Mon</v>
      </c>
      <c r="N137" s="69" t="n">
        <f aca="false">IF(OR(C137="",D137=""),"",ROUND((MOD(D137-C137,1)-IF(ISNUMBER(E137),MOD(F137-E137,1),0))*24,2))</f>
        <v>4</v>
      </c>
      <c r="O137" s="5" t="s">
        <v>768</v>
      </c>
      <c r="P137" s="6" t="n">
        <v>46307</v>
      </c>
      <c r="Q137" s="5" t="str">
        <f aca="false">IF(B137&lt;$U$1,"Prior period",IF(B137&gt;$U$2,"Future period","Current period"))</f>
        <v>Current period</v>
      </c>
      <c r="R137" s="5" t="str">
        <f aca="false" t="array" ref="R137:R137">_xlfn.XLOOKUP(A137,TRIM(SUBSTITUTE('worker file'!$A$2:$A$406,_xlfn.UNICHAR(160)," ")),'worker file'!$D$2:$D$406,"Not found")</f>
        <v>TX</v>
      </c>
    </row>
    <row r="138" customFormat="false" ht="15" hidden="false" customHeight="false" outlineLevel="0" collapsed="false">
      <c r="A138" s="5" t="s">
        <v>196</v>
      </c>
      <c r="B138" s="6" t="n">
        <v>46309</v>
      </c>
      <c r="C138" s="62" t="n">
        <v>0.247916666666667</v>
      </c>
      <c r="D138" s="62" t="n">
        <v>0.604166666666667</v>
      </c>
      <c r="E138" s="63" t="n">
        <v>0.415972222222222</v>
      </c>
      <c r="F138" s="64" t="n">
        <v>0.436805555555556</v>
      </c>
      <c r="G138" s="65" t="str">
        <f aca="false" t="array" ref="G138:G138">_xlfn.XLOOKUP(A138&amp;"|"&amp;B138,ShiftRoster[Employee ID]&amp;"|"&amp;ShiftRoster[Date],ShiftRoster[Shift Code],_xlfn.XLOOKUP(A138,TRIM(SUBSTITUTE('worker file'!$A$2:$A$406,_xlfn.UNICHAR(160)," ")),'worker file'!$X$2:$X$406,"?"),0,-1)</f>
        <v>PT</v>
      </c>
      <c r="H138" s="65" t="str">
        <f aca="false">_xlfn.XLOOKUP(G138,ShiftCodes[Code],ShiftCodes[Work Schedule],"Unknown")</f>
        <v>Part-time – Day (Mon/Wed/Fri 06:00–14:30)</v>
      </c>
      <c r="I138" s="66" t="n">
        <f aca="false">_xlfn.XLOOKUP(G138,ShiftCodes[Code],ShiftCodes[Start],"")</f>
        <v>0.25</v>
      </c>
      <c r="J138" s="67" t="n">
        <f aca="false">IF(OR(C138="",I138=""),"",ROUND((MOD(C138-I138+0.5,1)-0.5)*1440,0))</f>
        <v>-3</v>
      </c>
      <c r="K138" s="65" t="str">
        <f aca="false">IF(J138="","",IF(ABS(J138)&gt;$U$3,"Off-schedule","OK"))</f>
        <v>OK</v>
      </c>
      <c r="L138" s="68"/>
      <c r="M138" s="5" t="str">
        <f aca="false">TEXT(B138,"ddd")</f>
        <v>Wed</v>
      </c>
      <c r="N138" s="69" t="n">
        <f aca="false">IF(OR(C138="",D138=""),"",ROUND((MOD(D138-C138,1)-IF(ISNUMBER(E138),MOD(F138-E138,1),0))*24,2))</f>
        <v>8.05</v>
      </c>
      <c r="O138" s="5" t="s">
        <v>768</v>
      </c>
      <c r="P138" s="6" t="n">
        <v>46309</v>
      </c>
      <c r="Q138" s="5" t="str">
        <f aca="false">IF(B138&lt;$U$1,"Prior period",IF(B138&gt;$U$2,"Future period","Current period"))</f>
        <v>Current period</v>
      </c>
      <c r="R138" s="5" t="str">
        <f aca="false" t="array" ref="R138:R138">_xlfn.XLOOKUP(A138,TRIM(SUBSTITUTE('worker file'!$A$2:$A$406,_xlfn.UNICHAR(160)," ")),'worker file'!$D$2:$D$406,"Not found")</f>
        <v>TX</v>
      </c>
    </row>
    <row r="139" customFormat="false" ht="15" hidden="false" customHeight="false" outlineLevel="0" collapsed="false">
      <c r="A139" s="5" t="s">
        <v>196</v>
      </c>
      <c r="B139" s="6" t="n">
        <v>46311</v>
      </c>
      <c r="C139" s="62" t="n">
        <v>0.246527777777778</v>
      </c>
      <c r="D139" s="62" t="n">
        <v>0.601388888888889</v>
      </c>
      <c r="E139" s="63" t="n">
        <v>0.415972222222222</v>
      </c>
      <c r="F139" s="64" t="n">
        <v>0.436805555555556</v>
      </c>
      <c r="G139" s="65" t="str">
        <f aca="false" t="array" ref="G139:G139">_xlfn.XLOOKUP(A139&amp;"|"&amp;B139,ShiftRoster[Employee ID]&amp;"|"&amp;ShiftRoster[Date],ShiftRoster[Shift Code],_xlfn.XLOOKUP(A139,TRIM(SUBSTITUTE('worker file'!$A$2:$A$406,_xlfn.UNICHAR(160)," ")),'worker file'!$X$2:$X$406,"?"),0,-1)</f>
        <v>PT</v>
      </c>
      <c r="H139" s="65" t="str">
        <f aca="false">_xlfn.XLOOKUP(G139,ShiftCodes[Code],ShiftCodes[Work Schedule],"Unknown")</f>
        <v>Part-time – Day (Mon/Wed/Fri 06:00–14:30)</v>
      </c>
      <c r="I139" s="66" t="n">
        <f aca="false">_xlfn.XLOOKUP(G139,ShiftCodes[Code],ShiftCodes[Start],"")</f>
        <v>0.25</v>
      </c>
      <c r="J139" s="67" t="n">
        <f aca="false">IF(OR(C139="",I139=""),"",ROUND((MOD(C139-I139+0.5,1)-0.5)*1440,0))</f>
        <v>-5</v>
      </c>
      <c r="K139" s="65" t="str">
        <f aca="false">IF(J139="","",IF(ABS(J139)&gt;$U$3,"Off-schedule","OK"))</f>
        <v>OK</v>
      </c>
      <c r="L139" s="68"/>
      <c r="M139" s="5" t="str">
        <f aca="false">TEXT(B139,"ddd")</f>
        <v>Fri</v>
      </c>
      <c r="N139" s="69" t="n">
        <f aca="false">IF(OR(C139="",D139=""),"",ROUND((MOD(D139-C139,1)-IF(ISNUMBER(E139),MOD(F139-E139,1),0))*24,2))</f>
        <v>8.02</v>
      </c>
      <c r="O139" s="5" t="s">
        <v>768</v>
      </c>
      <c r="P139" s="6" t="n">
        <v>46311</v>
      </c>
      <c r="Q139" s="5" t="str">
        <f aca="false">IF(B139&lt;$U$1,"Prior period",IF(B139&gt;$U$2,"Future period","Current period"))</f>
        <v>Current period</v>
      </c>
      <c r="R139" s="5" t="str">
        <f aca="false" t="array" ref="R139:R139">_xlfn.XLOOKUP(A139,TRIM(SUBSTITUTE('worker file'!$A$2:$A$406,_xlfn.UNICHAR(160)," ")),'worker file'!$D$2:$D$406,"Not found")</f>
        <v>TX</v>
      </c>
    </row>
    <row r="140" customFormat="false" ht="15" hidden="false" customHeight="false" outlineLevel="0" collapsed="false">
      <c r="A140" s="5" t="s">
        <v>197</v>
      </c>
      <c r="B140" s="6" t="n">
        <v>46300</v>
      </c>
      <c r="C140" s="62" t="n">
        <v>0.580555555555556</v>
      </c>
      <c r="D140" s="62" t="n">
        <v>0.934722222222222</v>
      </c>
      <c r="E140" s="63" t="n">
        <v>0.75</v>
      </c>
      <c r="F140" s="64" t="n">
        <v>0.770833333333333</v>
      </c>
      <c r="G140" s="65" t="str">
        <f aca="false" t="array" ref="G140:G140">_xlfn.XLOOKUP(A140&amp;"|"&amp;B140,ShiftRoster[Employee ID]&amp;"|"&amp;ShiftRoster[Date],ShiftRoster[Shift Code],_xlfn.XLOOKUP(A140,TRIM(SUBSTITUTE('worker file'!$A$2:$A$406,_xlfn.UNICHAR(160)," ")),'worker file'!$X$2:$X$406,"?"),0,-1)</f>
        <v>SWNG</v>
      </c>
      <c r="H140" s="65" t="str">
        <f aca="false">_xlfn.XLOOKUP(G140,ShiftCodes[Code],ShiftCodes[Work Schedule],"Unknown")</f>
        <v>Shift B – Swing (Mon–Fri 14:00–22:30)</v>
      </c>
      <c r="I140" s="66" t="n">
        <f aca="false">_xlfn.XLOOKUP(G140,ShiftCodes[Code],ShiftCodes[Start],"")</f>
        <v>0.583333333333333</v>
      </c>
      <c r="J140" s="67" t="n">
        <f aca="false">IF(OR(C140="",I140=""),"",ROUND((MOD(C140-I140+0.5,1)-0.5)*1440,0))</f>
        <v>-4</v>
      </c>
      <c r="K140" s="65" t="str">
        <f aca="false">IF(J140="","",IF(ABS(J140)&gt;$U$3,"Off-schedule","OK"))</f>
        <v>OK</v>
      </c>
      <c r="L140" s="68"/>
      <c r="M140" s="5" t="str">
        <f aca="false">TEXT(B140,"ddd")</f>
        <v>Mon</v>
      </c>
      <c r="N140" s="69" t="n">
        <f aca="false">IF(OR(C140="",D140=""),"",ROUND((MOD(D140-C140,1)-IF(ISNUMBER(E140),MOD(F140-E140,1),0))*24,2))</f>
        <v>8</v>
      </c>
      <c r="O140" s="5" t="s">
        <v>768</v>
      </c>
      <c r="P140" s="6" t="n">
        <v>46300</v>
      </c>
      <c r="Q140" s="5" t="str">
        <f aca="false">IF(B140&lt;$U$1,"Prior period",IF(B140&gt;$U$2,"Future period","Current period"))</f>
        <v>Current period</v>
      </c>
      <c r="R140" s="5" t="str">
        <f aca="false" t="array" ref="R140:R140">_xlfn.XLOOKUP(A140,TRIM(SUBSTITUTE('worker file'!$A$2:$A$406,_xlfn.UNICHAR(160)," ")),'worker file'!$D$2:$D$406,"Not found")</f>
        <v>CA</v>
      </c>
    </row>
    <row r="141" customFormat="false" ht="15" hidden="false" customHeight="false" outlineLevel="0" collapsed="false">
      <c r="A141" s="5" t="s">
        <v>197</v>
      </c>
      <c r="B141" s="6" t="n">
        <v>46301</v>
      </c>
      <c r="C141" s="62" t="n">
        <v>0.584027777777778</v>
      </c>
      <c r="D141" s="62" t="n">
        <v>0.935416666666667</v>
      </c>
      <c r="E141" s="63" t="n">
        <v>0.736805555555556</v>
      </c>
      <c r="F141" s="64" t="n">
        <v>0.757638888888889</v>
      </c>
      <c r="G141" s="65" t="str">
        <f aca="false" t="array" ref="G141:G141">_xlfn.XLOOKUP(A141&amp;"|"&amp;B141,ShiftRoster[Employee ID]&amp;"|"&amp;ShiftRoster[Date],ShiftRoster[Shift Code],_xlfn.XLOOKUP(A141,TRIM(SUBSTITUTE('worker file'!$A$2:$A$406,_xlfn.UNICHAR(160)," ")),'worker file'!$X$2:$X$406,"?"),0,-1)</f>
        <v>SWNG</v>
      </c>
      <c r="H141" s="65" t="str">
        <f aca="false">_xlfn.XLOOKUP(G141,ShiftCodes[Code],ShiftCodes[Work Schedule],"Unknown")</f>
        <v>Shift B – Swing (Mon–Fri 14:00–22:30)</v>
      </c>
      <c r="I141" s="66" t="n">
        <f aca="false">_xlfn.XLOOKUP(G141,ShiftCodes[Code],ShiftCodes[Start],"")</f>
        <v>0.583333333333333</v>
      </c>
      <c r="J141" s="67" t="n">
        <f aca="false">IF(OR(C141="",I141=""),"",ROUND((MOD(C141-I141+0.5,1)-0.5)*1440,0))</f>
        <v>1</v>
      </c>
      <c r="K141" s="65" t="str">
        <f aca="false">IF(J141="","",IF(ABS(J141)&gt;$U$3,"Off-schedule","OK"))</f>
        <v>OK</v>
      </c>
      <c r="L141" s="68"/>
      <c r="M141" s="5" t="str">
        <f aca="false">TEXT(B141,"ddd")</f>
        <v>Tue</v>
      </c>
      <c r="N141" s="69" t="n">
        <f aca="false">IF(OR(C141="",D141=""),"",ROUND((MOD(D141-C141,1)-IF(ISNUMBER(E141),MOD(F141-E141,1),0))*24,2))</f>
        <v>7.93</v>
      </c>
      <c r="O141" s="5" t="s">
        <v>768</v>
      </c>
      <c r="P141" s="6" t="n">
        <v>46301</v>
      </c>
      <c r="Q141" s="5" t="str">
        <f aca="false">IF(B141&lt;$U$1,"Prior period",IF(B141&gt;$U$2,"Future period","Current period"))</f>
        <v>Current period</v>
      </c>
      <c r="R141" s="5" t="str">
        <f aca="false" t="array" ref="R141:R141">_xlfn.XLOOKUP(A141,TRIM(SUBSTITUTE('worker file'!$A$2:$A$406,_xlfn.UNICHAR(160)," ")),'worker file'!$D$2:$D$406,"Not found")</f>
        <v>CA</v>
      </c>
    </row>
    <row r="142" customFormat="false" ht="15" hidden="false" customHeight="false" outlineLevel="0" collapsed="false">
      <c r="A142" s="5" t="s">
        <v>197</v>
      </c>
      <c r="B142" s="6" t="n">
        <v>46302</v>
      </c>
      <c r="C142" s="62" t="n">
        <v>0.579166666666667</v>
      </c>
      <c r="D142" s="62" t="n">
        <v>0.93125</v>
      </c>
      <c r="E142" s="63" t="n">
        <v>0.739583333333333</v>
      </c>
      <c r="F142" s="64" t="n">
        <v>0.760416666666667</v>
      </c>
      <c r="G142" s="65" t="str">
        <f aca="false" t="array" ref="G142:G142">_xlfn.XLOOKUP(A142&amp;"|"&amp;B142,ShiftRoster[Employee ID]&amp;"|"&amp;ShiftRoster[Date],ShiftRoster[Shift Code],_xlfn.XLOOKUP(A142,TRIM(SUBSTITUTE('worker file'!$A$2:$A$406,_xlfn.UNICHAR(160)," ")),'worker file'!$X$2:$X$406,"?"),0,-1)</f>
        <v>SWNG</v>
      </c>
      <c r="H142" s="65" t="str">
        <f aca="false">_xlfn.XLOOKUP(G142,ShiftCodes[Code],ShiftCodes[Work Schedule],"Unknown")</f>
        <v>Shift B – Swing (Mon–Fri 14:00–22:30)</v>
      </c>
      <c r="I142" s="66" t="n">
        <f aca="false">_xlfn.XLOOKUP(G142,ShiftCodes[Code],ShiftCodes[Start],"")</f>
        <v>0.583333333333333</v>
      </c>
      <c r="J142" s="67" t="n">
        <f aca="false">IF(OR(C142="",I142=""),"",ROUND((MOD(C142-I142+0.5,1)-0.5)*1440,0))</f>
        <v>-6</v>
      </c>
      <c r="K142" s="65" t="str">
        <f aca="false">IF(J142="","",IF(ABS(J142)&gt;$U$3,"Off-schedule","OK"))</f>
        <v>OK</v>
      </c>
      <c r="L142" s="68"/>
      <c r="M142" s="5" t="str">
        <f aca="false">TEXT(B142,"ddd")</f>
        <v>Wed</v>
      </c>
      <c r="N142" s="69" t="n">
        <f aca="false">IF(OR(C142="",D142=""),"",ROUND((MOD(D142-C142,1)-IF(ISNUMBER(E142),MOD(F142-E142,1),0))*24,2))</f>
        <v>7.95</v>
      </c>
      <c r="O142" s="5" t="s">
        <v>768</v>
      </c>
      <c r="P142" s="6" t="n">
        <v>46302</v>
      </c>
      <c r="Q142" s="5" t="str">
        <f aca="false">IF(B142&lt;$U$1,"Prior period",IF(B142&gt;$U$2,"Future period","Current period"))</f>
        <v>Current period</v>
      </c>
      <c r="R142" s="5" t="str">
        <f aca="false" t="array" ref="R142:R142">_xlfn.XLOOKUP(A142,TRIM(SUBSTITUTE('worker file'!$A$2:$A$406,_xlfn.UNICHAR(160)," ")),'worker file'!$D$2:$D$406,"Not found")</f>
        <v>CA</v>
      </c>
    </row>
    <row r="143" customFormat="false" ht="15" hidden="false" customHeight="false" outlineLevel="0" collapsed="false">
      <c r="A143" s="5" t="s">
        <v>197</v>
      </c>
      <c r="B143" s="6" t="n">
        <v>46303</v>
      </c>
      <c r="C143" s="62" t="n">
        <v>0.584722222222222</v>
      </c>
      <c r="D143" s="62" t="n">
        <v>0.9125</v>
      </c>
      <c r="E143" s="63" t="s">
        <v>774</v>
      </c>
      <c r="F143" s="64" t="s">
        <v>774</v>
      </c>
      <c r="G143" s="65" t="str">
        <f aca="false" t="array" ref="G143:G143">_xlfn.XLOOKUP(A143&amp;"|"&amp;B143,ShiftRoster[Employee ID]&amp;"|"&amp;ShiftRoster[Date],ShiftRoster[Shift Code],_xlfn.XLOOKUP(A143,TRIM(SUBSTITUTE('worker file'!$A$2:$A$406,_xlfn.UNICHAR(160)," ")),'worker file'!$X$2:$X$406,"?"),0,-1)</f>
        <v>SWNG</v>
      </c>
      <c r="H143" s="65" t="str">
        <f aca="false">_xlfn.XLOOKUP(G143,ShiftCodes[Code],ShiftCodes[Work Schedule],"Unknown")</f>
        <v>Shift B – Swing (Mon–Fri 14:00–22:30)</v>
      </c>
      <c r="I143" s="66" t="n">
        <f aca="false">_xlfn.XLOOKUP(G143,ShiftCodes[Code],ShiftCodes[Start],"")</f>
        <v>0.583333333333333</v>
      </c>
      <c r="J143" s="67" t="n">
        <f aca="false">IF(OR(C143="",I143=""),"",ROUND((MOD(C143-I143+0.5,1)-0.5)*1440,0))</f>
        <v>2</v>
      </c>
      <c r="K143" s="65" t="str">
        <f aca="false">IF(J143="","",IF(ABS(J143)&gt;$U$3,"Off-schedule","OK"))</f>
        <v>OK</v>
      </c>
      <c r="L143" s="68" t="s">
        <v>775</v>
      </c>
      <c r="M143" s="5" t="str">
        <f aca="false">TEXT(B143,"ddd")</f>
        <v>Thu</v>
      </c>
      <c r="N143" s="69" t="n">
        <f aca="false">IF(OR(C143="",D143=""),"",ROUND((MOD(D143-C143,1)-IF(ISNUMBER(E143),MOD(F143-E143,1),0))*24,2))</f>
        <v>7.87</v>
      </c>
      <c r="O143" s="5" t="s">
        <v>768</v>
      </c>
      <c r="P143" s="6" t="n">
        <v>46303</v>
      </c>
      <c r="Q143" s="5" t="str">
        <f aca="false">IF(B143&lt;$U$1,"Prior period",IF(B143&gt;$U$2,"Future period","Current period"))</f>
        <v>Current period</v>
      </c>
      <c r="R143" s="5" t="str">
        <f aca="false" t="array" ref="R143:R143">_xlfn.XLOOKUP(A143,TRIM(SUBSTITUTE('worker file'!$A$2:$A$406,_xlfn.UNICHAR(160)," ")),'worker file'!$D$2:$D$406,"Not found")</f>
        <v>CA</v>
      </c>
    </row>
    <row r="144" customFormat="false" ht="15" hidden="false" customHeight="false" outlineLevel="0" collapsed="false">
      <c r="A144" s="5" t="s">
        <v>197</v>
      </c>
      <c r="B144" s="6" t="n">
        <v>46304</v>
      </c>
      <c r="C144" s="62" t="n">
        <v>0.583333333333333</v>
      </c>
      <c r="D144" s="62" t="n">
        <v>0.932638888888889</v>
      </c>
      <c r="E144" s="63" t="n">
        <v>0.734027777777778</v>
      </c>
      <c r="F144" s="64" t="n">
        <v>0.754861111111111</v>
      </c>
      <c r="G144" s="65" t="str">
        <f aca="false" t="array" ref="G144:G144">_xlfn.XLOOKUP(A144&amp;"|"&amp;B144,ShiftRoster[Employee ID]&amp;"|"&amp;ShiftRoster[Date],ShiftRoster[Shift Code],_xlfn.XLOOKUP(A144,TRIM(SUBSTITUTE('worker file'!$A$2:$A$406,_xlfn.UNICHAR(160)," ")),'worker file'!$X$2:$X$406,"?"),0,-1)</f>
        <v>SWNG</v>
      </c>
      <c r="H144" s="65" t="str">
        <f aca="false">_xlfn.XLOOKUP(G144,ShiftCodes[Code],ShiftCodes[Work Schedule],"Unknown")</f>
        <v>Shift B – Swing (Mon–Fri 14:00–22:30)</v>
      </c>
      <c r="I144" s="66" t="n">
        <f aca="false">_xlfn.XLOOKUP(G144,ShiftCodes[Code],ShiftCodes[Start],"")</f>
        <v>0.583333333333333</v>
      </c>
      <c r="J144" s="67" t="n">
        <f aca="false">IF(OR(C144="",I144=""),"",ROUND((MOD(C144-I144+0.5,1)-0.5)*1440,0))</f>
        <v>0</v>
      </c>
      <c r="K144" s="65" t="str">
        <f aca="false">IF(J144="","",IF(ABS(J144)&gt;$U$3,"Off-schedule","OK"))</f>
        <v>OK</v>
      </c>
      <c r="L144" s="68"/>
      <c r="M144" s="5" t="str">
        <f aca="false">TEXT(B144,"ddd")</f>
        <v>Fri</v>
      </c>
      <c r="N144" s="69" t="n">
        <f aca="false">IF(OR(C144="",D144=""),"",ROUND((MOD(D144-C144,1)-IF(ISNUMBER(E144),MOD(F144-E144,1),0))*24,2))</f>
        <v>7.88</v>
      </c>
      <c r="O144" s="5" t="s">
        <v>768</v>
      </c>
      <c r="P144" s="6" t="n">
        <v>46304</v>
      </c>
      <c r="Q144" s="5" t="str">
        <f aca="false">IF(B144&lt;$U$1,"Prior period",IF(B144&gt;$U$2,"Future period","Current period"))</f>
        <v>Current period</v>
      </c>
      <c r="R144" s="5" t="str">
        <f aca="false" t="array" ref="R144:R144">_xlfn.XLOOKUP(A144,TRIM(SUBSTITUTE('worker file'!$A$2:$A$406,_xlfn.UNICHAR(160)," ")),'worker file'!$D$2:$D$406,"Not found")</f>
        <v>CA</v>
      </c>
    </row>
    <row r="145" customFormat="false" ht="15" hidden="false" customHeight="false" outlineLevel="0" collapsed="false">
      <c r="A145" s="5" t="s">
        <v>197</v>
      </c>
      <c r="B145" s="6" t="n">
        <v>46307</v>
      </c>
      <c r="C145" s="62" t="n">
        <v>0.586111111111111</v>
      </c>
      <c r="D145" s="62" t="n">
        <v>0.938194444444444</v>
      </c>
      <c r="E145" s="63" t="n">
        <v>0.771527777777778</v>
      </c>
      <c r="F145" s="64" t="n">
        <v>0.792361111111111</v>
      </c>
      <c r="G145" s="65" t="str">
        <f aca="false" t="array" ref="G145:G145">_xlfn.XLOOKUP(A145&amp;"|"&amp;B145,ShiftRoster[Employee ID]&amp;"|"&amp;ShiftRoster[Date],ShiftRoster[Shift Code],_xlfn.XLOOKUP(A145,TRIM(SUBSTITUTE('worker file'!$A$2:$A$406,_xlfn.UNICHAR(160)," ")),'worker file'!$X$2:$X$406,"?"),0,-1)</f>
        <v>SWNG</v>
      </c>
      <c r="H145" s="65" t="str">
        <f aca="false">_xlfn.XLOOKUP(G145,ShiftCodes[Code],ShiftCodes[Work Schedule],"Unknown")</f>
        <v>Shift B – Swing (Mon–Fri 14:00–22:30)</v>
      </c>
      <c r="I145" s="66" t="n">
        <f aca="false">_xlfn.XLOOKUP(G145,ShiftCodes[Code],ShiftCodes[Start],"")</f>
        <v>0.583333333333333</v>
      </c>
      <c r="J145" s="67" t="n">
        <f aca="false">IF(OR(C145="",I145=""),"",ROUND((MOD(C145-I145+0.5,1)-0.5)*1440,0))</f>
        <v>4</v>
      </c>
      <c r="K145" s="65" t="str">
        <f aca="false">IF(J145="","",IF(ABS(J145)&gt;$U$3,"Off-schedule","OK"))</f>
        <v>OK</v>
      </c>
      <c r="L145" s="68"/>
      <c r="M145" s="5" t="str">
        <f aca="false">TEXT(B145,"ddd")</f>
        <v>Mon</v>
      </c>
      <c r="N145" s="69" t="n">
        <f aca="false">IF(OR(C145="",D145=""),"",ROUND((MOD(D145-C145,1)-IF(ISNUMBER(E145),MOD(F145-E145,1),0))*24,2))</f>
        <v>7.95</v>
      </c>
      <c r="O145" s="5" t="s">
        <v>768</v>
      </c>
      <c r="P145" s="6" t="n">
        <v>46307</v>
      </c>
      <c r="Q145" s="5" t="str">
        <f aca="false">IF(B145&lt;$U$1,"Prior period",IF(B145&gt;$U$2,"Future period","Current period"))</f>
        <v>Current period</v>
      </c>
      <c r="R145" s="5" t="str">
        <f aca="false" t="array" ref="R145:R145">_xlfn.XLOOKUP(A145,TRIM(SUBSTITUTE('worker file'!$A$2:$A$406,_xlfn.UNICHAR(160)," ")),'worker file'!$D$2:$D$406,"Not found")</f>
        <v>CA</v>
      </c>
    </row>
    <row r="146" customFormat="false" ht="15" hidden="false" customHeight="false" outlineLevel="0" collapsed="false">
      <c r="A146" s="5" t="s">
        <v>197</v>
      </c>
      <c r="B146" s="6" t="n">
        <v>46308</v>
      </c>
      <c r="C146" s="62" t="n">
        <v>0.580555555555556</v>
      </c>
      <c r="D146" s="62" t="n">
        <v>0.934027777777778</v>
      </c>
      <c r="E146" s="63" t="n">
        <v>0.736111111111111</v>
      </c>
      <c r="F146" s="64" t="n">
        <v>0.756944444444444</v>
      </c>
      <c r="G146" s="65" t="str">
        <f aca="false" t="array" ref="G146:G146">_xlfn.XLOOKUP(A146&amp;"|"&amp;B146,ShiftRoster[Employee ID]&amp;"|"&amp;ShiftRoster[Date],ShiftRoster[Shift Code],_xlfn.XLOOKUP(A146,TRIM(SUBSTITUTE('worker file'!$A$2:$A$406,_xlfn.UNICHAR(160)," ")),'worker file'!$X$2:$X$406,"?"),0,-1)</f>
        <v>SWNG</v>
      </c>
      <c r="H146" s="65" t="str">
        <f aca="false">_xlfn.XLOOKUP(G146,ShiftCodes[Code],ShiftCodes[Work Schedule],"Unknown")</f>
        <v>Shift B – Swing (Mon–Fri 14:00–22:30)</v>
      </c>
      <c r="I146" s="66" t="n">
        <f aca="false">_xlfn.XLOOKUP(G146,ShiftCodes[Code],ShiftCodes[Start],"")</f>
        <v>0.583333333333333</v>
      </c>
      <c r="J146" s="67" t="n">
        <f aca="false">IF(OR(C146="",I146=""),"",ROUND((MOD(C146-I146+0.5,1)-0.5)*1440,0))</f>
        <v>-4</v>
      </c>
      <c r="K146" s="65" t="str">
        <f aca="false">IF(J146="","",IF(ABS(J146)&gt;$U$3,"Off-schedule","OK"))</f>
        <v>OK</v>
      </c>
      <c r="L146" s="68"/>
      <c r="M146" s="5" t="str">
        <f aca="false">TEXT(B146,"ddd")</f>
        <v>Tue</v>
      </c>
      <c r="N146" s="69" t="n">
        <f aca="false">IF(OR(C146="",D146=""),"",ROUND((MOD(D146-C146,1)-IF(ISNUMBER(E146),MOD(F146-E146,1),0))*24,2))</f>
        <v>7.98</v>
      </c>
      <c r="O146" s="5" t="s">
        <v>768</v>
      </c>
      <c r="P146" s="6" t="n">
        <v>46308</v>
      </c>
      <c r="Q146" s="5" t="str">
        <f aca="false">IF(B146&lt;$U$1,"Prior period",IF(B146&gt;$U$2,"Future period","Current period"))</f>
        <v>Current period</v>
      </c>
      <c r="R146" s="5" t="str">
        <f aca="false" t="array" ref="R146:R146">_xlfn.XLOOKUP(A146,TRIM(SUBSTITUTE('worker file'!$A$2:$A$406,_xlfn.UNICHAR(160)," ")),'worker file'!$D$2:$D$406,"Not found")</f>
        <v>CA</v>
      </c>
    </row>
    <row r="147" customFormat="false" ht="15" hidden="false" customHeight="false" outlineLevel="0" collapsed="false">
      <c r="A147" s="5" t="s">
        <v>197</v>
      </c>
      <c r="B147" s="6" t="n">
        <v>46309</v>
      </c>
      <c r="C147" s="62" t="n">
        <v>0.579861111111111</v>
      </c>
      <c r="D147" s="62" t="n">
        <v>0.928472222222222</v>
      </c>
      <c r="E147" s="63" t="n">
        <v>0.765277777777778</v>
      </c>
      <c r="F147" s="64" t="n">
        <v>0.786111111111111</v>
      </c>
      <c r="G147" s="65" t="str">
        <f aca="false" t="array" ref="G147:G147">_xlfn.XLOOKUP(A147&amp;"|"&amp;B147,ShiftRoster[Employee ID]&amp;"|"&amp;ShiftRoster[Date],ShiftRoster[Shift Code],_xlfn.XLOOKUP(A147,TRIM(SUBSTITUTE('worker file'!$A$2:$A$406,_xlfn.UNICHAR(160)," ")),'worker file'!$X$2:$X$406,"?"),0,-1)</f>
        <v>SWNG</v>
      </c>
      <c r="H147" s="65" t="str">
        <f aca="false">_xlfn.XLOOKUP(G147,ShiftCodes[Code],ShiftCodes[Work Schedule],"Unknown")</f>
        <v>Shift B – Swing (Mon–Fri 14:00–22:30)</v>
      </c>
      <c r="I147" s="66" t="n">
        <f aca="false">_xlfn.XLOOKUP(G147,ShiftCodes[Code],ShiftCodes[Start],"")</f>
        <v>0.583333333333333</v>
      </c>
      <c r="J147" s="67" t="n">
        <f aca="false">IF(OR(C147="",I147=""),"",ROUND((MOD(C147-I147+0.5,1)-0.5)*1440,0))</f>
        <v>-5</v>
      </c>
      <c r="K147" s="65" t="str">
        <f aca="false">IF(J147="","",IF(ABS(J147)&gt;$U$3,"Off-schedule","OK"))</f>
        <v>OK</v>
      </c>
      <c r="L147" s="68"/>
      <c r="M147" s="5" t="str">
        <f aca="false">TEXT(B147,"ddd")</f>
        <v>Wed</v>
      </c>
      <c r="N147" s="69" t="n">
        <f aca="false">IF(OR(C147="",D147=""),"",ROUND((MOD(D147-C147,1)-IF(ISNUMBER(E147),MOD(F147-E147,1),0))*24,2))</f>
        <v>7.87</v>
      </c>
      <c r="O147" s="5" t="s">
        <v>768</v>
      </c>
      <c r="P147" s="6" t="n">
        <v>46309</v>
      </c>
      <c r="Q147" s="5" t="str">
        <f aca="false">IF(B147&lt;$U$1,"Prior period",IF(B147&gt;$U$2,"Future period","Current period"))</f>
        <v>Current period</v>
      </c>
      <c r="R147" s="5" t="str">
        <f aca="false" t="array" ref="R147:R147">_xlfn.XLOOKUP(A147,TRIM(SUBSTITUTE('worker file'!$A$2:$A$406,_xlfn.UNICHAR(160)," ")),'worker file'!$D$2:$D$406,"Not found")</f>
        <v>CA</v>
      </c>
    </row>
    <row r="148" customFormat="false" ht="15" hidden="false" customHeight="false" outlineLevel="0" collapsed="false">
      <c r="A148" s="5" t="s">
        <v>197</v>
      </c>
      <c r="B148" s="6" t="n">
        <v>46310</v>
      </c>
      <c r="C148" s="62" t="n">
        <v>0.581944444444445</v>
      </c>
      <c r="D148" s="62" t="n">
        <v>0.931944444444445</v>
      </c>
      <c r="E148" s="63" t="n">
        <v>0.743055555555556</v>
      </c>
      <c r="F148" s="64" t="n">
        <v>0.763888888888889</v>
      </c>
      <c r="G148" s="65" t="str">
        <f aca="false" t="array" ref="G148:G148">_xlfn.XLOOKUP(A148&amp;"|"&amp;B148,ShiftRoster[Employee ID]&amp;"|"&amp;ShiftRoster[Date],ShiftRoster[Shift Code],_xlfn.XLOOKUP(A148,TRIM(SUBSTITUTE('worker file'!$A$2:$A$406,_xlfn.UNICHAR(160)," ")),'worker file'!$X$2:$X$406,"?"),0,-1)</f>
        <v>SWNG</v>
      </c>
      <c r="H148" s="65" t="str">
        <f aca="false">_xlfn.XLOOKUP(G148,ShiftCodes[Code],ShiftCodes[Work Schedule],"Unknown")</f>
        <v>Shift B – Swing (Mon–Fri 14:00–22:30)</v>
      </c>
      <c r="I148" s="66" t="n">
        <f aca="false">_xlfn.XLOOKUP(G148,ShiftCodes[Code],ShiftCodes[Start],"")</f>
        <v>0.583333333333333</v>
      </c>
      <c r="J148" s="67" t="n">
        <f aca="false">IF(OR(C148="",I148=""),"",ROUND((MOD(C148-I148+0.5,1)-0.5)*1440,0))</f>
        <v>-2</v>
      </c>
      <c r="K148" s="65" t="str">
        <f aca="false">IF(J148="","",IF(ABS(J148)&gt;$U$3,"Off-schedule","OK"))</f>
        <v>OK</v>
      </c>
      <c r="L148" s="68"/>
      <c r="M148" s="5" t="str">
        <f aca="false">TEXT(B148,"ddd")</f>
        <v>Thu</v>
      </c>
      <c r="N148" s="69" t="n">
        <f aca="false">IF(OR(C148="",D148=""),"",ROUND((MOD(D148-C148,1)-IF(ISNUMBER(E148),MOD(F148-E148,1),0))*24,2))</f>
        <v>7.9</v>
      </c>
      <c r="O148" s="5" t="s">
        <v>768</v>
      </c>
      <c r="P148" s="6" t="n">
        <v>46310</v>
      </c>
      <c r="Q148" s="5" t="str">
        <f aca="false">IF(B148&lt;$U$1,"Prior period",IF(B148&gt;$U$2,"Future period","Current period"))</f>
        <v>Current period</v>
      </c>
      <c r="R148" s="5" t="str">
        <f aca="false" t="array" ref="R148:R148">_xlfn.XLOOKUP(A148,TRIM(SUBSTITUTE('worker file'!$A$2:$A$406,_xlfn.UNICHAR(160)," ")),'worker file'!$D$2:$D$406,"Not found")</f>
        <v>CA</v>
      </c>
    </row>
    <row r="149" customFormat="false" ht="15" hidden="false" customHeight="false" outlineLevel="0" collapsed="false">
      <c r="A149" s="5" t="s">
        <v>197</v>
      </c>
      <c r="B149" s="6" t="n">
        <v>46311</v>
      </c>
      <c r="C149" s="62" t="n">
        <v>0.579861111111111</v>
      </c>
      <c r="D149" s="62" t="n">
        <v>0.93125</v>
      </c>
      <c r="E149" s="63" t="n">
        <v>0.739583333333333</v>
      </c>
      <c r="F149" s="64" t="n">
        <v>0.760416666666667</v>
      </c>
      <c r="G149" s="65" t="str">
        <f aca="false" t="array" ref="G149:G149">_xlfn.XLOOKUP(A149&amp;"|"&amp;B149,ShiftRoster[Employee ID]&amp;"|"&amp;ShiftRoster[Date],ShiftRoster[Shift Code],_xlfn.XLOOKUP(A149,TRIM(SUBSTITUTE('worker file'!$A$2:$A$406,_xlfn.UNICHAR(160)," ")),'worker file'!$X$2:$X$406,"?"),0,-1)</f>
        <v>SWNG</v>
      </c>
      <c r="H149" s="65" t="str">
        <f aca="false">_xlfn.XLOOKUP(G149,ShiftCodes[Code],ShiftCodes[Work Schedule],"Unknown")</f>
        <v>Shift B – Swing (Mon–Fri 14:00–22:30)</v>
      </c>
      <c r="I149" s="66" t="n">
        <f aca="false">_xlfn.XLOOKUP(G149,ShiftCodes[Code],ShiftCodes[Start],"")</f>
        <v>0.583333333333333</v>
      </c>
      <c r="J149" s="67" t="n">
        <f aca="false">IF(OR(C149="",I149=""),"",ROUND((MOD(C149-I149+0.5,1)-0.5)*1440,0))</f>
        <v>-5</v>
      </c>
      <c r="K149" s="65" t="str">
        <f aca="false">IF(J149="","",IF(ABS(J149)&gt;$U$3,"Off-schedule","OK"))</f>
        <v>OK</v>
      </c>
      <c r="L149" s="68"/>
      <c r="M149" s="5" t="str">
        <f aca="false">TEXT(B149,"ddd")</f>
        <v>Fri</v>
      </c>
      <c r="N149" s="69" t="n">
        <f aca="false">IF(OR(C149="",D149=""),"",ROUND((MOD(D149-C149,1)-IF(ISNUMBER(E149),MOD(F149-E149,1),0))*24,2))</f>
        <v>7.93</v>
      </c>
      <c r="O149" s="5" t="s">
        <v>768</v>
      </c>
      <c r="P149" s="6" t="n">
        <v>46311</v>
      </c>
      <c r="Q149" s="5" t="str">
        <f aca="false">IF(B149&lt;$U$1,"Prior period",IF(B149&gt;$U$2,"Future period","Current period"))</f>
        <v>Current period</v>
      </c>
      <c r="R149" s="5" t="str">
        <f aca="false" t="array" ref="R149:R149">_xlfn.XLOOKUP(A149,TRIM(SUBSTITUTE('worker file'!$A$2:$A$406,_xlfn.UNICHAR(160)," ")),'worker file'!$D$2:$D$406,"Not found")</f>
        <v>CA</v>
      </c>
    </row>
    <row r="150" customFormat="false" ht="15" hidden="false" customHeight="false" outlineLevel="0" collapsed="false">
      <c r="A150" s="5" t="s">
        <v>201</v>
      </c>
      <c r="B150" s="6" t="n">
        <v>46300</v>
      </c>
      <c r="C150" s="62" t="n">
        <v>0.251388888888889</v>
      </c>
      <c r="D150" s="62" t="n">
        <v>0.603472222222222</v>
      </c>
      <c r="E150" s="63" t="n">
        <v>0.43125</v>
      </c>
      <c r="F150" s="64" t="n">
        <v>0.452083333333333</v>
      </c>
      <c r="G150" s="65" t="str">
        <f aca="false" t="array" ref="G150:G150">_xlfn.XLOOKUP(A150&amp;"|"&amp;B150,ShiftRoster[Employee ID]&amp;"|"&amp;ShiftRoster[Date],ShiftRoster[Shift Code],_xlfn.XLOOKUP(A150,TRIM(SUBSTITUTE('worker file'!$A$2:$A$406,_xlfn.UNICHAR(160)," ")),'worker file'!$X$2:$X$406,"?"),0,-1)</f>
        <v>DAY</v>
      </c>
      <c r="H150" s="65" t="str">
        <f aca="false">_xlfn.XLOOKUP(G150,ShiftCodes[Code],ShiftCodes[Work Schedule],"Unknown")</f>
        <v>Shift A – Day (Mon–Fri 06:00–14:30)</v>
      </c>
      <c r="I150" s="66" t="n">
        <f aca="false">_xlfn.XLOOKUP(G150,ShiftCodes[Code],ShiftCodes[Start],"")</f>
        <v>0.25</v>
      </c>
      <c r="J150" s="67" t="n">
        <f aca="false">IF(OR(C150="",I150=""),"",ROUND((MOD(C150-I150+0.5,1)-0.5)*1440,0))</f>
        <v>2</v>
      </c>
      <c r="K150" s="65" t="str">
        <f aca="false">IF(J150="","",IF(ABS(J150)&gt;$U$3,"Off-schedule","OK"))</f>
        <v>OK</v>
      </c>
      <c r="L150" s="68"/>
      <c r="M150" s="5" t="str">
        <f aca="false">TEXT(B150,"ddd")</f>
        <v>Mon</v>
      </c>
      <c r="N150" s="69" t="n">
        <f aca="false">IF(OR(C150="",D150=""),"",ROUND((MOD(D150-C150,1)-IF(ISNUMBER(E150),MOD(F150-E150,1),0))*24,2))</f>
        <v>7.95</v>
      </c>
      <c r="O150" s="5" t="s">
        <v>768</v>
      </c>
      <c r="P150" s="6" t="n">
        <v>46300</v>
      </c>
      <c r="Q150" s="5" t="str">
        <f aca="false">IF(B150&lt;$U$1,"Prior period",IF(B150&gt;$U$2,"Future period","Current period"))</f>
        <v>Current period</v>
      </c>
      <c r="R150" s="5" t="str">
        <f aca="false" t="array" ref="R150:R150">_xlfn.XLOOKUP(A150,TRIM(SUBSTITUTE('worker file'!$A$2:$A$406,_xlfn.UNICHAR(160)," ")),'worker file'!$D$2:$D$406,"Not found")</f>
        <v>CA</v>
      </c>
    </row>
    <row r="151" customFormat="false" ht="15" hidden="false" customHeight="false" outlineLevel="0" collapsed="false">
      <c r="A151" s="5" t="s">
        <v>201</v>
      </c>
      <c r="B151" s="6" t="n">
        <v>46301</v>
      </c>
      <c r="C151" s="62" t="n">
        <v>0.250694444444444</v>
      </c>
      <c r="D151" s="62" t="n">
        <v>0.599305555555556</v>
      </c>
      <c r="E151" s="63" t="n">
        <v>0.427083333333333</v>
      </c>
      <c r="F151" s="64" t="n">
        <v>0.447916666666667</v>
      </c>
      <c r="G151" s="65" t="str">
        <f aca="false" t="array" ref="G151:G151">_xlfn.XLOOKUP(A151&amp;"|"&amp;B151,ShiftRoster[Employee ID]&amp;"|"&amp;ShiftRoster[Date],ShiftRoster[Shift Code],_xlfn.XLOOKUP(A151,TRIM(SUBSTITUTE('worker file'!$A$2:$A$406,_xlfn.UNICHAR(160)," ")),'worker file'!$X$2:$X$406,"?"),0,-1)</f>
        <v>DAY</v>
      </c>
      <c r="H151" s="65" t="str">
        <f aca="false">_xlfn.XLOOKUP(G151,ShiftCodes[Code],ShiftCodes[Work Schedule],"Unknown")</f>
        <v>Shift A – Day (Mon–Fri 06:00–14:30)</v>
      </c>
      <c r="I151" s="66" t="n">
        <f aca="false">_xlfn.XLOOKUP(G151,ShiftCodes[Code],ShiftCodes[Start],"")</f>
        <v>0.25</v>
      </c>
      <c r="J151" s="67" t="n">
        <f aca="false">IF(OR(C151="",I151=""),"",ROUND((MOD(C151-I151+0.5,1)-0.5)*1440,0))</f>
        <v>1</v>
      </c>
      <c r="K151" s="65" t="str">
        <f aca="false">IF(J151="","",IF(ABS(J151)&gt;$U$3,"Off-schedule","OK"))</f>
        <v>OK</v>
      </c>
      <c r="L151" s="68"/>
      <c r="M151" s="5" t="str">
        <f aca="false">TEXT(B151,"ddd")</f>
        <v>Tue</v>
      </c>
      <c r="N151" s="69" t="n">
        <f aca="false">IF(OR(C151="",D151=""),"",ROUND((MOD(D151-C151,1)-IF(ISNUMBER(E151),MOD(F151-E151,1),0))*24,2))</f>
        <v>7.87</v>
      </c>
      <c r="O151" s="5" t="s">
        <v>768</v>
      </c>
      <c r="P151" s="6" t="n">
        <v>46301</v>
      </c>
      <c r="Q151" s="5" t="str">
        <f aca="false">IF(B151&lt;$U$1,"Prior period",IF(B151&gt;$U$2,"Future period","Current period"))</f>
        <v>Current period</v>
      </c>
      <c r="R151" s="5" t="str">
        <f aca="false" t="array" ref="R151:R151">_xlfn.XLOOKUP(A151,TRIM(SUBSTITUTE('worker file'!$A$2:$A$406,_xlfn.UNICHAR(160)," ")),'worker file'!$D$2:$D$406,"Not found")</f>
        <v>CA</v>
      </c>
    </row>
    <row r="152" customFormat="false" ht="15" hidden="false" customHeight="false" outlineLevel="0" collapsed="false">
      <c r="A152" s="5" t="s">
        <v>201</v>
      </c>
      <c r="B152" s="6" t="n">
        <v>46302</v>
      </c>
      <c r="C152" s="62" t="n">
        <v>0.248611111111111</v>
      </c>
      <c r="D152" s="62" t="n">
        <v>0.602083333333333</v>
      </c>
      <c r="E152" s="63" t="n">
        <v>0.406944444444444</v>
      </c>
      <c r="F152" s="64" t="n">
        <v>0.427777777777778</v>
      </c>
      <c r="G152" s="65" t="str">
        <f aca="false" t="array" ref="G152:G152">_xlfn.XLOOKUP(A152&amp;"|"&amp;B152,ShiftRoster[Employee ID]&amp;"|"&amp;ShiftRoster[Date],ShiftRoster[Shift Code],_xlfn.XLOOKUP(A152,TRIM(SUBSTITUTE('worker file'!$A$2:$A$406,_xlfn.UNICHAR(160)," ")),'worker file'!$X$2:$X$406,"?"),0,-1)</f>
        <v>DAY</v>
      </c>
      <c r="H152" s="65" t="str">
        <f aca="false">_xlfn.XLOOKUP(G152,ShiftCodes[Code],ShiftCodes[Work Schedule],"Unknown")</f>
        <v>Shift A – Day (Mon–Fri 06:00–14:30)</v>
      </c>
      <c r="I152" s="66" t="n">
        <f aca="false">_xlfn.XLOOKUP(G152,ShiftCodes[Code],ShiftCodes[Start],"")</f>
        <v>0.25</v>
      </c>
      <c r="J152" s="67" t="n">
        <f aca="false">IF(OR(C152="",I152=""),"",ROUND((MOD(C152-I152+0.5,1)-0.5)*1440,0))</f>
        <v>-2</v>
      </c>
      <c r="K152" s="65" t="str">
        <f aca="false">IF(J152="","",IF(ABS(J152)&gt;$U$3,"Off-schedule","OK"))</f>
        <v>OK</v>
      </c>
      <c r="L152" s="68"/>
      <c r="M152" s="5" t="str">
        <f aca="false">TEXT(B152,"ddd")</f>
        <v>Wed</v>
      </c>
      <c r="N152" s="69" t="n">
        <f aca="false">IF(OR(C152="",D152=""),"",ROUND((MOD(D152-C152,1)-IF(ISNUMBER(E152),MOD(F152-E152,1),0))*24,2))</f>
        <v>7.98</v>
      </c>
      <c r="O152" s="5" t="s">
        <v>768</v>
      </c>
      <c r="P152" s="6" t="n">
        <v>46302</v>
      </c>
      <c r="Q152" s="5" t="str">
        <f aca="false">IF(B152&lt;$U$1,"Prior period",IF(B152&gt;$U$2,"Future period","Current period"))</f>
        <v>Current period</v>
      </c>
      <c r="R152" s="5" t="str">
        <f aca="false" t="array" ref="R152:R152">_xlfn.XLOOKUP(A152,TRIM(SUBSTITUTE('worker file'!$A$2:$A$406,_xlfn.UNICHAR(160)," ")),'worker file'!$D$2:$D$406,"Not found")</f>
        <v>CA</v>
      </c>
    </row>
    <row r="153" customFormat="false" ht="15" hidden="false" customHeight="false" outlineLevel="0" collapsed="false">
      <c r="A153" s="5" t="s">
        <v>201</v>
      </c>
      <c r="B153" s="6" t="n">
        <v>46303</v>
      </c>
      <c r="C153" s="62" t="n">
        <v>0.246527777777778</v>
      </c>
      <c r="D153" s="62" t="n">
        <v>0.6</v>
      </c>
      <c r="E153" s="63" t="n">
        <v>0.392361111111111</v>
      </c>
      <c r="F153" s="64" t="n">
        <v>0.413194444444444</v>
      </c>
      <c r="G153" s="65" t="str">
        <f aca="false" t="array" ref="G153:G153">_xlfn.XLOOKUP(A153&amp;"|"&amp;B153,ShiftRoster[Employee ID]&amp;"|"&amp;ShiftRoster[Date],ShiftRoster[Shift Code],_xlfn.XLOOKUP(A153,TRIM(SUBSTITUTE('worker file'!$A$2:$A$406,_xlfn.UNICHAR(160)," ")),'worker file'!$X$2:$X$406,"?"),0,-1)</f>
        <v>DAY</v>
      </c>
      <c r="H153" s="65" t="str">
        <f aca="false">_xlfn.XLOOKUP(G153,ShiftCodes[Code],ShiftCodes[Work Schedule],"Unknown")</f>
        <v>Shift A – Day (Mon–Fri 06:00–14:30)</v>
      </c>
      <c r="I153" s="66" t="n">
        <f aca="false">_xlfn.XLOOKUP(G153,ShiftCodes[Code],ShiftCodes[Start],"")</f>
        <v>0.25</v>
      </c>
      <c r="J153" s="67" t="n">
        <f aca="false">IF(OR(C153="",I153=""),"",ROUND((MOD(C153-I153+0.5,1)-0.5)*1440,0))</f>
        <v>-5</v>
      </c>
      <c r="K153" s="65" t="str">
        <f aca="false">IF(J153="","",IF(ABS(J153)&gt;$U$3,"Off-schedule","OK"))</f>
        <v>OK</v>
      </c>
      <c r="L153" s="68"/>
      <c r="M153" s="5" t="str">
        <f aca="false">TEXT(B153,"ddd")</f>
        <v>Thu</v>
      </c>
      <c r="N153" s="69" t="n">
        <f aca="false">IF(OR(C153="",D153=""),"",ROUND((MOD(D153-C153,1)-IF(ISNUMBER(E153),MOD(F153-E153,1),0))*24,2))</f>
        <v>7.98</v>
      </c>
      <c r="O153" s="5" t="s">
        <v>768</v>
      </c>
      <c r="P153" s="6" t="n">
        <v>46303</v>
      </c>
      <c r="Q153" s="5" t="str">
        <f aca="false">IF(B153&lt;$U$1,"Prior period",IF(B153&gt;$U$2,"Future period","Current period"))</f>
        <v>Current period</v>
      </c>
      <c r="R153" s="5" t="str">
        <f aca="false" t="array" ref="R153:R153">_xlfn.XLOOKUP(A153,TRIM(SUBSTITUTE('worker file'!$A$2:$A$406,_xlfn.UNICHAR(160)," ")),'worker file'!$D$2:$D$406,"Not found")</f>
        <v>CA</v>
      </c>
    </row>
    <row r="154" customFormat="false" ht="15" hidden="false" customHeight="false" outlineLevel="0" collapsed="false">
      <c r="A154" s="5" t="s">
        <v>201</v>
      </c>
      <c r="B154" s="6" t="n">
        <v>46303</v>
      </c>
      <c r="C154" s="62" t="n">
        <v>0.246527777777778</v>
      </c>
      <c r="D154" s="62" t="n">
        <v>0.6</v>
      </c>
      <c r="E154" s="63" t="n">
        <v>0.392361111111111</v>
      </c>
      <c r="F154" s="64" t="n">
        <v>0.413194444444444</v>
      </c>
      <c r="G154" s="65" t="str">
        <f aca="false" t="array" ref="G154:G154">_xlfn.XLOOKUP(A154&amp;"|"&amp;B154,ShiftRoster[Employee ID]&amp;"|"&amp;ShiftRoster[Date],ShiftRoster[Shift Code],_xlfn.XLOOKUP(A154,TRIM(SUBSTITUTE('worker file'!$A$2:$A$406,_xlfn.UNICHAR(160)," ")),'worker file'!$X$2:$X$406,"?"),0,-1)</f>
        <v>DAY</v>
      </c>
      <c r="H154" s="65" t="str">
        <f aca="false">_xlfn.XLOOKUP(G154,ShiftCodes[Code],ShiftCodes[Work Schedule],"Unknown")</f>
        <v>Shift A – Day (Mon–Fri 06:00–14:30)</v>
      </c>
      <c r="I154" s="66" t="n">
        <f aca="false">_xlfn.XLOOKUP(G154,ShiftCodes[Code],ShiftCodes[Start],"")</f>
        <v>0.25</v>
      </c>
      <c r="J154" s="67" t="n">
        <f aca="false">IF(OR(C154="",I154=""),"",ROUND((MOD(C154-I154+0.5,1)-0.5)*1440,0))</f>
        <v>-5</v>
      </c>
      <c r="K154" s="65" t="str">
        <f aca="false">IF(J154="","",IF(ABS(J154)&gt;$U$3,"Off-schedule","OK"))</f>
        <v>OK</v>
      </c>
      <c r="L154" s="68" t="s">
        <v>786</v>
      </c>
      <c r="M154" s="5" t="str">
        <f aca="false">TEXT(B154,"ddd")</f>
        <v>Thu</v>
      </c>
      <c r="N154" s="69" t="n">
        <f aca="false">IF(OR(C154="",D154=""),"",ROUND((MOD(D154-C154,1)-IF(ISNUMBER(E154),MOD(F154-E154,1),0))*24,2))</f>
        <v>7.98</v>
      </c>
      <c r="O154" s="5" t="s">
        <v>768</v>
      </c>
      <c r="P154" s="6" t="n">
        <v>46303</v>
      </c>
      <c r="Q154" s="5" t="str">
        <f aca="false">IF(B154&lt;$U$1,"Prior period",IF(B154&gt;$U$2,"Future period","Current period"))</f>
        <v>Current period</v>
      </c>
      <c r="R154" s="5" t="str">
        <f aca="false" t="array" ref="R154:R154">_xlfn.XLOOKUP(A154,TRIM(SUBSTITUTE('worker file'!$A$2:$A$406,_xlfn.UNICHAR(160)," ")),'worker file'!$D$2:$D$406,"Not found")</f>
        <v>CA</v>
      </c>
    </row>
    <row r="155" customFormat="false" ht="15" hidden="false" customHeight="false" outlineLevel="0" collapsed="false">
      <c r="A155" s="5" t="s">
        <v>201</v>
      </c>
      <c r="B155" s="6" t="n">
        <v>46304</v>
      </c>
      <c r="C155" s="62" t="n">
        <v>0.245833333333333</v>
      </c>
      <c r="D155" s="62" t="n">
        <v>0.599305555555556</v>
      </c>
      <c r="E155" s="63" t="n">
        <v>0.39375</v>
      </c>
      <c r="F155" s="64" t="n">
        <v>0.414583333333333</v>
      </c>
      <c r="G155" s="65" t="str">
        <f aca="false" t="array" ref="G155:G155">_xlfn.XLOOKUP(A155&amp;"|"&amp;B155,ShiftRoster[Employee ID]&amp;"|"&amp;ShiftRoster[Date],ShiftRoster[Shift Code],_xlfn.XLOOKUP(A155,TRIM(SUBSTITUTE('worker file'!$A$2:$A$406,_xlfn.UNICHAR(160)," ")),'worker file'!$X$2:$X$406,"?"),0,-1)</f>
        <v>DAY</v>
      </c>
      <c r="H155" s="65" t="str">
        <f aca="false">_xlfn.XLOOKUP(G155,ShiftCodes[Code],ShiftCodes[Work Schedule],"Unknown")</f>
        <v>Shift A – Day (Mon–Fri 06:00–14:30)</v>
      </c>
      <c r="I155" s="66" t="n">
        <f aca="false">_xlfn.XLOOKUP(G155,ShiftCodes[Code],ShiftCodes[Start],"")</f>
        <v>0.25</v>
      </c>
      <c r="J155" s="67" t="n">
        <f aca="false">IF(OR(C155="",I155=""),"",ROUND((MOD(C155-I155+0.5,1)-0.5)*1440,0))</f>
        <v>-6</v>
      </c>
      <c r="K155" s="65" t="str">
        <f aca="false">IF(J155="","",IF(ABS(J155)&gt;$U$3,"Off-schedule","OK"))</f>
        <v>OK</v>
      </c>
      <c r="L155" s="68"/>
      <c r="M155" s="5" t="str">
        <f aca="false">TEXT(B155,"ddd")</f>
        <v>Fri</v>
      </c>
      <c r="N155" s="69" t="n">
        <f aca="false">IF(OR(C155="",D155=""),"",ROUND((MOD(D155-C155,1)-IF(ISNUMBER(E155),MOD(F155-E155,1),0))*24,2))</f>
        <v>7.98</v>
      </c>
      <c r="O155" s="5" t="s">
        <v>768</v>
      </c>
      <c r="P155" s="6" t="n">
        <v>46304</v>
      </c>
      <c r="Q155" s="5" t="str">
        <f aca="false">IF(B155&lt;$U$1,"Prior period",IF(B155&gt;$U$2,"Future period","Current period"))</f>
        <v>Current period</v>
      </c>
      <c r="R155" s="5" t="str">
        <f aca="false" t="array" ref="R155:R155">_xlfn.XLOOKUP(A155,TRIM(SUBSTITUTE('worker file'!$A$2:$A$406,_xlfn.UNICHAR(160)," ")),'worker file'!$D$2:$D$406,"Not found")</f>
        <v>CA</v>
      </c>
    </row>
    <row r="156" customFormat="false" ht="15" hidden="false" customHeight="false" outlineLevel="0" collapsed="false">
      <c r="A156" s="5" t="s">
        <v>201</v>
      </c>
      <c r="B156" s="6" t="n">
        <v>46307</v>
      </c>
      <c r="C156" s="62" t="n">
        <v>0.250694444444444</v>
      </c>
      <c r="D156" s="62" t="n">
        <v>0.602083333333333</v>
      </c>
      <c r="E156" s="63" t="n">
        <v>0.404861111111111</v>
      </c>
      <c r="F156" s="64" t="n">
        <v>0.425694444444444</v>
      </c>
      <c r="G156" s="65" t="str">
        <f aca="false" t="array" ref="G156:G156">_xlfn.XLOOKUP(A156&amp;"|"&amp;B156,ShiftRoster[Employee ID]&amp;"|"&amp;ShiftRoster[Date],ShiftRoster[Shift Code],_xlfn.XLOOKUP(A156,TRIM(SUBSTITUTE('worker file'!$A$2:$A$406,_xlfn.UNICHAR(160)," ")),'worker file'!$X$2:$X$406,"?"),0,-1)</f>
        <v>DAY</v>
      </c>
      <c r="H156" s="65" t="str">
        <f aca="false">_xlfn.XLOOKUP(G156,ShiftCodes[Code],ShiftCodes[Work Schedule],"Unknown")</f>
        <v>Shift A – Day (Mon–Fri 06:00–14:30)</v>
      </c>
      <c r="I156" s="66" t="n">
        <f aca="false">_xlfn.XLOOKUP(G156,ShiftCodes[Code],ShiftCodes[Start],"")</f>
        <v>0.25</v>
      </c>
      <c r="J156" s="67" t="n">
        <f aca="false">IF(OR(C156="",I156=""),"",ROUND((MOD(C156-I156+0.5,1)-0.5)*1440,0))</f>
        <v>1</v>
      </c>
      <c r="K156" s="65" t="str">
        <f aca="false">IF(J156="","",IF(ABS(J156)&gt;$U$3,"Off-schedule","OK"))</f>
        <v>OK</v>
      </c>
      <c r="L156" s="68"/>
      <c r="M156" s="5" t="str">
        <f aca="false">TEXT(B156,"ddd")</f>
        <v>Mon</v>
      </c>
      <c r="N156" s="69" t="n">
        <f aca="false">IF(OR(C156="",D156=""),"",ROUND((MOD(D156-C156,1)-IF(ISNUMBER(E156),MOD(F156-E156,1),0))*24,2))</f>
        <v>7.93</v>
      </c>
      <c r="O156" s="5" t="s">
        <v>768</v>
      </c>
      <c r="P156" s="6" t="n">
        <v>46307</v>
      </c>
      <c r="Q156" s="5" t="str">
        <f aca="false">IF(B156&lt;$U$1,"Prior period",IF(B156&gt;$U$2,"Future period","Current period"))</f>
        <v>Current period</v>
      </c>
      <c r="R156" s="5" t="str">
        <f aca="false" t="array" ref="R156:R156">_xlfn.XLOOKUP(A156,TRIM(SUBSTITUTE('worker file'!$A$2:$A$406,_xlfn.UNICHAR(160)," ")),'worker file'!$D$2:$D$406,"Not found")</f>
        <v>CA</v>
      </c>
    </row>
    <row r="157" customFormat="false" ht="15" hidden="false" customHeight="false" outlineLevel="0" collapsed="false">
      <c r="A157" s="5" t="s">
        <v>201</v>
      </c>
      <c r="B157" s="6" t="n">
        <v>46308</v>
      </c>
      <c r="C157" s="62" t="n">
        <v>0.245833333333333</v>
      </c>
      <c r="D157" s="62" t="n">
        <v>0.597916666666667</v>
      </c>
      <c r="E157" s="63" t="n">
        <v>0.40625</v>
      </c>
      <c r="F157" s="64" t="n">
        <v>0.427083333333333</v>
      </c>
      <c r="G157" s="65" t="str">
        <f aca="false" t="array" ref="G157:G157">_xlfn.XLOOKUP(A157&amp;"|"&amp;B157,ShiftRoster[Employee ID]&amp;"|"&amp;ShiftRoster[Date],ShiftRoster[Shift Code],_xlfn.XLOOKUP(A157,TRIM(SUBSTITUTE('worker file'!$A$2:$A$406,_xlfn.UNICHAR(160)," ")),'worker file'!$X$2:$X$406,"?"),0,-1)</f>
        <v>DAY</v>
      </c>
      <c r="H157" s="65" t="str">
        <f aca="false">_xlfn.XLOOKUP(G157,ShiftCodes[Code],ShiftCodes[Work Schedule],"Unknown")</f>
        <v>Shift A – Day (Mon–Fri 06:00–14:30)</v>
      </c>
      <c r="I157" s="66" t="n">
        <f aca="false">_xlfn.XLOOKUP(G157,ShiftCodes[Code],ShiftCodes[Start],"")</f>
        <v>0.25</v>
      </c>
      <c r="J157" s="67" t="n">
        <f aca="false">IF(OR(C157="",I157=""),"",ROUND((MOD(C157-I157+0.5,1)-0.5)*1440,0))</f>
        <v>-6</v>
      </c>
      <c r="K157" s="65" t="str">
        <f aca="false">IF(J157="","",IF(ABS(J157)&gt;$U$3,"Off-schedule","OK"))</f>
        <v>OK</v>
      </c>
      <c r="L157" s="68"/>
      <c r="M157" s="5" t="str">
        <f aca="false">TEXT(B157,"ddd")</f>
        <v>Tue</v>
      </c>
      <c r="N157" s="69" t="n">
        <f aca="false">IF(OR(C157="",D157=""),"",ROUND((MOD(D157-C157,1)-IF(ISNUMBER(E157),MOD(F157-E157,1),0))*24,2))</f>
        <v>7.95</v>
      </c>
      <c r="O157" s="5" t="s">
        <v>768</v>
      </c>
      <c r="P157" s="6" t="n">
        <v>46308</v>
      </c>
      <c r="Q157" s="5" t="str">
        <f aca="false">IF(B157&lt;$U$1,"Prior period",IF(B157&gt;$U$2,"Future period","Current period"))</f>
        <v>Current period</v>
      </c>
      <c r="R157" s="5" t="str">
        <f aca="false" t="array" ref="R157:R157">_xlfn.XLOOKUP(A157,TRIM(SUBSTITUTE('worker file'!$A$2:$A$406,_xlfn.UNICHAR(160)," ")),'worker file'!$D$2:$D$406,"Not found")</f>
        <v>CA</v>
      </c>
    </row>
    <row r="158" customFormat="false" ht="15" hidden="false" customHeight="false" outlineLevel="0" collapsed="false">
      <c r="A158" s="5" t="s">
        <v>201</v>
      </c>
      <c r="B158" s="6" t="n">
        <v>46309</v>
      </c>
      <c r="C158" s="62" t="n">
        <v>0.252777777777778</v>
      </c>
      <c r="D158" s="62" t="n">
        <v>0.601388888888889</v>
      </c>
      <c r="E158" s="63" t="n">
        <v>0.419444444444444</v>
      </c>
      <c r="F158" s="64" t="n">
        <v>0.440277777777778</v>
      </c>
      <c r="G158" s="65" t="str">
        <f aca="false" t="array" ref="G158:G158">_xlfn.XLOOKUP(A158&amp;"|"&amp;B158,ShiftRoster[Employee ID]&amp;"|"&amp;ShiftRoster[Date],ShiftRoster[Shift Code],_xlfn.XLOOKUP(A158,TRIM(SUBSTITUTE('worker file'!$A$2:$A$406,_xlfn.UNICHAR(160)," ")),'worker file'!$X$2:$X$406,"?"),0,-1)</f>
        <v>DAY</v>
      </c>
      <c r="H158" s="65" t="str">
        <f aca="false">_xlfn.XLOOKUP(G158,ShiftCodes[Code],ShiftCodes[Work Schedule],"Unknown")</f>
        <v>Shift A – Day (Mon–Fri 06:00–14:30)</v>
      </c>
      <c r="I158" s="66" t="n">
        <f aca="false">_xlfn.XLOOKUP(G158,ShiftCodes[Code],ShiftCodes[Start],"")</f>
        <v>0.25</v>
      </c>
      <c r="J158" s="67" t="n">
        <f aca="false">IF(OR(C158="",I158=""),"",ROUND((MOD(C158-I158+0.5,1)-0.5)*1440,0))</f>
        <v>4</v>
      </c>
      <c r="K158" s="65" t="str">
        <f aca="false">IF(J158="","",IF(ABS(J158)&gt;$U$3,"Off-schedule","OK"))</f>
        <v>OK</v>
      </c>
      <c r="L158" s="68"/>
      <c r="M158" s="5" t="str">
        <f aca="false">TEXT(B158,"ddd")</f>
        <v>Wed</v>
      </c>
      <c r="N158" s="69" t="n">
        <f aca="false">IF(OR(C158="",D158=""),"",ROUND((MOD(D158-C158,1)-IF(ISNUMBER(E158),MOD(F158-E158,1),0))*24,2))</f>
        <v>7.87</v>
      </c>
      <c r="O158" s="5" t="s">
        <v>768</v>
      </c>
      <c r="P158" s="6" t="n">
        <v>46309</v>
      </c>
      <c r="Q158" s="5" t="str">
        <f aca="false">IF(B158&lt;$U$1,"Prior period",IF(B158&gt;$U$2,"Future period","Current period"))</f>
        <v>Current period</v>
      </c>
      <c r="R158" s="5" t="str">
        <f aca="false" t="array" ref="R158:R158">_xlfn.XLOOKUP(A158,TRIM(SUBSTITUTE('worker file'!$A$2:$A$406,_xlfn.UNICHAR(160)," ")),'worker file'!$D$2:$D$406,"Not found")</f>
        <v>CA</v>
      </c>
    </row>
    <row r="159" customFormat="false" ht="15" hidden="false" customHeight="false" outlineLevel="0" collapsed="false">
      <c r="A159" s="5" t="s">
        <v>201</v>
      </c>
      <c r="B159" s="6" t="n">
        <v>46310</v>
      </c>
      <c r="C159" s="62" t="n">
        <v>0.247916666666667</v>
      </c>
      <c r="D159" s="62" t="n">
        <v>0.6</v>
      </c>
      <c r="E159" s="63" t="n">
        <v>0.4</v>
      </c>
      <c r="F159" s="64" t="n">
        <v>0.420833333333333</v>
      </c>
      <c r="G159" s="65" t="str">
        <f aca="false" t="array" ref="G159:G159">_xlfn.XLOOKUP(A159&amp;"|"&amp;B159,ShiftRoster[Employee ID]&amp;"|"&amp;ShiftRoster[Date],ShiftRoster[Shift Code],_xlfn.XLOOKUP(A159,TRIM(SUBSTITUTE('worker file'!$A$2:$A$406,_xlfn.UNICHAR(160)," ")),'worker file'!$X$2:$X$406,"?"),0,-1)</f>
        <v>DAY</v>
      </c>
      <c r="H159" s="65" t="str">
        <f aca="false">_xlfn.XLOOKUP(G159,ShiftCodes[Code],ShiftCodes[Work Schedule],"Unknown")</f>
        <v>Shift A – Day (Mon–Fri 06:00–14:30)</v>
      </c>
      <c r="I159" s="66" t="n">
        <f aca="false">_xlfn.XLOOKUP(G159,ShiftCodes[Code],ShiftCodes[Start],"")</f>
        <v>0.25</v>
      </c>
      <c r="J159" s="67" t="n">
        <f aca="false">IF(OR(C159="",I159=""),"",ROUND((MOD(C159-I159+0.5,1)-0.5)*1440,0))</f>
        <v>-3</v>
      </c>
      <c r="K159" s="65" t="str">
        <f aca="false">IF(J159="","",IF(ABS(J159)&gt;$U$3,"Off-schedule","OK"))</f>
        <v>OK</v>
      </c>
      <c r="L159" s="68"/>
      <c r="M159" s="5" t="str">
        <f aca="false">TEXT(B159,"ddd")</f>
        <v>Thu</v>
      </c>
      <c r="N159" s="69" t="n">
        <f aca="false">IF(OR(C159="",D159=""),"",ROUND((MOD(D159-C159,1)-IF(ISNUMBER(E159),MOD(F159-E159,1),0))*24,2))</f>
        <v>7.95</v>
      </c>
      <c r="O159" s="5" t="s">
        <v>768</v>
      </c>
      <c r="P159" s="6" t="n">
        <v>46310</v>
      </c>
      <c r="Q159" s="5" t="str">
        <f aca="false">IF(B159&lt;$U$1,"Prior period",IF(B159&gt;$U$2,"Future period","Current period"))</f>
        <v>Current period</v>
      </c>
      <c r="R159" s="5" t="str">
        <f aca="false" t="array" ref="R159:R159">_xlfn.XLOOKUP(A159,TRIM(SUBSTITUTE('worker file'!$A$2:$A$406,_xlfn.UNICHAR(160)," ")),'worker file'!$D$2:$D$406,"Not found")</f>
        <v>CA</v>
      </c>
    </row>
    <row r="160" customFormat="false" ht="15" hidden="false" customHeight="false" outlineLevel="0" collapsed="false">
      <c r="A160" s="5" t="s">
        <v>201</v>
      </c>
      <c r="B160" s="6" t="n">
        <v>46311</v>
      </c>
      <c r="C160" s="62" t="n">
        <v>0.252083333333333</v>
      </c>
      <c r="D160" s="62" t="n">
        <v>0.604166666666667</v>
      </c>
      <c r="E160" s="63" t="n">
        <v>0.4375</v>
      </c>
      <c r="F160" s="64" t="n">
        <v>0.458333333333333</v>
      </c>
      <c r="G160" s="65" t="str">
        <f aca="false" t="array" ref="G160:G160">_xlfn.XLOOKUP(A160&amp;"|"&amp;B160,ShiftRoster[Employee ID]&amp;"|"&amp;ShiftRoster[Date],ShiftRoster[Shift Code],_xlfn.XLOOKUP(A160,TRIM(SUBSTITUTE('worker file'!$A$2:$A$406,_xlfn.UNICHAR(160)," ")),'worker file'!$X$2:$X$406,"?"),0,-1)</f>
        <v>DAY</v>
      </c>
      <c r="H160" s="65" t="str">
        <f aca="false">_xlfn.XLOOKUP(G160,ShiftCodes[Code],ShiftCodes[Work Schedule],"Unknown")</f>
        <v>Shift A – Day (Mon–Fri 06:00–14:30)</v>
      </c>
      <c r="I160" s="66" t="n">
        <f aca="false">_xlfn.XLOOKUP(G160,ShiftCodes[Code],ShiftCodes[Start],"")</f>
        <v>0.25</v>
      </c>
      <c r="J160" s="67" t="n">
        <f aca="false">IF(OR(C160="",I160=""),"",ROUND((MOD(C160-I160+0.5,1)-0.5)*1440,0))</f>
        <v>3</v>
      </c>
      <c r="K160" s="65" t="str">
        <f aca="false">IF(J160="","",IF(ABS(J160)&gt;$U$3,"Off-schedule","OK"))</f>
        <v>OK</v>
      </c>
      <c r="L160" s="68"/>
      <c r="M160" s="5" t="str">
        <f aca="false">TEXT(B160,"ddd")</f>
        <v>Fri</v>
      </c>
      <c r="N160" s="69" t="n">
        <f aca="false">IF(OR(C160="",D160=""),"",ROUND((MOD(D160-C160,1)-IF(ISNUMBER(E160),MOD(F160-E160,1),0))*24,2))</f>
        <v>7.95</v>
      </c>
      <c r="O160" s="5" t="s">
        <v>768</v>
      </c>
      <c r="P160" s="6" t="n">
        <v>46311</v>
      </c>
      <c r="Q160" s="5" t="str">
        <f aca="false">IF(B160&lt;$U$1,"Prior period",IF(B160&gt;$U$2,"Future period","Current period"))</f>
        <v>Current period</v>
      </c>
      <c r="R160" s="5" t="str">
        <f aca="false" t="array" ref="R160:R160">_xlfn.XLOOKUP(A160,TRIM(SUBSTITUTE('worker file'!$A$2:$A$406,_xlfn.UNICHAR(160)," ")),'worker file'!$D$2:$D$406,"Not found")</f>
        <v>CA</v>
      </c>
    </row>
    <row r="161" customFormat="false" ht="15" hidden="false" customHeight="false" outlineLevel="0" collapsed="false">
      <c r="A161" s="5" t="s">
        <v>211</v>
      </c>
      <c r="B161" s="6" t="n">
        <v>46299</v>
      </c>
      <c r="C161" s="62" t="n">
        <v>0.248611111111111</v>
      </c>
      <c r="D161" s="62" t="n">
        <v>0.772222222222222</v>
      </c>
      <c r="E161" s="63" t="n">
        <v>0.420833333333333</v>
      </c>
      <c r="F161" s="64" t="n">
        <v>0.441666666666667</v>
      </c>
      <c r="G161" s="65" t="str">
        <f aca="false" t="array" ref="G161:G161">_xlfn.XLOOKUP(A161&amp;"|"&amp;B161,ShiftRoster[Employee ID]&amp;"|"&amp;ShiftRoster[Date],ShiftRoster[Shift Code],_xlfn.XLOOKUP(A161,TRIM(SUBSTITUTE('worker file'!$A$2:$A$406,_xlfn.UNICHAR(160)," ")),'worker file'!$X$2:$X$406,"?"),0,-1)</f>
        <v>WKND</v>
      </c>
      <c r="H161" s="65" t="str">
        <f aca="false">_xlfn.XLOOKUP(G161,ShiftCodes[Code],ShiftCodes[Work Schedule],"Unknown")</f>
        <v>Shift D – Weekend (Fri–Sun 06:00–18:30)</v>
      </c>
      <c r="I161" s="66" t="n">
        <f aca="false">_xlfn.XLOOKUP(G161,ShiftCodes[Code],ShiftCodes[Start],"")</f>
        <v>0.25</v>
      </c>
      <c r="J161" s="67" t="n">
        <f aca="false">IF(OR(C161="",I161=""),"",ROUND((MOD(C161-I161+0.5,1)-0.5)*1440,0))</f>
        <v>-2</v>
      </c>
      <c r="K161" s="65" t="str">
        <f aca="false">IF(J161="","",IF(ABS(J161)&gt;$U$3,"Off-schedule","OK"))</f>
        <v>OK</v>
      </c>
      <c r="L161" s="68"/>
      <c r="M161" s="5" t="str">
        <f aca="false">TEXT(B161,"ddd")</f>
        <v>Sun</v>
      </c>
      <c r="N161" s="69" t="n">
        <f aca="false">IF(OR(C161="",D161=""),"",ROUND((MOD(D161-C161,1)-IF(ISNUMBER(E161),MOD(F161-E161,1),0))*24,2))</f>
        <v>12.07</v>
      </c>
      <c r="O161" s="5" t="s">
        <v>768</v>
      </c>
      <c r="P161" s="6" t="n">
        <v>46299</v>
      </c>
      <c r="Q161" s="5" t="str">
        <f aca="false">IF(B161&lt;$U$1,"Prior period",IF(B161&gt;$U$2,"Future period","Current period"))</f>
        <v>Current period</v>
      </c>
      <c r="R161" s="5" t="str">
        <f aca="false" t="array" ref="R161:R161">_xlfn.XLOOKUP(A161,TRIM(SUBSTITUTE('worker file'!$A$2:$A$406,_xlfn.UNICHAR(160)," ")),'worker file'!$D$2:$D$406,"Not found")</f>
        <v>CA</v>
      </c>
    </row>
    <row r="162" customFormat="false" ht="15" hidden="false" customHeight="false" outlineLevel="0" collapsed="false">
      <c r="A162" s="5" t="s">
        <v>211</v>
      </c>
      <c r="B162" s="6" t="n">
        <v>46305</v>
      </c>
      <c r="C162" s="62" t="n">
        <v>0.252083333333333</v>
      </c>
      <c r="D162" s="62" t="n">
        <v>0.771527777777778</v>
      </c>
      <c r="E162" s="63" t="n">
        <v>0.425</v>
      </c>
      <c r="F162" s="64" t="n">
        <v>0.445833333333333</v>
      </c>
      <c r="G162" s="65" t="str">
        <f aca="false" t="array" ref="G162:G162">_xlfn.XLOOKUP(A162&amp;"|"&amp;B162,ShiftRoster[Employee ID]&amp;"|"&amp;ShiftRoster[Date],ShiftRoster[Shift Code],_xlfn.XLOOKUP(A162,TRIM(SUBSTITUTE('worker file'!$A$2:$A$406,_xlfn.UNICHAR(160)," ")),'worker file'!$X$2:$X$406,"?"),0,-1)</f>
        <v>WKND</v>
      </c>
      <c r="H162" s="65" t="str">
        <f aca="false">_xlfn.XLOOKUP(G162,ShiftCodes[Code],ShiftCodes[Work Schedule],"Unknown")</f>
        <v>Shift D – Weekend (Fri–Sun 06:00–18:30)</v>
      </c>
      <c r="I162" s="66" t="n">
        <f aca="false">_xlfn.XLOOKUP(G162,ShiftCodes[Code],ShiftCodes[Start],"")</f>
        <v>0.25</v>
      </c>
      <c r="J162" s="67" t="n">
        <f aca="false">IF(OR(C162="",I162=""),"",ROUND((MOD(C162-I162+0.5,1)-0.5)*1440,0))</f>
        <v>3</v>
      </c>
      <c r="K162" s="65" t="str">
        <f aca="false">IF(J162="","",IF(ABS(J162)&gt;$U$3,"Off-schedule","OK"))</f>
        <v>OK</v>
      </c>
      <c r="L162" s="68"/>
      <c r="M162" s="5" t="str">
        <f aca="false">TEXT(B162,"ddd")</f>
        <v>Sat</v>
      </c>
      <c r="N162" s="69" t="n">
        <f aca="false">IF(OR(C162="",D162=""),"",ROUND((MOD(D162-C162,1)-IF(ISNUMBER(E162),MOD(F162-E162,1),0))*24,2))</f>
        <v>11.97</v>
      </c>
      <c r="O162" s="5" t="s">
        <v>768</v>
      </c>
      <c r="P162" s="6" t="n">
        <v>46305</v>
      </c>
      <c r="Q162" s="5" t="str">
        <f aca="false">IF(B162&lt;$U$1,"Prior period",IF(B162&gt;$U$2,"Future period","Current period"))</f>
        <v>Current period</v>
      </c>
      <c r="R162" s="5" t="str">
        <f aca="false" t="array" ref="R162:R162">_xlfn.XLOOKUP(A162,TRIM(SUBSTITUTE('worker file'!$A$2:$A$406,_xlfn.UNICHAR(160)," ")),'worker file'!$D$2:$D$406,"Not found")</f>
        <v>CA</v>
      </c>
    </row>
    <row r="163" customFormat="false" ht="15" hidden="false" customHeight="false" outlineLevel="0" collapsed="false">
      <c r="A163" s="5" t="s">
        <v>211</v>
      </c>
      <c r="B163" s="6" t="n">
        <v>46306</v>
      </c>
      <c r="C163" s="62" t="n">
        <v>0.250694444444444</v>
      </c>
      <c r="D163" s="62" t="n">
        <v>0.76875</v>
      </c>
      <c r="E163" s="63" t="n">
        <v>0.426388888888889</v>
      </c>
      <c r="F163" s="64" t="n">
        <v>0.447222222222222</v>
      </c>
      <c r="G163" s="65" t="str">
        <f aca="false" t="array" ref="G163:G163">_xlfn.XLOOKUP(A163&amp;"|"&amp;B163,ShiftRoster[Employee ID]&amp;"|"&amp;ShiftRoster[Date],ShiftRoster[Shift Code],_xlfn.XLOOKUP(A163,TRIM(SUBSTITUTE('worker file'!$A$2:$A$406,_xlfn.UNICHAR(160)," ")),'worker file'!$X$2:$X$406,"?"),0,-1)</f>
        <v>WKND</v>
      </c>
      <c r="H163" s="65" t="str">
        <f aca="false">_xlfn.XLOOKUP(G163,ShiftCodes[Code],ShiftCodes[Work Schedule],"Unknown")</f>
        <v>Shift D – Weekend (Fri–Sun 06:00–18:30)</v>
      </c>
      <c r="I163" s="66" t="n">
        <f aca="false">_xlfn.XLOOKUP(G163,ShiftCodes[Code],ShiftCodes[Start],"")</f>
        <v>0.25</v>
      </c>
      <c r="J163" s="67" t="n">
        <f aca="false">IF(OR(C163="",I163=""),"",ROUND((MOD(C163-I163+0.5,1)-0.5)*1440,0))</f>
        <v>1</v>
      </c>
      <c r="K163" s="65" t="str">
        <f aca="false">IF(J163="","",IF(ABS(J163)&gt;$U$3,"Off-schedule","OK"))</f>
        <v>OK</v>
      </c>
      <c r="L163" s="68"/>
      <c r="M163" s="5" t="str">
        <f aca="false">TEXT(B163,"ddd")</f>
        <v>Sun</v>
      </c>
      <c r="N163" s="69" t="n">
        <f aca="false">IF(OR(C163="",D163=""),"",ROUND((MOD(D163-C163,1)-IF(ISNUMBER(E163),MOD(F163-E163,1),0))*24,2))</f>
        <v>11.93</v>
      </c>
      <c r="O163" s="5" t="s">
        <v>768</v>
      </c>
      <c r="P163" s="6" t="n">
        <v>46306</v>
      </c>
      <c r="Q163" s="5" t="str">
        <f aca="false">IF(B163&lt;$U$1,"Prior period",IF(B163&gt;$U$2,"Future period","Current period"))</f>
        <v>Current period</v>
      </c>
      <c r="R163" s="5" t="str">
        <f aca="false" t="array" ref="R163:R163">_xlfn.XLOOKUP(A163,TRIM(SUBSTITUTE('worker file'!$A$2:$A$406,_xlfn.UNICHAR(160)," ")),'worker file'!$D$2:$D$406,"Not found")</f>
        <v>CA</v>
      </c>
    </row>
    <row r="164" customFormat="false" ht="15" hidden="false" customHeight="false" outlineLevel="0" collapsed="false">
      <c r="A164" s="5" t="s">
        <v>211</v>
      </c>
      <c r="B164" s="6" t="n">
        <v>46312</v>
      </c>
      <c r="C164" s="62" t="n">
        <v>0.251388888888889</v>
      </c>
      <c r="D164" s="62" t="n">
        <v>0.770138888888889</v>
      </c>
      <c r="E164" s="63" t="n">
        <v>0.427083333333333</v>
      </c>
      <c r="F164" s="64" t="n">
        <v>0.447916666666667</v>
      </c>
      <c r="G164" s="65" t="str">
        <f aca="false" t="array" ref="G164:G164">_xlfn.XLOOKUP(A164&amp;"|"&amp;B164,ShiftRoster[Employee ID]&amp;"|"&amp;ShiftRoster[Date],ShiftRoster[Shift Code],_xlfn.XLOOKUP(A164,TRIM(SUBSTITUTE('worker file'!$A$2:$A$406,_xlfn.UNICHAR(160)," ")),'worker file'!$X$2:$X$406,"?"),0,-1)</f>
        <v>WKND</v>
      </c>
      <c r="H164" s="65" t="str">
        <f aca="false">_xlfn.XLOOKUP(G164,ShiftCodes[Code],ShiftCodes[Work Schedule],"Unknown")</f>
        <v>Shift D – Weekend (Fri–Sun 06:00–18:30)</v>
      </c>
      <c r="I164" s="66" t="n">
        <f aca="false">_xlfn.XLOOKUP(G164,ShiftCodes[Code],ShiftCodes[Start],"")</f>
        <v>0.25</v>
      </c>
      <c r="J164" s="67" t="n">
        <f aca="false">IF(OR(C164="",I164=""),"",ROUND((MOD(C164-I164+0.5,1)-0.5)*1440,0))</f>
        <v>2</v>
      </c>
      <c r="K164" s="65" t="str">
        <f aca="false">IF(J164="","",IF(ABS(J164)&gt;$U$3,"Off-schedule","OK"))</f>
        <v>OK</v>
      </c>
      <c r="L164" s="68"/>
      <c r="M164" s="5" t="str">
        <f aca="false">TEXT(B164,"ddd")</f>
        <v>Sat</v>
      </c>
      <c r="N164" s="69" t="n">
        <f aca="false">IF(OR(C164="",D164=""),"",ROUND((MOD(D164-C164,1)-IF(ISNUMBER(E164),MOD(F164-E164,1),0))*24,2))</f>
        <v>11.95</v>
      </c>
      <c r="O164" s="5" t="s">
        <v>768</v>
      </c>
      <c r="P164" s="6" t="n">
        <v>46312</v>
      </c>
      <c r="Q164" s="5" t="str">
        <f aca="false">IF(B164&lt;$U$1,"Prior period",IF(B164&gt;$U$2,"Future period","Current period"))</f>
        <v>Current period</v>
      </c>
      <c r="R164" s="5" t="str">
        <f aca="false" t="array" ref="R164:R164">_xlfn.XLOOKUP(A164,TRIM(SUBSTITUTE('worker file'!$A$2:$A$406,_xlfn.UNICHAR(160)," ")),'worker file'!$D$2:$D$406,"Not found")</f>
        <v>CA</v>
      </c>
    </row>
    <row r="165" customFormat="false" ht="15" hidden="false" customHeight="false" outlineLevel="0" collapsed="false">
      <c r="A165" s="5" t="s">
        <v>219</v>
      </c>
      <c r="B165" s="6" t="n">
        <v>46299</v>
      </c>
      <c r="C165" s="62" t="n">
        <v>0.250694444444444</v>
      </c>
      <c r="D165" s="62" t="n">
        <v>0.76875</v>
      </c>
      <c r="E165" s="63" t="n">
        <v>0.427083333333333</v>
      </c>
      <c r="F165" s="64" t="n">
        <v>0.447916666666667</v>
      </c>
      <c r="G165" s="65" t="str">
        <f aca="false" t="array" ref="G165:G165">_xlfn.XLOOKUP(A165&amp;"|"&amp;B165,ShiftRoster[Employee ID]&amp;"|"&amp;ShiftRoster[Date],ShiftRoster[Shift Code],_xlfn.XLOOKUP(A165,TRIM(SUBSTITUTE('worker file'!$A$2:$A$406,_xlfn.UNICHAR(160)," ")),'worker file'!$X$2:$X$406,"?"),0,-1)</f>
        <v>WKND</v>
      </c>
      <c r="H165" s="65" t="str">
        <f aca="false">_xlfn.XLOOKUP(G165,ShiftCodes[Code],ShiftCodes[Work Schedule],"Unknown")</f>
        <v>Shift D – Weekend (Fri–Sun 06:00–18:30)</v>
      </c>
      <c r="I165" s="66" t="n">
        <f aca="false">_xlfn.XLOOKUP(G165,ShiftCodes[Code],ShiftCodes[Start],"")</f>
        <v>0.25</v>
      </c>
      <c r="J165" s="67" t="n">
        <f aca="false">IF(OR(C165="",I165=""),"",ROUND((MOD(C165-I165+0.5,1)-0.5)*1440,0))</f>
        <v>1</v>
      </c>
      <c r="K165" s="65" t="str">
        <f aca="false">IF(J165="","",IF(ABS(J165)&gt;$U$3,"Off-schedule","OK"))</f>
        <v>OK</v>
      </c>
      <c r="L165" s="68"/>
      <c r="M165" s="5" t="str">
        <f aca="false">TEXT(B165,"ddd")</f>
        <v>Sun</v>
      </c>
      <c r="N165" s="69" t="n">
        <f aca="false">IF(OR(C165="",D165=""),"",ROUND((MOD(D165-C165,1)-IF(ISNUMBER(E165),MOD(F165-E165,1),0))*24,2))</f>
        <v>11.93</v>
      </c>
      <c r="O165" s="5" t="s">
        <v>768</v>
      </c>
      <c r="P165" s="6" t="n">
        <v>46299</v>
      </c>
      <c r="Q165" s="5" t="str">
        <f aca="false">IF(B165&lt;$U$1,"Prior period",IF(B165&gt;$U$2,"Future period","Current period"))</f>
        <v>Current period</v>
      </c>
      <c r="R165" s="5" t="str">
        <f aca="false" t="array" ref="R165:R165">_xlfn.XLOOKUP(A165,TRIM(SUBSTITUTE('worker file'!$A$2:$A$406,_xlfn.UNICHAR(160)," ")),'worker file'!$D$2:$D$406,"Not found")</f>
        <v>TX</v>
      </c>
    </row>
    <row r="166" customFormat="false" ht="15" hidden="false" customHeight="false" outlineLevel="0" collapsed="false">
      <c r="A166" s="5" t="s">
        <v>219</v>
      </c>
      <c r="B166" s="6" t="n">
        <v>46304</v>
      </c>
      <c r="C166" s="62" t="n">
        <v>0.247916666666667</v>
      </c>
      <c r="D166" s="62" t="n">
        <v>0.770833333333333</v>
      </c>
      <c r="E166" s="63" t="n">
        <v>0.422222222222222</v>
      </c>
      <c r="F166" s="64" t="n">
        <v>0.443055555555556</v>
      </c>
      <c r="G166" s="65" t="str">
        <f aca="false" t="array" ref="G166:G166">_xlfn.XLOOKUP(A166&amp;"|"&amp;B166,ShiftRoster[Employee ID]&amp;"|"&amp;ShiftRoster[Date],ShiftRoster[Shift Code],_xlfn.XLOOKUP(A166,TRIM(SUBSTITUTE('worker file'!$A$2:$A$406,_xlfn.UNICHAR(160)," ")),'worker file'!$X$2:$X$406,"?"),0,-1)</f>
        <v>WKND</v>
      </c>
      <c r="H166" s="65" t="str">
        <f aca="false">_xlfn.XLOOKUP(G166,ShiftCodes[Code],ShiftCodes[Work Schedule],"Unknown")</f>
        <v>Shift D – Weekend (Fri–Sun 06:00–18:30)</v>
      </c>
      <c r="I166" s="66" t="n">
        <f aca="false">_xlfn.XLOOKUP(G166,ShiftCodes[Code],ShiftCodes[Start],"")</f>
        <v>0.25</v>
      </c>
      <c r="J166" s="67" t="n">
        <f aca="false">IF(OR(C166="",I166=""),"",ROUND((MOD(C166-I166+0.5,1)-0.5)*1440,0))</f>
        <v>-3</v>
      </c>
      <c r="K166" s="65" t="str">
        <f aca="false">IF(J166="","",IF(ABS(J166)&gt;$U$3,"Off-schedule","OK"))</f>
        <v>OK</v>
      </c>
      <c r="L166" s="68"/>
      <c r="M166" s="5" t="str">
        <f aca="false">TEXT(B166,"ddd")</f>
        <v>Fri</v>
      </c>
      <c r="N166" s="69" t="n">
        <f aca="false">IF(OR(C166="",D166=""),"",ROUND((MOD(D166-C166,1)-IF(ISNUMBER(E166),MOD(F166-E166,1),0))*24,2))</f>
        <v>12.05</v>
      </c>
      <c r="O166" s="5" t="s">
        <v>768</v>
      </c>
      <c r="P166" s="6" t="n">
        <v>46304</v>
      </c>
      <c r="Q166" s="5" t="str">
        <f aca="false">IF(B166&lt;$U$1,"Prior period",IF(B166&gt;$U$2,"Future period","Current period"))</f>
        <v>Current period</v>
      </c>
      <c r="R166" s="5" t="str">
        <f aca="false" t="array" ref="R166:R166">_xlfn.XLOOKUP(A166,TRIM(SUBSTITUTE('worker file'!$A$2:$A$406,_xlfn.UNICHAR(160)," ")),'worker file'!$D$2:$D$406,"Not found")</f>
        <v>TX</v>
      </c>
    </row>
    <row r="167" customFormat="false" ht="15" hidden="false" customHeight="false" outlineLevel="0" collapsed="false">
      <c r="A167" s="5" t="s">
        <v>219</v>
      </c>
      <c r="B167" s="6" t="n">
        <v>46305</v>
      </c>
      <c r="C167" s="62" t="n">
        <v>0.246527777777778</v>
      </c>
      <c r="D167" s="62" t="n">
        <v>0.768055555555556</v>
      </c>
      <c r="E167" s="63" t="n">
        <v>0.417361111111111</v>
      </c>
      <c r="F167" s="64" t="n">
        <v>0.438194444444444</v>
      </c>
      <c r="G167" s="65" t="str">
        <f aca="false" t="array" ref="G167:G167">_xlfn.XLOOKUP(A167&amp;"|"&amp;B167,ShiftRoster[Employee ID]&amp;"|"&amp;ShiftRoster[Date],ShiftRoster[Shift Code],_xlfn.XLOOKUP(A167,TRIM(SUBSTITUTE('worker file'!$A$2:$A$406,_xlfn.UNICHAR(160)," ")),'worker file'!$X$2:$X$406,"?"),0,-1)</f>
        <v>WKND</v>
      </c>
      <c r="H167" s="65" t="str">
        <f aca="false">_xlfn.XLOOKUP(G167,ShiftCodes[Code],ShiftCodes[Work Schedule],"Unknown")</f>
        <v>Shift D – Weekend (Fri–Sun 06:00–18:30)</v>
      </c>
      <c r="I167" s="66" t="n">
        <f aca="false">_xlfn.XLOOKUP(G167,ShiftCodes[Code],ShiftCodes[Start],"")</f>
        <v>0.25</v>
      </c>
      <c r="J167" s="67" t="n">
        <f aca="false">IF(OR(C167="",I167=""),"",ROUND((MOD(C167-I167+0.5,1)-0.5)*1440,0))</f>
        <v>-5</v>
      </c>
      <c r="K167" s="65" t="str">
        <f aca="false">IF(J167="","",IF(ABS(J167)&gt;$U$3,"Off-schedule","OK"))</f>
        <v>OK</v>
      </c>
      <c r="L167" s="68"/>
      <c r="M167" s="5" t="str">
        <f aca="false">TEXT(B167,"ddd")</f>
        <v>Sat</v>
      </c>
      <c r="N167" s="69" t="n">
        <f aca="false">IF(OR(C167="",D167=""),"",ROUND((MOD(D167-C167,1)-IF(ISNUMBER(E167),MOD(F167-E167,1),0))*24,2))</f>
        <v>12.02</v>
      </c>
      <c r="O167" s="5" t="s">
        <v>768</v>
      </c>
      <c r="P167" s="6" t="n">
        <v>46305</v>
      </c>
      <c r="Q167" s="5" t="str">
        <f aca="false">IF(B167&lt;$U$1,"Prior period",IF(B167&gt;$U$2,"Future period","Current period"))</f>
        <v>Current period</v>
      </c>
      <c r="R167" s="5" t="str">
        <f aca="false" t="array" ref="R167:R167">_xlfn.XLOOKUP(A167,TRIM(SUBSTITUTE('worker file'!$A$2:$A$406,_xlfn.UNICHAR(160)," ")),'worker file'!$D$2:$D$406,"Not found")</f>
        <v>TX</v>
      </c>
    </row>
    <row r="168" customFormat="false" ht="15" hidden="false" customHeight="false" outlineLevel="0" collapsed="false">
      <c r="A168" s="5" t="s">
        <v>219</v>
      </c>
      <c r="B168" s="6" t="n">
        <v>46306</v>
      </c>
      <c r="C168" s="62" t="n">
        <v>0.252777777777778</v>
      </c>
      <c r="D168" s="62" t="n">
        <v>0.772916666666667</v>
      </c>
      <c r="E168" s="63" t="n">
        <v>0.426388888888889</v>
      </c>
      <c r="F168" s="64" t="n">
        <v>0.447222222222222</v>
      </c>
      <c r="G168" s="65" t="str">
        <f aca="false" t="array" ref="G168:G168">_xlfn.XLOOKUP(A168&amp;"|"&amp;B168,ShiftRoster[Employee ID]&amp;"|"&amp;ShiftRoster[Date],ShiftRoster[Shift Code],_xlfn.XLOOKUP(A168,TRIM(SUBSTITUTE('worker file'!$A$2:$A$406,_xlfn.UNICHAR(160)," ")),'worker file'!$X$2:$X$406,"?"),0,-1)</f>
        <v>WKND</v>
      </c>
      <c r="H168" s="65" t="str">
        <f aca="false">_xlfn.XLOOKUP(G168,ShiftCodes[Code],ShiftCodes[Work Schedule],"Unknown")</f>
        <v>Shift D – Weekend (Fri–Sun 06:00–18:30)</v>
      </c>
      <c r="I168" s="66" t="n">
        <f aca="false">_xlfn.XLOOKUP(G168,ShiftCodes[Code],ShiftCodes[Start],"")</f>
        <v>0.25</v>
      </c>
      <c r="J168" s="67" t="n">
        <f aca="false">IF(OR(C168="",I168=""),"",ROUND((MOD(C168-I168+0.5,1)-0.5)*1440,0))</f>
        <v>4</v>
      </c>
      <c r="K168" s="65" t="str">
        <f aca="false">IF(J168="","",IF(ABS(J168)&gt;$U$3,"Off-schedule","OK"))</f>
        <v>OK</v>
      </c>
      <c r="L168" s="68"/>
      <c r="M168" s="5" t="str">
        <f aca="false">TEXT(B168,"ddd")</f>
        <v>Sun</v>
      </c>
      <c r="N168" s="69" t="n">
        <f aca="false">IF(OR(C168="",D168=""),"",ROUND((MOD(D168-C168,1)-IF(ISNUMBER(E168),MOD(F168-E168,1),0))*24,2))</f>
        <v>11.98</v>
      </c>
      <c r="O168" s="5" t="s">
        <v>768</v>
      </c>
      <c r="P168" s="6" t="n">
        <v>46306</v>
      </c>
      <c r="Q168" s="5" t="str">
        <f aca="false">IF(B168&lt;$U$1,"Prior period",IF(B168&gt;$U$2,"Future period","Current period"))</f>
        <v>Current period</v>
      </c>
      <c r="R168" s="5" t="str">
        <f aca="false" t="array" ref="R168:R168">_xlfn.XLOOKUP(A168,TRIM(SUBSTITUTE('worker file'!$A$2:$A$406,_xlfn.UNICHAR(160)," ")),'worker file'!$D$2:$D$406,"Not found")</f>
        <v>TX</v>
      </c>
    </row>
    <row r="169" customFormat="false" ht="15" hidden="false" customHeight="false" outlineLevel="0" collapsed="false">
      <c r="A169" s="5" t="s">
        <v>219</v>
      </c>
      <c r="B169" s="6" t="n">
        <v>46311</v>
      </c>
      <c r="C169" s="62" t="n">
        <v>0.247222222222222</v>
      </c>
      <c r="D169" s="62" t="n">
        <v>0.643055555555556</v>
      </c>
      <c r="E169" s="63" t="n">
        <v>0.411111111111111</v>
      </c>
      <c r="F169" s="64" t="n">
        <v>0.431944444444444</v>
      </c>
      <c r="G169" s="65" t="str">
        <f aca="false" t="array" ref="G169:G169">_xlfn.XLOOKUP(A169&amp;"|"&amp;B169,ShiftRoster[Employee ID]&amp;"|"&amp;ShiftRoster[Date],ShiftRoster[Shift Code],_xlfn.XLOOKUP(A169,TRIM(SUBSTITUTE('worker file'!$A$2:$A$406,_xlfn.UNICHAR(160)," ")),'worker file'!$X$2:$X$406,"?"),0,-1)</f>
        <v>WKND</v>
      </c>
      <c r="H169" s="65" t="str">
        <f aca="false">_xlfn.XLOOKUP(G169,ShiftCodes[Code],ShiftCodes[Work Schedule],"Unknown")</f>
        <v>Shift D – Weekend (Fri–Sun 06:00–18:30)</v>
      </c>
      <c r="I169" s="66" t="n">
        <f aca="false">_xlfn.XLOOKUP(G169,ShiftCodes[Code],ShiftCodes[Start],"")</f>
        <v>0.25</v>
      </c>
      <c r="J169" s="67" t="n">
        <f aca="false">IF(OR(C169="",I169=""),"",ROUND((MOD(C169-I169+0.5,1)-0.5)*1440,0))</f>
        <v>-4</v>
      </c>
      <c r="K169" s="65" t="str">
        <f aca="false">IF(J169="","",IF(ABS(J169)&gt;$U$3,"Off-schedule","OK"))</f>
        <v>OK</v>
      </c>
      <c r="L169" s="68" t="s">
        <v>787</v>
      </c>
      <c r="M169" s="5" t="str">
        <f aca="false">TEXT(B169,"ddd")</f>
        <v>Fri</v>
      </c>
      <c r="N169" s="69" t="n">
        <f aca="false">IF(OR(C169="",D169=""),"",ROUND((MOD(D169-C169,1)-IF(ISNUMBER(E169),MOD(F169-E169,1),0))*24,2))</f>
        <v>9</v>
      </c>
      <c r="O169" s="5" t="s">
        <v>768</v>
      </c>
      <c r="P169" s="6" t="n">
        <v>46311</v>
      </c>
      <c r="Q169" s="5" t="str">
        <f aca="false">IF(B169&lt;$U$1,"Prior period",IF(B169&gt;$U$2,"Future period","Current period"))</f>
        <v>Current period</v>
      </c>
      <c r="R169" s="5" t="str">
        <f aca="false" t="array" ref="R169:R169">_xlfn.XLOOKUP(A169,TRIM(SUBSTITUTE('worker file'!$A$2:$A$406,_xlfn.UNICHAR(160)," ")),'worker file'!$D$2:$D$406,"Not found")</f>
        <v>TX</v>
      </c>
    </row>
    <row r="170" customFormat="false" ht="15" hidden="false" customHeight="false" outlineLevel="0" collapsed="false">
      <c r="A170" s="5" t="s">
        <v>219</v>
      </c>
      <c r="B170" s="6" t="n">
        <v>46312</v>
      </c>
      <c r="C170" s="62" t="n">
        <v>0.253472222222222</v>
      </c>
      <c r="D170" s="62" t="n">
        <v>0.774305555555556</v>
      </c>
      <c r="E170" s="63" t="n">
        <v>0.427083333333333</v>
      </c>
      <c r="F170" s="64" t="n">
        <v>0.447916666666667</v>
      </c>
      <c r="G170" s="65" t="str">
        <f aca="false" t="array" ref="G170:G170">_xlfn.XLOOKUP(A170&amp;"|"&amp;B170,ShiftRoster[Employee ID]&amp;"|"&amp;ShiftRoster[Date],ShiftRoster[Shift Code],_xlfn.XLOOKUP(A170,TRIM(SUBSTITUTE('worker file'!$A$2:$A$406,_xlfn.UNICHAR(160)," ")),'worker file'!$X$2:$X$406,"?"),0,-1)</f>
        <v>WKND</v>
      </c>
      <c r="H170" s="65" t="str">
        <f aca="false">_xlfn.XLOOKUP(G170,ShiftCodes[Code],ShiftCodes[Work Schedule],"Unknown")</f>
        <v>Shift D – Weekend (Fri–Sun 06:00–18:30)</v>
      </c>
      <c r="I170" s="66" t="n">
        <f aca="false">_xlfn.XLOOKUP(G170,ShiftCodes[Code],ShiftCodes[Start],"")</f>
        <v>0.25</v>
      </c>
      <c r="J170" s="67" t="n">
        <f aca="false">IF(OR(C170="",I170=""),"",ROUND((MOD(C170-I170+0.5,1)-0.5)*1440,0))</f>
        <v>5</v>
      </c>
      <c r="K170" s="65" t="str">
        <f aca="false">IF(J170="","",IF(ABS(J170)&gt;$U$3,"Off-schedule","OK"))</f>
        <v>OK</v>
      </c>
      <c r="L170" s="68"/>
      <c r="M170" s="5" t="str">
        <f aca="false">TEXT(B170,"ddd")</f>
        <v>Sat</v>
      </c>
      <c r="N170" s="69" t="n">
        <f aca="false">IF(OR(C170="",D170=""),"",ROUND((MOD(D170-C170,1)-IF(ISNUMBER(E170),MOD(F170-E170,1),0))*24,2))</f>
        <v>12</v>
      </c>
      <c r="O170" s="5" t="s">
        <v>768</v>
      </c>
      <c r="P170" s="6" t="n">
        <v>46312</v>
      </c>
      <c r="Q170" s="5" t="str">
        <f aca="false">IF(B170&lt;$U$1,"Prior period",IF(B170&gt;$U$2,"Future period","Current period"))</f>
        <v>Current period</v>
      </c>
      <c r="R170" s="5" t="str">
        <f aca="false" t="array" ref="R170:R170">_xlfn.XLOOKUP(A170,TRIM(SUBSTITUTE('worker file'!$A$2:$A$406,_xlfn.UNICHAR(160)," ")),'worker file'!$D$2:$D$406,"Not found")</f>
        <v>TX</v>
      </c>
    </row>
    <row r="171" customFormat="false" ht="15" hidden="false" customHeight="false" outlineLevel="0" collapsed="false">
      <c r="A171" s="5" t="s">
        <v>238</v>
      </c>
      <c r="B171" s="6" t="n">
        <v>46295</v>
      </c>
      <c r="C171" s="62" t="n">
        <v>0.916666666666667</v>
      </c>
      <c r="D171" s="62" t="n">
        <v>0.291666666666667</v>
      </c>
      <c r="E171" s="63" t="n">
        <v>0.103472222222222</v>
      </c>
      <c r="F171" s="64" t="n">
        <v>0.124305555555556</v>
      </c>
      <c r="G171" s="65" t="str">
        <f aca="false" t="array" ref="G171:G171">_xlfn.XLOOKUP(A171&amp;"|"&amp;B171,ShiftRoster[Employee ID]&amp;"|"&amp;ShiftRoster[Date],ShiftRoster[Shift Code],_xlfn.XLOOKUP(A171,TRIM(SUBSTITUTE('worker file'!$A$2:$A$406,_xlfn.UNICHAR(160)," ")),'worker file'!$X$2:$X$406,"?"),0,-1)</f>
        <v>NGHT</v>
      </c>
      <c r="H171" s="65" t="str">
        <f aca="false">_xlfn.XLOOKUP(G171,ShiftCodes[Code],ShiftCodes[Work Schedule],"Unknown")</f>
        <v>Shift C – Night (Sun–Thu 22:00–06:30)</v>
      </c>
      <c r="I171" s="66" t="n">
        <f aca="false">_xlfn.XLOOKUP(G171,ShiftCodes[Code],ShiftCodes[Start],"")</f>
        <v>0.916666666666667</v>
      </c>
      <c r="J171" s="67" t="n">
        <f aca="false">IF(OR(C171="",I171=""),"",ROUND((MOD(C171-I171+0.5,1)-0.5)*1440,0))</f>
        <v>0</v>
      </c>
      <c r="K171" s="65" t="str">
        <f aca="false">IF(J171="","",IF(ABS(J171)&gt;$U$3,"Off-schedule","OK"))</f>
        <v>OK</v>
      </c>
      <c r="L171" s="68" t="s">
        <v>788</v>
      </c>
      <c r="M171" s="5" t="str">
        <f aca="false">TEXT(B171,"ddd")</f>
        <v>Wed</v>
      </c>
      <c r="N171" s="69" t="n">
        <f aca="false">IF(OR(C171="",D171=""),"",ROUND((MOD(D171-C171,1)-IF(ISNUMBER(E171),MOD(F171-E171,1),0))*24,2))</f>
        <v>8.5</v>
      </c>
      <c r="O171" s="5" t="s">
        <v>784</v>
      </c>
      <c r="P171" s="6" t="n">
        <v>46309</v>
      </c>
      <c r="Q171" s="5" t="str">
        <f aca="false">IF(B171&lt;$U$1,"Prior period",IF(B171&gt;$U$2,"Future period","Current period"))</f>
        <v>Prior period</v>
      </c>
      <c r="R171" s="5" t="str">
        <f aca="false" t="array" ref="R171:R171">_xlfn.XLOOKUP(A171,TRIM(SUBSTITUTE('worker file'!$A$2:$A$406,_xlfn.UNICHAR(160)," ")),'worker file'!$D$2:$D$406,"Not found")</f>
        <v>CA</v>
      </c>
    </row>
    <row r="172" customFormat="false" ht="15" hidden="false" customHeight="false" outlineLevel="0" collapsed="false">
      <c r="A172" s="5" t="s">
        <v>238</v>
      </c>
      <c r="B172" s="6" t="n">
        <v>46299</v>
      </c>
      <c r="C172" s="62" t="n">
        <v>0.918055555555556</v>
      </c>
      <c r="D172" s="62" t="n">
        <v>0.270138888888889</v>
      </c>
      <c r="E172" s="63" t="n">
        <v>0.0875</v>
      </c>
      <c r="F172" s="64" t="n">
        <v>0.108333333333333</v>
      </c>
      <c r="G172" s="65" t="str">
        <f aca="false" t="array" ref="G172:G172">_xlfn.XLOOKUP(A172&amp;"|"&amp;B172,ShiftRoster[Employee ID]&amp;"|"&amp;ShiftRoster[Date],ShiftRoster[Shift Code],_xlfn.XLOOKUP(A172,TRIM(SUBSTITUTE('worker file'!$A$2:$A$406,_xlfn.UNICHAR(160)," ")),'worker file'!$X$2:$X$406,"?"),0,-1)</f>
        <v>NGHT</v>
      </c>
      <c r="H172" s="65" t="str">
        <f aca="false">_xlfn.XLOOKUP(G172,ShiftCodes[Code],ShiftCodes[Work Schedule],"Unknown")</f>
        <v>Shift C – Night (Sun–Thu 22:00–06:30)</v>
      </c>
      <c r="I172" s="66" t="n">
        <f aca="false">_xlfn.XLOOKUP(G172,ShiftCodes[Code],ShiftCodes[Start],"")</f>
        <v>0.916666666666667</v>
      </c>
      <c r="J172" s="67" t="n">
        <f aca="false">IF(OR(C172="",I172=""),"",ROUND((MOD(C172-I172+0.5,1)-0.5)*1440,0))</f>
        <v>2</v>
      </c>
      <c r="K172" s="65" t="str">
        <f aca="false">IF(J172="","",IF(ABS(J172)&gt;$U$3,"Off-schedule","OK"))</f>
        <v>OK</v>
      </c>
      <c r="L172" s="68" t="s">
        <v>789</v>
      </c>
      <c r="M172" s="5" t="str">
        <f aca="false">TEXT(B172,"ddd")</f>
        <v>Sun</v>
      </c>
      <c r="N172" s="69" t="n">
        <f aca="false">IF(OR(C172="",D172=""),"",ROUND((MOD(D172-C172,1)-IF(ISNUMBER(E172),MOD(F172-E172,1),0))*24,2))</f>
        <v>7.95</v>
      </c>
      <c r="O172" s="5" t="s">
        <v>768</v>
      </c>
      <c r="P172" s="6" t="n">
        <v>46300</v>
      </c>
      <c r="Q172" s="5" t="str">
        <f aca="false">IF(B172&lt;$U$1,"Prior period",IF(B172&gt;$U$2,"Future period","Current period"))</f>
        <v>Current period</v>
      </c>
      <c r="R172" s="5" t="str">
        <f aca="false" t="array" ref="R172:R172">_xlfn.XLOOKUP(A172,TRIM(SUBSTITUTE('worker file'!$A$2:$A$406,_xlfn.UNICHAR(160)," ")),'worker file'!$D$2:$D$406,"Not found")</f>
        <v>CA</v>
      </c>
    </row>
    <row r="173" customFormat="false" ht="15" hidden="false" customHeight="false" outlineLevel="0" collapsed="false">
      <c r="A173" s="5" t="s">
        <v>238</v>
      </c>
      <c r="B173" s="6" t="n">
        <v>46300</v>
      </c>
      <c r="C173" s="62" t="n">
        <v>0.915277777777778</v>
      </c>
      <c r="D173" s="62" t="n">
        <v>0.263888888888889</v>
      </c>
      <c r="E173" s="63" t="n">
        <v>0.0805555555555556</v>
      </c>
      <c r="F173" s="64" t="n">
        <v>0.101388888888889</v>
      </c>
      <c r="G173" s="65" t="str">
        <f aca="false" t="array" ref="G173:G173">_xlfn.XLOOKUP(A173&amp;"|"&amp;B173,ShiftRoster[Employee ID]&amp;"|"&amp;ShiftRoster[Date],ShiftRoster[Shift Code],_xlfn.XLOOKUP(A173,TRIM(SUBSTITUTE('worker file'!$A$2:$A$406,_xlfn.UNICHAR(160)," ")),'worker file'!$X$2:$X$406,"?"),0,-1)</f>
        <v>NGHT</v>
      </c>
      <c r="H173" s="65" t="str">
        <f aca="false">_xlfn.XLOOKUP(G173,ShiftCodes[Code],ShiftCodes[Work Schedule],"Unknown")</f>
        <v>Shift C – Night (Sun–Thu 22:00–06:30)</v>
      </c>
      <c r="I173" s="66" t="n">
        <f aca="false">_xlfn.XLOOKUP(G173,ShiftCodes[Code],ShiftCodes[Start],"")</f>
        <v>0.916666666666667</v>
      </c>
      <c r="J173" s="67" t="n">
        <f aca="false">IF(OR(C173="",I173=""),"",ROUND((MOD(C173-I173+0.5,1)-0.5)*1440,0))</f>
        <v>-2</v>
      </c>
      <c r="K173" s="65" t="str">
        <f aca="false">IF(J173="","",IF(ABS(J173)&gt;$U$3,"Off-schedule","OK"))</f>
        <v>OK</v>
      </c>
      <c r="L173" s="68" t="s">
        <v>789</v>
      </c>
      <c r="M173" s="5" t="str">
        <f aca="false">TEXT(B173,"ddd")</f>
        <v>Mon</v>
      </c>
      <c r="N173" s="69" t="n">
        <f aca="false">IF(OR(C173="",D173=""),"",ROUND((MOD(D173-C173,1)-IF(ISNUMBER(E173),MOD(F173-E173,1),0))*24,2))</f>
        <v>7.87</v>
      </c>
      <c r="O173" s="5" t="s">
        <v>768</v>
      </c>
      <c r="P173" s="6" t="n">
        <v>46301</v>
      </c>
      <c r="Q173" s="5" t="str">
        <f aca="false">IF(B173&lt;$U$1,"Prior period",IF(B173&gt;$U$2,"Future period","Current period"))</f>
        <v>Current period</v>
      </c>
      <c r="R173" s="5" t="str">
        <f aca="false" t="array" ref="R173:R173">_xlfn.XLOOKUP(A173,TRIM(SUBSTITUTE('worker file'!$A$2:$A$406,_xlfn.UNICHAR(160)," ")),'worker file'!$D$2:$D$406,"Not found")</f>
        <v>CA</v>
      </c>
    </row>
    <row r="174" customFormat="false" ht="15" hidden="false" customHeight="false" outlineLevel="0" collapsed="false">
      <c r="A174" s="5" t="s">
        <v>238</v>
      </c>
      <c r="B174" s="6" t="n">
        <v>46301</v>
      </c>
      <c r="C174" s="62" t="n">
        <v>0.915277777777778</v>
      </c>
      <c r="D174" s="62" t="n">
        <v>0.263888888888889</v>
      </c>
      <c r="E174" s="63" t="n">
        <v>0.0979166666666667</v>
      </c>
      <c r="F174" s="64" t="n">
        <v>0.11875</v>
      </c>
      <c r="G174" s="65" t="str">
        <f aca="false" t="array" ref="G174:G174">_xlfn.XLOOKUP(A174&amp;"|"&amp;B174,ShiftRoster[Employee ID]&amp;"|"&amp;ShiftRoster[Date],ShiftRoster[Shift Code],_xlfn.XLOOKUP(A174,TRIM(SUBSTITUTE('worker file'!$A$2:$A$406,_xlfn.UNICHAR(160)," ")),'worker file'!$X$2:$X$406,"?"),0,-1)</f>
        <v>NGHT</v>
      </c>
      <c r="H174" s="65" t="str">
        <f aca="false">_xlfn.XLOOKUP(G174,ShiftCodes[Code],ShiftCodes[Work Schedule],"Unknown")</f>
        <v>Shift C – Night (Sun–Thu 22:00–06:30)</v>
      </c>
      <c r="I174" s="66" t="n">
        <f aca="false">_xlfn.XLOOKUP(G174,ShiftCodes[Code],ShiftCodes[Start],"")</f>
        <v>0.916666666666667</v>
      </c>
      <c r="J174" s="67" t="n">
        <f aca="false">IF(OR(C174="",I174=""),"",ROUND((MOD(C174-I174+0.5,1)-0.5)*1440,0))</f>
        <v>-2</v>
      </c>
      <c r="K174" s="65" t="str">
        <f aca="false">IF(J174="","",IF(ABS(J174)&gt;$U$3,"Off-schedule","OK"))</f>
        <v>OK</v>
      </c>
      <c r="L174" s="68" t="s">
        <v>789</v>
      </c>
      <c r="M174" s="5" t="str">
        <f aca="false">TEXT(B174,"ddd")</f>
        <v>Tue</v>
      </c>
      <c r="N174" s="69" t="n">
        <f aca="false">IF(OR(C174="",D174=""),"",ROUND((MOD(D174-C174,1)-IF(ISNUMBER(E174),MOD(F174-E174,1),0))*24,2))</f>
        <v>7.87</v>
      </c>
      <c r="O174" s="5" t="s">
        <v>768</v>
      </c>
      <c r="P174" s="6" t="n">
        <v>46302</v>
      </c>
      <c r="Q174" s="5" t="str">
        <f aca="false">IF(B174&lt;$U$1,"Prior period",IF(B174&gt;$U$2,"Future period","Current period"))</f>
        <v>Current period</v>
      </c>
      <c r="R174" s="5" t="str">
        <f aca="false" t="array" ref="R174:R174">_xlfn.XLOOKUP(A174,TRIM(SUBSTITUTE('worker file'!$A$2:$A$406,_xlfn.UNICHAR(160)," ")),'worker file'!$D$2:$D$406,"Not found")</f>
        <v>CA</v>
      </c>
    </row>
    <row r="175" customFormat="false" ht="15" hidden="false" customHeight="false" outlineLevel="0" collapsed="false">
      <c r="A175" s="5" t="s">
        <v>238</v>
      </c>
      <c r="B175" s="6" t="n">
        <v>46302</v>
      </c>
      <c r="C175" s="62" t="n">
        <v>0.915277777777778</v>
      </c>
      <c r="D175" s="62" t="n">
        <v>0.265972222222222</v>
      </c>
      <c r="E175" s="63" t="n">
        <v>0.06875</v>
      </c>
      <c r="F175" s="64" t="n">
        <v>0.0895833333333333</v>
      </c>
      <c r="G175" s="65" t="str">
        <f aca="false" t="array" ref="G175:G175">_xlfn.XLOOKUP(A175&amp;"|"&amp;B175,ShiftRoster[Employee ID]&amp;"|"&amp;ShiftRoster[Date],ShiftRoster[Shift Code],_xlfn.XLOOKUP(A175,TRIM(SUBSTITUTE('worker file'!$A$2:$A$406,_xlfn.UNICHAR(160)," ")),'worker file'!$X$2:$X$406,"?"),0,-1)</f>
        <v>NGHT</v>
      </c>
      <c r="H175" s="65" t="str">
        <f aca="false">_xlfn.XLOOKUP(G175,ShiftCodes[Code],ShiftCodes[Work Schedule],"Unknown")</f>
        <v>Shift C – Night (Sun–Thu 22:00–06:30)</v>
      </c>
      <c r="I175" s="66" t="n">
        <f aca="false">_xlfn.XLOOKUP(G175,ShiftCodes[Code],ShiftCodes[Start],"")</f>
        <v>0.916666666666667</v>
      </c>
      <c r="J175" s="67" t="n">
        <f aca="false">IF(OR(C175="",I175=""),"",ROUND((MOD(C175-I175+0.5,1)-0.5)*1440,0))</f>
        <v>-2</v>
      </c>
      <c r="K175" s="65" t="str">
        <f aca="false">IF(J175="","",IF(ABS(J175)&gt;$U$3,"Off-schedule","OK"))</f>
        <v>OK</v>
      </c>
      <c r="L175" s="68" t="s">
        <v>789</v>
      </c>
      <c r="M175" s="5" t="str">
        <f aca="false">TEXT(B175,"ddd")</f>
        <v>Wed</v>
      </c>
      <c r="N175" s="69" t="n">
        <f aca="false">IF(OR(C175="",D175=""),"",ROUND((MOD(D175-C175,1)-IF(ISNUMBER(E175),MOD(F175-E175,1),0))*24,2))</f>
        <v>7.92</v>
      </c>
      <c r="O175" s="5" t="s">
        <v>768</v>
      </c>
      <c r="P175" s="6" t="n">
        <v>46303</v>
      </c>
      <c r="Q175" s="5" t="str">
        <f aca="false">IF(B175&lt;$U$1,"Prior period",IF(B175&gt;$U$2,"Future period","Current period"))</f>
        <v>Current period</v>
      </c>
      <c r="R175" s="5" t="str">
        <f aca="false" t="array" ref="R175:R175">_xlfn.XLOOKUP(A175,TRIM(SUBSTITUTE('worker file'!$A$2:$A$406,_xlfn.UNICHAR(160)," ")),'worker file'!$D$2:$D$406,"Not found")</f>
        <v>CA</v>
      </c>
    </row>
    <row r="176" customFormat="false" ht="15" hidden="false" customHeight="false" outlineLevel="0" collapsed="false">
      <c r="A176" s="5" t="s">
        <v>238</v>
      </c>
      <c r="B176" s="6" t="n">
        <v>46303</v>
      </c>
      <c r="C176" s="62" t="n">
        <v>0.915277777777778</v>
      </c>
      <c r="D176" s="62" t="n">
        <v>0.266666666666667</v>
      </c>
      <c r="E176" s="63" t="n">
        <v>0.0979166666666667</v>
      </c>
      <c r="F176" s="64" t="n">
        <v>0.11875</v>
      </c>
      <c r="G176" s="65" t="str">
        <f aca="false" t="array" ref="G176:G176">_xlfn.XLOOKUP(A176&amp;"|"&amp;B176,ShiftRoster[Employee ID]&amp;"|"&amp;ShiftRoster[Date],ShiftRoster[Shift Code],_xlfn.XLOOKUP(A176,TRIM(SUBSTITUTE('worker file'!$A$2:$A$406,_xlfn.UNICHAR(160)," ")),'worker file'!$X$2:$X$406,"?"),0,-1)</f>
        <v>NGHT</v>
      </c>
      <c r="H176" s="65" t="str">
        <f aca="false">_xlfn.XLOOKUP(G176,ShiftCodes[Code],ShiftCodes[Work Schedule],"Unknown")</f>
        <v>Shift C – Night (Sun–Thu 22:00–06:30)</v>
      </c>
      <c r="I176" s="66" t="n">
        <f aca="false">_xlfn.XLOOKUP(G176,ShiftCodes[Code],ShiftCodes[Start],"")</f>
        <v>0.916666666666667</v>
      </c>
      <c r="J176" s="67" t="n">
        <f aca="false">IF(OR(C176="",I176=""),"",ROUND((MOD(C176-I176+0.5,1)-0.5)*1440,0))</f>
        <v>-2</v>
      </c>
      <c r="K176" s="65" t="str">
        <f aca="false">IF(J176="","",IF(ABS(J176)&gt;$U$3,"Off-schedule","OK"))</f>
        <v>OK</v>
      </c>
      <c r="L176" s="68" t="s">
        <v>789</v>
      </c>
      <c r="M176" s="5" t="str">
        <f aca="false">TEXT(B176,"ddd")</f>
        <v>Thu</v>
      </c>
      <c r="N176" s="69" t="n">
        <f aca="false">IF(OR(C176="",D176=""),"",ROUND((MOD(D176-C176,1)-IF(ISNUMBER(E176),MOD(F176-E176,1),0))*24,2))</f>
        <v>7.93</v>
      </c>
      <c r="O176" s="5" t="s">
        <v>768</v>
      </c>
      <c r="P176" s="6" t="n">
        <v>46304</v>
      </c>
      <c r="Q176" s="5" t="str">
        <f aca="false">IF(B176&lt;$U$1,"Prior period",IF(B176&gt;$U$2,"Future period","Current period"))</f>
        <v>Current period</v>
      </c>
      <c r="R176" s="5" t="str">
        <f aca="false" t="array" ref="R176:R176">_xlfn.XLOOKUP(A176,TRIM(SUBSTITUTE('worker file'!$A$2:$A$406,_xlfn.UNICHAR(160)," ")),'worker file'!$D$2:$D$406,"Not found")</f>
        <v>CA</v>
      </c>
    </row>
    <row r="177" customFormat="false" ht="15" hidden="false" customHeight="false" outlineLevel="0" collapsed="false">
      <c r="A177" s="5" t="s">
        <v>238</v>
      </c>
      <c r="B177" s="6" t="n">
        <v>46306</v>
      </c>
      <c r="C177" s="62" t="n">
        <v>0.918055555555556</v>
      </c>
      <c r="D177" s="62" t="n">
        <v>0.271527777777778</v>
      </c>
      <c r="E177" s="63" t="n">
        <v>0.0888888888888889</v>
      </c>
      <c r="F177" s="64" t="n">
        <v>0.109722222222222</v>
      </c>
      <c r="G177" s="65" t="str">
        <f aca="false" t="array" ref="G177:G177">_xlfn.XLOOKUP(A177&amp;"|"&amp;B177,ShiftRoster[Employee ID]&amp;"|"&amp;ShiftRoster[Date],ShiftRoster[Shift Code],_xlfn.XLOOKUP(A177,TRIM(SUBSTITUTE('worker file'!$A$2:$A$406,_xlfn.UNICHAR(160)," ")),'worker file'!$X$2:$X$406,"?"),0,-1)</f>
        <v>NGHT</v>
      </c>
      <c r="H177" s="65" t="str">
        <f aca="false">_xlfn.XLOOKUP(G177,ShiftCodes[Code],ShiftCodes[Work Schedule],"Unknown")</f>
        <v>Shift C – Night (Sun–Thu 22:00–06:30)</v>
      </c>
      <c r="I177" s="66" t="n">
        <f aca="false">_xlfn.XLOOKUP(G177,ShiftCodes[Code],ShiftCodes[Start],"")</f>
        <v>0.916666666666667</v>
      </c>
      <c r="J177" s="67" t="n">
        <f aca="false">IF(OR(C177="",I177=""),"",ROUND((MOD(C177-I177+0.5,1)-0.5)*1440,0))</f>
        <v>2</v>
      </c>
      <c r="K177" s="65" t="str">
        <f aca="false">IF(J177="","",IF(ABS(J177)&gt;$U$3,"Off-schedule","OK"))</f>
        <v>OK</v>
      </c>
      <c r="L177" s="68" t="s">
        <v>789</v>
      </c>
      <c r="M177" s="5" t="str">
        <f aca="false">TEXT(B177,"ddd")</f>
        <v>Sun</v>
      </c>
      <c r="N177" s="69" t="n">
        <f aca="false">IF(OR(C177="",D177=""),"",ROUND((MOD(D177-C177,1)-IF(ISNUMBER(E177),MOD(F177-E177,1),0))*24,2))</f>
        <v>7.98</v>
      </c>
      <c r="O177" s="5" t="s">
        <v>768</v>
      </c>
      <c r="P177" s="6" t="n">
        <v>46307</v>
      </c>
      <c r="Q177" s="5" t="str">
        <f aca="false">IF(B177&lt;$U$1,"Prior period",IF(B177&gt;$U$2,"Future period","Current period"))</f>
        <v>Current period</v>
      </c>
      <c r="R177" s="5" t="str">
        <f aca="false" t="array" ref="R177:R177">_xlfn.XLOOKUP(A177,TRIM(SUBSTITUTE('worker file'!$A$2:$A$406,_xlfn.UNICHAR(160)," ")),'worker file'!$D$2:$D$406,"Not found")</f>
        <v>CA</v>
      </c>
    </row>
    <row r="178" customFormat="false" ht="15" hidden="false" customHeight="false" outlineLevel="0" collapsed="false">
      <c r="A178" s="5" t="s">
        <v>238</v>
      </c>
      <c r="B178" s="6" t="n">
        <v>46307</v>
      </c>
      <c r="C178" s="62" t="n">
        <v>0.914583333333333</v>
      </c>
      <c r="D178" s="62" t="n">
        <v>0.268055555555556</v>
      </c>
      <c r="E178" s="63" t="n">
        <v>0.0972222222222222</v>
      </c>
      <c r="F178" s="64" t="n">
        <v>0.118055555555556</v>
      </c>
      <c r="G178" s="65" t="str">
        <f aca="false" t="array" ref="G178:G178">_xlfn.XLOOKUP(A178&amp;"|"&amp;B178,ShiftRoster[Employee ID]&amp;"|"&amp;ShiftRoster[Date],ShiftRoster[Shift Code],_xlfn.XLOOKUP(A178,TRIM(SUBSTITUTE('worker file'!$A$2:$A$406,_xlfn.UNICHAR(160)," ")),'worker file'!$X$2:$X$406,"?"),0,-1)</f>
        <v>NGHT</v>
      </c>
      <c r="H178" s="65" t="str">
        <f aca="false">_xlfn.XLOOKUP(G178,ShiftCodes[Code],ShiftCodes[Work Schedule],"Unknown")</f>
        <v>Shift C – Night (Sun–Thu 22:00–06:30)</v>
      </c>
      <c r="I178" s="66" t="n">
        <f aca="false">_xlfn.XLOOKUP(G178,ShiftCodes[Code],ShiftCodes[Start],"")</f>
        <v>0.916666666666667</v>
      </c>
      <c r="J178" s="67" t="n">
        <f aca="false">IF(OR(C178="",I178=""),"",ROUND((MOD(C178-I178+0.5,1)-0.5)*1440,0))</f>
        <v>-3</v>
      </c>
      <c r="K178" s="65" t="str">
        <f aca="false">IF(J178="","",IF(ABS(J178)&gt;$U$3,"Off-schedule","OK"))</f>
        <v>OK</v>
      </c>
      <c r="L178" s="68" t="s">
        <v>789</v>
      </c>
      <c r="M178" s="5" t="str">
        <f aca="false">TEXT(B178,"ddd")</f>
        <v>Mon</v>
      </c>
      <c r="N178" s="69" t="n">
        <f aca="false">IF(OR(C178="",D178=""),"",ROUND((MOD(D178-C178,1)-IF(ISNUMBER(E178),MOD(F178-E178,1),0))*24,2))</f>
        <v>7.98</v>
      </c>
      <c r="O178" s="5" t="s">
        <v>768</v>
      </c>
      <c r="P178" s="6" t="n">
        <v>46308</v>
      </c>
      <c r="Q178" s="5" t="str">
        <f aca="false">IF(B178&lt;$U$1,"Prior period",IF(B178&gt;$U$2,"Future period","Current period"))</f>
        <v>Current period</v>
      </c>
      <c r="R178" s="5" t="str">
        <f aca="false" t="array" ref="R178:R178">_xlfn.XLOOKUP(A178,TRIM(SUBSTITUTE('worker file'!$A$2:$A$406,_xlfn.UNICHAR(160)," ")),'worker file'!$D$2:$D$406,"Not found")</f>
        <v>CA</v>
      </c>
    </row>
    <row r="179" customFormat="false" ht="15" hidden="false" customHeight="false" outlineLevel="0" collapsed="false">
      <c r="A179" s="5" t="s">
        <v>238</v>
      </c>
      <c r="B179" s="6" t="n">
        <v>46308</v>
      </c>
      <c r="C179" s="62" t="n">
        <v>0.91875</v>
      </c>
      <c r="D179" s="62" t="n">
        <v>0.271527777777778</v>
      </c>
      <c r="E179" s="63" t="n">
        <v>0.0944444444444444</v>
      </c>
      <c r="F179" s="64" t="n">
        <v>0.115277777777778</v>
      </c>
      <c r="G179" s="65" t="str">
        <f aca="false" t="array" ref="G179:G179">_xlfn.XLOOKUP(A179&amp;"|"&amp;B179,ShiftRoster[Employee ID]&amp;"|"&amp;ShiftRoster[Date],ShiftRoster[Shift Code],_xlfn.XLOOKUP(A179,TRIM(SUBSTITUTE('worker file'!$A$2:$A$406,_xlfn.UNICHAR(160)," ")),'worker file'!$X$2:$X$406,"?"),0,-1)</f>
        <v>NGHT</v>
      </c>
      <c r="H179" s="65" t="str">
        <f aca="false">_xlfn.XLOOKUP(G179,ShiftCodes[Code],ShiftCodes[Work Schedule],"Unknown")</f>
        <v>Shift C – Night (Sun–Thu 22:00–06:30)</v>
      </c>
      <c r="I179" s="66" t="n">
        <f aca="false">_xlfn.XLOOKUP(G179,ShiftCodes[Code],ShiftCodes[Start],"")</f>
        <v>0.916666666666667</v>
      </c>
      <c r="J179" s="67" t="n">
        <f aca="false">IF(OR(C179="",I179=""),"",ROUND((MOD(C179-I179+0.5,1)-0.5)*1440,0))</f>
        <v>3</v>
      </c>
      <c r="K179" s="65" t="str">
        <f aca="false">IF(J179="","",IF(ABS(J179)&gt;$U$3,"Off-schedule","OK"))</f>
        <v>OK</v>
      </c>
      <c r="L179" s="68" t="s">
        <v>789</v>
      </c>
      <c r="M179" s="5" t="str">
        <f aca="false">TEXT(B179,"ddd")</f>
        <v>Tue</v>
      </c>
      <c r="N179" s="69" t="n">
        <f aca="false">IF(OR(C179="",D179=""),"",ROUND((MOD(D179-C179,1)-IF(ISNUMBER(E179),MOD(F179-E179,1),0))*24,2))</f>
        <v>7.97</v>
      </c>
      <c r="O179" s="5" t="s">
        <v>768</v>
      </c>
      <c r="P179" s="6" t="n">
        <v>46309</v>
      </c>
      <c r="Q179" s="5" t="str">
        <f aca="false">IF(B179&lt;$U$1,"Prior period",IF(B179&gt;$U$2,"Future period","Current period"))</f>
        <v>Current period</v>
      </c>
      <c r="R179" s="5" t="str">
        <f aca="false" t="array" ref="R179:R179">_xlfn.XLOOKUP(A179,TRIM(SUBSTITUTE('worker file'!$A$2:$A$406,_xlfn.UNICHAR(160)," ")),'worker file'!$D$2:$D$406,"Not found")</f>
        <v>CA</v>
      </c>
    </row>
    <row r="180" customFormat="false" ht="15" hidden="false" customHeight="false" outlineLevel="0" collapsed="false">
      <c r="A180" s="5" t="s">
        <v>238</v>
      </c>
      <c r="B180" s="6" t="n">
        <v>46309</v>
      </c>
      <c r="C180" s="62" t="n">
        <v>0.913194444444444</v>
      </c>
      <c r="D180" s="62" t="n">
        <v>0.266666666666667</v>
      </c>
      <c r="E180" s="63" t="n">
        <v>0.08125</v>
      </c>
      <c r="F180" s="64" t="n">
        <v>0.102083333333333</v>
      </c>
      <c r="G180" s="65" t="str">
        <f aca="false" t="array" ref="G180:G180">_xlfn.XLOOKUP(A180&amp;"|"&amp;B180,ShiftRoster[Employee ID]&amp;"|"&amp;ShiftRoster[Date],ShiftRoster[Shift Code],_xlfn.XLOOKUP(A180,TRIM(SUBSTITUTE('worker file'!$A$2:$A$406,_xlfn.UNICHAR(160)," ")),'worker file'!$X$2:$X$406,"?"),0,-1)</f>
        <v>NGHT</v>
      </c>
      <c r="H180" s="65" t="str">
        <f aca="false">_xlfn.XLOOKUP(G180,ShiftCodes[Code],ShiftCodes[Work Schedule],"Unknown")</f>
        <v>Shift C – Night (Sun–Thu 22:00–06:30)</v>
      </c>
      <c r="I180" s="66" t="n">
        <f aca="false">_xlfn.XLOOKUP(G180,ShiftCodes[Code],ShiftCodes[Start],"")</f>
        <v>0.916666666666667</v>
      </c>
      <c r="J180" s="67" t="n">
        <f aca="false">IF(OR(C180="",I180=""),"",ROUND((MOD(C180-I180+0.5,1)-0.5)*1440,0))</f>
        <v>-5</v>
      </c>
      <c r="K180" s="65" t="str">
        <f aca="false">IF(J180="","",IF(ABS(J180)&gt;$U$3,"Off-schedule","OK"))</f>
        <v>OK</v>
      </c>
      <c r="L180" s="68" t="s">
        <v>789</v>
      </c>
      <c r="M180" s="5" t="str">
        <f aca="false">TEXT(B180,"ddd")</f>
        <v>Wed</v>
      </c>
      <c r="N180" s="69" t="n">
        <f aca="false">IF(OR(C180="",D180=""),"",ROUND((MOD(D180-C180,1)-IF(ISNUMBER(E180),MOD(F180-E180,1),0))*24,2))</f>
        <v>7.98</v>
      </c>
      <c r="O180" s="5" t="s">
        <v>768</v>
      </c>
      <c r="P180" s="6" t="n">
        <v>46310</v>
      </c>
      <c r="Q180" s="5" t="str">
        <f aca="false">IF(B180&lt;$U$1,"Prior period",IF(B180&gt;$U$2,"Future period","Current period"))</f>
        <v>Current period</v>
      </c>
      <c r="R180" s="5" t="str">
        <f aca="false" t="array" ref="R180:R180">_xlfn.XLOOKUP(A180,TRIM(SUBSTITUTE('worker file'!$A$2:$A$406,_xlfn.UNICHAR(160)," ")),'worker file'!$D$2:$D$406,"Not found")</f>
        <v>CA</v>
      </c>
    </row>
    <row r="181" customFormat="false" ht="15" hidden="false" customHeight="false" outlineLevel="0" collapsed="false">
      <c r="A181" s="5" t="s">
        <v>238</v>
      </c>
      <c r="B181" s="6" t="n">
        <v>46310</v>
      </c>
      <c r="C181" s="62" t="n">
        <v>0.918055555555556</v>
      </c>
      <c r="D181" s="62" t="n">
        <v>0.267361111111111</v>
      </c>
      <c r="E181" s="63" t="n">
        <v>0.101388888888889</v>
      </c>
      <c r="F181" s="64" t="n">
        <v>0.122222222222222</v>
      </c>
      <c r="G181" s="65" t="str">
        <f aca="false" t="array" ref="G181:G181">_xlfn.XLOOKUP(A181&amp;"|"&amp;B181,ShiftRoster[Employee ID]&amp;"|"&amp;ShiftRoster[Date],ShiftRoster[Shift Code],_xlfn.XLOOKUP(A181,TRIM(SUBSTITUTE('worker file'!$A$2:$A$406,_xlfn.UNICHAR(160)," ")),'worker file'!$X$2:$X$406,"?"),0,-1)</f>
        <v>NGHT</v>
      </c>
      <c r="H181" s="65" t="str">
        <f aca="false">_xlfn.XLOOKUP(G181,ShiftCodes[Code],ShiftCodes[Work Schedule],"Unknown")</f>
        <v>Shift C – Night (Sun–Thu 22:00–06:30)</v>
      </c>
      <c r="I181" s="66" t="n">
        <f aca="false">_xlfn.XLOOKUP(G181,ShiftCodes[Code],ShiftCodes[Start],"")</f>
        <v>0.916666666666667</v>
      </c>
      <c r="J181" s="67" t="n">
        <f aca="false">IF(OR(C181="",I181=""),"",ROUND((MOD(C181-I181+0.5,1)-0.5)*1440,0))</f>
        <v>2</v>
      </c>
      <c r="K181" s="65" t="str">
        <f aca="false">IF(J181="","",IF(ABS(J181)&gt;$U$3,"Off-schedule","OK"))</f>
        <v>OK</v>
      </c>
      <c r="L181" s="68" t="s">
        <v>789</v>
      </c>
      <c r="M181" s="5" t="str">
        <f aca="false">TEXT(B181,"ddd")</f>
        <v>Thu</v>
      </c>
      <c r="N181" s="69" t="n">
        <f aca="false">IF(OR(C181="",D181=""),"",ROUND((MOD(D181-C181,1)-IF(ISNUMBER(E181),MOD(F181-E181,1),0))*24,2))</f>
        <v>7.88</v>
      </c>
      <c r="O181" s="5" t="s">
        <v>768</v>
      </c>
      <c r="P181" s="6" t="n">
        <v>46311</v>
      </c>
      <c r="Q181" s="5" t="str">
        <f aca="false">IF(B181&lt;$U$1,"Prior period",IF(B181&gt;$U$2,"Future period","Current period"))</f>
        <v>Current period</v>
      </c>
      <c r="R181" s="5" t="str">
        <f aca="false" t="array" ref="R181:R181">_xlfn.XLOOKUP(A181,TRIM(SUBSTITUTE('worker file'!$A$2:$A$406,_xlfn.UNICHAR(160)," ")),'worker file'!$D$2:$D$406,"Not found")</f>
        <v>CA</v>
      </c>
    </row>
    <row r="182" customFormat="false" ht="15" hidden="false" customHeight="false" outlineLevel="0" collapsed="false">
      <c r="A182" s="5" t="s">
        <v>240</v>
      </c>
      <c r="B182" s="6" t="n">
        <v>46300</v>
      </c>
      <c r="C182" s="62" t="n">
        <v>0.252083333333333</v>
      </c>
      <c r="D182" s="62" t="n">
        <v>0.602777777777778</v>
      </c>
      <c r="E182" s="63" t="n">
        <v>0.425</v>
      </c>
      <c r="F182" s="64" t="n">
        <v>0.445833333333333</v>
      </c>
      <c r="G182" s="65" t="str">
        <f aca="false" t="array" ref="G182:G182">_xlfn.XLOOKUP(A182&amp;"|"&amp;B182,ShiftRoster[Employee ID]&amp;"|"&amp;ShiftRoster[Date],ShiftRoster[Shift Code],_xlfn.XLOOKUP(A182,TRIM(SUBSTITUTE('worker file'!$A$2:$A$406,_xlfn.UNICHAR(160)," ")),'worker file'!$X$2:$X$406,"?"),0,-1)</f>
        <v>DAY</v>
      </c>
      <c r="H182" s="65" t="str">
        <f aca="false">_xlfn.XLOOKUP(G182,ShiftCodes[Code],ShiftCodes[Work Schedule],"Unknown")</f>
        <v>Shift A – Day (Mon–Fri 06:00–14:30)</v>
      </c>
      <c r="I182" s="66" t="n">
        <f aca="false">_xlfn.XLOOKUP(G182,ShiftCodes[Code],ShiftCodes[Start],"")</f>
        <v>0.25</v>
      </c>
      <c r="J182" s="67" t="n">
        <f aca="false">IF(OR(C182="",I182=""),"",ROUND((MOD(C182-I182+0.5,1)-0.5)*1440,0))</f>
        <v>3</v>
      </c>
      <c r="K182" s="65" t="str">
        <f aca="false">IF(J182="","",IF(ABS(J182)&gt;$U$3,"Off-schedule","OK"))</f>
        <v>OK</v>
      </c>
      <c r="L182" s="68"/>
      <c r="M182" s="5" t="str">
        <f aca="false">TEXT(B182,"ddd")</f>
        <v>Mon</v>
      </c>
      <c r="N182" s="69" t="n">
        <f aca="false">IF(OR(C182="",D182=""),"",ROUND((MOD(D182-C182,1)-IF(ISNUMBER(E182),MOD(F182-E182,1),0))*24,2))</f>
        <v>7.92</v>
      </c>
      <c r="O182" s="5" t="s">
        <v>768</v>
      </c>
      <c r="P182" s="6" t="n">
        <v>46300</v>
      </c>
      <c r="Q182" s="5" t="str">
        <f aca="false">IF(B182&lt;$U$1,"Prior period",IF(B182&gt;$U$2,"Future period","Current period"))</f>
        <v>Current period</v>
      </c>
      <c r="R182" s="5" t="str">
        <f aca="false" t="array" ref="R182:R182">_xlfn.XLOOKUP(A182,TRIM(SUBSTITUTE('worker file'!$A$2:$A$406,_xlfn.UNICHAR(160)," ")),'worker file'!$D$2:$D$406,"Not found")</f>
        <v>TX</v>
      </c>
    </row>
    <row r="183" customFormat="false" ht="15" hidden="false" customHeight="false" outlineLevel="0" collapsed="false">
      <c r="A183" s="5" t="s">
        <v>240</v>
      </c>
      <c r="B183" s="6" t="n">
        <v>46301</v>
      </c>
      <c r="C183" s="62" t="n">
        <v>0.247222222222222</v>
      </c>
      <c r="D183" s="62" t="n">
        <v>0.597222222222222</v>
      </c>
      <c r="E183" s="63" t="n">
        <v>0.416666666666667</v>
      </c>
      <c r="F183" s="64" t="n">
        <v>0.4375</v>
      </c>
      <c r="G183" s="65" t="str">
        <f aca="false" t="array" ref="G183:G183">_xlfn.XLOOKUP(A183&amp;"|"&amp;B183,ShiftRoster[Employee ID]&amp;"|"&amp;ShiftRoster[Date],ShiftRoster[Shift Code],_xlfn.XLOOKUP(A183,TRIM(SUBSTITUTE('worker file'!$A$2:$A$406,_xlfn.UNICHAR(160)," ")),'worker file'!$X$2:$X$406,"?"),0,-1)</f>
        <v>DAY</v>
      </c>
      <c r="H183" s="65" t="str">
        <f aca="false">_xlfn.XLOOKUP(G183,ShiftCodes[Code],ShiftCodes[Work Schedule],"Unknown")</f>
        <v>Shift A – Day (Mon–Fri 06:00–14:30)</v>
      </c>
      <c r="I183" s="66" t="n">
        <f aca="false">_xlfn.XLOOKUP(G183,ShiftCodes[Code],ShiftCodes[Start],"")</f>
        <v>0.25</v>
      </c>
      <c r="J183" s="67" t="n">
        <f aca="false">IF(OR(C183="",I183=""),"",ROUND((MOD(C183-I183+0.5,1)-0.5)*1440,0))</f>
        <v>-4</v>
      </c>
      <c r="K183" s="65" t="str">
        <f aca="false">IF(J183="","",IF(ABS(J183)&gt;$U$3,"Off-schedule","OK"))</f>
        <v>OK</v>
      </c>
      <c r="L183" s="68"/>
      <c r="M183" s="5" t="str">
        <f aca="false">TEXT(B183,"ddd")</f>
        <v>Tue</v>
      </c>
      <c r="N183" s="69" t="n">
        <f aca="false">IF(OR(C183="",D183=""),"",ROUND((MOD(D183-C183,1)-IF(ISNUMBER(E183),MOD(F183-E183,1),0))*24,2))</f>
        <v>7.9</v>
      </c>
      <c r="O183" s="5" t="s">
        <v>768</v>
      </c>
      <c r="P183" s="6" t="n">
        <v>46301</v>
      </c>
      <c r="Q183" s="5" t="str">
        <f aca="false">IF(B183&lt;$U$1,"Prior period",IF(B183&gt;$U$2,"Future period","Current period"))</f>
        <v>Current period</v>
      </c>
      <c r="R183" s="5" t="str">
        <f aca="false" t="array" ref="R183:R183">_xlfn.XLOOKUP(A183,TRIM(SUBSTITUTE('worker file'!$A$2:$A$406,_xlfn.UNICHAR(160)," ")),'worker file'!$D$2:$D$406,"Not found")</f>
        <v>TX</v>
      </c>
    </row>
    <row r="184" customFormat="false" ht="15" hidden="false" customHeight="false" outlineLevel="0" collapsed="false">
      <c r="A184" s="5" t="s">
        <v>240</v>
      </c>
      <c r="B184" s="6" t="n">
        <v>46302</v>
      </c>
      <c r="C184" s="62" t="n">
        <v>0.247222222222222</v>
      </c>
      <c r="D184" s="62" t="n">
        <v>0.597916666666667</v>
      </c>
      <c r="E184" s="63" t="n">
        <v>0.415277777777778</v>
      </c>
      <c r="F184" s="64" t="n">
        <v>0.436111111111111</v>
      </c>
      <c r="G184" s="65" t="str">
        <f aca="false" t="array" ref="G184:G184">_xlfn.XLOOKUP(A184&amp;"|"&amp;B184,ShiftRoster[Employee ID]&amp;"|"&amp;ShiftRoster[Date],ShiftRoster[Shift Code],_xlfn.XLOOKUP(A184,TRIM(SUBSTITUTE('worker file'!$A$2:$A$406,_xlfn.UNICHAR(160)," ")),'worker file'!$X$2:$X$406,"?"),0,-1)</f>
        <v>DAY</v>
      </c>
      <c r="H184" s="65" t="str">
        <f aca="false">_xlfn.XLOOKUP(G184,ShiftCodes[Code],ShiftCodes[Work Schedule],"Unknown")</f>
        <v>Shift A – Day (Mon–Fri 06:00–14:30)</v>
      </c>
      <c r="I184" s="66" t="n">
        <f aca="false">_xlfn.XLOOKUP(G184,ShiftCodes[Code],ShiftCodes[Start],"")</f>
        <v>0.25</v>
      </c>
      <c r="J184" s="67" t="n">
        <f aca="false">IF(OR(C184="",I184=""),"",ROUND((MOD(C184-I184+0.5,1)-0.5)*1440,0))</f>
        <v>-4</v>
      </c>
      <c r="K184" s="65" t="str">
        <f aca="false">IF(J184="","",IF(ABS(J184)&gt;$U$3,"Off-schedule","OK"))</f>
        <v>OK</v>
      </c>
      <c r="L184" s="68"/>
      <c r="M184" s="5" t="str">
        <f aca="false">TEXT(B184,"ddd")</f>
        <v>Wed</v>
      </c>
      <c r="N184" s="69" t="n">
        <f aca="false">IF(OR(C184="",D184=""),"",ROUND((MOD(D184-C184,1)-IF(ISNUMBER(E184),MOD(F184-E184,1),0))*24,2))</f>
        <v>7.92</v>
      </c>
      <c r="O184" s="5" t="s">
        <v>768</v>
      </c>
      <c r="P184" s="6" t="n">
        <v>46302</v>
      </c>
      <c r="Q184" s="5" t="str">
        <f aca="false">IF(B184&lt;$U$1,"Prior period",IF(B184&gt;$U$2,"Future period","Current period"))</f>
        <v>Current period</v>
      </c>
      <c r="R184" s="5" t="str">
        <f aca="false" t="array" ref="R184:R184">_xlfn.XLOOKUP(A184,TRIM(SUBSTITUTE('worker file'!$A$2:$A$406,_xlfn.UNICHAR(160)," ")),'worker file'!$D$2:$D$406,"Not found")</f>
        <v>TX</v>
      </c>
    </row>
    <row r="185" customFormat="false" ht="15" hidden="false" customHeight="false" outlineLevel="0" collapsed="false">
      <c r="A185" s="5" t="s">
        <v>240</v>
      </c>
      <c r="B185" s="6" t="n">
        <v>46303</v>
      </c>
      <c r="C185" s="62" t="n">
        <v>0.246527777777778</v>
      </c>
      <c r="D185" s="62" t="n">
        <v>0.595138888888889</v>
      </c>
      <c r="E185" s="63" t="n">
        <v>0.393055555555556</v>
      </c>
      <c r="F185" s="64" t="n">
        <v>0.413888888888889</v>
      </c>
      <c r="G185" s="65" t="str">
        <f aca="false" t="array" ref="G185:G185">_xlfn.XLOOKUP(A185&amp;"|"&amp;B185,ShiftRoster[Employee ID]&amp;"|"&amp;ShiftRoster[Date],ShiftRoster[Shift Code],_xlfn.XLOOKUP(A185,TRIM(SUBSTITUTE('worker file'!$A$2:$A$406,_xlfn.UNICHAR(160)," ")),'worker file'!$X$2:$X$406,"?"),0,-1)</f>
        <v>DAY</v>
      </c>
      <c r="H185" s="65" t="str">
        <f aca="false">_xlfn.XLOOKUP(G185,ShiftCodes[Code],ShiftCodes[Work Schedule],"Unknown")</f>
        <v>Shift A – Day (Mon–Fri 06:00–14:30)</v>
      </c>
      <c r="I185" s="66" t="n">
        <f aca="false">_xlfn.XLOOKUP(G185,ShiftCodes[Code],ShiftCodes[Start],"")</f>
        <v>0.25</v>
      </c>
      <c r="J185" s="67" t="n">
        <f aca="false">IF(OR(C185="",I185=""),"",ROUND((MOD(C185-I185+0.5,1)-0.5)*1440,0))</f>
        <v>-5</v>
      </c>
      <c r="K185" s="65" t="str">
        <f aca="false">IF(J185="","",IF(ABS(J185)&gt;$U$3,"Off-schedule","OK"))</f>
        <v>OK</v>
      </c>
      <c r="L185" s="68"/>
      <c r="M185" s="5" t="str">
        <f aca="false">TEXT(B185,"ddd")</f>
        <v>Thu</v>
      </c>
      <c r="N185" s="69" t="n">
        <f aca="false">IF(OR(C185="",D185=""),"",ROUND((MOD(D185-C185,1)-IF(ISNUMBER(E185),MOD(F185-E185,1),0))*24,2))</f>
        <v>7.87</v>
      </c>
      <c r="O185" s="5" t="s">
        <v>768</v>
      </c>
      <c r="P185" s="6" t="n">
        <v>46303</v>
      </c>
      <c r="Q185" s="5" t="str">
        <f aca="false">IF(B185&lt;$U$1,"Prior period",IF(B185&gt;$U$2,"Future period","Current period"))</f>
        <v>Current period</v>
      </c>
      <c r="R185" s="5" t="str">
        <f aca="false" t="array" ref="R185:R185">_xlfn.XLOOKUP(A185,TRIM(SUBSTITUTE('worker file'!$A$2:$A$406,_xlfn.UNICHAR(160)," ")),'worker file'!$D$2:$D$406,"Not found")</f>
        <v>TX</v>
      </c>
    </row>
    <row r="186" customFormat="false" ht="15" hidden="false" customHeight="false" outlineLevel="0" collapsed="false">
      <c r="A186" s="5" t="s">
        <v>240</v>
      </c>
      <c r="B186" s="6" t="n">
        <v>46304</v>
      </c>
      <c r="C186" s="62" t="n">
        <v>0.247916666666667</v>
      </c>
      <c r="D186" s="62" t="n">
        <v>0.597916666666667</v>
      </c>
      <c r="E186" s="63" t="n">
        <v>0.419444444444444</v>
      </c>
      <c r="F186" s="64" t="n">
        <v>0.440277777777778</v>
      </c>
      <c r="G186" s="65" t="str">
        <f aca="false" t="array" ref="G186:G186">_xlfn.XLOOKUP(A186&amp;"|"&amp;B186,ShiftRoster[Employee ID]&amp;"|"&amp;ShiftRoster[Date],ShiftRoster[Shift Code],_xlfn.XLOOKUP(A186,TRIM(SUBSTITUTE('worker file'!$A$2:$A$406,_xlfn.UNICHAR(160)," ")),'worker file'!$X$2:$X$406,"?"),0,-1)</f>
        <v>DAY</v>
      </c>
      <c r="H186" s="65" t="str">
        <f aca="false">_xlfn.XLOOKUP(G186,ShiftCodes[Code],ShiftCodes[Work Schedule],"Unknown")</f>
        <v>Shift A – Day (Mon–Fri 06:00–14:30)</v>
      </c>
      <c r="I186" s="66" t="n">
        <f aca="false">_xlfn.XLOOKUP(G186,ShiftCodes[Code],ShiftCodes[Start],"")</f>
        <v>0.25</v>
      </c>
      <c r="J186" s="67" t="n">
        <f aca="false">IF(OR(C186="",I186=""),"",ROUND((MOD(C186-I186+0.5,1)-0.5)*1440,0))</f>
        <v>-3</v>
      </c>
      <c r="K186" s="65" t="str">
        <f aca="false">IF(J186="","",IF(ABS(J186)&gt;$U$3,"Off-schedule","OK"))</f>
        <v>OK</v>
      </c>
      <c r="L186" s="68"/>
      <c r="M186" s="5" t="str">
        <f aca="false">TEXT(B186,"ddd")</f>
        <v>Fri</v>
      </c>
      <c r="N186" s="69" t="n">
        <f aca="false">IF(OR(C186="",D186=""),"",ROUND((MOD(D186-C186,1)-IF(ISNUMBER(E186),MOD(F186-E186,1),0))*24,2))</f>
        <v>7.9</v>
      </c>
      <c r="O186" s="5" t="s">
        <v>768</v>
      </c>
      <c r="P186" s="6" t="n">
        <v>46304</v>
      </c>
      <c r="Q186" s="5" t="str">
        <f aca="false">IF(B186&lt;$U$1,"Prior period",IF(B186&gt;$U$2,"Future period","Current period"))</f>
        <v>Current period</v>
      </c>
      <c r="R186" s="5" t="str">
        <f aca="false" t="array" ref="R186:R186">_xlfn.XLOOKUP(A186,TRIM(SUBSTITUTE('worker file'!$A$2:$A$406,_xlfn.UNICHAR(160)," ")),'worker file'!$D$2:$D$406,"Not found")</f>
        <v>TX</v>
      </c>
    </row>
    <row r="187" customFormat="false" ht="15" hidden="false" customHeight="false" outlineLevel="0" collapsed="false">
      <c r="A187" s="5" t="s">
        <v>240</v>
      </c>
      <c r="B187" s="6" t="n">
        <v>46307</v>
      </c>
      <c r="C187" s="62" t="n">
        <v>0.248611111111111</v>
      </c>
      <c r="D187" s="62" t="n">
        <v>0.598611111111111</v>
      </c>
      <c r="E187" s="63" t="n">
        <v>0.426388888888889</v>
      </c>
      <c r="F187" s="64" t="n">
        <v>0.447222222222222</v>
      </c>
      <c r="G187" s="65" t="str">
        <f aca="false" t="array" ref="G187:G187">_xlfn.XLOOKUP(A187&amp;"|"&amp;B187,ShiftRoster[Employee ID]&amp;"|"&amp;ShiftRoster[Date],ShiftRoster[Shift Code],_xlfn.XLOOKUP(A187,TRIM(SUBSTITUTE('worker file'!$A$2:$A$406,_xlfn.UNICHAR(160)," ")),'worker file'!$X$2:$X$406,"?"),0,-1)</f>
        <v>DAY</v>
      </c>
      <c r="H187" s="65" t="str">
        <f aca="false">_xlfn.XLOOKUP(G187,ShiftCodes[Code],ShiftCodes[Work Schedule],"Unknown")</f>
        <v>Shift A – Day (Mon–Fri 06:00–14:30)</v>
      </c>
      <c r="I187" s="66" t="n">
        <f aca="false">_xlfn.XLOOKUP(G187,ShiftCodes[Code],ShiftCodes[Start],"")</f>
        <v>0.25</v>
      </c>
      <c r="J187" s="67" t="n">
        <f aca="false">IF(OR(C187="",I187=""),"",ROUND((MOD(C187-I187+0.5,1)-0.5)*1440,0))</f>
        <v>-2</v>
      </c>
      <c r="K187" s="65" t="str">
        <f aca="false">IF(J187="","",IF(ABS(J187)&gt;$U$3,"Off-schedule","OK"))</f>
        <v>OK</v>
      </c>
      <c r="L187" s="68"/>
      <c r="M187" s="5" t="str">
        <f aca="false">TEXT(B187,"ddd")</f>
        <v>Mon</v>
      </c>
      <c r="N187" s="69" t="n">
        <f aca="false">IF(OR(C187="",D187=""),"",ROUND((MOD(D187-C187,1)-IF(ISNUMBER(E187),MOD(F187-E187,1),0))*24,2))</f>
        <v>7.9</v>
      </c>
      <c r="O187" s="5" t="s">
        <v>768</v>
      </c>
      <c r="P187" s="6" t="n">
        <v>46307</v>
      </c>
      <c r="Q187" s="5" t="str">
        <f aca="false">IF(B187&lt;$U$1,"Prior period",IF(B187&gt;$U$2,"Future period","Current period"))</f>
        <v>Current period</v>
      </c>
      <c r="R187" s="5" t="str">
        <f aca="false" t="array" ref="R187:R187">_xlfn.XLOOKUP(A187,TRIM(SUBSTITUTE('worker file'!$A$2:$A$406,_xlfn.UNICHAR(160)," ")),'worker file'!$D$2:$D$406,"Not found")</f>
        <v>TX</v>
      </c>
    </row>
    <row r="188" customFormat="false" ht="15" hidden="false" customHeight="false" outlineLevel="0" collapsed="false">
      <c r="A188" s="5" t="s">
        <v>240</v>
      </c>
      <c r="B188" s="6" t="n">
        <v>46308</v>
      </c>
      <c r="C188" s="62" t="n">
        <v>0.249305555555556</v>
      </c>
      <c r="D188" s="62" t="n">
        <v>0.597916666666667</v>
      </c>
      <c r="E188" s="63" t="n">
        <v>0.402083333333333</v>
      </c>
      <c r="F188" s="64" t="n">
        <v>0.422916666666667</v>
      </c>
      <c r="G188" s="65" t="str">
        <f aca="false" t="array" ref="G188:G188">_xlfn.XLOOKUP(A188&amp;"|"&amp;B188,ShiftRoster[Employee ID]&amp;"|"&amp;ShiftRoster[Date],ShiftRoster[Shift Code],_xlfn.XLOOKUP(A188,TRIM(SUBSTITUTE('worker file'!$A$2:$A$406,_xlfn.UNICHAR(160)," ")),'worker file'!$X$2:$X$406,"?"),0,-1)</f>
        <v>DAY</v>
      </c>
      <c r="H188" s="65" t="str">
        <f aca="false">_xlfn.XLOOKUP(G188,ShiftCodes[Code],ShiftCodes[Work Schedule],"Unknown")</f>
        <v>Shift A – Day (Mon–Fri 06:00–14:30)</v>
      </c>
      <c r="I188" s="66" t="n">
        <f aca="false">_xlfn.XLOOKUP(G188,ShiftCodes[Code],ShiftCodes[Start],"")</f>
        <v>0.25</v>
      </c>
      <c r="J188" s="67" t="n">
        <f aca="false">IF(OR(C188="",I188=""),"",ROUND((MOD(C188-I188+0.5,1)-0.5)*1440,0))</f>
        <v>-1</v>
      </c>
      <c r="K188" s="65" t="str">
        <f aca="false">IF(J188="","",IF(ABS(J188)&gt;$U$3,"Off-schedule","OK"))</f>
        <v>OK</v>
      </c>
      <c r="L188" s="68"/>
      <c r="M188" s="5" t="str">
        <f aca="false">TEXT(B188,"ddd")</f>
        <v>Tue</v>
      </c>
      <c r="N188" s="69" t="n">
        <f aca="false">IF(OR(C188="",D188=""),"",ROUND((MOD(D188-C188,1)-IF(ISNUMBER(E188),MOD(F188-E188,1),0))*24,2))</f>
        <v>7.87</v>
      </c>
      <c r="O188" s="5" t="s">
        <v>768</v>
      </c>
      <c r="P188" s="6" t="n">
        <v>46308</v>
      </c>
      <c r="Q188" s="5" t="str">
        <f aca="false">IF(B188&lt;$U$1,"Prior period",IF(B188&gt;$U$2,"Future period","Current period"))</f>
        <v>Current period</v>
      </c>
      <c r="R188" s="5" t="str">
        <f aca="false" t="array" ref="R188:R188">_xlfn.XLOOKUP(A188,TRIM(SUBSTITUTE('worker file'!$A$2:$A$406,_xlfn.UNICHAR(160)," ")),'worker file'!$D$2:$D$406,"Not found")</f>
        <v>TX</v>
      </c>
    </row>
    <row r="189" customFormat="false" ht="15" hidden="false" customHeight="false" outlineLevel="0" collapsed="false">
      <c r="A189" s="5" t="s">
        <v>240</v>
      </c>
      <c r="B189" s="6" t="n">
        <v>46309</v>
      </c>
      <c r="C189" s="62" t="n">
        <v>0.252777777777778</v>
      </c>
      <c r="D189" s="62" t="n">
        <v>0.669444444444444</v>
      </c>
      <c r="E189" s="63" t="n">
        <v>0.439583333333333</v>
      </c>
      <c r="F189" s="64" t="n">
        <v>0.460416666666667</v>
      </c>
      <c r="G189" s="65" t="str">
        <f aca="false" t="array" ref="G189:G189">_xlfn.XLOOKUP(A189&amp;"|"&amp;B189,ShiftRoster[Employee ID]&amp;"|"&amp;ShiftRoster[Date],ShiftRoster[Shift Code],_xlfn.XLOOKUP(A189,TRIM(SUBSTITUTE('worker file'!$A$2:$A$406,_xlfn.UNICHAR(160)," ")),'worker file'!$X$2:$X$406,"?"),0,-1)</f>
        <v>DAY</v>
      </c>
      <c r="H189" s="65" t="str">
        <f aca="false">_xlfn.XLOOKUP(G189,ShiftCodes[Code],ShiftCodes[Work Schedule],"Unknown")</f>
        <v>Shift A – Day (Mon–Fri 06:00–14:30)</v>
      </c>
      <c r="I189" s="66" t="n">
        <f aca="false">_xlfn.XLOOKUP(G189,ShiftCodes[Code],ShiftCodes[Start],"")</f>
        <v>0.25</v>
      </c>
      <c r="J189" s="67" t="n">
        <f aca="false">IF(OR(C189="",I189=""),"",ROUND((MOD(C189-I189+0.5,1)-0.5)*1440,0))</f>
        <v>4</v>
      </c>
      <c r="K189" s="65" t="str">
        <f aca="false">IF(J189="","",IF(ABS(J189)&gt;$U$3,"Off-schedule","OK"))</f>
        <v>OK</v>
      </c>
      <c r="L189" s="68" t="s">
        <v>781</v>
      </c>
      <c r="M189" s="5" t="str">
        <f aca="false">TEXT(B189,"ddd")</f>
        <v>Wed</v>
      </c>
      <c r="N189" s="69" t="n">
        <f aca="false">IF(OR(C189="",D189=""),"",ROUND((MOD(D189-C189,1)-IF(ISNUMBER(E189),MOD(F189-E189,1),0))*24,2))</f>
        <v>9.5</v>
      </c>
      <c r="O189" s="5" t="s">
        <v>768</v>
      </c>
      <c r="P189" s="6" t="n">
        <v>46309</v>
      </c>
      <c r="Q189" s="5" t="str">
        <f aca="false">IF(B189&lt;$U$1,"Prior period",IF(B189&gt;$U$2,"Future period","Current period"))</f>
        <v>Current period</v>
      </c>
      <c r="R189" s="5" t="str">
        <f aca="false" t="array" ref="R189:R189">_xlfn.XLOOKUP(A189,TRIM(SUBSTITUTE('worker file'!$A$2:$A$406,_xlfn.UNICHAR(160)," ")),'worker file'!$D$2:$D$406,"Not found")</f>
        <v>TX</v>
      </c>
    </row>
    <row r="190" customFormat="false" ht="15" hidden="false" customHeight="false" outlineLevel="0" collapsed="false">
      <c r="A190" s="5" t="s">
        <v>240</v>
      </c>
      <c r="B190" s="6" t="n">
        <v>46310</v>
      </c>
      <c r="C190" s="62" t="n">
        <v>0.251388888888889</v>
      </c>
      <c r="D190" s="62" t="n">
        <v>0.603472222222222</v>
      </c>
      <c r="E190" s="63" t="n">
        <v>0.40625</v>
      </c>
      <c r="F190" s="64" t="n">
        <v>0.427083333333333</v>
      </c>
      <c r="G190" s="65" t="str">
        <f aca="false" t="array" ref="G190:G190">_xlfn.XLOOKUP(A190&amp;"|"&amp;B190,ShiftRoster[Employee ID]&amp;"|"&amp;ShiftRoster[Date],ShiftRoster[Shift Code],_xlfn.XLOOKUP(A190,TRIM(SUBSTITUTE('worker file'!$A$2:$A$406,_xlfn.UNICHAR(160)," ")),'worker file'!$X$2:$X$406,"?"),0,-1)</f>
        <v>DAY</v>
      </c>
      <c r="H190" s="65" t="str">
        <f aca="false">_xlfn.XLOOKUP(G190,ShiftCodes[Code],ShiftCodes[Work Schedule],"Unknown")</f>
        <v>Shift A – Day (Mon–Fri 06:00–14:30)</v>
      </c>
      <c r="I190" s="66" t="n">
        <f aca="false">_xlfn.XLOOKUP(G190,ShiftCodes[Code],ShiftCodes[Start],"")</f>
        <v>0.25</v>
      </c>
      <c r="J190" s="67" t="n">
        <f aca="false">IF(OR(C190="",I190=""),"",ROUND((MOD(C190-I190+0.5,1)-0.5)*1440,0))</f>
        <v>2</v>
      </c>
      <c r="K190" s="65" t="str">
        <f aca="false">IF(J190="","",IF(ABS(J190)&gt;$U$3,"Off-schedule","OK"))</f>
        <v>OK</v>
      </c>
      <c r="L190" s="68"/>
      <c r="M190" s="5" t="str">
        <f aca="false">TEXT(B190,"ddd")</f>
        <v>Thu</v>
      </c>
      <c r="N190" s="69" t="n">
        <f aca="false">IF(OR(C190="",D190=""),"",ROUND((MOD(D190-C190,1)-IF(ISNUMBER(E190),MOD(F190-E190,1),0))*24,2))</f>
        <v>7.95</v>
      </c>
      <c r="O190" s="5" t="s">
        <v>768</v>
      </c>
      <c r="P190" s="6" t="n">
        <v>46310</v>
      </c>
      <c r="Q190" s="5" t="str">
        <f aca="false">IF(B190&lt;$U$1,"Prior period",IF(B190&gt;$U$2,"Future period","Current period"))</f>
        <v>Current period</v>
      </c>
      <c r="R190" s="5" t="str">
        <f aca="false" t="array" ref="R190:R190">_xlfn.XLOOKUP(A190,TRIM(SUBSTITUTE('worker file'!$A$2:$A$406,_xlfn.UNICHAR(160)," ")),'worker file'!$D$2:$D$406,"Not found")</f>
        <v>TX</v>
      </c>
    </row>
    <row r="191" customFormat="false" ht="15" hidden="false" customHeight="false" outlineLevel="0" collapsed="false">
      <c r="A191" s="5" t="s">
        <v>240</v>
      </c>
      <c r="B191" s="6" t="n">
        <v>46311</v>
      </c>
      <c r="C191" s="62" t="n">
        <v>0.251388888888889</v>
      </c>
      <c r="D191" s="62" t="n">
        <v>0.600694444444444</v>
      </c>
      <c r="E191" s="63" t="n">
        <v>0.434722222222222</v>
      </c>
      <c r="F191" s="64" t="n">
        <v>0.455555555555556</v>
      </c>
      <c r="G191" s="65" t="str">
        <f aca="false" t="array" ref="G191:G191">_xlfn.XLOOKUP(A191&amp;"|"&amp;B191,ShiftRoster[Employee ID]&amp;"|"&amp;ShiftRoster[Date],ShiftRoster[Shift Code],_xlfn.XLOOKUP(A191,TRIM(SUBSTITUTE('worker file'!$A$2:$A$406,_xlfn.UNICHAR(160)," ")),'worker file'!$X$2:$X$406,"?"),0,-1)</f>
        <v>DAY</v>
      </c>
      <c r="H191" s="65" t="str">
        <f aca="false">_xlfn.XLOOKUP(G191,ShiftCodes[Code],ShiftCodes[Work Schedule],"Unknown")</f>
        <v>Shift A – Day (Mon–Fri 06:00–14:30)</v>
      </c>
      <c r="I191" s="66" t="n">
        <f aca="false">_xlfn.XLOOKUP(G191,ShiftCodes[Code],ShiftCodes[Start],"")</f>
        <v>0.25</v>
      </c>
      <c r="J191" s="67" t="n">
        <f aca="false">IF(OR(C191="",I191=""),"",ROUND((MOD(C191-I191+0.5,1)-0.5)*1440,0))</f>
        <v>2</v>
      </c>
      <c r="K191" s="65" t="str">
        <f aca="false">IF(J191="","",IF(ABS(J191)&gt;$U$3,"Off-schedule","OK"))</f>
        <v>OK</v>
      </c>
      <c r="L191" s="68"/>
      <c r="M191" s="5" t="str">
        <f aca="false">TEXT(B191,"ddd")</f>
        <v>Fri</v>
      </c>
      <c r="N191" s="69" t="n">
        <f aca="false">IF(OR(C191="",D191=""),"",ROUND((MOD(D191-C191,1)-IF(ISNUMBER(E191),MOD(F191-E191,1),0))*24,2))</f>
        <v>7.88</v>
      </c>
      <c r="O191" s="5" t="s">
        <v>768</v>
      </c>
      <c r="P191" s="6" t="n">
        <v>46311</v>
      </c>
      <c r="Q191" s="5" t="str">
        <f aca="false">IF(B191&lt;$U$1,"Prior period",IF(B191&gt;$U$2,"Future period","Current period"))</f>
        <v>Current period</v>
      </c>
      <c r="R191" s="5" t="str">
        <f aca="false" t="array" ref="R191:R191">_xlfn.XLOOKUP(A191,TRIM(SUBSTITUTE('worker file'!$A$2:$A$406,_xlfn.UNICHAR(160)," ")),'worker file'!$D$2:$D$406,"Not found")</f>
        <v>TX</v>
      </c>
    </row>
    <row r="192" customFormat="false" ht="15" hidden="false" customHeight="false" outlineLevel="0" collapsed="false">
      <c r="A192" s="5" t="s">
        <v>261</v>
      </c>
      <c r="B192" s="6" t="n">
        <v>46299</v>
      </c>
      <c r="C192" s="62" t="n">
        <v>0.252083333333333</v>
      </c>
      <c r="D192" s="62" t="n">
        <v>0.771527777777778</v>
      </c>
      <c r="E192" s="63" t="n">
        <v>0.425</v>
      </c>
      <c r="F192" s="64" t="n">
        <v>0.445833333333333</v>
      </c>
      <c r="G192" s="65" t="str">
        <f aca="false" t="array" ref="G192:G192">_xlfn.XLOOKUP(A192&amp;"|"&amp;B192,ShiftRoster[Employee ID]&amp;"|"&amp;ShiftRoster[Date],ShiftRoster[Shift Code],_xlfn.XLOOKUP(A192,TRIM(SUBSTITUTE('worker file'!$A$2:$A$406,_xlfn.UNICHAR(160)," ")),'worker file'!$X$2:$X$406,"?"),0,-1)</f>
        <v>WKND</v>
      </c>
      <c r="H192" s="65" t="str">
        <f aca="false">_xlfn.XLOOKUP(G192,ShiftCodes[Code],ShiftCodes[Work Schedule],"Unknown")</f>
        <v>Shift D – Weekend (Fri–Sun 06:00–18:30)</v>
      </c>
      <c r="I192" s="66" t="n">
        <f aca="false">_xlfn.XLOOKUP(G192,ShiftCodes[Code],ShiftCodes[Start],"")</f>
        <v>0.25</v>
      </c>
      <c r="J192" s="67" t="n">
        <f aca="false">IF(OR(C192="",I192=""),"",ROUND((MOD(C192-I192+0.5,1)-0.5)*1440,0))</f>
        <v>3</v>
      </c>
      <c r="K192" s="65" t="str">
        <f aca="false">IF(J192="","",IF(ABS(J192)&gt;$U$3,"Off-schedule","OK"))</f>
        <v>OK</v>
      </c>
      <c r="L192" s="68"/>
      <c r="M192" s="5" t="str">
        <f aca="false">TEXT(B192,"ddd")</f>
        <v>Sun</v>
      </c>
      <c r="N192" s="69" t="n">
        <f aca="false">IF(OR(C192="",D192=""),"",ROUND((MOD(D192-C192,1)-IF(ISNUMBER(E192),MOD(F192-E192,1),0))*24,2))</f>
        <v>11.97</v>
      </c>
      <c r="O192" s="5" t="s">
        <v>768</v>
      </c>
      <c r="P192" s="6" t="n">
        <v>46299</v>
      </c>
      <c r="Q192" s="5" t="str">
        <f aca="false">IF(B192&lt;$U$1,"Prior period",IF(B192&gt;$U$2,"Future period","Current period"))</f>
        <v>Current period</v>
      </c>
      <c r="R192" s="5" t="str">
        <f aca="false" t="array" ref="R192:R192">_xlfn.XLOOKUP(A192,TRIM(SUBSTITUTE('worker file'!$A$2:$A$406,_xlfn.UNICHAR(160)," ")),'worker file'!$D$2:$D$406,"Not found")</f>
        <v>CA</v>
      </c>
    </row>
    <row r="193" customFormat="false" ht="15" hidden="false" customHeight="false" outlineLevel="0" collapsed="false">
      <c r="A193" s="5" t="s">
        <v>270</v>
      </c>
      <c r="B193" s="6" t="n">
        <v>46299</v>
      </c>
      <c r="C193" s="62" t="n">
        <v>0.916666666666667</v>
      </c>
      <c r="D193" s="62" t="n">
        <v>0.265972222222222</v>
      </c>
      <c r="E193" s="63" t="n">
        <v>0.0875</v>
      </c>
      <c r="F193" s="64" t="n">
        <v>0.108333333333333</v>
      </c>
      <c r="G193" s="65" t="str">
        <f aca="false" t="array" ref="G193:G193">_xlfn.XLOOKUP(A193&amp;"|"&amp;B193,ShiftRoster[Employee ID]&amp;"|"&amp;ShiftRoster[Date],ShiftRoster[Shift Code],_xlfn.XLOOKUP(A193,TRIM(SUBSTITUTE('worker file'!$A$2:$A$406,_xlfn.UNICHAR(160)," ")),'worker file'!$X$2:$X$406,"?"),0,-1)</f>
        <v>NGHT</v>
      </c>
      <c r="H193" s="65" t="str">
        <f aca="false">_xlfn.XLOOKUP(G193,ShiftCodes[Code],ShiftCodes[Work Schedule],"Unknown")</f>
        <v>Shift C – Night (Sun–Thu 22:00–06:30)</v>
      </c>
      <c r="I193" s="66" t="n">
        <f aca="false">_xlfn.XLOOKUP(G193,ShiftCodes[Code],ShiftCodes[Start],"")</f>
        <v>0.916666666666667</v>
      </c>
      <c r="J193" s="67" t="n">
        <f aca="false">IF(OR(C193="",I193=""),"",ROUND((MOD(C193-I193+0.5,1)-0.5)*1440,0))</f>
        <v>0</v>
      </c>
      <c r="K193" s="65" t="str">
        <f aca="false">IF(J193="","",IF(ABS(J193)&gt;$U$3,"Off-schedule","OK"))</f>
        <v>OK</v>
      </c>
      <c r="L193" s="68" t="s">
        <v>789</v>
      </c>
      <c r="M193" s="5" t="str">
        <f aca="false">TEXT(B193,"ddd")</f>
        <v>Sun</v>
      </c>
      <c r="N193" s="69" t="n">
        <f aca="false">IF(OR(C193="",D193=""),"",ROUND((MOD(D193-C193,1)-IF(ISNUMBER(E193),MOD(F193-E193,1),0))*24,2))</f>
        <v>7.88</v>
      </c>
      <c r="O193" s="5" t="s">
        <v>768</v>
      </c>
      <c r="P193" s="6" t="n">
        <v>46300</v>
      </c>
      <c r="Q193" s="5" t="str">
        <f aca="false">IF(B193&lt;$U$1,"Prior period",IF(B193&gt;$U$2,"Future period","Current period"))</f>
        <v>Current period</v>
      </c>
      <c r="R193" s="5" t="str">
        <f aca="false" t="array" ref="R193:R193">_xlfn.XLOOKUP(A193,TRIM(SUBSTITUTE('worker file'!$A$2:$A$406,_xlfn.UNICHAR(160)," ")),'worker file'!$D$2:$D$406,"Not found")</f>
        <v>TX</v>
      </c>
    </row>
    <row r="194" customFormat="false" ht="15" hidden="false" customHeight="false" outlineLevel="0" collapsed="false">
      <c r="A194" s="5" t="s">
        <v>270</v>
      </c>
      <c r="B194" s="6" t="n">
        <v>46300</v>
      </c>
      <c r="C194" s="62" t="n">
        <v>0.913194444444444</v>
      </c>
      <c r="D194" s="62" t="n">
        <v>0.263194444444444</v>
      </c>
      <c r="E194" s="63" t="n">
        <v>0.0930555555555556</v>
      </c>
      <c r="F194" s="64" t="n">
        <v>0.113888888888889</v>
      </c>
      <c r="G194" s="65" t="str">
        <f aca="false" t="array" ref="G194:G194">_xlfn.XLOOKUP(A194&amp;"|"&amp;B194,ShiftRoster[Employee ID]&amp;"|"&amp;ShiftRoster[Date],ShiftRoster[Shift Code],_xlfn.XLOOKUP(A194,TRIM(SUBSTITUTE('worker file'!$A$2:$A$406,_xlfn.UNICHAR(160)," ")),'worker file'!$X$2:$X$406,"?"),0,-1)</f>
        <v>NGHT</v>
      </c>
      <c r="H194" s="65" t="str">
        <f aca="false">_xlfn.XLOOKUP(G194,ShiftCodes[Code],ShiftCodes[Work Schedule],"Unknown")</f>
        <v>Shift C – Night (Sun–Thu 22:00–06:30)</v>
      </c>
      <c r="I194" s="66" t="n">
        <f aca="false">_xlfn.XLOOKUP(G194,ShiftCodes[Code],ShiftCodes[Start],"")</f>
        <v>0.916666666666667</v>
      </c>
      <c r="J194" s="67" t="n">
        <f aca="false">IF(OR(C194="",I194=""),"",ROUND((MOD(C194-I194+0.5,1)-0.5)*1440,0))</f>
        <v>-5</v>
      </c>
      <c r="K194" s="65" t="str">
        <f aca="false">IF(J194="","",IF(ABS(J194)&gt;$U$3,"Off-schedule","OK"))</f>
        <v>OK</v>
      </c>
      <c r="L194" s="68" t="s">
        <v>789</v>
      </c>
      <c r="M194" s="5" t="str">
        <f aca="false">TEXT(B194,"ddd")</f>
        <v>Mon</v>
      </c>
      <c r="N194" s="69" t="n">
        <f aca="false">IF(OR(C194="",D194=""),"",ROUND((MOD(D194-C194,1)-IF(ISNUMBER(E194),MOD(F194-E194,1),0))*24,2))</f>
        <v>7.9</v>
      </c>
      <c r="O194" s="5" t="s">
        <v>768</v>
      </c>
      <c r="P194" s="6" t="n">
        <v>46301</v>
      </c>
      <c r="Q194" s="5" t="str">
        <f aca="false">IF(B194&lt;$U$1,"Prior period",IF(B194&gt;$U$2,"Future period","Current period"))</f>
        <v>Current period</v>
      </c>
      <c r="R194" s="5" t="str">
        <f aca="false" t="array" ref="R194:R194">_xlfn.XLOOKUP(A194,TRIM(SUBSTITUTE('worker file'!$A$2:$A$406,_xlfn.UNICHAR(160)," ")),'worker file'!$D$2:$D$406,"Not found")</f>
        <v>TX</v>
      </c>
    </row>
    <row r="195" customFormat="false" ht="15" hidden="false" customHeight="false" outlineLevel="0" collapsed="false">
      <c r="A195" s="5" t="s">
        <v>270</v>
      </c>
      <c r="B195" s="6" t="n">
        <v>46301</v>
      </c>
      <c r="C195" s="62" t="n">
        <v>0.915972222222222</v>
      </c>
      <c r="D195" s="62" t="n">
        <v>0.267361111111111</v>
      </c>
      <c r="E195" s="63" t="n">
        <v>0.0895833333333333</v>
      </c>
      <c r="F195" s="64" t="n">
        <v>0.110416666666667</v>
      </c>
      <c r="G195" s="65" t="str">
        <f aca="false" t="array" ref="G195:G195">_xlfn.XLOOKUP(A195&amp;"|"&amp;B195,ShiftRoster[Employee ID]&amp;"|"&amp;ShiftRoster[Date],ShiftRoster[Shift Code],_xlfn.XLOOKUP(A195,TRIM(SUBSTITUTE('worker file'!$A$2:$A$406,_xlfn.UNICHAR(160)," ")),'worker file'!$X$2:$X$406,"?"),0,-1)</f>
        <v>NGHT</v>
      </c>
      <c r="H195" s="65" t="str">
        <f aca="false">_xlfn.XLOOKUP(G195,ShiftCodes[Code],ShiftCodes[Work Schedule],"Unknown")</f>
        <v>Shift C – Night (Sun–Thu 22:00–06:30)</v>
      </c>
      <c r="I195" s="66" t="n">
        <f aca="false">_xlfn.XLOOKUP(G195,ShiftCodes[Code],ShiftCodes[Start],"")</f>
        <v>0.916666666666667</v>
      </c>
      <c r="J195" s="67" t="n">
        <f aca="false">IF(OR(C195="",I195=""),"",ROUND((MOD(C195-I195+0.5,1)-0.5)*1440,0))</f>
        <v>-1</v>
      </c>
      <c r="K195" s="65" t="str">
        <f aca="false">IF(J195="","",IF(ABS(J195)&gt;$U$3,"Off-schedule","OK"))</f>
        <v>OK</v>
      </c>
      <c r="L195" s="68" t="s">
        <v>789</v>
      </c>
      <c r="M195" s="5" t="str">
        <f aca="false">TEXT(B195,"ddd")</f>
        <v>Tue</v>
      </c>
      <c r="N195" s="69" t="n">
        <f aca="false">IF(OR(C195="",D195=""),"",ROUND((MOD(D195-C195,1)-IF(ISNUMBER(E195),MOD(F195-E195,1),0))*24,2))</f>
        <v>7.93</v>
      </c>
      <c r="O195" s="5" t="s">
        <v>768</v>
      </c>
      <c r="P195" s="6" t="n">
        <v>46302</v>
      </c>
      <c r="Q195" s="5" t="str">
        <f aca="false">IF(B195&lt;$U$1,"Prior period",IF(B195&gt;$U$2,"Future period","Current period"))</f>
        <v>Current period</v>
      </c>
      <c r="R195" s="5" t="str">
        <f aca="false" t="array" ref="R195:R195">_xlfn.XLOOKUP(A195,TRIM(SUBSTITUTE('worker file'!$A$2:$A$406,_xlfn.UNICHAR(160)," ")),'worker file'!$D$2:$D$406,"Not found")</f>
        <v>TX</v>
      </c>
    </row>
    <row r="196" customFormat="false" ht="15" hidden="false" customHeight="false" outlineLevel="0" collapsed="false">
      <c r="A196" s="5" t="s">
        <v>270</v>
      </c>
      <c r="B196" s="6" t="n">
        <v>46302</v>
      </c>
      <c r="C196" s="62" t="n">
        <v>0.91875</v>
      </c>
      <c r="D196" s="62" t="n">
        <v>0.267361111111111</v>
      </c>
      <c r="E196" s="63" t="n">
        <v>0.0673611111111111</v>
      </c>
      <c r="F196" s="64" t="n">
        <v>0.0881944444444445</v>
      </c>
      <c r="G196" s="65" t="str">
        <f aca="false" t="array" ref="G196:G196">_xlfn.XLOOKUP(A196&amp;"|"&amp;B196,ShiftRoster[Employee ID]&amp;"|"&amp;ShiftRoster[Date],ShiftRoster[Shift Code],_xlfn.XLOOKUP(A196,TRIM(SUBSTITUTE('worker file'!$A$2:$A$406,_xlfn.UNICHAR(160)," ")),'worker file'!$X$2:$X$406,"?"),0,-1)</f>
        <v>NGHT</v>
      </c>
      <c r="H196" s="65" t="str">
        <f aca="false">_xlfn.XLOOKUP(G196,ShiftCodes[Code],ShiftCodes[Work Schedule],"Unknown")</f>
        <v>Shift C – Night (Sun–Thu 22:00–06:30)</v>
      </c>
      <c r="I196" s="66" t="n">
        <f aca="false">_xlfn.XLOOKUP(G196,ShiftCodes[Code],ShiftCodes[Start],"")</f>
        <v>0.916666666666667</v>
      </c>
      <c r="J196" s="67" t="n">
        <f aca="false">IF(OR(C196="",I196=""),"",ROUND((MOD(C196-I196+0.5,1)-0.5)*1440,0))</f>
        <v>3</v>
      </c>
      <c r="K196" s="65" t="str">
        <f aca="false">IF(J196="","",IF(ABS(J196)&gt;$U$3,"Off-schedule","OK"))</f>
        <v>OK</v>
      </c>
      <c r="L196" s="68" t="s">
        <v>789</v>
      </c>
      <c r="M196" s="5" t="str">
        <f aca="false">TEXT(B196,"ddd")</f>
        <v>Wed</v>
      </c>
      <c r="N196" s="69" t="n">
        <f aca="false">IF(OR(C196="",D196=""),"",ROUND((MOD(D196-C196,1)-IF(ISNUMBER(E196),MOD(F196-E196,1),0))*24,2))</f>
        <v>7.87</v>
      </c>
      <c r="O196" s="5" t="s">
        <v>768</v>
      </c>
      <c r="P196" s="6" t="n">
        <v>46303</v>
      </c>
      <c r="Q196" s="5" t="str">
        <f aca="false">IF(B196&lt;$U$1,"Prior period",IF(B196&gt;$U$2,"Future period","Current period"))</f>
        <v>Current period</v>
      </c>
      <c r="R196" s="5" t="str">
        <f aca="false" t="array" ref="R196:R196">_xlfn.XLOOKUP(A196,TRIM(SUBSTITUTE('worker file'!$A$2:$A$406,_xlfn.UNICHAR(160)," ")),'worker file'!$D$2:$D$406,"Not found")</f>
        <v>TX</v>
      </c>
    </row>
    <row r="197" customFormat="false" ht="15" hidden="false" customHeight="false" outlineLevel="0" collapsed="false">
      <c r="A197" s="5" t="s">
        <v>270</v>
      </c>
      <c r="B197" s="6" t="n">
        <v>46303</v>
      </c>
      <c r="C197" s="62" t="n">
        <v>0.916666666666667</v>
      </c>
      <c r="D197" s="62" t="n">
        <v>0.268055555555556</v>
      </c>
      <c r="E197" s="63" t="n">
        <v>0.0979166666666667</v>
      </c>
      <c r="F197" s="64" t="n">
        <v>0.11875</v>
      </c>
      <c r="G197" s="65" t="str">
        <f aca="false" t="array" ref="G197:G197">_xlfn.XLOOKUP(A197&amp;"|"&amp;B197,ShiftRoster[Employee ID]&amp;"|"&amp;ShiftRoster[Date],ShiftRoster[Shift Code],_xlfn.XLOOKUP(A197,TRIM(SUBSTITUTE('worker file'!$A$2:$A$406,_xlfn.UNICHAR(160)," ")),'worker file'!$X$2:$X$406,"?"),0,-1)</f>
        <v>NGHT</v>
      </c>
      <c r="H197" s="65" t="str">
        <f aca="false">_xlfn.XLOOKUP(G197,ShiftCodes[Code],ShiftCodes[Work Schedule],"Unknown")</f>
        <v>Shift C – Night (Sun–Thu 22:00–06:30)</v>
      </c>
      <c r="I197" s="66" t="n">
        <f aca="false">_xlfn.XLOOKUP(G197,ShiftCodes[Code],ShiftCodes[Start],"")</f>
        <v>0.916666666666667</v>
      </c>
      <c r="J197" s="67" t="n">
        <f aca="false">IF(OR(C197="",I197=""),"",ROUND((MOD(C197-I197+0.5,1)-0.5)*1440,0))</f>
        <v>0</v>
      </c>
      <c r="K197" s="65" t="str">
        <f aca="false">IF(J197="","",IF(ABS(J197)&gt;$U$3,"Off-schedule","OK"))</f>
        <v>OK</v>
      </c>
      <c r="L197" s="68" t="s">
        <v>789</v>
      </c>
      <c r="M197" s="5" t="str">
        <f aca="false">TEXT(B197,"ddd")</f>
        <v>Thu</v>
      </c>
      <c r="N197" s="69" t="n">
        <f aca="false">IF(OR(C197="",D197=""),"",ROUND((MOD(D197-C197,1)-IF(ISNUMBER(E197),MOD(F197-E197,1),0))*24,2))</f>
        <v>7.93</v>
      </c>
      <c r="O197" s="5" t="s">
        <v>768</v>
      </c>
      <c r="P197" s="6" t="n">
        <v>46304</v>
      </c>
      <c r="Q197" s="5" t="str">
        <f aca="false">IF(B197&lt;$U$1,"Prior period",IF(B197&gt;$U$2,"Future period","Current period"))</f>
        <v>Current period</v>
      </c>
      <c r="R197" s="5" t="str">
        <f aca="false" t="array" ref="R197:R197">_xlfn.XLOOKUP(A197,TRIM(SUBSTITUTE('worker file'!$A$2:$A$406,_xlfn.UNICHAR(160)," ")),'worker file'!$D$2:$D$406,"Not found")</f>
        <v>TX</v>
      </c>
    </row>
    <row r="198" customFormat="false" ht="15" hidden="false" customHeight="false" outlineLevel="0" collapsed="false">
      <c r="A198" s="5" t="s">
        <v>270</v>
      </c>
      <c r="B198" s="6" t="n">
        <v>46306</v>
      </c>
      <c r="C198" s="62" t="n">
        <v>0.913194444444444</v>
      </c>
      <c r="D198" s="62" t="n">
        <v>0.261805555555556</v>
      </c>
      <c r="E198" s="63" t="n">
        <v>0.075</v>
      </c>
      <c r="F198" s="64" t="n">
        <v>0.0958333333333333</v>
      </c>
      <c r="G198" s="65" t="str">
        <f aca="false" t="array" ref="G198:G198">_xlfn.XLOOKUP(A198&amp;"|"&amp;B198,ShiftRoster[Employee ID]&amp;"|"&amp;ShiftRoster[Date],ShiftRoster[Shift Code],_xlfn.XLOOKUP(A198,TRIM(SUBSTITUTE('worker file'!$A$2:$A$406,_xlfn.UNICHAR(160)," ")),'worker file'!$X$2:$X$406,"?"),0,-1)</f>
        <v>NGHT</v>
      </c>
      <c r="H198" s="65" t="str">
        <f aca="false">_xlfn.XLOOKUP(G198,ShiftCodes[Code],ShiftCodes[Work Schedule],"Unknown")</f>
        <v>Shift C – Night (Sun–Thu 22:00–06:30)</v>
      </c>
      <c r="I198" s="66" t="n">
        <f aca="false">_xlfn.XLOOKUP(G198,ShiftCodes[Code],ShiftCodes[Start],"")</f>
        <v>0.916666666666667</v>
      </c>
      <c r="J198" s="67" t="n">
        <f aca="false">IF(OR(C198="",I198=""),"",ROUND((MOD(C198-I198+0.5,1)-0.5)*1440,0))</f>
        <v>-5</v>
      </c>
      <c r="K198" s="65" t="str">
        <f aca="false">IF(J198="","",IF(ABS(J198)&gt;$U$3,"Off-schedule","OK"))</f>
        <v>OK</v>
      </c>
      <c r="L198" s="68" t="s">
        <v>789</v>
      </c>
      <c r="M198" s="5" t="str">
        <f aca="false">TEXT(B198,"ddd")</f>
        <v>Sun</v>
      </c>
      <c r="N198" s="69" t="n">
        <f aca="false">IF(OR(C198="",D198=""),"",ROUND((MOD(D198-C198,1)-IF(ISNUMBER(E198),MOD(F198-E198,1),0))*24,2))</f>
        <v>7.87</v>
      </c>
      <c r="O198" s="5" t="s">
        <v>768</v>
      </c>
      <c r="P198" s="6" t="n">
        <v>46307</v>
      </c>
      <c r="Q198" s="5" t="str">
        <f aca="false">IF(B198&lt;$U$1,"Prior period",IF(B198&gt;$U$2,"Future period","Current period"))</f>
        <v>Current period</v>
      </c>
      <c r="R198" s="5" t="str">
        <f aca="false" t="array" ref="R198:R198">_xlfn.XLOOKUP(A198,TRIM(SUBSTITUTE('worker file'!$A$2:$A$406,_xlfn.UNICHAR(160)," ")),'worker file'!$D$2:$D$406,"Not found")</f>
        <v>TX</v>
      </c>
    </row>
    <row r="199" customFormat="false" ht="15" hidden="false" customHeight="false" outlineLevel="0" collapsed="false">
      <c r="A199" s="5" t="s">
        <v>270</v>
      </c>
      <c r="B199" s="6" t="n">
        <v>46307</v>
      </c>
      <c r="C199" s="62" t="n">
        <v>0.915277777777778</v>
      </c>
      <c r="D199" s="62" t="n">
        <v>0.268055555555556</v>
      </c>
      <c r="E199" s="63" t="n">
        <v>0.0833333333333333</v>
      </c>
      <c r="F199" s="64" t="n">
        <v>0.104166666666667</v>
      </c>
      <c r="G199" s="65" t="str">
        <f aca="false" t="array" ref="G199:G199">_xlfn.XLOOKUP(A199&amp;"|"&amp;B199,ShiftRoster[Employee ID]&amp;"|"&amp;ShiftRoster[Date],ShiftRoster[Shift Code],_xlfn.XLOOKUP(A199,TRIM(SUBSTITUTE('worker file'!$A$2:$A$406,_xlfn.UNICHAR(160)," ")),'worker file'!$X$2:$X$406,"?"),0,-1)</f>
        <v>NGHT</v>
      </c>
      <c r="H199" s="65" t="str">
        <f aca="false">_xlfn.XLOOKUP(G199,ShiftCodes[Code],ShiftCodes[Work Schedule],"Unknown")</f>
        <v>Shift C – Night (Sun–Thu 22:00–06:30)</v>
      </c>
      <c r="I199" s="66" t="n">
        <f aca="false">_xlfn.XLOOKUP(G199,ShiftCodes[Code],ShiftCodes[Start],"")</f>
        <v>0.916666666666667</v>
      </c>
      <c r="J199" s="67" t="n">
        <f aca="false">IF(OR(C199="",I199=""),"",ROUND((MOD(C199-I199+0.5,1)-0.5)*1440,0))</f>
        <v>-2</v>
      </c>
      <c r="K199" s="65" t="str">
        <f aca="false">IF(J199="","",IF(ABS(J199)&gt;$U$3,"Off-schedule","OK"))</f>
        <v>OK</v>
      </c>
      <c r="L199" s="68" t="s">
        <v>789</v>
      </c>
      <c r="M199" s="5" t="str">
        <f aca="false">TEXT(B199,"ddd")</f>
        <v>Mon</v>
      </c>
      <c r="N199" s="69" t="n">
        <f aca="false">IF(OR(C199="",D199=""),"",ROUND((MOD(D199-C199,1)-IF(ISNUMBER(E199),MOD(F199-E199,1),0))*24,2))</f>
        <v>7.97</v>
      </c>
      <c r="O199" s="5" t="s">
        <v>768</v>
      </c>
      <c r="P199" s="6" t="n">
        <v>46308</v>
      </c>
      <c r="Q199" s="5" t="str">
        <f aca="false">IF(B199&lt;$U$1,"Prior period",IF(B199&gt;$U$2,"Future period","Current period"))</f>
        <v>Current period</v>
      </c>
      <c r="R199" s="5" t="str">
        <f aca="false" t="array" ref="R199:R199">_xlfn.XLOOKUP(A199,TRIM(SUBSTITUTE('worker file'!$A$2:$A$406,_xlfn.UNICHAR(160)," ")),'worker file'!$D$2:$D$406,"Not found")</f>
        <v>TX</v>
      </c>
    </row>
    <row r="200" customFormat="false" ht="15" hidden="false" customHeight="false" outlineLevel="0" collapsed="false">
      <c r="A200" s="5" t="s">
        <v>270</v>
      </c>
      <c r="B200" s="6" t="n">
        <v>46308</v>
      </c>
      <c r="C200" s="62" t="n">
        <v>0.915277777777778</v>
      </c>
      <c r="D200" s="62" t="n">
        <v>0.266666666666667</v>
      </c>
      <c r="E200" s="63" t="n">
        <v>0.0861111111111111</v>
      </c>
      <c r="F200" s="64" t="n">
        <v>0.106944444444444</v>
      </c>
      <c r="G200" s="65" t="str">
        <f aca="false" t="array" ref="G200:G200">_xlfn.XLOOKUP(A200&amp;"|"&amp;B200,ShiftRoster[Employee ID]&amp;"|"&amp;ShiftRoster[Date],ShiftRoster[Shift Code],_xlfn.XLOOKUP(A200,TRIM(SUBSTITUTE('worker file'!$A$2:$A$406,_xlfn.UNICHAR(160)," ")),'worker file'!$X$2:$X$406,"?"),0,-1)</f>
        <v>NGHT</v>
      </c>
      <c r="H200" s="65" t="str">
        <f aca="false">_xlfn.XLOOKUP(G200,ShiftCodes[Code],ShiftCodes[Work Schedule],"Unknown")</f>
        <v>Shift C – Night (Sun–Thu 22:00–06:30)</v>
      </c>
      <c r="I200" s="66" t="n">
        <f aca="false">_xlfn.XLOOKUP(G200,ShiftCodes[Code],ShiftCodes[Start],"")</f>
        <v>0.916666666666667</v>
      </c>
      <c r="J200" s="67" t="n">
        <f aca="false">IF(OR(C200="",I200=""),"",ROUND((MOD(C200-I200+0.5,1)-0.5)*1440,0))</f>
        <v>-2</v>
      </c>
      <c r="K200" s="65" t="str">
        <f aca="false">IF(J200="","",IF(ABS(J200)&gt;$U$3,"Off-schedule","OK"))</f>
        <v>OK</v>
      </c>
      <c r="L200" s="68" t="s">
        <v>789</v>
      </c>
      <c r="M200" s="5" t="str">
        <f aca="false">TEXT(B200,"ddd")</f>
        <v>Tue</v>
      </c>
      <c r="N200" s="69" t="n">
        <f aca="false">IF(OR(C200="",D200=""),"",ROUND((MOD(D200-C200,1)-IF(ISNUMBER(E200),MOD(F200-E200,1),0))*24,2))</f>
        <v>7.93</v>
      </c>
      <c r="O200" s="5" t="s">
        <v>768</v>
      </c>
      <c r="P200" s="6" t="n">
        <v>46309</v>
      </c>
      <c r="Q200" s="5" t="str">
        <f aca="false">IF(B200&lt;$U$1,"Prior period",IF(B200&gt;$U$2,"Future period","Current period"))</f>
        <v>Current period</v>
      </c>
      <c r="R200" s="5" t="str">
        <f aca="false" t="array" ref="R200:R200">_xlfn.XLOOKUP(A200,TRIM(SUBSTITUTE('worker file'!$A$2:$A$406,_xlfn.UNICHAR(160)," ")),'worker file'!$D$2:$D$406,"Not found")</f>
        <v>TX</v>
      </c>
    </row>
    <row r="201" customFormat="false" ht="15" hidden="false" customHeight="false" outlineLevel="0" collapsed="false">
      <c r="A201" s="5" t="s">
        <v>270</v>
      </c>
      <c r="B201" s="6" t="n">
        <v>46309</v>
      </c>
      <c r="C201" s="62" t="n">
        <v>0.918055555555556</v>
      </c>
      <c r="D201" s="62" t="n">
        <v>0.267361111111111</v>
      </c>
      <c r="E201" s="63" t="n">
        <v>0.0972222222222222</v>
      </c>
      <c r="F201" s="64" t="n">
        <v>0.118055555555556</v>
      </c>
      <c r="G201" s="65" t="str">
        <f aca="false" t="array" ref="G201:G201">_xlfn.XLOOKUP(A201&amp;"|"&amp;B201,ShiftRoster[Employee ID]&amp;"|"&amp;ShiftRoster[Date],ShiftRoster[Shift Code],_xlfn.XLOOKUP(A201,TRIM(SUBSTITUTE('worker file'!$A$2:$A$406,_xlfn.UNICHAR(160)," ")),'worker file'!$X$2:$X$406,"?"),0,-1)</f>
        <v>NGHT</v>
      </c>
      <c r="H201" s="65" t="str">
        <f aca="false">_xlfn.XLOOKUP(G201,ShiftCodes[Code],ShiftCodes[Work Schedule],"Unknown")</f>
        <v>Shift C – Night (Sun–Thu 22:00–06:30)</v>
      </c>
      <c r="I201" s="66" t="n">
        <f aca="false">_xlfn.XLOOKUP(G201,ShiftCodes[Code],ShiftCodes[Start],"")</f>
        <v>0.916666666666667</v>
      </c>
      <c r="J201" s="67" t="n">
        <f aca="false">IF(OR(C201="",I201=""),"",ROUND((MOD(C201-I201+0.5,1)-0.5)*1440,0))</f>
        <v>2</v>
      </c>
      <c r="K201" s="65" t="str">
        <f aca="false">IF(J201="","",IF(ABS(J201)&gt;$U$3,"Off-schedule","OK"))</f>
        <v>OK</v>
      </c>
      <c r="L201" s="68" t="s">
        <v>789</v>
      </c>
      <c r="M201" s="5" t="str">
        <f aca="false">TEXT(B201,"ddd")</f>
        <v>Wed</v>
      </c>
      <c r="N201" s="69" t="n">
        <f aca="false">IF(OR(C201="",D201=""),"",ROUND((MOD(D201-C201,1)-IF(ISNUMBER(E201),MOD(F201-E201,1),0))*24,2))</f>
        <v>7.88</v>
      </c>
      <c r="O201" s="5" t="s">
        <v>768</v>
      </c>
      <c r="P201" s="6" t="n">
        <v>46310</v>
      </c>
      <c r="Q201" s="5" t="str">
        <f aca="false">IF(B201&lt;$U$1,"Prior period",IF(B201&gt;$U$2,"Future period","Current period"))</f>
        <v>Current period</v>
      </c>
      <c r="R201" s="5" t="str">
        <f aca="false" t="array" ref="R201:R201">_xlfn.XLOOKUP(A201,TRIM(SUBSTITUTE('worker file'!$A$2:$A$406,_xlfn.UNICHAR(160)," ")),'worker file'!$D$2:$D$406,"Not found")</f>
        <v>TX</v>
      </c>
    </row>
    <row r="202" customFormat="false" ht="15" hidden="false" customHeight="false" outlineLevel="0" collapsed="false">
      <c r="A202" s="5" t="s">
        <v>270</v>
      </c>
      <c r="B202" s="6" t="n">
        <v>46310</v>
      </c>
      <c r="C202" s="62" t="n">
        <v>0.918055555555556</v>
      </c>
      <c r="D202" s="62" t="n">
        <v>0.268055555555556</v>
      </c>
      <c r="E202" s="63" t="n">
        <v>0.0875</v>
      </c>
      <c r="F202" s="64" t="n">
        <v>0.108333333333333</v>
      </c>
      <c r="G202" s="65" t="str">
        <f aca="false" t="array" ref="G202:G202">_xlfn.XLOOKUP(A202&amp;"|"&amp;B202,ShiftRoster[Employee ID]&amp;"|"&amp;ShiftRoster[Date],ShiftRoster[Shift Code],_xlfn.XLOOKUP(A202,TRIM(SUBSTITUTE('worker file'!$A$2:$A$406,_xlfn.UNICHAR(160)," ")),'worker file'!$X$2:$X$406,"?"),0,-1)</f>
        <v>NGHT</v>
      </c>
      <c r="H202" s="65" t="str">
        <f aca="false">_xlfn.XLOOKUP(G202,ShiftCodes[Code],ShiftCodes[Work Schedule],"Unknown")</f>
        <v>Shift C – Night (Sun–Thu 22:00–06:30)</v>
      </c>
      <c r="I202" s="66" t="n">
        <f aca="false">_xlfn.XLOOKUP(G202,ShiftCodes[Code],ShiftCodes[Start],"")</f>
        <v>0.916666666666667</v>
      </c>
      <c r="J202" s="67" t="n">
        <f aca="false">IF(OR(C202="",I202=""),"",ROUND((MOD(C202-I202+0.5,1)-0.5)*1440,0))</f>
        <v>2</v>
      </c>
      <c r="K202" s="65" t="str">
        <f aca="false">IF(J202="","",IF(ABS(J202)&gt;$U$3,"Off-schedule","OK"))</f>
        <v>OK</v>
      </c>
      <c r="L202" s="68" t="s">
        <v>789</v>
      </c>
      <c r="M202" s="5" t="str">
        <f aca="false">TEXT(B202,"ddd")</f>
        <v>Thu</v>
      </c>
      <c r="N202" s="69" t="n">
        <f aca="false">IF(OR(C202="",D202=""),"",ROUND((MOD(D202-C202,1)-IF(ISNUMBER(E202),MOD(F202-E202,1),0))*24,2))</f>
        <v>7.9</v>
      </c>
      <c r="O202" s="5" t="s">
        <v>768</v>
      </c>
      <c r="P202" s="6" t="n">
        <v>46311</v>
      </c>
      <c r="Q202" s="5" t="str">
        <f aca="false">IF(B202&lt;$U$1,"Prior period",IF(B202&gt;$U$2,"Future period","Current period"))</f>
        <v>Current period</v>
      </c>
      <c r="R202" s="5" t="str">
        <f aca="false" t="array" ref="R202:R202">_xlfn.XLOOKUP(A202,TRIM(SUBSTITUTE('worker file'!$A$2:$A$406,_xlfn.UNICHAR(160)," ")),'worker file'!$D$2:$D$406,"Not found")</f>
        <v>TX</v>
      </c>
    </row>
    <row r="203" customFormat="false" ht="15" hidden="false" customHeight="false" outlineLevel="0" collapsed="false">
      <c r="A203" s="5" t="s">
        <v>270</v>
      </c>
      <c r="B203" s="6" t="n">
        <v>46311</v>
      </c>
      <c r="C203" s="62" t="n">
        <v>0.913888888888889</v>
      </c>
      <c r="D203" s="62" t="n">
        <v>0.263888888888889</v>
      </c>
      <c r="E203" s="63" t="n">
        <v>0.101388888888889</v>
      </c>
      <c r="F203" s="64" t="n">
        <v>0.122222222222222</v>
      </c>
      <c r="G203" s="65" t="str">
        <f aca="false" t="array" ref="G203:G203">_xlfn.XLOOKUP(A203&amp;"|"&amp;B203,ShiftRoster[Employee ID]&amp;"|"&amp;ShiftRoster[Date],ShiftRoster[Shift Code],_xlfn.XLOOKUP(A203,TRIM(SUBSTITUTE('worker file'!$A$2:$A$406,_xlfn.UNICHAR(160)," ")),'worker file'!$X$2:$X$406,"?"),0,-1)</f>
        <v>NGHT</v>
      </c>
      <c r="H203" s="65" t="str">
        <f aca="false">_xlfn.XLOOKUP(G203,ShiftCodes[Code],ShiftCodes[Work Schedule],"Unknown")</f>
        <v>Shift C – Night (Sun–Thu 22:00–06:30)</v>
      </c>
      <c r="I203" s="66" t="n">
        <f aca="false">_xlfn.XLOOKUP(G203,ShiftCodes[Code],ShiftCodes[Start],"")</f>
        <v>0.916666666666667</v>
      </c>
      <c r="J203" s="67" t="n">
        <f aca="false">IF(OR(C203="",I203=""),"",ROUND((MOD(C203-I203+0.5,1)-0.5)*1440,0))</f>
        <v>-4</v>
      </c>
      <c r="K203" s="65" t="str">
        <f aca="false">IF(J203="","",IF(ABS(J203)&gt;$U$3,"Off-schedule","OK"))</f>
        <v>OK</v>
      </c>
      <c r="L203" s="68" t="s">
        <v>790</v>
      </c>
      <c r="M203" s="5" t="str">
        <f aca="false">TEXT(B203,"ddd")</f>
        <v>Fri</v>
      </c>
      <c r="N203" s="69" t="n">
        <f aca="false">IF(OR(C203="",D203=""),"",ROUND((MOD(D203-C203,1)-IF(ISNUMBER(E203),MOD(F203-E203,1),0))*24,2))</f>
        <v>7.9</v>
      </c>
      <c r="O203" s="5" t="s">
        <v>768</v>
      </c>
      <c r="P203" s="6" t="n">
        <v>46312</v>
      </c>
      <c r="Q203" s="5" t="str">
        <f aca="false">IF(B203&lt;$U$1,"Prior period",IF(B203&gt;$U$2,"Future period","Current period"))</f>
        <v>Current period</v>
      </c>
      <c r="R203" s="5" t="str">
        <f aca="false" t="array" ref="R203:R203">_xlfn.XLOOKUP(A203,TRIM(SUBSTITUTE('worker file'!$A$2:$A$406,_xlfn.UNICHAR(160)," ")),'worker file'!$D$2:$D$406,"Not found")</f>
        <v>TX</v>
      </c>
    </row>
    <row r="204" customFormat="false" ht="15" hidden="false" customHeight="false" outlineLevel="0" collapsed="false">
      <c r="A204" s="5" t="s">
        <v>270</v>
      </c>
      <c r="B204" s="6" t="n">
        <v>46312</v>
      </c>
      <c r="C204" s="62" t="n">
        <v>0.918055555555556</v>
      </c>
      <c r="D204" s="62" t="n">
        <v>0.26875</v>
      </c>
      <c r="E204" s="63" t="n">
        <v>0.0763888888888889</v>
      </c>
      <c r="F204" s="64" t="n">
        <v>0.0972222222222222</v>
      </c>
      <c r="G204" s="65" t="str">
        <f aca="false" t="array" ref="G204:G204">_xlfn.XLOOKUP(A204&amp;"|"&amp;B204,ShiftRoster[Employee ID]&amp;"|"&amp;ShiftRoster[Date],ShiftRoster[Shift Code],_xlfn.XLOOKUP(A204,TRIM(SUBSTITUTE('worker file'!$A$2:$A$406,_xlfn.UNICHAR(160)," ")),'worker file'!$X$2:$X$406,"?"),0,-1)</f>
        <v>NGHT</v>
      </c>
      <c r="H204" s="65" t="str">
        <f aca="false">_xlfn.XLOOKUP(G204,ShiftCodes[Code],ShiftCodes[Work Schedule],"Unknown")</f>
        <v>Shift C – Night (Sun–Thu 22:00–06:30)</v>
      </c>
      <c r="I204" s="66" t="n">
        <f aca="false">_xlfn.XLOOKUP(G204,ShiftCodes[Code],ShiftCodes[Start],"")</f>
        <v>0.916666666666667</v>
      </c>
      <c r="J204" s="67" t="n">
        <f aca="false">IF(OR(C204="",I204=""),"",ROUND((MOD(C204-I204+0.5,1)-0.5)*1440,0))</f>
        <v>2</v>
      </c>
      <c r="K204" s="65" t="str">
        <f aca="false">IF(J204="","",IF(ABS(J204)&gt;$U$3,"Off-schedule","OK"))</f>
        <v>OK</v>
      </c>
      <c r="L204" s="68" t="s">
        <v>791</v>
      </c>
      <c r="M204" s="5" t="str">
        <f aca="false">TEXT(B204,"ddd")</f>
        <v>Sat</v>
      </c>
      <c r="N204" s="69" t="n">
        <f aca="false">IF(OR(C204="",D204=""),"",ROUND((MOD(D204-C204,1)-IF(ISNUMBER(E204),MOD(F204-E204,1),0))*24,2))</f>
        <v>7.92</v>
      </c>
      <c r="O204" s="5" t="s">
        <v>768</v>
      </c>
      <c r="P204" s="6" t="n">
        <v>46313</v>
      </c>
      <c r="Q204" s="5" t="str">
        <f aca="false">IF(B204&lt;$U$1,"Prior period",IF(B204&gt;$U$2,"Future period","Current period"))</f>
        <v>Current period</v>
      </c>
      <c r="R204" s="5" t="str">
        <f aca="false" t="array" ref="R204:R204">_xlfn.XLOOKUP(A204,TRIM(SUBSTITUTE('worker file'!$A$2:$A$406,_xlfn.UNICHAR(160)," ")),'worker file'!$D$2:$D$406,"Not found")</f>
        <v>TX</v>
      </c>
    </row>
    <row r="205" customFormat="false" ht="15" hidden="false" customHeight="false" outlineLevel="0" collapsed="false">
      <c r="A205" s="5" t="s">
        <v>279</v>
      </c>
      <c r="B205" s="6" t="n">
        <v>46299</v>
      </c>
      <c r="C205" s="62" t="n">
        <v>0.917361111111111</v>
      </c>
      <c r="D205" s="62" t="n">
        <v>0.267361111111111</v>
      </c>
      <c r="E205" s="63" t="n">
        <v>0.0833333333333333</v>
      </c>
      <c r="F205" s="64" t="n">
        <v>0.104166666666667</v>
      </c>
      <c r="G205" s="65" t="str">
        <f aca="false" t="array" ref="G205:G205">_xlfn.XLOOKUP(A205&amp;"|"&amp;B205,ShiftRoster[Employee ID]&amp;"|"&amp;ShiftRoster[Date],ShiftRoster[Shift Code],_xlfn.XLOOKUP(A205,TRIM(SUBSTITUTE('worker file'!$A$2:$A$406,_xlfn.UNICHAR(160)," ")),'worker file'!$X$2:$X$406,"?"),0,-1)</f>
        <v>NGHT</v>
      </c>
      <c r="H205" s="65" t="str">
        <f aca="false">_xlfn.XLOOKUP(G205,ShiftCodes[Code],ShiftCodes[Work Schedule],"Unknown")</f>
        <v>Shift C – Night (Sun–Thu 22:00–06:30)</v>
      </c>
      <c r="I205" s="66" t="n">
        <f aca="false">_xlfn.XLOOKUP(G205,ShiftCodes[Code],ShiftCodes[Start],"")</f>
        <v>0.916666666666667</v>
      </c>
      <c r="J205" s="67" t="n">
        <f aca="false">IF(OR(C205="",I205=""),"",ROUND((MOD(C205-I205+0.5,1)-0.5)*1440,0))</f>
        <v>1</v>
      </c>
      <c r="K205" s="65" t="str">
        <f aca="false">IF(J205="","",IF(ABS(J205)&gt;$U$3,"Off-schedule","OK"))</f>
        <v>OK</v>
      </c>
      <c r="L205" s="68" t="s">
        <v>789</v>
      </c>
      <c r="M205" s="5" t="str">
        <f aca="false">TEXT(B205,"ddd")</f>
        <v>Sun</v>
      </c>
      <c r="N205" s="69" t="n">
        <f aca="false">IF(OR(C205="",D205=""),"",ROUND((MOD(D205-C205,1)-IF(ISNUMBER(E205),MOD(F205-E205,1),0))*24,2))</f>
        <v>7.9</v>
      </c>
      <c r="O205" s="5" t="s">
        <v>768</v>
      </c>
      <c r="P205" s="6" t="n">
        <v>46300</v>
      </c>
      <c r="Q205" s="5" t="str">
        <f aca="false">IF(B205&lt;$U$1,"Prior period",IF(B205&gt;$U$2,"Future period","Current period"))</f>
        <v>Current period</v>
      </c>
      <c r="R205" s="5" t="str">
        <f aca="false" t="array" ref="R205:R205">_xlfn.XLOOKUP(A205,TRIM(SUBSTITUTE('worker file'!$A$2:$A$406,_xlfn.UNICHAR(160)," ")),'worker file'!$D$2:$D$406,"Not found")</f>
        <v>TX</v>
      </c>
    </row>
    <row r="206" customFormat="false" ht="15" hidden="false" customHeight="false" outlineLevel="0" collapsed="false">
      <c r="A206" s="5" t="s">
        <v>279</v>
      </c>
      <c r="B206" s="6" t="n">
        <v>46300</v>
      </c>
      <c r="C206" s="62" t="n">
        <v>0.919444444444444</v>
      </c>
      <c r="D206" s="62" t="n">
        <v>0.272916666666667</v>
      </c>
      <c r="E206" s="63" t="n">
        <v>0.0833333333333333</v>
      </c>
      <c r="F206" s="64" t="n">
        <v>0.104166666666667</v>
      </c>
      <c r="G206" s="65" t="str">
        <f aca="false" t="array" ref="G206:G206">_xlfn.XLOOKUP(A206&amp;"|"&amp;B206,ShiftRoster[Employee ID]&amp;"|"&amp;ShiftRoster[Date],ShiftRoster[Shift Code],_xlfn.XLOOKUP(A206,TRIM(SUBSTITUTE('worker file'!$A$2:$A$406,_xlfn.UNICHAR(160)," ")),'worker file'!$X$2:$X$406,"?"),0,-1)</f>
        <v>NGHT</v>
      </c>
      <c r="H206" s="65" t="str">
        <f aca="false">_xlfn.XLOOKUP(G206,ShiftCodes[Code],ShiftCodes[Work Schedule],"Unknown")</f>
        <v>Shift C – Night (Sun–Thu 22:00–06:30)</v>
      </c>
      <c r="I206" s="66" t="n">
        <f aca="false">_xlfn.XLOOKUP(G206,ShiftCodes[Code],ShiftCodes[Start],"")</f>
        <v>0.916666666666667</v>
      </c>
      <c r="J206" s="67" t="n">
        <f aca="false">IF(OR(C206="",I206=""),"",ROUND((MOD(C206-I206+0.5,1)-0.5)*1440,0))</f>
        <v>4</v>
      </c>
      <c r="K206" s="65" t="str">
        <f aca="false">IF(J206="","",IF(ABS(J206)&gt;$U$3,"Off-schedule","OK"))</f>
        <v>OK</v>
      </c>
      <c r="L206" s="68" t="s">
        <v>789</v>
      </c>
      <c r="M206" s="5" t="str">
        <f aca="false">TEXT(B206,"ddd")</f>
        <v>Mon</v>
      </c>
      <c r="N206" s="69" t="n">
        <f aca="false">IF(OR(C206="",D206=""),"",ROUND((MOD(D206-C206,1)-IF(ISNUMBER(E206),MOD(F206-E206,1),0))*24,2))</f>
        <v>7.98</v>
      </c>
      <c r="O206" s="5" t="s">
        <v>768</v>
      </c>
      <c r="P206" s="6" t="n">
        <v>46301</v>
      </c>
      <c r="Q206" s="5" t="str">
        <f aca="false">IF(B206&lt;$U$1,"Prior period",IF(B206&gt;$U$2,"Future period","Current period"))</f>
        <v>Current period</v>
      </c>
      <c r="R206" s="5" t="str">
        <f aca="false" t="array" ref="R206:R206">_xlfn.XLOOKUP(A206,TRIM(SUBSTITUTE('worker file'!$A$2:$A$406,_xlfn.UNICHAR(160)," ")),'worker file'!$D$2:$D$406,"Not found")</f>
        <v>TX</v>
      </c>
    </row>
    <row r="207" customFormat="false" ht="15" hidden="false" customHeight="false" outlineLevel="0" collapsed="false">
      <c r="A207" s="5" t="s">
        <v>279</v>
      </c>
      <c r="B207" s="6" t="n">
        <v>46301</v>
      </c>
      <c r="C207" s="62" t="n">
        <v>0.915277777777778</v>
      </c>
      <c r="D207" s="62" t="n">
        <v>0.264583333333333</v>
      </c>
      <c r="E207" s="63" t="n">
        <v>0.0868055555555556</v>
      </c>
      <c r="F207" s="64" t="n">
        <v>0.107638888888889</v>
      </c>
      <c r="G207" s="65" t="str">
        <f aca="false" t="array" ref="G207:G207">_xlfn.XLOOKUP(A207&amp;"|"&amp;B207,ShiftRoster[Employee ID]&amp;"|"&amp;ShiftRoster[Date],ShiftRoster[Shift Code],_xlfn.XLOOKUP(A207,TRIM(SUBSTITUTE('worker file'!$A$2:$A$406,_xlfn.UNICHAR(160)," ")),'worker file'!$X$2:$X$406,"?"),0,-1)</f>
        <v>NGHT</v>
      </c>
      <c r="H207" s="65" t="str">
        <f aca="false">_xlfn.XLOOKUP(G207,ShiftCodes[Code],ShiftCodes[Work Schedule],"Unknown")</f>
        <v>Shift C – Night (Sun–Thu 22:00–06:30)</v>
      </c>
      <c r="I207" s="66" t="n">
        <f aca="false">_xlfn.XLOOKUP(G207,ShiftCodes[Code],ShiftCodes[Start],"")</f>
        <v>0.916666666666667</v>
      </c>
      <c r="J207" s="67" t="n">
        <f aca="false">IF(OR(C207="",I207=""),"",ROUND((MOD(C207-I207+0.5,1)-0.5)*1440,0))</f>
        <v>-2</v>
      </c>
      <c r="K207" s="65" t="str">
        <f aca="false">IF(J207="","",IF(ABS(J207)&gt;$U$3,"Off-schedule","OK"))</f>
        <v>OK</v>
      </c>
      <c r="L207" s="68" t="s">
        <v>789</v>
      </c>
      <c r="M207" s="5" t="str">
        <f aca="false">TEXT(B207,"ddd")</f>
        <v>Tue</v>
      </c>
      <c r="N207" s="69" t="n">
        <f aca="false">IF(OR(C207="",D207=""),"",ROUND((MOD(D207-C207,1)-IF(ISNUMBER(E207),MOD(F207-E207,1),0))*24,2))</f>
        <v>7.88</v>
      </c>
      <c r="O207" s="5" t="s">
        <v>768</v>
      </c>
      <c r="P207" s="6" t="n">
        <v>46302</v>
      </c>
      <c r="Q207" s="5" t="str">
        <f aca="false">IF(B207&lt;$U$1,"Prior period",IF(B207&gt;$U$2,"Future period","Current period"))</f>
        <v>Current period</v>
      </c>
      <c r="R207" s="5" t="str">
        <f aca="false" t="array" ref="R207:R207">_xlfn.XLOOKUP(A207,TRIM(SUBSTITUTE('worker file'!$A$2:$A$406,_xlfn.UNICHAR(160)," ")),'worker file'!$D$2:$D$406,"Not found")</f>
        <v>TX</v>
      </c>
    </row>
    <row r="208" customFormat="false" ht="15" hidden="false" customHeight="false" outlineLevel="0" collapsed="false">
      <c r="A208" s="5" t="s">
        <v>279</v>
      </c>
      <c r="B208" s="6" t="n">
        <v>46302</v>
      </c>
      <c r="C208" s="62" t="n">
        <v>0.916666666666667</v>
      </c>
      <c r="D208" s="62" t="n">
        <v>0.270138888888889</v>
      </c>
      <c r="E208" s="63" t="n">
        <v>0.0715277777777778</v>
      </c>
      <c r="F208" s="64" t="n">
        <v>0.0923611111111111</v>
      </c>
      <c r="G208" s="65" t="str">
        <f aca="false" t="array" ref="G208:G208">_xlfn.XLOOKUP(A208&amp;"|"&amp;B208,ShiftRoster[Employee ID]&amp;"|"&amp;ShiftRoster[Date],ShiftRoster[Shift Code],_xlfn.XLOOKUP(A208,TRIM(SUBSTITUTE('worker file'!$A$2:$A$406,_xlfn.UNICHAR(160)," ")),'worker file'!$X$2:$X$406,"?"),0,-1)</f>
        <v>NGHT</v>
      </c>
      <c r="H208" s="65" t="str">
        <f aca="false">_xlfn.XLOOKUP(G208,ShiftCodes[Code],ShiftCodes[Work Schedule],"Unknown")</f>
        <v>Shift C – Night (Sun–Thu 22:00–06:30)</v>
      </c>
      <c r="I208" s="66" t="n">
        <f aca="false">_xlfn.XLOOKUP(G208,ShiftCodes[Code],ShiftCodes[Start],"")</f>
        <v>0.916666666666667</v>
      </c>
      <c r="J208" s="67" t="n">
        <f aca="false">IF(OR(C208="",I208=""),"",ROUND((MOD(C208-I208+0.5,1)-0.5)*1440,0))</f>
        <v>0</v>
      </c>
      <c r="K208" s="65" t="str">
        <f aca="false">IF(J208="","",IF(ABS(J208)&gt;$U$3,"Off-schedule","OK"))</f>
        <v>OK</v>
      </c>
      <c r="L208" s="68" t="s">
        <v>789</v>
      </c>
      <c r="M208" s="5" t="str">
        <f aca="false">TEXT(B208,"ddd")</f>
        <v>Wed</v>
      </c>
      <c r="N208" s="69" t="n">
        <f aca="false">IF(OR(C208="",D208=""),"",ROUND((MOD(D208-C208,1)-IF(ISNUMBER(E208),MOD(F208-E208,1),0))*24,2))</f>
        <v>7.98</v>
      </c>
      <c r="O208" s="5" t="s">
        <v>768</v>
      </c>
      <c r="P208" s="6" t="n">
        <v>46303</v>
      </c>
      <c r="Q208" s="5" t="str">
        <f aca="false">IF(B208&lt;$U$1,"Prior period",IF(B208&gt;$U$2,"Future period","Current period"))</f>
        <v>Current period</v>
      </c>
      <c r="R208" s="5" t="str">
        <f aca="false" t="array" ref="R208:R208">_xlfn.XLOOKUP(A208,TRIM(SUBSTITUTE('worker file'!$A$2:$A$406,_xlfn.UNICHAR(160)," ")),'worker file'!$D$2:$D$406,"Not found")</f>
        <v>TX</v>
      </c>
    </row>
    <row r="209" customFormat="false" ht="15" hidden="false" customHeight="false" outlineLevel="0" collapsed="false">
      <c r="A209" s="5" t="s">
        <v>279</v>
      </c>
      <c r="B209" s="6" t="n">
        <v>46303</v>
      </c>
      <c r="C209" s="62" t="n">
        <v>0.913888888888889</v>
      </c>
      <c r="D209" s="62" t="n">
        <v>0.263888888888889</v>
      </c>
      <c r="E209" s="63" t="n">
        <v>0.0680555555555556</v>
      </c>
      <c r="F209" s="64" t="n">
        <v>0.0888888888888889</v>
      </c>
      <c r="G209" s="65" t="str">
        <f aca="false" t="array" ref="G209:G209">_xlfn.XLOOKUP(A209&amp;"|"&amp;B209,ShiftRoster[Employee ID]&amp;"|"&amp;ShiftRoster[Date],ShiftRoster[Shift Code],_xlfn.XLOOKUP(A209,TRIM(SUBSTITUTE('worker file'!$A$2:$A$406,_xlfn.UNICHAR(160)," ")),'worker file'!$X$2:$X$406,"?"),0,-1)</f>
        <v>NGHT</v>
      </c>
      <c r="H209" s="65" t="str">
        <f aca="false">_xlfn.XLOOKUP(G209,ShiftCodes[Code],ShiftCodes[Work Schedule],"Unknown")</f>
        <v>Shift C – Night (Sun–Thu 22:00–06:30)</v>
      </c>
      <c r="I209" s="66" t="n">
        <f aca="false">_xlfn.XLOOKUP(G209,ShiftCodes[Code],ShiftCodes[Start],"")</f>
        <v>0.916666666666667</v>
      </c>
      <c r="J209" s="67" t="n">
        <f aca="false">IF(OR(C209="",I209=""),"",ROUND((MOD(C209-I209+0.5,1)-0.5)*1440,0))</f>
        <v>-4</v>
      </c>
      <c r="K209" s="65" t="str">
        <f aca="false">IF(J209="","",IF(ABS(J209)&gt;$U$3,"Off-schedule","OK"))</f>
        <v>OK</v>
      </c>
      <c r="L209" s="68" t="s">
        <v>789</v>
      </c>
      <c r="M209" s="5" t="str">
        <f aca="false">TEXT(B209,"ddd")</f>
        <v>Thu</v>
      </c>
      <c r="N209" s="69" t="n">
        <f aca="false">IF(OR(C209="",D209=""),"",ROUND((MOD(D209-C209,1)-IF(ISNUMBER(E209),MOD(F209-E209,1),0))*24,2))</f>
        <v>7.9</v>
      </c>
      <c r="O209" s="5" t="s">
        <v>768</v>
      </c>
      <c r="P209" s="6" t="n">
        <v>46304</v>
      </c>
      <c r="Q209" s="5" t="str">
        <f aca="false">IF(B209&lt;$U$1,"Prior period",IF(B209&gt;$U$2,"Future period","Current period"))</f>
        <v>Current period</v>
      </c>
      <c r="R209" s="5" t="str">
        <f aca="false" t="array" ref="R209:R209">_xlfn.XLOOKUP(A209,TRIM(SUBSTITUTE('worker file'!$A$2:$A$406,_xlfn.UNICHAR(160)," ")),'worker file'!$D$2:$D$406,"Not found")</f>
        <v>TX</v>
      </c>
    </row>
    <row r="210" customFormat="false" ht="15" hidden="false" customHeight="false" outlineLevel="0" collapsed="false">
      <c r="A210" s="5" t="s">
        <v>279</v>
      </c>
      <c r="B210" s="6" t="n">
        <v>46306</v>
      </c>
      <c r="C210" s="62" t="n">
        <v>0.913888888888889</v>
      </c>
      <c r="D210" s="62" t="n">
        <v>0.263194444444444</v>
      </c>
      <c r="E210" s="63" t="n">
        <v>0.0625</v>
      </c>
      <c r="F210" s="64" t="n">
        <v>0.0833333333333333</v>
      </c>
      <c r="G210" s="65" t="str">
        <f aca="false" t="array" ref="G210:G210">_xlfn.XLOOKUP(A210&amp;"|"&amp;B210,ShiftRoster[Employee ID]&amp;"|"&amp;ShiftRoster[Date],ShiftRoster[Shift Code],_xlfn.XLOOKUP(A210,TRIM(SUBSTITUTE('worker file'!$A$2:$A$406,_xlfn.UNICHAR(160)," ")),'worker file'!$X$2:$X$406,"?"),0,-1)</f>
        <v>NGHT</v>
      </c>
      <c r="H210" s="65" t="str">
        <f aca="false">_xlfn.XLOOKUP(G210,ShiftCodes[Code],ShiftCodes[Work Schedule],"Unknown")</f>
        <v>Shift C – Night (Sun–Thu 22:00–06:30)</v>
      </c>
      <c r="I210" s="66" t="n">
        <f aca="false">_xlfn.XLOOKUP(G210,ShiftCodes[Code],ShiftCodes[Start],"")</f>
        <v>0.916666666666667</v>
      </c>
      <c r="J210" s="67" t="n">
        <f aca="false">IF(OR(C210="",I210=""),"",ROUND((MOD(C210-I210+0.5,1)-0.5)*1440,0))</f>
        <v>-4</v>
      </c>
      <c r="K210" s="65" t="str">
        <f aca="false">IF(J210="","",IF(ABS(J210)&gt;$U$3,"Off-schedule","OK"))</f>
        <v>OK</v>
      </c>
      <c r="L210" s="68" t="s">
        <v>789</v>
      </c>
      <c r="M210" s="5" t="str">
        <f aca="false">TEXT(B210,"ddd")</f>
        <v>Sun</v>
      </c>
      <c r="N210" s="69" t="n">
        <f aca="false">IF(OR(C210="",D210=""),"",ROUND((MOD(D210-C210,1)-IF(ISNUMBER(E210),MOD(F210-E210,1),0))*24,2))</f>
        <v>7.88</v>
      </c>
      <c r="O210" s="5" t="s">
        <v>768</v>
      </c>
      <c r="P210" s="6" t="n">
        <v>46307</v>
      </c>
      <c r="Q210" s="5" t="str">
        <f aca="false">IF(B210&lt;$U$1,"Prior period",IF(B210&gt;$U$2,"Future period","Current period"))</f>
        <v>Current period</v>
      </c>
      <c r="R210" s="5" t="str">
        <f aca="false" t="array" ref="R210:R210">_xlfn.XLOOKUP(A210,TRIM(SUBSTITUTE('worker file'!$A$2:$A$406,_xlfn.UNICHAR(160)," ")),'worker file'!$D$2:$D$406,"Not found")</f>
        <v>TX</v>
      </c>
    </row>
    <row r="211" customFormat="false" ht="15" hidden="false" customHeight="false" outlineLevel="0" collapsed="false">
      <c r="A211" s="5" t="s">
        <v>279</v>
      </c>
      <c r="B211" s="6" t="n">
        <v>46307</v>
      </c>
      <c r="C211" s="62" t="n">
        <v>0.913194444444444</v>
      </c>
      <c r="D211" s="62" t="n">
        <v>0.2625</v>
      </c>
      <c r="E211" s="63" t="n">
        <v>0.0729166666666667</v>
      </c>
      <c r="F211" s="64" t="n">
        <v>0.09375</v>
      </c>
      <c r="G211" s="65" t="str">
        <f aca="false" t="array" ref="G211:G211">_xlfn.XLOOKUP(A211&amp;"|"&amp;B211,ShiftRoster[Employee ID]&amp;"|"&amp;ShiftRoster[Date],ShiftRoster[Shift Code],_xlfn.XLOOKUP(A211,TRIM(SUBSTITUTE('worker file'!$A$2:$A$406,_xlfn.UNICHAR(160)," ")),'worker file'!$X$2:$X$406,"?"),0,-1)</f>
        <v>NGHT</v>
      </c>
      <c r="H211" s="65" t="str">
        <f aca="false">_xlfn.XLOOKUP(G211,ShiftCodes[Code],ShiftCodes[Work Schedule],"Unknown")</f>
        <v>Shift C – Night (Sun–Thu 22:00–06:30)</v>
      </c>
      <c r="I211" s="66" t="n">
        <f aca="false">_xlfn.XLOOKUP(G211,ShiftCodes[Code],ShiftCodes[Start],"")</f>
        <v>0.916666666666667</v>
      </c>
      <c r="J211" s="67" t="n">
        <f aca="false">IF(OR(C211="",I211=""),"",ROUND((MOD(C211-I211+0.5,1)-0.5)*1440,0))</f>
        <v>-5</v>
      </c>
      <c r="K211" s="65" t="str">
        <f aca="false">IF(J211="","",IF(ABS(J211)&gt;$U$3,"Off-schedule","OK"))</f>
        <v>OK</v>
      </c>
      <c r="L211" s="68" t="s">
        <v>789</v>
      </c>
      <c r="M211" s="5" t="str">
        <f aca="false">TEXT(B211,"ddd")</f>
        <v>Mon</v>
      </c>
      <c r="N211" s="69" t="n">
        <f aca="false">IF(OR(C211="",D211=""),"",ROUND((MOD(D211-C211,1)-IF(ISNUMBER(E211),MOD(F211-E211,1),0))*24,2))</f>
        <v>7.88</v>
      </c>
      <c r="O211" s="5" t="s">
        <v>768</v>
      </c>
      <c r="P211" s="6" t="n">
        <v>46308</v>
      </c>
      <c r="Q211" s="5" t="str">
        <f aca="false">IF(B211&lt;$U$1,"Prior period",IF(B211&gt;$U$2,"Future period","Current period"))</f>
        <v>Current period</v>
      </c>
      <c r="R211" s="5" t="str">
        <f aca="false" t="array" ref="R211:R211">_xlfn.XLOOKUP(A211,TRIM(SUBSTITUTE('worker file'!$A$2:$A$406,_xlfn.UNICHAR(160)," ")),'worker file'!$D$2:$D$406,"Not found")</f>
        <v>TX</v>
      </c>
    </row>
    <row r="212" customFormat="false" ht="15" hidden="false" customHeight="false" outlineLevel="0" collapsed="false">
      <c r="A212" s="5" t="s">
        <v>279</v>
      </c>
      <c r="B212" s="6" t="n">
        <v>46308</v>
      </c>
      <c r="C212" s="62" t="n">
        <v>0.914583333333333</v>
      </c>
      <c r="D212" s="62" t="n">
        <v>0.263194444444444</v>
      </c>
      <c r="E212" s="63" t="n">
        <v>0.0743055555555556</v>
      </c>
      <c r="F212" s="64" t="n">
        <v>0.0951388888888889</v>
      </c>
      <c r="G212" s="65" t="str">
        <f aca="false" t="array" ref="G212:G212">_xlfn.XLOOKUP(A212&amp;"|"&amp;B212,ShiftRoster[Employee ID]&amp;"|"&amp;ShiftRoster[Date],ShiftRoster[Shift Code],_xlfn.XLOOKUP(A212,TRIM(SUBSTITUTE('worker file'!$A$2:$A$406,_xlfn.UNICHAR(160)," ")),'worker file'!$X$2:$X$406,"?"),0,-1)</f>
        <v>NGHT</v>
      </c>
      <c r="H212" s="65" t="str">
        <f aca="false">_xlfn.XLOOKUP(G212,ShiftCodes[Code],ShiftCodes[Work Schedule],"Unknown")</f>
        <v>Shift C – Night (Sun–Thu 22:00–06:30)</v>
      </c>
      <c r="I212" s="66" t="n">
        <f aca="false">_xlfn.XLOOKUP(G212,ShiftCodes[Code],ShiftCodes[Start],"")</f>
        <v>0.916666666666667</v>
      </c>
      <c r="J212" s="67" t="n">
        <f aca="false">IF(OR(C212="",I212=""),"",ROUND((MOD(C212-I212+0.5,1)-0.5)*1440,0))</f>
        <v>-3</v>
      </c>
      <c r="K212" s="65" t="str">
        <f aca="false">IF(J212="","",IF(ABS(J212)&gt;$U$3,"Off-schedule","OK"))</f>
        <v>OK</v>
      </c>
      <c r="L212" s="68" t="s">
        <v>789</v>
      </c>
      <c r="M212" s="5" t="str">
        <f aca="false">TEXT(B212,"ddd")</f>
        <v>Tue</v>
      </c>
      <c r="N212" s="69" t="n">
        <f aca="false">IF(OR(C212="",D212=""),"",ROUND((MOD(D212-C212,1)-IF(ISNUMBER(E212),MOD(F212-E212,1),0))*24,2))</f>
        <v>7.87</v>
      </c>
      <c r="O212" s="5" t="s">
        <v>768</v>
      </c>
      <c r="P212" s="6" t="n">
        <v>46309</v>
      </c>
      <c r="Q212" s="5" t="str">
        <f aca="false">IF(B212&lt;$U$1,"Prior period",IF(B212&gt;$U$2,"Future period","Current period"))</f>
        <v>Current period</v>
      </c>
      <c r="R212" s="5" t="str">
        <f aca="false" t="array" ref="R212:R212">_xlfn.XLOOKUP(A212,TRIM(SUBSTITUTE('worker file'!$A$2:$A$406,_xlfn.UNICHAR(160)," ")),'worker file'!$D$2:$D$406,"Not found")</f>
        <v>TX</v>
      </c>
    </row>
    <row r="213" customFormat="false" ht="15" hidden="false" customHeight="false" outlineLevel="0" collapsed="false">
      <c r="A213" s="5" t="s">
        <v>279</v>
      </c>
      <c r="B213" s="6" t="n">
        <v>46309</v>
      </c>
      <c r="C213" s="62" t="n">
        <v>0.91875</v>
      </c>
      <c r="D213" s="62" t="n">
        <v>0.270833333333333</v>
      </c>
      <c r="E213" s="63" t="n">
        <v>0.144444444444444</v>
      </c>
      <c r="F213" s="64" t="n">
        <v>0.165277777777778</v>
      </c>
      <c r="G213" s="65" t="str">
        <f aca="false" t="array" ref="G213:G213">_xlfn.XLOOKUP(A213&amp;"|"&amp;B213,ShiftRoster[Employee ID]&amp;"|"&amp;ShiftRoster[Date],ShiftRoster[Shift Code],_xlfn.XLOOKUP(A213,TRIM(SUBSTITUTE('worker file'!$A$2:$A$406,_xlfn.UNICHAR(160)," ")),'worker file'!$X$2:$X$406,"?"),0,-1)</f>
        <v>NGHT</v>
      </c>
      <c r="H213" s="65" t="str">
        <f aca="false">_xlfn.XLOOKUP(G213,ShiftCodes[Code],ShiftCodes[Work Schedule],"Unknown")</f>
        <v>Shift C – Night (Sun–Thu 22:00–06:30)</v>
      </c>
      <c r="I213" s="66" t="n">
        <f aca="false">_xlfn.XLOOKUP(G213,ShiftCodes[Code],ShiftCodes[Start],"")</f>
        <v>0.916666666666667</v>
      </c>
      <c r="J213" s="67" t="n">
        <f aca="false">IF(OR(C213="",I213=""),"",ROUND((MOD(C213-I213+0.5,1)-0.5)*1440,0))</f>
        <v>3</v>
      </c>
      <c r="K213" s="65" t="str">
        <f aca="false">IF(J213="","",IF(ABS(J213)&gt;$U$3,"Off-schedule","OK"))</f>
        <v>OK</v>
      </c>
      <c r="L213" s="68" t="s">
        <v>792</v>
      </c>
      <c r="M213" s="5" t="str">
        <f aca="false">TEXT(B213,"ddd")</f>
        <v>Wed</v>
      </c>
      <c r="N213" s="69" t="n">
        <f aca="false">IF(OR(C213="",D213=""),"",ROUND((MOD(D213-C213,1)-IF(ISNUMBER(E213),MOD(F213-E213,1),0))*24,2))</f>
        <v>7.95</v>
      </c>
      <c r="O213" s="5" t="s">
        <v>768</v>
      </c>
      <c r="P213" s="6" t="n">
        <v>46310</v>
      </c>
      <c r="Q213" s="5" t="str">
        <f aca="false">IF(B213&lt;$U$1,"Prior period",IF(B213&gt;$U$2,"Future period","Current period"))</f>
        <v>Current period</v>
      </c>
      <c r="R213" s="5" t="str">
        <f aca="false" t="array" ref="R213:R213">_xlfn.XLOOKUP(A213,TRIM(SUBSTITUTE('worker file'!$A$2:$A$406,_xlfn.UNICHAR(160)," ")),'worker file'!$D$2:$D$406,"Not found")</f>
        <v>TX</v>
      </c>
    </row>
    <row r="214" customFormat="false" ht="15" hidden="false" customHeight="false" outlineLevel="0" collapsed="false">
      <c r="A214" s="5" t="s">
        <v>279</v>
      </c>
      <c r="B214" s="6" t="n">
        <v>46310</v>
      </c>
      <c r="C214" s="62" t="n">
        <v>0.918055555555556</v>
      </c>
      <c r="D214" s="62" t="n">
        <v>0.271527777777778</v>
      </c>
      <c r="E214" s="63" t="n">
        <v>0.0715277777777778</v>
      </c>
      <c r="F214" s="64" t="n">
        <v>0.0923611111111111</v>
      </c>
      <c r="G214" s="65" t="str">
        <f aca="false" t="array" ref="G214:G214">_xlfn.XLOOKUP(A214&amp;"|"&amp;B214,ShiftRoster[Employee ID]&amp;"|"&amp;ShiftRoster[Date],ShiftRoster[Shift Code],_xlfn.XLOOKUP(A214,TRIM(SUBSTITUTE('worker file'!$A$2:$A$406,_xlfn.UNICHAR(160)," ")),'worker file'!$X$2:$X$406,"?"),0,-1)</f>
        <v>NGHT</v>
      </c>
      <c r="H214" s="65" t="str">
        <f aca="false">_xlfn.XLOOKUP(G214,ShiftCodes[Code],ShiftCodes[Work Schedule],"Unknown")</f>
        <v>Shift C – Night (Sun–Thu 22:00–06:30)</v>
      </c>
      <c r="I214" s="66" t="n">
        <f aca="false">_xlfn.XLOOKUP(G214,ShiftCodes[Code],ShiftCodes[Start],"")</f>
        <v>0.916666666666667</v>
      </c>
      <c r="J214" s="67" t="n">
        <f aca="false">IF(OR(C214="",I214=""),"",ROUND((MOD(C214-I214+0.5,1)-0.5)*1440,0))</f>
        <v>2</v>
      </c>
      <c r="K214" s="65" t="str">
        <f aca="false">IF(J214="","",IF(ABS(J214)&gt;$U$3,"Off-schedule","OK"))</f>
        <v>OK</v>
      </c>
      <c r="L214" s="68" t="s">
        <v>789</v>
      </c>
      <c r="M214" s="5" t="str">
        <f aca="false">TEXT(B214,"ddd")</f>
        <v>Thu</v>
      </c>
      <c r="N214" s="69" t="n">
        <f aca="false">IF(OR(C214="",D214=""),"",ROUND((MOD(D214-C214,1)-IF(ISNUMBER(E214),MOD(F214-E214,1),0))*24,2))</f>
        <v>7.98</v>
      </c>
      <c r="O214" s="5" t="s">
        <v>768</v>
      </c>
      <c r="P214" s="6" t="n">
        <v>46311</v>
      </c>
      <c r="Q214" s="5" t="str">
        <f aca="false">IF(B214&lt;$U$1,"Prior period",IF(B214&gt;$U$2,"Future period","Current period"))</f>
        <v>Current period</v>
      </c>
      <c r="R214" s="5" t="str">
        <f aca="false" t="array" ref="R214:R214">_xlfn.XLOOKUP(A214,TRIM(SUBSTITUTE('worker file'!$A$2:$A$406,_xlfn.UNICHAR(160)," ")),'worker file'!$D$2:$D$406,"Not found")</f>
        <v>TX</v>
      </c>
    </row>
    <row r="215" customFormat="false" ht="15" hidden="false" customHeight="false" outlineLevel="0" collapsed="false">
      <c r="A215" s="5" t="s">
        <v>338</v>
      </c>
      <c r="B215" s="6" t="n">
        <v>46300</v>
      </c>
      <c r="C215" s="62" t="n">
        <v>0.586111111111111</v>
      </c>
      <c r="D215" s="62" t="n">
        <v>0.940277777777778</v>
      </c>
      <c r="E215" s="63" t="n">
        <v>0.740277777777778</v>
      </c>
      <c r="F215" s="64" t="n">
        <v>0.761111111111111</v>
      </c>
      <c r="G215" s="65" t="str">
        <f aca="false" t="array" ref="G215:G215">_xlfn.XLOOKUP(A215&amp;"|"&amp;B215,ShiftRoster[Employee ID]&amp;"|"&amp;ShiftRoster[Date],ShiftRoster[Shift Code],_xlfn.XLOOKUP(A215,TRIM(SUBSTITUTE('worker file'!$A$2:$A$406,_xlfn.UNICHAR(160)," ")),'worker file'!$X$2:$X$406,"?"),0,-1)</f>
        <v>SWNG</v>
      </c>
      <c r="H215" s="65" t="str">
        <f aca="false">_xlfn.XLOOKUP(G215,ShiftCodes[Code],ShiftCodes[Work Schedule],"Unknown")</f>
        <v>Shift B – Swing (Mon–Fri 14:00–22:30)</v>
      </c>
      <c r="I215" s="66" t="n">
        <f aca="false">_xlfn.XLOOKUP(G215,ShiftCodes[Code],ShiftCodes[Start],"")</f>
        <v>0.583333333333333</v>
      </c>
      <c r="J215" s="67" t="n">
        <f aca="false">IF(OR(C215="",I215=""),"",ROUND((MOD(C215-I215+0.5,1)-0.5)*1440,0))</f>
        <v>4</v>
      </c>
      <c r="K215" s="65" t="str">
        <f aca="false">IF(J215="","",IF(ABS(J215)&gt;$U$3,"Off-schedule","OK"))</f>
        <v>OK</v>
      </c>
      <c r="L215" s="68"/>
      <c r="M215" s="5" t="str">
        <f aca="false">TEXT(B215,"ddd")</f>
        <v>Mon</v>
      </c>
      <c r="N215" s="69" t="n">
        <f aca="false">IF(OR(C215="",D215=""),"",ROUND((MOD(D215-C215,1)-IF(ISNUMBER(E215),MOD(F215-E215,1),0))*24,2))</f>
        <v>8</v>
      </c>
      <c r="O215" s="5" t="s">
        <v>768</v>
      </c>
      <c r="P215" s="6" t="n">
        <v>46300</v>
      </c>
      <c r="Q215" s="5" t="str">
        <f aca="false">IF(B215&lt;$U$1,"Prior period",IF(B215&gt;$U$2,"Future period","Current period"))</f>
        <v>Current period</v>
      </c>
      <c r="R215" s="5" t="str">
        <f aca="false" t="array" ref="R215:R215">_xlfn.XLOOKUP(A215,TRIM(SUBSTITUTE('worker file'!$A$2:$A$406,_xlfn.UNICHAR(160)," ")),'worker file'!$D$2:$D$406,"Not found")</f>
        <v>TX</v>
      </c>
    </row>
    <row r="216" customFormat="false" ht="15" hidden="false" customHeight="false" outlineLevel="0" collapsed="false">
      <c r="A216" s="5" t="s">
        <v>338</v>
      </c>
      <c r="B216" s="6" t="n">
        <v>46301</v>
      </c>
      <c r="C216" s="62" t="n">
        <v>0.586111111111111</v>
      </c>
      <c r="D216" s="62" t="n">
        <v>0.935416666666667</v>
      </c>
      <c r="E216" s="63" t="n">
        <v>0.734722222222222</v>
      </c>
      <c r="F216" s="64" t="n">
        <v>0.755555555555556</v>
      </c>
      <c r="G216" s="65" t="str">
        <f aca="false" t="array" ref="G216:G216">_xlfn.XLOOKUP(A216&amp;"|"&amp;B216,ShiftRoster[Employee ID]&amp;"|"&amp;ShiftRoster[Date],ShiftRoster[Shift Code],_xlfn.XLOOKUP(A216,TRIM(SUBSTITUTE('worker file'!$A$2:$A$406,_xlfn.UNICHAR(160)," ")),'worker file'!$X$2:$X$406,"?"),0,-1)</f>
        <v>SWNG</v>
      </c>
      <c r="H216" s="65" t="str">
        <f aca="false">_xlfn.XLOOKUP(G216,ShiftCodes[Code],ShiftCodes[Work Schedule],"Unknown")</f>
        <v>Shift B – Swing (Mon–Fri 14:00–22:30)</v>
      </c>
      <c r="I216" s="66" t="n">
        <f aca="false">_xlfn.XLOOKUP(G216,ShiftCodes[Code],ShiftCodes[Start],"")</f>
        <v>0.583333333333333</v>
      </c>
      <c r="J216" s="67" t="n">
        <f aca="false">IF(OR(C216="",I216=""),"",ROUND((MOD(C216-I216+0.5,1)-0.5)*1440,0))</f>
        <v>4</v>
      </c>
      <c r="K216" s="65" t="str">
        <f aca="false">IF(J216="","",IF(ABS(J216)&gt;$U$3,"Off-schedule","OK"))</f>
        <v>OK</v>
      </c>
      <c r="L216" s="68"/>
      <c r="M216" s="5" t="str">
        <f aca="false">TEXT(B216,"ddd")</f>
        <v>Tue</v>
      </c>
      <c r="N216" s="69" t="n">
        <f aca="false">IF(OR(C216="",D216=""),"",ROUND((MOD(D216-C216,1)-IF(ISNUMBER(E216),MOD(F216-E216,1),0))*24,2))</f>
        <v>7.88</v>
      </c>
      <c r="O216" s="5" t="s">
        <v>768</v>
      </c>
      <c r="P216" s="6" t="n">
        <v>46301</v>
      </c>
      <c r="Q216" s="5" t="str">
        <f aca="false">IF(B216&lt;$U$1,"Prior period",IF(B216&gt;$U$2,"Future period","Current period"))</f>
        <v>Current period</v>
      </c>
      <c r="R216" s="5" t="str">
        <f aca="false" t="array" ref="R216:R216">_xlfn.XLOOKUP(A216,TRIM(SUBSTITUTE('worker file'!$A$2:$A$406,_xlfn.UNICHAR(160)," ")),'worker file'!$D$2:$D$406,"Not found")</f>
        <v>TX</v>
      </c>
    </row>
    <row r="217" customFormat="false" ht="15" hidden="false" customHeight="false" outlineLevel="0" collapsed="false">
      <c r="A217" s="5" t="s">
        <v>338</v>
      </c>
      <c r="B217" s="6" t="n">
        <v>46302</v>
      </c>
      <c r="C217" s="62" t="n">
        <v>0.583333333333333</v>
      </c>
      <c r="D217" s="62" t="n">
        <v>0.932638888888889</v>
      </c>
      <c r="E217" s="63" t="n">
        <v>0.763888888888889</v>
      </c>
      <c r="F217" s="64" t="n">
        <v>0.784722222222222</v>
      </c>
      <c r="G217" s="65" t="str">
        <f aca="false" t="array" ref="G217:G217">_xlfn.XLOOKUP(A217&amp;"|"&amp;B217,ShiftRoster[Employee ID]&amp;"|"&amp;ShiftRoster[Date],ShiftRoster[Shift Code],_xlfn.XLOOKUP(A217,TRIM(SUBSTITUTE('worker file'!$A$2:$A$406,_xlfn.UNICHAR(160)," ")),'worker file'!$X$2:$X$406,"?"),0,-1)</f>
        <v>SWNG</v>
      </c>
      <c r="H217" s="65" t="str">
        <f aca="false">_xlfn.XLOOKUP(G217,ShiftCodes[Code],ShiftCodes[Work Schedule],"Unknown")</f>
        <v>Shift B – Swing (Mon–Fri 14:00–22:30)</v>
      </c>
      <c r="I217" s="66" t="n">
        <f aca="false">_xlfn.XLOOKUP(G217,ShiftCodes[Code],ShiftCodes[Start],"")</f>
        <v>0.583333333333333</v>
      </c>
      <c r="J217" s="67" t="n">
        <f aca="false">IF(OR(C217="",I217=""),"",ROUND((MOD(C217-I217+0.5,1)-0.5)*1440,0))</f>
        <v>0</v>
      </c>
      <c r="K217" s="65" t="str">
        <f aca="false">IF(J217="","",IF(ABS(J217)&gt;$U$3,"Off-schedule","OK"))</f>
        <v>OK</v>
      </c>
      <c r="L217" s="68"/>
      <c r="M217" s="5" t="str">
        <f aca="false">TEXT(B217,"ddd")</f>
        <v>Wed</v>
      </c>
      <c r="N217" s="69" t="n">
        <f aca="false">IF(OR(C217="",D217=""),"",ROUND((MOD(D217-C217,1)-IF(ISNUMBER(E217),MOD(F217-E217,1),0))*24,2))</f>
        <v>7.88</v>
      </c>
      <c r="O217" s="5" t="s">
        <v>768</v>
      </c>
      <c r="P217" s="6" t="n">
        <v>46302</v>
      </c>
      <c r="Q217" s="5" t="str">
        <f aca="false">IF(B217&lt;$U$1,"Prior period",IF(B217&gt;$U$2,"Future period","Current period"))</f>
        <v>Current period</v>
      </c>
      <c r="R217" s="5" t="str">
        <f aca="false" t="array" ref="R217:R217">_xlfn.XLOOKUP(A217,TRIM(SUBSTITUTE('worker file'!$A$2:$A$406,_xlfn.UNICHAR(160)," ")),'worker file'!$D$2:$D$406,"Not found")</f>
        <v>TX</v>
      </c>
    </row>
    <row r="218" customFormat="false" ht="15" hidden="false" customHeight="false" outlineLevel="0" collapsed="false">
      <c r="A218" s="5" t="s">
        <v>338</v>
      </c>
      <c r="B218" s="6" t="n">
        <v>46303</v>
      </c>
      <c r="C218" s="62" t="n">
        <v>0.584027777777778</v>
      </c>
      <c r="D218" s="62" t="n">
        <v>0.936805555555556</v>
      </c>
      <c r="E218" s="63" t="n">
        <v>0.768055555555556</v>
      </c>
      <c r="F218" s="64" t="n">
        <v>0.788888888888889</v>
      </c>
      <c r="G218" s="65" t="str">
        <f aca="false" t="array" ref="G218:G218">_xlfn.XLOOKUP(A218&amp;"|"&amp;B218,ShiftRoster[Employee ID]&amp;"|"&amp;ShiftRoster[Date],ShiftRoster[Shift Code],_xlfn.XLOOKUP(A218,TRIM(SUBSTITUTE('worker file'!$A$2:$A$406,_xlfn.UNICHAR(160)," ")),'worker file'!$X$2:$X$406,"?"),0,-1)</f>
        <v>SWNG</v>
      </c>
      <c r="H218" s="65" t="str">
        <f aca="false">_xlfn.XLOOKUP(G218,ShiftCodes[Code],ShiftCodes[Work Schedule],"Unknown")</f>
        <v>Shift B – Swing (Mon–Fri 14:00–22:30)</v>
      </c>
      <c r="I218" s="66" t="n">
        <f aca="false">_xlfn.XLOOKUP(G218,ShiftCodes[Code],ShiftCodes[Start],"")</f>
        <v>0.583333333333333</v>
      </c>
      <c r="J218" s="67" t="n">
        <f aca="false">IF(OR(C218="",I218=""),"",ROUND((MOD(C218-I218+0.5,1)-0.5)*1440,0))</f>
        <v>1</v>
      </c>
      <c r="K218" s="65" t="str">
        <f aca="false">IF(J218="","",IF(ABS(J218)&gt;$U$3,"Off-schedule","OK"))</f>
        <v>OK</v>
      </c>
      <c r="L218" s="68"/>
      <c r="M218" s="5" t="str">
        <f aca="false">TEXT(B218,"ddd")</f>
        <v>Thu</v>
      </c>
      <c r="N218" s="69" t="n">
        <f aca="false">IF(OR(C218="",D218=""),"",ROUND((MOD(D218-C218,1)-IF(ISNUMBER(E218),MOD(F218-E218,1),0))*24,2))</f>
        <v>7.97</v>
      </c>
      <c r="O218" s="5" t="s">
        <v>768</v>
      </c>
      <c r="P218" s="6" t="n">
        <v>46303</v>
      </c>
      <c r="Q218" s="5" t="str">
        <f aca="false">IF(B218&lt;$U$1,"Prior period",IF(B218&gt;$U$2,"Future period","Current period"))</f>
        <v>Current period</v>
      </c>
      <c r="R218" s="5" t="str">
        <f aca="false" t="array" ref="R218:R218">_xlfn.XLOOKUP(A218,TRIM(SUBSTITUTE('worker file'!$A$2:$A$406,_xlfn.UNICHAR(160)," ")),'worker file'!$D$2:$D$406,"Not found")</f>
        <v>TX</v>
      </c>
    </row>
    <row r="219" customFormat="false" ht="15" hidden="false" customHeight="false" outlineLevel="0" collapsed="false">
      <c r="A219" s="5" t="s">
        <v>338</v>
      </c>
      <c r="B219" s="6" t="n">
        <v>46304</v>
      </c>
      <c r="C219" s="62" t="n">
        <v>0.583333333333333</v>
      </c>
      <c r="D219" s="62" t="n">
        <v>0.933333333333333</v>
      </c>
      <c r="E219" s="63" t="n">
        <v>0.739583333333333</v>
      </c>
      <c r="F219" s="64" t="n">
        <v>0.760416666666667</v>
      </c>
      <c r="G219" s="65" t="str">
        <f aca="false" t="array" ref="G219:G219">_xlfn.XLOOKUP(A219&amp;"|"&amp;B219,ShiftRoster[Employee ID]&amp;"|"&amp;ShiftRoster[Date],ShiftRoster[Shift Code],_xlfn.XLOOKUP(A219,TRIM(SUBSTITUTE('worker file'!$A$2:$A$406,_xlfn.UNICHAR(160)," ")),'worker file'!$X$2:$X$406,"?"),0,-1)</f>
        <v>SWNG</v>
      </c>
      <c r="H219" s="65" t="str">
        <f aca="false">_xlfn.XLOOKUP(G219,ShiftCodes[Code],ShiftCodes[Work Schedule],"Unknown")</f>
        <v>Shift B – Swing (Mon–Fri 14:00–22:30)</v>
      </c>
      <c r="I219" s="66" t="n">
        <f aca="false">_xlfn.XLOOKUP(G219,ShiftCodes[Code],ShiftCodes[Start],"")</f>
        <v>0.583333333333333</v>
      </c>
      <c r="J219" s="67" t="n">
        <f aca="false">IF(OR(C219="",I219=""),"",ROUND((MOD(C219-I219+0.5,1)-0.5)*1440,0))</f>
        <v>0</v>
      </c>
      <c r="K219" s="65" t="str">
        <f aca="false">IF(J219="","",IF(ABS(J219)&gt;$U$3,"Off-schedule","OK"))</f>
        <v>OK</v>
      </c>
      <c r="L219" s="68"/>
      <c r="M219" s="5" t="str">
        <f aca="false">TEXT(B219,"ddd")</f>
        <v>Fri</v>
      </c>
      <c r="N219" s="69" t="n">
        <f aca="false">IF(OR(C219="",D219=""),"",ROUND((MOD(D219-C219,1)-IF(ISNUMBER(E219),MOD(F219-E219,1),0))*24,2))</f>
        <v>7.9</v>
      </c>
      <c r="O219" s="5" t="s">
        <v>768</v>
      </c>
      <c r="P219" s="6" t="n">
        <v>46304</v>
      </c>
      <c r="Q219" s="5" t="str">
        <f aca="false">IF(B219&lt;$U$1,"Prior period",IF(B219&gt;$U$2,"Future period","Current period"))</f>
        <v>Current period</v>
      </c>
      <c r="R219" s="5" t="str">
        <f aca="false" t="array" ref="R219:R219">_xlfn.XLOOKUP(A219,TRIM(SUBSTITUTE('worker file'!$A$2:$A$406,_xlfn.UNICHAR(160)," ")),'worker file'!$D$2:$D$406,"Not found")</f>
        <v>TX</v>
      </c>
    </row>
    <row r="220" customFormat="false" ht="15" hidden="false" customHeight="false" outlineLevel="0" collapsed="false">
      <c r="A220" s="5" t="s">
        <v>338</v>
      </c>
      <c r="B220" s="6" t="n">
        <v>46307</v>
      </c>
      <c r="C220" s="62" t="n">
        <v>0.584027777777778</v>
      </c>
      <c r="D220" s="62" t="n">
        <v>0.932638888888889</v>
      </c>
      <c r="E220" s="63" t="n">
        <v>0.7375</v>
      </c>
      <c r="F220" s="64" t="n">
        <v>0.758333333333333</v>
      </c>
      <c r="G220" s="65" t="str">
        <f aca="false" t="array" ref="G220:G220">_xlfn.XLOOKUP(A220&amp;"|"&amp;B220,ShiftRoster[Employee ID]&amp;"|"&amp;ShiftRoster[Date],ShiftRoster[Shift Code],_xlfn.XLOOKUP(A220,TRIM(SUBSTITUTE('worker file'!$A$2:$A$406,_xlfn.UNICHAR(160)," ")),'worker file'!$X$2:$X$406,"?"),0,-1)</f>
        <v>SWNG</v>
      </c>
      <c r="H220" s="65" t="str">
        <f aca="false">_xlfn.XLOOKUP(G220,ShiftCodes[Code],ShiftCodes[Work Schedule],"Unknown")</f>
        <v>Shift B – Swing (Mon–Fri 14:00–22:30)</v>
      </c>
      <c r="I220" s="66" t="n">
        <f aca="false">_xlfn.XLOOKUP(G220,ShiftCodes[Code],ShiftCodes[Start],"")</f>
        <v>0.583333333333333</v>
      </c>
      <c r="J220" s="67" t="n">
        <f aca="false">IF(OR(C220="",I220=""),"",ROUND((MOD(C220-I220+0.5,1)-0.5)*1440,0))</f>
        <v>1</v>
      </c>
      <c r="K220" s="65" t="str">
        <f aca="false">IF(J220="","",IF(ABS(J220)&gt;$U$3,"Off-schedule","OK"))</f>
        <v>OK</v>
      </c>
      <c r="L220" s="68"/>
      <c r="M220" s="5" t="str">
        <f aca="false">TEXT(B220,"ddd")</f>
        <v>Mon</v>
      </c>
      <c r="N220" s="69" t="n">
        <f aca="false">IF(OR(C220="",D220=""),"",ROUND((MOD(D220-C220,1)-IF(ISNUMBER(E220),MOD(F220-E220,1),0))*24,2))</f>
        <v>7.87</v>
      </c>
      <c r="O220" s="5" t="s">
        <v>768</v>
      </c>
      <c r="P220" s="6" t="n">
        <v>46307</v>
      </c>
      <c r="Q220" s="5" t="str">
        <f aca="false">IF(B220&lt;$U$1,"Prior period",IF(B220&gt;$U$2,"Future period","Current period"))</f>
        <v>Current period</v>
      </c>
      <c r="R220" s="5" t="str">
        <f aca="false" t="array" ref="R220:R220">_xlfn.XLOOKUP(A220,TRIM(SUBSTITUTE('worker file'!$A$2:$A$406,_xlfn.UNICHAR(160)," ")),'worker file'!$D$2:$D$406,"Not found")</f>
        <v>TX</v>
      </c>
    </row>
    <row r="221" customFormat="false" ht="15" hidden="false" customHeight="false" outlineLevel="0" collapsed="false">
      <c r="A221" s="5" t="s">
        <v>338</v>
      </c>
      <c r="B221" s="6" t="n">
        <v>46308</v>
      </c>
      <c r="C221" s="62" t="n">
        <v>0.584722222222222</v>
      </c>
      <c r="D221" s="62" t="n">
        <v>0.938194444444444</v>
      </c>
      <c r="E221" s="63" t="n">
        <v>0.744444444444445</v>
      </c>
      <c r="F221" s="64" t="n">
        <v>0.765277777777778</v>
      </c>
      <c r="G221" s="65" t="str">
        <f aca="false" t="array" ref="G221:G221">_xlfn.XLOOKUP(A221&amp;"|"&amp;B221,ShiftRoster[Employee ID]&amp;"|"&amp;ShiftRoster[Date],ShiftRoster[Shift Code],_xlfn.XLOOKUP(A221,TRIM(SUBSTITUTE('worker file'!$A$2:$A$406,_xlfn.UNICHAR(160)," ")),'worker file'!$X$2:$X$406,"?"),0,-1)</f>
        <v>SWNG</v>
      </c>
      <c r="H221" s="65" t="str">
        <f aca="false">_xlfn.XLOOKUP(G221,ShiftCodes[Code],ShiftCodes[Work Schedule],"Unknown")</f>
        <v>Shift B – Swing (Mon–Fri 14:00–22:30)</v>
      </c>
      <c r="I221" s="66" t="n">
        <f aca="false">_xlfn.XLOOKUP(G221,ShiftCodes[Code],ShiftCodes[Start],"")</f>
        <v>0.583333333333333</v>
      </c>
      <c r="J221" s="67" t="n">
        <f aca="false">IF(OR(C221="",I221=""),"",ROUND((MOD(C221-I221+0.5,1)-0.5)*1440,0))</f>
        <v>2</v>
      </c>
      <c r="K221" s="65" t="str">
        <f aca="false">IF(J221="","",IF(ABS(J221)&gt;$U$3,"Off-schedule","OK"))</f>
        <v>OK</v>
      </c>
      <c r="L221" s="68"/>
      <c r="M221" s="5" t="str">
        <f aca="false">TEXT(B221,"ddd")</f>
        <v>Tue</v>
      </c>
      <c r="N221" s="69" t="n">
        <f aca="false">IF(OR(C221="",D221=""),"",ROUND((MOD(D221-C221,1)-IF(ISNUMBER(E221),MOD(F221-E221,1),0))*24,2))</f>
        <v>7.98</v>
      </c>
      <c r="O221" s="5" t="s">
        <v>768</v>
      </c>
      <c r="P221" s="6" t="n">
        <v>46308</v>
      </c>
      <c r="Q221" s="5" t="str">
        <f aca="false">IF(B221&lt;$U$1,"Prior period",IF(B221&gt;$U$2,"Future period","Current period"))</f>
        <v>Current period</v>
      </c>
      <c r="R221" s="5" t="str">
        <f aca="false" t="array" ref="R221:R221">_xlfn.XLOOKUP(A221,TRIM(SUBSTITUTE('worker file'!$A$2:$A$406,_xlfn.UNICHAR(160)," ")),'worker file'!$D$2:$D$406,"Not found")</f>
        <v>TX</v>
      </c>
    </row>
    <row r="222" customFormat="false" ht="15" hidden="false" customHeight="false" outlineLevel="0" collapsed="false">
      <c r="A222" s="5" t="s">
        <v>338</v>
      </c>
      <c r="B222" s="6" t="n">
        <v>46309</v>
      </c>
      <c r="C222" s="62" t="n">
        <v>0.583333333333333</v>
      </c>
      <c r="D222" s="62" t="n">
        <v>0.931944444444445</v>
      </c>
      <c r="E222" s="63" t="n">
        <v>0.754166666666667</v>
      </c>
      <c r="F222" s="64" t="n">
        <v>0.775</v>
      </c>
      <c r="G222" s="65" t="str">
        <f aca="false" t="array" ref="G222:G222">_xlfn.XLOOKUP(A222&amp;"|"&amp;B222,ShiftRoster[Employee ID]&amp;"|"&amp;ShiftRoster[Date],ShiftRoster[Shift Code],_xlfn.XLOOKUP(A222,TRIM(SUBSTITUTE('worker file'!$A$2:$A$406,_xlfn.UNICHAR(160)," ")),'worker file'!$X$2:$X$406,"?"),0,-1)</f>
        <v>SWNG</v>
      </c>
      <c r="H222" s="65" t="str">
        <f aca="false">_xlfn.XLOOKUP(G222,ShiftCodes[Code],ShiftCodes[Work Schedule],"Unknown")</f>
        <v>Shift B – Swing (Mon–Fri 14:00–22:30)</v>
      </c>
      <c r="I222" s="66" t="n">
        <f aca="false">_xlfn.XLOOKUP(G222,ShiftCodes[Code],ShiftCodes[Start],"")</f>
        <v>0.583333333333333</v>
      </c>
      <c r="J222" s="67" t="n">
        <f aca="false">IF(OR(C222="",I222=""),"",ROUND((MOD(C222-I222+0.5,1)-0.5)*1440,0))</f>
        <v>0</v>
      </c>
      <c r="K222" s="65" t="str">
        <f aca="false">IF(J222="","",IF(ABS(J222)&gt;$U$3,"Off-schedule","OK"))</f>
        <v>OK</v>
      </c>
      <c r="L222" s="68"/>
      <c r="M222" s="5" t="str">
        <f aca="false">TEXT(B222,"ddd")</f>
        <v>Wed</v>
      </c>
      <c r="N222" s="69" t="n">
        <f aca="false">IF(OR(C222="",D222=""),"",ROUND((MOD(D222-C222,1)-IF(ISNUMBER(E222),MOD(F222-E222,1),0))*24,2))</f>
        <v>7.87</v>
      </c>
      <c r="O222" s="5" t="s">
        <v>768</v>
      </c>
      <c r="P222" s="6" t="n">
        <v>46309</v>
      </c>
      <c r="Q222" s="5" t="str">
        <f aca="false">IF(B222&lt;$U$1,"Prior period",IF(B222&gt;$U$2,"Future period","Current period"))</f>
        <v>Current period</v>
      </c>
      <c r="R222" s="5" t="str">
        <f aca="false" t="array" ref="R222:R222">_xlfn.XLOOKUP(A222,TRIM(SUBSTITUTE('worker file'!$A$2:$A$406,_xlfn.UNICHAR(160)," ")),'worker file'!$D$2:$D$406,"Not found")</f>
        <v>TX</v>
      </c>
    </row>
    <row r="223" customFormat="false" ht="15" hidden="false" customHeight="false" outlineLevel="0" collapsed="false">
      <c r="A223" s="5" t="s">
        <v>338</v>
      </c>
      <c r="B223" s="6" t="n">
        <v>46310</v>
      </c>
      <c r="C223" s="62" t="n">
        <v>0.58125</v>
      </c>
      <c r="D223" s="62" t="n">
        <v>0.933333333333333</v>
      </c>
      <c r="E223" s="63" t="n">
        <v>0.748611111111111</v>
      </c>
      <c r="F223" s="64" t="n">
        <v>0.769444444444445</v>
      </c>
      <c r="G223" s="65" t="str">
        <f aca="false" t="array" ref="G223:G223">_xlfn.XLOOKUP(A223&amp;"|"&amp;B223,ShiftRoster[Employee ID]&amp;"|"&amp;ShiftRoster[Date],ShiftRoster[Shift Code],_xlfn.XLOOKUP(A223,TRIM(SUBSTITUTE('worker file'!$A$2:$A$406,_xlfn.UNICHAR(160)," ")),'worker file'!$X$2:$X$406,"?"),0,-1)</f>
        <v>SWNG</v>
      </c>
      <c r="H223" s="65" t="str">
        <f aca="false">_xlfn.XLOOKUP(G223,ShiftCodes[Code],ShiftCodes[Work Schedule],"Unknown")</f>
        <v>Shift B – Swing (Mon–Fri 14:00–22:30)</v>
      </c>
      <c r="I223" s="66" t="n">
        <f aca="false">_xlfn.XLOOKUP(G223,ShiftCodes[Code],ShiftCodes[Start],"")</f>
        <v>0.583333333333333</v>
      </c>
      <c r="J223" s="67" t="n">
        <f aca="false">IF(OR(C223="",I223=""),"",ROUND((MOD(C223-I223+0.5,1)-0.5)*1440,0))</f>
        <v>-3</v>
      </c>
      <c r="K223" s="65" t="str">
        <f aca="false">IF(J223="","",IF(ABS(J223)&gt;$U$3,"Off-schedule","OK"))</f>
        <v>OK</v>
      </c>
      <c r="L223" s="68"/>
      <c r="M223" s="5" t="str">
        <f aca="false">TEXT(B223,"ddd")</f>
        <v>Thu</v>
      </c>
      <c r="N223" s="69" t="n">
        <f aca="false">IF(OR(C223="",D223=""),"",ROUND((MOD(D223-C223,1)-IF(ISNUMBER(E223),MOD(F223-E223,1),0))*24,2))</f>
        <v>7.95</v>
      </c>
      <c r="O223" s="5" t="s">
        <v>768</v>
      </c>
      <c r="P223" s="6" t="n">
        <v>46310</v>
      </c>
      <c r="Q223" s="5" t="str">
        <f aca="false">IF(B223&lt;$U$1,"Prior period",IF(B223&gt;$U$2,"Future period","Current period"))</f>
        <v>Current period</v>
      </c>
      <c r="R223" s="5" t="str">
        <f aca="false" t="array" ref="R223:R223">_xlfn.XLOOKUP(A223,TRIM(SUBSTITUTE('worker file'!$A$2:$A$406,_xlfn.UNICHAR(160)," ")),'worker file'!$D$2:$D$406,"Not found")</f>
        <v>TX</v>
      </c>
    </row>
    <row r="224" customFormat="false" ht="15" hidden="false" customHeight="false" outlineLevel="0" collapsed="false">
      <c r="A224" s="5" t="s">
        <v>338</v>
      </c>
      <c r="B224" s="6" t="n">
        <v>46311</v>
      </c>
      <c r="C224" s="62" t="n">
        <v>0.586111111111111</v>
      </c>
      <c r="D224" s="62" t="n">
        <v>0.934722222222222</v>
      </c>
      <c r="E224" s="63" t="n">
        <v>0.753472222222222</v>
      </c>
      <c r="F224" s="64" t="n">
        <v>0.774305555555556</v>
      </c>
      <c r="G224" s="65" t="str">
        <f aca="false" t="array" ref="G224:G224">_xlfn.XLOOKUP(A224&amp;"|"&amp;B224,ShiftRoster[Employee ID]&amp;"|"&amp;ShiftRoster[Date],ShiftRoster[Shift Code],_xlfn.XLOOKUP(A224,TRIM(SUBSTITUTE('worker file'!$A$2:$A$406,_xlfn.UNICHAR(160)," ")),'worker file'!$X$2:$X$406,"?"),0,-1)</f>
        <v>SWNG</v>
      </c>
      <c r="H224" s="65" t="str">
        <f aca="false">_xlfn.XLOOKUP(G224,ShiftCodes[Code],ShiftCodes[Work Schedule],"Unknown")</f>
        <v>Shift B – Swing (Mon–Fri 14:00–22:30)</v>
      </c>
      <c r="I224" s="66" t="n">
        <f aca="false">_xlfn.XLOOKUP(G224,ShiftCodes[Code],ShiftCodes[Start],"")</f>
        <v>0.583333333333333</v>
      </c>
      <c r="J224" s="67" t="n">
        <f aca="false">IF(OR(C224="",I224=""),"",ROUND((MOD(C224-I224+0.5,1)-0.5)*1440,0))</f>
        <v>4</v>
      </c>
      <c r="K224" s="65" t="str">
        <f aca="false">IF(J224="","",IF(ABS(J224)&gt;$U$3,"Off-schedule","OK"))</f>
        <v>OK</v>
      </c>
      <c r="L224" s="68"/>
      <c r="M224" s="5" t="str">
        <f aca="false">TEXT(B224,"ddd")</f>
        <v>Fri</v>
      </c>
      <c r="N224" s="69" t="n">
        <f aca="false">IF(OR(C224="",D224=""),"",ROUND((MOD(D224-C224,1)-IF(ISNUMBER(E224),MOD(F224-E224,1),0))*24,2))</f>
        <v>7.87</v>
      </c>
      <c r="O224" s="5" t="s">
        <v>768</v>
      </c>
      <c r="P224" s="6" t="n">
        <v>46311</v>
      </c>
      <c r="Q224" s="5" t="str">
        <f aca="false">IF(B224&lt;$U$1,"Prior period",IF(B224&gt;$U$2,"Future period","Current period"))</f>
        <v>Current period</v>
      </c>
      <c r="R224" s="5" t="str">
        <f aca="false" t="array" ref="R224:R224">_xlfn.XLOOKUP(A224,TRIM(SUBSTITUTE('worker file'!$A$2:$A$406,_xlfn.UNICHAR(160)," ")),'worker file'!$D$2:$D$406,"Not found")</f>
        <v>TX</v>
      </c>
    </row>
    <row r="225" customFormat="false" ht="15" hidden="false" customHeight="false" outlineLevel="0" collapsed="false">
      <c r="A225" s="5" t="s">
        <v>351</v>
      </c>
      <c r="B225" s="6" t="n">
        <v>46300</v>
      </c>
      <c r="C225" s="62" t="n">
        <v>0.252083333333333</v>
      </c>
      <c r="D225" s="62" t="n">
        <v>0.604861111111111</v>
      </c>
      <c r="E225" s="63" t="n">
        <v>0.413888888888889</v>
      </c>
      <c r="F225" s="64" t="n">
        <v>0.434722222222222</v>
      </c>
      <c r="G225" s="65" t="str">
        <f aca="false" t="array" ref="G225:G225">_xlfn.XLOOKUP(A225&amp;"|"&amp;B225,ShiftRoster[Employee ID]&amp;"|"&amp;ShiftRoster[Date],ShiftRoster[Shift Code],_xlfn.XLOOKUP(A225,TRIM(SUBSTITUTE('worker file'!$A$2:$A$406,_xlfn.UNICHAR(160)," ")),'worker file'!$X$2:$X$406,"?"),0,-1)</f>
        <v>DAY</v>
      </c>
      <c r="H225" s="65" t="str">
        <f aca="false">_xlfn.XLOOKUP(G225,ShiftCodes[Code],ShiftCodes[Work Schedule],"Unknown")</f>
        <v>Shift A – Day (Mon–Fri 06:00–14:30)</v>
      </c>
      <c r="I225" s="66" t="n">
        <f aca="false">_xlfn.XLOOKUP(G225,ShiftCodes[Code],ShiftCodes[Start],"")</f>
        <v>0.25</v>
      </c>
      <c r="J225" s="67" t="n">
        <f aca="false">IF(OR(C225="",I225=""),"",ROUND((MOD(C225-I225+0.5,1)-0.5)*1440,0))</f>
        <v>3</v>
      </c>
      <c r="K225" s="65" t="str">
        <f aca="false">IF(J225="","",IF(ABS(J225)&gt;$U$3,"Off-schedule","OK"))</f>
        <v>OK</v>
      </c>
      <c r="L225" s="68"/>
      <c r="M225" s="5" t="str">
        <f aca="false">TEXT(B225,"ddd")</f>
        <v>Mon</v>
      </c>
      <c r="N225" s="69" t="n">
        <f aca="false">IF(OR(C225="",D225=""),"",ROUND((MOD(D225-C225,1)-IF(ISNUMBER(E225),MOD(F225-E225,1),0))*24,2))</f>
        <v>7.97</v>
      </c>
      <c r="O225" s="5" t="s">
        <v>768</v>
      </c>
      <c r="P225" s="6" t="n">
        <v>46300</v>
      </c>
      <c r="Q225" s="5" t="str">
        <f aca="false">IF(B225&lt;$U$1,"Prior period",IF(B225&gt;$U$2,"Future period","Current period"))</f>
        <v>Current period</v>
      </c>
      <c r="R225" s="5" t="str">
        <f aca="false" t="array" ref="R225:R225">_xlfn.XLOOKUP(A225,TRIM(SUBSTITUTE('worker file'!$A$2:$A$406,_xlfn.UNICHAR(160)," ")),'worker file'!$D$2:$D$406,"Not found")</f>
        <v>CA</v>
      </c>
    </row>
    <row r="226" customFormat="false" ht="15" hidden="false" customHeight="false" outlineLevel="0" collapsed="false">
      <c r="A226" s="5" t="s">
        <v>351</v>
      </c>
      <c r="B226" s="6" t="n">
        <v>46301</v>
      </c>
      <c r="C226" s="62" t="n">
        <v>0.252777777777778</v>
      </c>
      <c r="D226" s="62" t="n">
        <v>0.60625</v>
      </c>
      <c r="E226" s="63" t="n">
        <v>0.402083333333333</v>
      </c>
      <c r="F226" s="64" t="n">
        <v>0.422916666666667</v>
      </c>
      <c r="G226" s="65" t="str">
        <f aca="false" t="array" ref="G226:G226">_xlfn.XLOOKUP(A226&amp;"|"&amp;B226,ShiftRoster[Employee ID]&amp;"|"&amp;ShiftRoster[Date],ShiftRoster[Shift Code],_xlfn.XLOOKUP(A226,TRIM(SUBSTITUTE('worker file'!$A$2:$A$406,_xlfn.UNICHAR(160)," ")),'worker file'!$X$2:$X$406,"?"),0,-1)</f>
        <v>DAY</v>
      </c>
      <c r="H226" s="65" t="str">
        <f aca="false">_xlfn.XLOOKUP(G226,ShiftCodes[Code],ShiftCodes[Work Schedule],"Unknown")</f>
        <v>Shift A – Day (Mon–Fri 06:00–14:30)</v>
      </c>
      <c r="I226" s="66" t="n">
        <f aca="false">_xlfn.XLOOKUP(G226,ShiftCodes[Code],ShiftCodes[Start],"")</f>
        <v>0.25</v>
      </c>
      <c r="J226" s="67" t="n">
        <f aca="false">IF(OR(C226="",I226=""),"",ROUND((MOD(C226-I226+0.5,1)-0.5)*1440,0))</f>
        <v>4</v>
      </c>
      <c r="K226" s="65" t="str">
        <f aca="false">IF(J226="","",IF(ABS(J226)&gt;$U$3,"Off-schedule","OK"))</f>
        <v>OK</v>
      </c>
      <c r="L226" s="68"/>
      <c r="M226" s="5" t="str">
        <f aca="false">TEXT(B226,"ddd")</f>
        <v>Tue</v>
      </c>
      <c r="N226" s="69" t="n">
        <f aca="false">IF(OR(C226="",D226=""),"",ROUND((MOD(D226-C226,1)-IF(ISNUMBER(E226),MOD(F226-E226,1),0))*24,2))</f>
        <v>7.98</v>
      </c>
      <c r="O226" s="5" t="s">
        <v>768</v>
      </c>
      <c r="P226" s="6" t="n">
        <v>46301</v>
      </c>
      <c r="Q226" s="5" t="str">
        <f aca="false">IF(B226&lt;$U$1,"Prior period",IF(B226&gt;$U$2,"Future period","Current period"))</f>
        <v>Current period</v>
      </c>
      <c r="R226" s="5" t="str">
        <f aca="false" t="array" ref="R226:R226">_xlfn.XLOOKUP(A226,TRIM(SUBSTITUTE('worker file'!$A$2:$A$406,_xlfn.UNICHAR(160)," ")),'worker file'!$D$2:$D$406,"Not found")</f>
        <v>CA</v>
      </c>
    </row>
    <row r="227" customFormat="false" ht="15" hidden="false" customHeight="false" outlineLevel="0" collapsed="false">
      <c r="A227" s="5" t="s">
        <v>351</v>
      </c>
      <c r="B227" s="6" t="n">
        <v>46302</v>
      </c>
      <c r="C227" s="62" t="n">
        <v>0.247916666666667</v>
      </c>
      <c r="D227" s="62" t="n">
        <v>0.602083333333333</v>
      </c>
      <c r="E227" s="63" t="n">
        <v>0.395138888888889</v>
      </c>
      <c r="F227" s="64" t="n">
        <v>0.415972222222222</v>
      </c>
      <c r="G227" s="65" t="str">
        <f aca="false" t="array" ref="G227:G227">_xlfn.XLOOKUP(A227&amp;"|"&amp;B227,ShiftRoster[Employee ID]&amp;"|"&amp;ShiftRoster[Date],ShiftRoster[Shift Code],_xlfn.XLOOKUP(A227,TRIM(SUBSTITUTE('worker file'!$A$2:$A$406,_xlfn.UNICHAR(160)," ")),'worker file'!$X$2:$X$406,"?"),0,-1)</f>
        <v>DAY</v>
      </c>
      <c r="H227" s="65" t="str">
        <f aca="false">_xlfn.XLOOKUP(G227,ShiftCodes[Code],ShiftCodes[Work Schedule],"Unknown")</f>
        <v>Shift A – Day (Mon–Fri 06:00–14:30)</v>
      </c>
      <c r="I227" s="66" t="n">
        <f aca="false">_xlfn.XLOOKUP(G227,ShiftCodes[Code],ShiftCodes[Start],"")</f>
        <v>0.25</v>
      </c>
      <c r="J227" s="67" t="n">
        <f aca="false">IF(OR(C227="",I227=""),"",ROUND((MOD(C227-I227+0.5,1)-0.5)*1440,0))</f>
        <v>-3</v>
      </c>
      <c r="K227" s="65" t="str">
        <f aca="false">IF(J227="","",IF(ABS(J227)&gt;$U$3,"Off-schedule","OK"))</f>
        <v>OK</v>
      </c>
      <c r="L227" s="68"/>
      <c r="M227" s="5" t="str">
        <f aca="false">TEXT(B227,"ddd")</f>
        <v>Wed</v>
      </c>
      <c r="N227" s="69" t="n">
        <f aca="false">IF(OR(C227="",D227=""),"",ROUND((MOD(D227-C227,1)-IF(ISNUMBER(E227),MOD(F227-E227,1),0))*24,2))</f>
        <v>8</v>
      </c>
      <c r="O227" s="5" t="s">
        <v>768</v>
      </c>
      <c r="P227" s="6" t="n">
        <v>46302</v>
      </c>
      <c r="Q227" s="5" t="str">
        <f aca="false">IF(B227&lt;$U$1,"Prior period",IF(B227&gt;$U$2,"Future period","Current period"))</f>
        <v>Current period</v>
      </c>
      <c r="R227" s="5" t="str">
        <f aca="false" t="array" ref="R227:R227">_xlfn.XLOOKUP(A227,TRIM(SUBSTITUTE('worker file'!$A$2:$A$406,_xlfn.UNICHAR(160)," ")),'worker file'!$D$2:$D$406,"Not found")</f>
        <v>CA</v>
      </c>
    </row>
    <row r="228" customFormat="false" ht="15" hidden="false" customHeight="false" outlineLevel="0" collapsed="false">
      <c r="A228" s="5" t="s">
        <v>351</v>
      </c>
      <c r="B228" s="6" t="n">
        <v>46303</v>
      </c>
      <c r="C228" s="62" t="n">
        <v>0.247222222222222</v>
      </c>
      <c r="D228" s="62" t="n">
        <v>0.6</v>
      </c>
      <c r="E228" s="63" t="n">
        <v>0.39375</v>
      </c>
      <c r="F228" s="64" t="n">
        <v>0.414583333333333</v>
      </c>
      <c r="G228" s="65" t="str">
        <f aca="false" t="array" ref="G228:G228">_xlfn.XLOOKUP(A228&amp;"|"&amp;B228,ShiftRoster[Employee ID]&amp;"|"&amp;ShiftRoster[Date],ShiftRoster[Shift Code],_xlfn.XLOOKUP(A228,TRIM(SUBSTITUTE('worker file'!$A$2:$A$406,_xlfn.UNICHAR(160)," ")),'worker file'!$X$2:$X$406,"?"),0,-1)</f>
        <v>DAY</v>
      </c>
      <c r="H228" s="65" t="str">
        <f aca="false">_xlfn.XLOOKUP(G228,ShiftCodes[Code],ShiftCodes[Work Schedule],"Unknown")</f>
        <v>Shift A – Day (Mon–Fri 06:00–14:30)</v>
      </c>
      <c r="I228" s="66" t="n">
        <f aca="false">_xlfn.XLOOKUP(G228,ShiftCodes[Code],ShiftCodes[Start],"")</f>
        <v>0.25</v>
      </c>
      <c r="J228" s="67" t="n">
        <f aca="false">IF(OR(C228="",I228=""),"",ROUND((MOD(C228-I228+0.5,1)-0.5)*1440,0))</f>
        <v>-4</v>
      </c>
      <c r="K228" s="65" t="str">
        <f aca="false">IF(J228="","",IF(ABS(J228)&gt;$U$3,"Off-schedule","OK"))</f>
        <v>OK</v>
      </c>
      <c r="L228" s="68"/>
      <c r="M228" s="5" t="str">
        <f aca="false">TEXT(B228,"ddd")</f>
        <v>Thu</v>
      </c>
      <c r="N228" s="69" t="n">
        <f aca="false">IF(OR(C228="",D228=""),"",ROUND((MOD(D228-C228,1)-IF(ISNUMBER(E228),MOD(F228-E228,1),0))*24,2))</f>
        <v>7.97</v>
      </c>
      <c r="O228" s="5" t="s">
        <v>768</v>
      </c>
      <c r="P228" s="6" t="n">
        <v>46303</v>
      </c>
      <c r="Q228" s="5" t="str">
        <f aca="false">IF(B228&lt;$U$1,"Prior period",IF(B228&gt;$U$2,"Future period","Current period"))</f>
        <v>Current period</v>
      </c>
      <c r="R228" s="5" t="str">
        <f aca="false" t="array" ref="R228:R228">_xlfn.XLOOKUP(A228,TRIM(SUBSTITUTE('worker file'!$A$2:$A$406,_xlfn.UNICHAR(160)," ")),'worker file'!$D$2:$D$406,"Not found")</f>
        <v>CA</v>
      </c>
    </row>
    <row r="229" customFormat="false" ht="15" hidden="false" customHeight="false" outlineLevel="0" collapsed="false">
      <c r="A229" s="5" t="s">
        <v>351</v>
      </c>
      <c r="B229" s="6" t="n">
        <v>46304</v>
      </c>
      <c r="C229" s="62" t="n">
        <v>0.25</v>
      </c>
      <c r="D229" s="62" t="n">
        <v>0.602083333333333</v>
      </c>
      <c r="E229" s="63" t="n">
        <v>0.418055555555556</v>
      </c>
      <c r="F229" s="64" t="n">
        <v>0.438888888888889</v>
      </c>
      <c r="G229" s="65" t="str">
        <f aca="false" t="array" ref="G229:G229">_xlfn.XLOOKUP(A229&amp;"|"&amp;B229,ShiftRoster[Employee ID]&amp;"|"&amp;ShiftRoster[Date],ShiftRoster[Shift Code],_xlfn.XLOOKUP(A229,TRIM(SUBSTITUTE('worker file'!$A$2:$A$406,_xlfn.UNICHAR(160)," ")),'worker file'!$X$2:$X$406,"?"),0,-1)</f>
        <v>DAY</v>
      </c>
      <c r="H229" s="65" t="str">
        <f aca="false">_xlfn.XLOOKUP(G229,ShiftCodes[Code],ShiftCodes[Work Schedule],"Unknown")</f>
        <v>Shift A – Day (Mon–Fri 06:00–14:30)</v>
      </c>
      <c r="I229" s="66" t="n">
        <f aca="false">_xlfn.XLOOKUP(G229,ShiftCodes[Code],ShiftCodes[Start],"")</f>
        <v>0.25</v>
      </c>
      <c r="J229" s="67" t="n">
        <f aca="false">IF(OR(C229="",I229=""),"",ROUND((MOD(C229-I229+0.5,1)-0.5)*1440,0))</f>
        <v>0</v>
      </c>
      <c r="K229" s="65" t="str">
        <f aca="false">IF(J229="","",IF(ABS(J229)&gt;$U$3,"Off-schedule","OK"))</f>
        <v>OK</v>
      </c>
      <c r="L229" s="68"/>
      <c r="M229" s="5" t="str">
        <f aca="false">TEXT(B229,"ddd")</f>
        <v>Fri</v>
      </c>
      <c r="N229" s="69" t="n">
        <f aca="false">IF(OR(C229="",D229=""),"",ROUND((MOD(D229-C229,1)-IF(ISNUMBER(E229),MOD(F229-E229,1),0))*24,2))</f>
        <v>7.95</v>
      </c>
      <c r="O229" s="5" t="s">
        <v>768</v>
      </c>
      <c r="P229" s="6" t="n">
        <v>46304</v>
      </c>
      <c r="Q229" s="5" t="str">
        <f aca="false">IF(B229&lt;$U$1,"Prior period",IF(B229&gt;$U$2,"Future period","Current period"))</f>
        <v>Current period</v>
      </c>
      <c r="R229" s="5" t="str">
        <f aca="false" t="array" ref="R229:R229">_xlfn.XLOOKUP(A229,TRIM(SUBSTITUTE('worker file'!$A$2:$A$406,_xlfn.UNICHAR(160)," ")),'worker file'!$D$2:$D$406,"Not found")</f>
        <v>CA</v>
      </c>
    </row>
    <row r="230" customFormat="false" ht="15" hidden="false" customHeight="false" outlineLevel="0" collapsed="false">
      <c r="A230" s="5" t="s">
        <v>351</v>
      </c>
      <c r="B230" s="6" t="n">
        <v>46307</v>
      </c>
      <c r="C230" s="62" t="n">
        <v>0.245833333333333</v>
      </c>
      <c r="D230" s="62" t="n">
        <v>0.595138888888889</v>
      </c>
      <c r="E230" s="63" t="n">
        <v>0.406944444444444</v>
      </c>
      <c r="F230" s="64" t="n">
        <v>0.427777777777778</v>
      </c>
      <c r="G230" s="65" t="str">
        <f aca="false" t="array" ref="G230:G230">_xlfn.XLOOKUP(A230&amp;"|"&amp;B230,ShiftRoster[Employee ID]&amp;"|"&amp;ShiftRoster[Date],ShiftRoster[Shift Code],_xlfn.XLOOKUP(A230,TRIM(SUBSTITUTE('worker file'!$A$2:$A$406,_xlfn.UNICHAR(160)," ")),'worker file'!$X$2:$X$406,"?"),0,-1)</f>
        <v>DAY</v>
      </c>
      <c r="H230" s="65" t="str">
        <f aca="false">_xlfn.XLOOKUP(G230,ShiftCodes[Code],ShiftCodes[Work Schedule],"Unknown")</f>
        <v>Shift A – Day (Mon–Fri 06:00–14:30)</v>
      </c>
      <c r="I230" s="66" t="n">
        <f aca="false">_xlfn.XLOOKUP(G230,ShiftCodes[Code],ShiftCodes[Start],"")</f>
        <v>0.25</v>
      </c>
      <c r="J230" s="67" t="n">
        <f aca="false">IF(OR(C230="",I230=""),"",ROUND((MOD(C230-I230+0.5,1)-0.5)*1440,0))</f>
        <v>-6</v>
      </c>
      <c r="K230" s="65" t="str">
        <f aca="false">IF(J230="","",IF(ABS(J230)&gt;$U$3,"Off-schedule","OK"))</f>
        <v>OK</v>
      </c>
      <c r="L230" s="68"/>
      <c r="M230" s="5" t="str">
        <f aca="false">TEXT(B230,"ddd")</f>
        <v>Mon</v>
      </c>
      <c r="N230" s="69" t="n">
        <f aca="false">IF(OR(C230="",D230=""),"",ROUND((MOD(D230-C230,1)-IF(ISNUMBER(E230),MOD(F230-E230,1),0))*24,2))</f>
        <v>7.88</v>
      </c>
      <c r="O230" s="5" t="s">
        <v>768</v>
      </c>
      <c r="P230" s="6" t="n">
        <v>46307</v>
      </c>
      <c r="Q230" s="5" t="str">
        <f aca="false">IF(B230&lt;$U$1,"Prior period",IF(B230&gt;$U$2,"Future period","Current period"))</f>
        <v>Current period</v>
      </c>
      <c r="R230" s="5" t="str">
        <f aca="false" t="array" ref="R230:R230">_xlfn.XLOOKUP(A230,TRIM(SUBSTITUTE('worker file'!$A$2:$A$406,_xlfn.UNICHAR(160)," ")),'worker file'!$D$2:$D$406,"Not found")</f>
        <v>CA</v>
      </c>
    </row>
    <row r="231" customFormat="false" ht="15" hidden="false" customHeight="false" outlineLevel="0" collapsed="false">
      <c r="A231" s="5" t="s">
        <v>351</v>
      </c>
      <c r="B231" s="6" t="n">
        <v>46308</v>
      </c>
      <c r="C231" s="62" t="n">
        <v>0.25</v>
      </c>
      <c r="D231" s="62" t="n">
        <v>0.604166666666667</v>
      </c>
      <c r="E231" s="63" t="n">
        <v>0.404166666666667</v>
      </c>
      <c r="F231" s="64" t="n">
        <v>0.425</v>
      </c>
      <c r="G231" s="65" t="str">
        <f aca="false" t="array" ref="G231:G231">_xlfn.XLOOKUP(A231&amp;"|"&amp;B231,ShiftRoster[Employee ID]&amp;"|"&amp;ShiftRoster[Date],ShiftRoster[Shift Code],_xlfn.XLOOKUP(A231,TRIM(SUBSTITUTE('worker file'!$A$2:$A$406,_xlfn.UNICHAR(160)," ")),'worker file'!$X$2:$X$406,"?"),0,-1)</f>
        <v>DAY</v>
      </c>
      <c r="H231" s="65" t="str">
        <f aca="false">_xlfn.XLOOKUP(G231,ShiftCodes[Code],ShiftCodes[Work Schedule],"Unknown")</f>
        <v>Shift A – Day (Mon–Fri 06:00–14:30)</v>
      </c>
      <c r="I231" s="66" t="n">
        <f aca="false">_xlfn.XLOOKUP(G231,ShiftCodes[Code],ShiftCodes[Start],"")</f>
        <v>0.25</v>
      </c>
      <c r="J231" s="67" t="n">
        <f aca="false">IF(OR(C231="",I231=""),"",ROUND((MOD(C231-I231+0.5,1)-0.5)*1440,0))</f>
        <v>0</v>
      </c>
      <c r="K231" s="65" t="str">
        <f aca="false">IF(J231="","",IF(ABS(J231)&gt;$U$3,"Off-schedule","OK"))</f>
        <v>OK</v>
      </c>
      <c r="L231" s="68"/>
      <c r="M231" s="5" t="str">
        <f aca="false">TEXT(B231,"ddd")</f>
        <v>Tue</v>
      </c>
      <c r="N231" s="69" t="n">
        <f aca="false">IF(OR(C231="",D231=""),"",ROUND((MOD(D231-C231,1)-IF(ISNUMBER(E231),MOD(F231-E231,1),0))*24,2))</f>
        <v>8</v>
      </c>
      <c r="O231" s="5" t="s">
        <v>768</v>
      </c>
      <c r="P231" s="6" t="n">
        <v>46308</v>
      </c>
      <c r="Q231" s="5" t="str">
        <f aca="false">IF(B231&lt;$U$1,"Prior period",IF(B231&gt;$U$2,"Future period","Current period"))</f>
        <v>Current period</v>
      </c>
      <c r="R231" s="5" t="str">
        <f aca="false" t="array" ref="R231:R231">_xlfn.XLOOKUP(A231,TRIM(SUBSTITUTE('worker file'!$A$2:$A$406,_xlfn.UNICHAR(160)," ")),'worker file'!$D$2:$D$406,"Not found")</f>
        <v>CA</v>
      </c>
    </row>
    <row r="232" customFormat="false" ht="15" hidden="false" customHeight="false" outlineLevel="0" collapsed="false">
      <c r="A232" s="5" t="s">
        <v>351</v>
      </c>
      <c r="B232" s="6" t="n">
        <v>46309</v>
      </c>
      <c r="C232" s="62" t="n">
        <v>0.247222222222222</v>
      </c>
      <c r="D232" s="62" t="n">
        <v>0.598611111111111</v>
      </c>
      <c r="E232" s="63" t="n">
        <v>0.404166666666667</v>
      </c>
      <c r="F232" s="64" t="n">
        <v>0.425</v>
      </c>
      <c r="G232" s="65" t="str">
        <f aca="false" t="array" ref="G232:G232">_xlfn.XLOOKUP(A232&amp;"|"&amp;B232,ShiftRoster[Employee ID]&amp;"|"&amp;ShiftRoster[Date],ShiftRoster[Shift Code],_xlfn.XLOOKUP(A232,TRIM(SUBSTITUTE('worker file'!$A$2:$A$406,_xlfn.UNICHAR(160)," ")),'worker file'!$X$2:$X$406,"?"),0,-1)</f>
        <v>DAY</v>
      </c>
      <c r="H232" s="65" t="str">
        <f aca="false">_xlfn.XLOOKUP(G232,ShiftCodes[Code],ShiftCodes[Work Schedule],"Unknown")</f>
        <v>Shift A – Day (Mon–Fri 06:00–14:30)</v>
      </c>
      <c r="I232" s="66" t="n">
        <f aca="false">_xlfn.XLOOKUP(G232,ShiftCodes[Code],ShiftCodes[Start],"")</f>
        <v>0.25</v>
      </c>
      <c r="J232" s="67" t="n">
        <f aca="false">IF(OR(C232="",I232=""),"",ROUND((MOD(C232-I232+0.5,1)-0.5)*1440,0))</f>
        <v>-4</v>
      </c>
      <c r="K232" s="65" t="str">
        <f aca="false">IF(J232="","",IF(ABS(J232)&gt;$U$3,"Off-schedule","OK"))</f>
        <v>OK</v>
      </c>
      <c r="L232" s="68"/>
      <c r="M232" s="5" t="str">
        <f aca="false">TEXT(B232,"ddd")</f>
        <v>Wed</v>
      </c>
      <c r="N232" s="69" t="n">
        <f aca="false">IF(OR(C232="",D232=""),"",ROUND((MOD(D232-C232,1)-IF(ISNUMBER(E232),MOD(F232-E232,1),0))*24,2))</f>
        <v>7.93</v>
      </c>
      <c r="O232" s="5" t="s">
        <v>768</v>
      </c>
      <c r="P232" s="6" t="n">
        <v>46309</v>
      </c>
      <c r="Q232" s="5" t="str">
        <f aca="false">IF(B232&lt;$U$1,"Prior period",IF(B232&gt;$U$2,"Future period","Current period"))</f>
        <v>Current period</v>
      </c>
      <c r="R232" s="5" t="str">
        <f aca="false" t="array" ref="R232:R232">_xlfn.XLOOKUP(A232,TRIM(SUBSTITUTE('worker file'!$A$2:$A$406,_xlfn.UNICHAR(160)," ")),'worker file'!$D$2:$D$406,"Not found")</f>
        <v>CA</v>
      </c>
    </row>
    <row r="233" customFormat="false" ht="15" hidden="false" customHeight="false" outlineLevel="0" collapsed="false">
      <c r="A233" s="5" t="s">
        <v>351</v>
      </c>
      <c r="B233" s="6" t="n">
        <v>46310</v>
      </c>
      <c r="C233" s="62" t="n">
        <v>0.249305555555556</v>
      </c>
      <c r="D233" s="62" t="n">
        <v>0.600694444444444</v>
      </c>
      <c r="E233" s="63" t="n">
        <v>0.422916666666667</v>
      </c>
      <c r="F233" s="64" t="n">
        <v>0.44375</v>
      </c>
      <c r="G233" s="65" t="str">
        <f aca="false" t="array" ref="G233:G233">_xlfn.XLOOKUP(A233&amp;"|"&amp;B233,ShiftRoster[Employee ID]&amp;"|"&amp;ShiftRoster[Date],ShiftRoster[Shift Code],_xlfn.XLOOKUP(A233,TRIM(SUBSTITUTE('worker file'!$A$2:$A$406,_xlfn.UNICHAR(160)," ")),'worker file'!$X$2:$X$406,"?"),0,-1)</f>
        <v>DAY</v>
      </c>
      <c r="H233" s="65" t="str">
        <f aca="false">_xlfn.XLOOKUP(G233,ShiftCodes[Code],ShiftCodes[Work Schedule],"Unknown")</f>
        <v>Shift A – Day (Mon–Fri 06:00–14:30)</v>
      </c>
      <c r="I233" s="66" t="n">
        <f aca="false">_xlfn.XLOOKUP(G233,ShiftCodes[Code],ShiftCodes[Start],"")</f>
        <v>0.25</v>
      </c>
      <c r="J233" s="67" t="n">
        <f aca="false">IF(OR(C233="",I233=""),"",ROUND((MOD(C233-I233+0.5,1)-0.5)*1440,0))</f>
        <v>-1</v>
      </c>
      <c r="K233" s="65" t="str">
        <f aca="false">IF(J233="","",IF(ABS(J233)&gt;$U$3,"Off-schedule","OK"))</f>
        <v>OK</v>
      </c>
      <c r="L233" s="68"/>
      <c r="M233" s="5" t="str">
        <f aca="false">TEXT(B233,"ddd")</f>
        <v>Thu</v>
      </c>
      <c r="N233" s="69" t="n">
        <f aca="false">IF(OR(C233="",D233=""),"",ROUND((MOD(D233-C233,1)-IF(ISNUMBER(E233),MOD(F233-E233,1),0))*24,2))</f>
        <v>7.93</v>
      </c>
      <c r="O233" s="5" t="s">
        <v>768</v>
      </c>
      <c r="P233" s="6" t="n">
        <v>46310</v>
      </c>
      <c r="Q233" s="5" t="str">
        <f aca="false">IF(B233&lt;$U$1,"Prior period",IF(B233&gt;$U$2,"Future period","Current period"))</f>
        <v>Current period</v>
      </c>
      <c r="R233" s="5" t="str">
        <f aca="false" t="array" ref="R233:R233">_xlfn.XLOOKUP(A233,TRIM(SUBSTITUTE('worker file'!$A$2:$A$406,_xlfn.UNICHAR(160)," ")),'worker file'!$D$2:$D$406,"Not found")</f>
        <v>CA</v>
      </c>
    </row>
    <row r="234" customFormat="false" ht="15" hidden="false" customHeight="false" outlineLevel="0" collapsed="false">
      <c r="A234" s="5" t="s">
        <v>351</v>
      </c>
      <c r="B234" s="6" t="n">
        <v>46311</v>
      </c>
      <c r="C234" s="62" t="n">
        <v>0.247222222222222</v>
      </c>
      <c r="D234" s="62" t="n">
        <v>0.598611111111111</v>
      </c>
      <c r="E234" s="63" t="n">
        <v>0.43125</v>
      </c>
      <c r="F234" s="64" t="n">
        <v>0.452083333333333</v>
      </c>
      <c r="G234" s="65" t="str">
        <f aca="false" t="array" ref="G234:G234">_xlfn.XLOOKUP(A234&amp;"|"&amp;B234,ShiftRoster[Employee ID]&amp;"|"&amp;ShiftRoster[Date],ShiftRoster[Shift Code],_xlfn.XLOOKUP(A234,TRIM(SUBSTITUTE('worker file'!$A$2:$A$406,_xlfn.UNICHAR(160)," ")),'worker file'!$X$2:$X$406,"?"),0,-1)</f>
        <v>DAY</v>
      </c>
      <c r="H234" s="65" t="str">
        <f aca="false">_xlfn.XLOOKUP(G234,ShiftCodes[Code],ShiftCodes[Work Schedule],"Unknown")</f>
        <v>Shift A – Day (Mon–Fri 06:00–14:30)</v>
      </c>
      <c r="I234" s="66" t="n">
        <f aca="false">_xlfn.XLOOKUP(G234,ShiftCodes[Code],ShiftCodes[Start],"")</f>
        <v>0.25</v>
      </c>
      <c r="J234" s="67" t="n">
        <f aca="false">IF(OR(C234="",I234=""),"",ROUND((MOD(C234-I234+0.5,1)-0.5)*1440,0))</f>
        <v>-4</v>
      </c>
      <c r="K234" s="65" t="str">
        <f aca="false">IF(J234="","",IF(ABS(J234)&gt;$U$3,"Off-schedule","OK"))</f>
        <v>OK</v>
      </c>
      <c r="L234" s="68"/>
      <c r="M234" s="5" t="str">
        <f aca="false">TEXT(B234,"ddd")</f>
        <v>Fri</v>
      </c>
      <c r="N234" s="69" t="n">
        <f aca="false">IF(OR(C234="",D234=""),"",ROUND((MOD(D234-C234,1)-IF(ISNUMBER(E234),MOD(F234-E234,1),0))*24,2))</f>
        <v>7.93</v>
      </c>
      <c r="O234" s="5" t="s">
        <v>768</v>
      </c>
      <c r="P234" s="6" t="n">
        <v>46311</v>
      </c>
      <c r="Q234" s="5" t="str">
        <f aca="false">IF(B234&lt;$U$1,"Prior period",IF(B234&gt;$U$2,"Future period","Current period"))</f>
        <v>Current period</v>
      </c>
      <c r="R234" s="5" t="str">
        <f aca="false" t="array" ref="R234:R234">_xlfn.XLOOKUP(A234,TRIM(SUBSTITUTE('worker file'!$A$2:$A$406,_xlfn.UNICHAR(160)," ")),'worker file'!$D$2:$D$406,"Not found")</f>
        <v>CA</v>
      </c>
    </row>
    <row r="235" customFormat="false" ht="15" hidden="false" customHeight="false" outlineLevel="0" collapsed="false">
      <c r="A235" s="5" t="s">
        <v>354</v>
      </c>
      <c r="B235" s="6" t="n">
        <v>46300</v>
      </c>
      <c r="C235" s="62" t="n">
        <v>0.586111111111111</v>
      </c>
      <c r="D235" s="62" t="n">
        <v>0.934722222222222</v>
      </c>
      <c r="E235" s="63" t="n">
        <v>0.758333333333333</v>
      </c>
      <c r="F235" s="64" t="n">
        <v>0.779166666666667</v>
      </c>
      <c r="G235" s="65" t="str">
        <f aca="false" t="array" ref="G235:G235">_xlfn.XLOOKUP(A235&amp;"|"&amp;B235,ShiftRoster[Employee ID]&amp;"|"&amp;ShiftRoster[Date],ShiftRoster[Shift Code],_xlfn.XLOOKUP(A235,TRIM(SUBSTITUTE('worker file'!$A$2:$A$406,_xlfn.UNICHAR(160)," ")),'worker file'!$X$2:$X$406,"?"),0,-1)</f>
        <v>SWNG</v>
      </c>
      <c r="H235" s="65" t="str">
        <f aca="false">_xlfn.XLOOKUP(G235,ShiftCodes[Code],ShiftCodes[Work Schedule],"Unknown")</f>
        <v>Shift B – Swing (Mon–Fri 14:00–22:30)</v>
      </c>
      <c r="I235" s="66" t="n">
        <f aca="false">_xlfn.XLOOKUP(G235,ShiftCodes[Code],ShiftCodes[Start],"")</f>
        <v>0.583333333333333</v>
      </c>
      <c r="J235" s="67" t="n">
        <f aca="false">IF(OR(C235="",I235=""),"",ROUND((MOD(C235-I235+0.5,1)-0.5)*1440,0))</f>
        <v>4</v>
      </c>
      <c r="K235" s="65" t="str">
        <f aca="false">IF(J235="","",IF(ABS(J235)&gt;$U$3,"Off-schedule","OK"))</f>
        <v>OK</v>
      </c>
      <c r="L235" s="68"/>
      <c r="M235" s="5" t="str">
        <f aca="false">TEXT(B235,"ddd")</f>
        <v>Mon</v>
      </c>
      <c r="N235" s="69" t="n">
        <f aca="false">IF(OR(C235="",D235=""),"",ROUND((MOD(D235-C235,1)-IF(ISNUMBER(E235),MOD(F235-E235,1),0))*24,2))</f>
        <v>7.87</v>
      </c>
      <c r="O235" s="5" t="s">
        <v>768</v>
      </c>
      <c r="P235" s="6" t="n">
        <v>46300</v>
      </c>
      <c r="Q235" s="5" t="str">
        <f aca="false">IF(B235&lt;$U$1,"Prior period",IF(B235&gt;$U$2,"Future period","Current period"))</f>
        <v>Current period</v>
      </c>
      <c r="R235" s="5" t="str">
        <f aca="false" t="array" ref="R235:R235">_xlfn.XLOOKUP(A235,TRIM(SUBSTITUTE('worker file'!$A$2:$A$406,_xlfn.UNICHAR(160)," ")),'worker file'!$D$2:$D$406,"Not found")</f>
        <v>CA</v>
      </c>
    </row>
    <row r="236" customFormat="false" ht="15" hidden="false" customHeight="false" outlineLevel="0" collapsed="false">
      <c r="A236" s="5" t="s">
        <v>354</v>
      </c>
      <c r="B236" s="6" t="n">
        <v>46301</v>
      </c>
      <c r="C236" s="62" t="n">
        <v>0.582638888888889</v>
      </c>
      <c r="D236" s="62" t="n">
        <v>0.934722222222222</v>
      </c>
      <c r="E236" s="63" t="n">
        <v>0.756944444444444</v>
      </c>
      <c r="F236" s="64" t="n">
        <v>0.777777777777778</v>
      </c>
      <c r="G236" s="65" t="str">
        <f aca="false" t="array" ref="G236:G236">_xlfn.XLOOKUP(A236&amp;"|"&amp;B236,ShiftRoster[Employee ID]&amp;"|"&amp;ShiftRoster[Date],ShiftRoster[Shift Code],_xlfn.XLOOKUP(A236,TRIM(SUBSTITUTE('worker file'!$A$2:$A$406,_xlfn.UNICHAR(160)," ")),'worker file'!$X$2:$X$406,"?"),0,-1)</f>
        <v>SWNG</v>
      </c>
      <c r="H236" s="65" t="str">
        <f aca="false">_xlfn.XLOOKUP(G236,ShiftCodes[Code],ShiftCodes[Work Schedule],"Unknown")</f>
        <v>Shift B – Swing (Mon–Fri 14:00–22:30)</v>
      </c>
      <c r="I236" s="66" t="n">
        <f aca="false">_xlfn.XLOOKUP(G236,ShiftCodes[Code],ShiftCodes[Start],"")</f>
        <v>0.583333333333333</v>
      </c>
      <c r="J236" s="67" t="n">
        <f aca="false">IF(OR(C236="",I236=""),"",ROUND((MOD(C236-I236+0.5,1)-0.5)*1440,0))</f>
        <v>-1</v>
      </c>
      <c r="K236" s="65" t="str">
        <f aca="false">IF(J236="","",IF(ABS(J236)&gt;$U$3,"Off-schedule","OK"))</f>
        <v>OK</v>
      </c>
      <c r="L236" s="68"/>
      <c r="M236" s="5" t="str">
        <f aca="false">TEXT(B236,"ddd")</f>
        <v>Tue</v>
      </c>
      <c r="N236" s="69" t="n">
        <f aca="false">IF(OR(C236="",D236=""),"",ROUND((MOD(D236-C236,1)-IF(ISNUMBER(E236),MOD(F236-E236,1),0))*24,2))</f>
        <v>7.95</v>
      </c>
      <c r="O236" s="5" t="s">
        <v>768</v>
      </c>
      <c r="P236" s="6" t="n">
        <v>46301</v>
      </c>
      <c r="Q236" s="5" t="str">
        <f aca="false">IF(B236&lt;$U$1,"Prior period",IF(B236&gt;$U$2,"Future period","Current period"))</f>
        <v>Current period</v>
      </c>
      <c r="R236" s="5" t="str">
        <f aca="false" t="array" ref="R236:R236">_xlfn.XLOOKUP(A236,TRIM(SUBSTITUTE('worker file'!$A$2:$A$406,_xlfn.UNICHAR(160)," ")),'worker file'!$D$2:$D$406,"Not found")</f>
        <v>CA</v>
      </c>
    </row>
    <row r="237" customFormat="false" ht="15" hidden="false" customHeight="false" outlineLevel="0" collapsed="false">
      <c r="A237" s="5" t="s">
        <v>354</v>
      </c>
      <c r="B237" s="6" t="n">
        <v>46302</v>
      </c>
      <c r="C237" s="62" t="n">
        <v>0.583333333333333</v>
      </c>
      <c r="D237" s="62" t="n">
        <v>0.9375</v>
      </c>
      <c r="E237" s="63" t="n">
        <v>0.7375</v>
      </c>
      <c r="F237" s="64" t="n">
        <v>0.758333333333333</v>
      </c>
      <c r="G237" s="65" t="str">
        <f aca="false" t="array" ref="G237:G237">_xlfn.XLOOKUP(A237&amp;"|"&amp;B237,ShiftRoster[Employee ID]&amp;"|"&amp;ShiftRoster[Date],ShiftRoster[Shift Code],_xlfn.XLOOKUP(A237,TRIM(SUBSTITUTE('worker file'!$A$2:$A$406,_xlfn.UNICHAR(160)," ")),'worker file'!$X$2:$X$406,"?"),0,-1)</f>
        <v>SWNG</v>
      </c>
      <c r="H237" s="65" t="str">
        <f aca="false">_xlfn.XLOOKUP(G237,ShiftCodes[Code],ShiftCodes[Work Schedule],"Unknown")</f>
        <v>Shift B – Swing (Mon–Fri 14:00–22:30)</v>
      </c>
      <c r="I237" s="66" t="n">
        <f aca="false">_xlfn.XLOOKUP(G237,ShiftCodes[Code],ShiftCodes[Start],"")</f>
        <v>0.583333333333333</v>
      </c>
      <c r="J237" s="67" t="n">
        <f aca="false">IF(OR(C237="",I237=""),"",ROUND((MOD(C237-I237+0.5,1)-0.5)*1440,0))</f>
        <v>0</v>
      </c>
      <c r="K237" s="65" t="str">
        <f aca="false">IF(J237="","",IF(ABS(J237)&gt;$U$3,"Off-schedule","OK"))</f>
        <v>OK</v>
      </c>
      <c r="L237" s="68"/>
      <c r="M237" s="5" t="str">
        <f aca="false">TEXT(B237,"ddd")</f>
        <v>Wed</v>
      </c>
      <c r="N237" s="69" t="n">
        <f aca="false">IF(OR(C237="",D237=""),"",ROUND((MOD(D237-C237,1)-IF(ISNUMBER(E237),MOD(F237-E237,1),0))*24,2))</f>
        <v>8</v>
      </c>
      <c r="O237" s="5" t="s">
        <v>768</v>
      </c>
      <c r="P237" s="6" t="n">
        <v>46302</v>
      </c>
      <c r="Q237" s="5" t="str">
        <f aca="false">IF(B237&lt;$U$1,"Prior period",IF(B237&gt;$U$2,"Future period","Current period"))</f>
        <v>Current period</v>
      </c>
      <c r="R237" s="5" t="str">
        <f aca="false" t="array" ref="R237:R237">_xlfn.XLOOKUP(A237,TRIM(SUBSTITUTE('worker file'!$A$2:$A$406,_xlfn.UNICHAR(160)," ")),'worker file'!$D$2:$D$406,"Not found")</f>
        <v>CA</v>
      </c>
    </row>
    <row r="238" customFormat="false" ht="15" hidden="false" customHeight="false" outlineLevel="0" collapsed="false">
      <c r="A238" s="5" t="s">
        <v>354</v>
      </c>
      <c r="B238" s="6" t="n">
        <v>46303</v>
      </c>
      <c r="C238" s="62" t="n">
        <v>0.586111111111111</v>
      </c>
      <c r="D238" s="62" t="n">
        <v>0.936111111111111</v>
      </c>
      <c r="E238" s="63" t="n">
        <v>0.75625</v>
      </c>
      <c r="F238" s="64" t="n">
        <v>0.777083333333333</v>
      </c>
      <c r="G238" s="65" t="str">
        <f aca="false" t="array" ref="G238:G238">_xlfn.XLOOKUP(A238&amp;"|"&amp;B238,ShiftRoster[Employee ID]&amp;"|"&amp;ShiftRoster[Date],ShiftRoster[Shift Code],_xlfn.XLOOKUP(A238,TRIM(SUBSTITUTE('worker file'!$A$2:$A$406,_xlfn.UNICHAR(160)," ")),'worker file'!$X$2:$X$406,"?"),0,-1)</f>
        <v>SWNG</v>
      </c>
      <c r="H238" s="65" t="str">
        <f aca="false">_xlfn.XLOOKUP(G238,ShiftCodes[Code],ShiftCodes[Work Schedule],"Unknown")</f>
        <v>Shift B – Swing (Mon–Fri 14:00–22:30)</v>
      </c>
      <c r="I238" s="66" t="n">
        <f aca="false">_xlfn.XLOOKUP(G238,ShiftCodes[Code],ShiftCodes[Start],"")</f>
        <v>0.583333333333333</v>
      </c>
      <c r="J238" s="67" t="n">
        <f aca="false">IF(OR(C238="",I238=""),"",ROUND((MOD(C238-I238+0.5,1)-0.5)*1440,0))</f>
        <v>4</v>
      </c>
      <c r="K238" s="65" t="str">
        <f aca="false">IF(J238="","",IF(ABS(J238)&gt;$U$3,"Off-schedule","OK"))</f>
        <v>OK</v>
      </c>
      <c r="L238" s="68"/>
      <c r="M238" s="5" t="str">
        <f aca="false">TEXT(B238,"ddd")</f>
        <v>Thu</v>
      </c>
      <c r="N238" s="69" t="n">
        <f aca="false">IF(OR(C238="",D238=""),"",ROUND((MOD(D238-C238,1)-IF(ISNUMBER(E238),MOD(F238-E238,1),0))*24,2))</f>
        <v>7.9</v>
      </c>
      <c r="O238" s="5" t="s">
        <v>768</v>
      </c>
      <c r="P238" s="6" t="n">
        <v>46303</v>
      </c>
      <c r="Q238" s="5" t="str">
        <f aca="false">IF(B238&lt;$U$1,"Prior period",IF(B238&gt;$U$2,"Future period","Current period"))</f>
        <v>Current period</v>
      </c>
      <c r="R238" s="5" t="str">
        <f aca="false" t="array" ref="R238:R238">_xlfn.XLOOKUP(A238,TRIM(SUBSTITUTE('worker file'!$A$2:$A$406,_xlfn.UNICHAR(160)," ")),'worker file'!$D$2:$D$406,"Not found")</f>
        <v>CA</v>
      </c>
    </row>
    <row r="239" customFormat="false" ht="15" hidden="false" customHeight="false" outlineLevel="0" collapsed="false">
      <c r="A239" s="5" t="s">
        <v>354</v>
      </c>
      <c r="B239" s="6" t="n">
        <v>46304</v>
      </c>
      <c r="C239" s="62" t="n">
        <v>0.583333333333333</v>
      </c>
      <c r="D239" s="62" t="n">
        <v>0.936805555555556</v>
      </c>
      <c r="E239" s="63" t="n">
        <v>0.763888888888889</v>
      </c>
      <c r="F239" s="64" t="n">
        <v>0.784722222222222</v>
      </c>
      <c r="G239" s="65" t="str">
        <f aca="false" t="array" ref="G239:G239">_xlfn.XLOOKUP(A239&amp;"|"&amp;B239,ShiftRoster[Employee ID]&amp;"|"&amp;ShiftRoster[Date],ShiftRoster[Shift Code],_xlfn.XLOOKUP(A239,TRIM(SUBSTITUTE('worker file'!$A$2:$A$406,_xlfn.UNICHAR(160)," ")),'worker file'!$X$2:$X$406,"?"),0,-1)</f>
        <v>SWNG</v>
      </c>
      <c r="H239" s="65" t="str">
        <f aca="false">_xlfn.XLOOKUP(G239,ShiftCodes[Code],ShiftCodes[Work Schedule],"Unknown")</f>
        <v>Shift B – Swing (Mon–Fri 14:00–22:30)</v>
      </c>
      <c r="I239" s="66" t="n">
        <f aca="false">_xlfn.XLOOKUP(G239,ShiftCodes[Code],ShiftCodes[Start],"")</f>
        <v>0.583333333333333</v>
      </c>
      <c r="J239" s="67" t="n">
        <f aca="false">IF(OR(C239="",I239=""),"",ROUND((MOD(C239-I239+0.5,1)-0.5)*1440,0))</f>
        <v>0</v>
      </c>
      <c r="K239" s="65" t="str">
        <f aca="false">IF(J239="","",IF(ABS(J239)&gt;$U$3,"Off-schedule","OK"))</f>
        <v>OK</v>
      </c>
      <c r="L239" s="68"/>
      <c r="M239" s="5" t="str">
        <f aca="false">TEXT(B239,"ddd")</f>
        <v>Fri</v>
      </c>
      <c r="N239" s="69" t="n">
        <f aca="false">IF(OR(C239="",D239=""),"",ROUND((MOD(D239-C239,1)-IF(ISNUMBER(E239),MOD(F239-E239,1),0))*24,2))</f>
        <v>7.98</v>
      </c>
      <c r="O239" s="5" t="s">
        <v>768</v>
      </c>
      <c r="P239" s="6" t="n">
        <v>46304</v>
      </c>
      <c r="Q239" s="5" t="str">
        <f aca="false">IF(B239&lt;$U$1,"Prior period",IF(B239&gt;$U$2,"Future period","Current period"))</f>
        <v>Current period</v>
      </c>
      <c r="R239" s="5" t="str">
        <f aca="false" t="array" ref="R239:R239">_xlfn.XLOOKUP(A239,TRIM(SUBSTITUTE('worker file'!$A$2:$A$406,_xlfn.UNICHAR(160)," ")),'worker file'!$D$2:$D$406,"Not found")</f>
        <v>CA</v>
      </c>
    </row>
    <row r="240" customFormat="false" ht="15" hidden="false" customHeight="false" outlineLevel="0" collapsed="false">
      <c r="A240" s="5" t="s">
        <v>354</v>
      </c>
      <c r="B240" s="6" t="n">
        <v>46307</v>
      </c>
      <c r="C240" s="62" t="n">
        <v>0.579166666666667</v>
      </c>
      <c r="D240" s="62" t="n">
        <v>0.933333333333333</v>
      </c>
      <c r="E240" s="63" t="n">
        <v>0.731944444444444</v>
      </c>
      <c r="F240" s="64" t="n">
        <v>0.752777777777778</v>
      </c>
      <c r="G240" s="65" t="str">
        <f aca="false" t="array" ref="G240:G240">_xlfn.XLOOKUP(A240&amp;"|"&amp;B240,ShiftRoster[Employee ID]&amp;"|"&amp;ShiftRoster[Date],ShiftRoster[Shift Code],_xlfn.XLOOKUP(A240,TRIM(SUBSTITUTE('worker file'!$A$2:$A$406,_xlfn.UNICHAR(160)," ")),'worker file'!$X$2:$X$406,"?"),0,-1)</f>
        <v>SWNG</v>
      </c>
      <c r="H240" s="65" t="str">
        <f aca="false">_xlfn.XLOOKUP(G240,ShiftCodes[Code],ShiftCodes[Work Schedule],"Unknown")</f>
        <v>Shift B – Swing (Mon–Fri 14:00–22:30)</v>
      </c>
      <c r="I240" s="66" t="n">
        <f aca="false">_xlfn.XLOOKUP(G240,ShiftCodes[Code],ShiftCodes[Start],"")</f>
        <v>0.583333333333333</v>
      </c>
      <c r="J240" s="67" t="n">
        <f aca="false">IF(OR(C240="",I240=""),"",ROUND((MOD(C240-I240+0.5,1)-0.5)*1440,0))</f>
        <v>-6</v>
      </c>
      <c r="K240" s="65" t="str">
        <f aca="false">IF(J240="","",IF(ABS(J240)&gt;$U$3,"Off-schedule","OK"))</f>
        <v>OK</v>
      </c>
      <c r="L240" s="68"/>
      <c r="M240" s="5" t="str">
        <f aca="false">TEXT(B240,"ddd")</f>
        <v>Mon</v>
      </c>
      <c r="N240" s="69" t="n">
        <f aca="false">IF(OR(C240="",D240=""),"",ROUND((MOD(D240-C240,1)-IF(ISNUMBER(E240),MOD(F240-E240,1),0))*24,2))</f>
        <v>8</v>
      </c>
      <c r="O240" s="5" t="s">
        <v>768</v>
      </c>
      <c r="P240" s="6" t="n">
        <v>46307</v>
      </c>
      <c r="Q240" s="5" t="str">
        <f aca="false">IF(B240&lt;$U$1,"Prior period",IF(B240&gt;$U$2,"Future period","Current period"))</f>
        <v>Current period</v>
      </c>
      <c r="R240" s="5" t="str">
        <f aca="false" t="array" ref="R240:R240">_xlfn.XLOOKUP(A240,TRIM(SUBSTITUTE('worker file'!$A$2:$A$406,_xlfn.UNICHAR(160)," ")),'worker file'!$D$2:$D$406,"Not found")</f>
        <v>CA</v>
      </c>
    </row>
    <row r="241" customFormat="false" ht="15" hidden="false" customHeight="false" outlineLevel="0" collapsed="false">
      <c r="A241" s="5" t="s">
        <v>354</v>
      </c>
      <c r="B241" s="6" t="n">
        <v>46308</v>
      </c>
      <c r="C241" s="62" t="n">
        <v>0.586111111111111</v>
      </c>
      <c r="D241" s="62" t="n">
        <v>0.938194444444444</v>
      </c>
      <c r="E241" s="63" t="n">
        <v>0.760416666666667</v>
      </c>
      <c r="F241" s="64" t="n">
        <v>0.78125</v>
      </c>
      <c r="G241" s="65" t="str">
        <f aca="false" t="array" ref="G241:G241">_xlfn.XLOOKUP(A241&amp;"|"&amp;B241,ShiftRoster[Employee ID]&amp;"|"&amp;ShiftRoster[Date],ShiftRoster[Shift Code],_xlfn.XLOOKUP(A241,TRIM(SUBSTITUTE('worker file'!$A$2:$A$406,_xlfn.UNICHAR(160)," ")),'worker file'!$X$2:$X$406,"?"),0,-1)</f>
        <v>SWNG</v>
      </c>
      <c r="H241" s="65" t="str">
        <f aca="false">_xlfn.XLOOKUP(G241,ShiftCodes[Code],ShiftCodes[Work Schedule],"Unknown")</f>
        <v>Shift B – Swing (Mon–Fri 14:00–22:30)</v>
      </c>
      <c r="I241" s="66" t="n">
        <f aca="false">_xlfn.XLOOKUP(G241,ShiftCodes[Code],ShiftCodes[Start],"")</f>
        <v>0.583333333333333</v>
      </c>
      <c r="J241" s="67" t="n">
        <f aca="false">IF(OR(C241="",I241=""),"",ROUND((MOD(C241-I241+0.5,1)-0.5)*1440,0))</f>
        <v>4</v>
      </c>
      <c r="K241" s="65" t="str">
        <f aca="false">IF(J241="","",IF(ABS(J241)&gt;$U$3,"Off-schedule","OK"))</f>
        <v>OK</v>
      </c>
      <c r="L241" s="68"/>
      <c r="M241" s="5" t="str">
        <f aca="false">TEXT(B241,"ddd")</f>
        <v>Tue</v>
      </c>
      <c r="N241" s="69" t="n">
        <f aca="false">IF(OR(C241="",D241=""),"",ROUND((MOD(D241-C241,1)-IF(ISNUMBER(E241),MOD(F241-E241,1),0))*24,2))</f>
        <v>7.95</v>
      </c>
      <c r="O241" s="5" t="s">
        <v>768</v>
      </c>
      <c r="P241" s="6" t="n">
        <v>46308</v>
      </c>
      <c r="Q241" s="5" t="str">
        <f aca="false">IF(B241&lt;$U$1,"Prior period",IF(B241&gt;$U$2,"Future period","Current period"))</f>
        <v>Current period</v>
      </c>
      <c r="R241" s="5" t="str">
        <f aca="false" t="array" ref="R241:R241">_xlfn.XLOOKUP(A241,TRIM(SUBSTITUTE('worker file'!$A$2:$A$406,_xlfn.UNICHAR(160)," ")),'worker file'!$D$2:$D$406,"Not found")</f>
        <v>CA</v>
      </c>
    </row>
    <row r="242" customFormat="false" ht="15" hidden="false" customHeight="false" outlineLevel="0" collapsed="false">
      <c r="A242" s="5" t="s">
        <v>354</v>
      </c>
      <c r="B242" s="6" t="n">
        <v>46309</v>
      </c>
      <c r="C242" s="62" t="n">
        <v>0.584027777777778</v>
      </c>
      <c r="D242" s="62" t="n">
        <v>0.933333333333333</v>
      </c>
      <c r="E242" s="63" t="n">
        <v>0.76875</v>
      </c>
      <c r="F242" s="64" t="n">
        <v>0.789583333333333</v>
      </c>
      <c r="G242" s="65" t="str">
        <f aca="false" t="array" ref="G242:G242">_xlfn.XLOOKUP(A242&amp;"|"&amp;B242,ShiftRoster[Employee ID]&amp;"|"&amp;ShiftRoster[Date],ShiftRoster[Shift Code],_xlfn.XLOOKUP(A242,TRIM(SUBSTITUTE('worker file'!$A$2:$A$406,_xlfn.UNICHAR(160)," ")),'worker file'!$X$2:$X$406,"?"),0,-1)</f>
        <v>SWNG</v>
      </c>
      <c r="H242" s="65" t="str">
        <f aca="false">_xlfn.XLOOKUP(G242,ShiftCodes[Code],ShiftCodes[Work Schedule],"Unknown")</f>
        <v>Shift B – Swing (Mon–Fri 14:00–22:30)</v>
      </c>
      <c r="I242" s="66" t="n">
        <f aca="false">_xlfn.XLOOKUP(G242,ShiftCodes[Code],ShiftCodes[Start],"")</f>
        <v>0.583333333333333</v>
      </c>
      <c r="J242" s="67" t="n">
        <f aca="false">IF(OR(C242="",I242=""),"",ROUND((MOD(C242-I242+0.5,1)-0.5)*1440,0))</f>
        <v>1</v>
      </c>
      <c r="K242" s="65" t="str">
        <f aca="false">IF(J242="","",IF(ABS(J242)&gt;$U$3,"Off-schedule","OK"))</f>
        <v>OK</v>
      </c>
      <c r="L242" s="68"/>
      <c r="M242" s="5" t="str">
        <f aca="false">TEXT(B242,"ddd")</f>
        <v>Wed</v>
      </c>
      <c r="N242" s="69" t="n">
        <f aca="false">IF(OR(C242="",D242=""),"",ROUND((MOD(D242-C242,1)-IF(ISNUMBER(E242),MOD(F242-E242,1),0))*24,2))</f>
        <v>7.88</v>
      </c>
      <c r="O242" s="5" t="s">
        <v>768</v>
      </c>
      <c r="P242" s="6" t="n">
        <v>46309</v>
      </c>
      <c r="Q242" s="5" t="str">
        <f aca="false">IF(B242&lt;$U$1,"Prior period",IF(B242&gt;$U$2,"Future period","Current period"))</f>
        <v>Current period</v>
      </c>
      <c r="R242" s="5" t="str">
        <f aca="false" t="array" ref="R242:R242">_xlfn.XLOOKUP(A242,TRIM(SUBSTITUTE('worker file'!$A$2:$A$406,_xlfn.UNICHAR(160)," ")),'worker file'!$D$2:$D$406,"Not found")</f>
        <v>CA</v>
      </c>
    </row>
    <row r="243" customFormat="false" ht="15" hidden="false" customHeight="false" outlineLevel="0" collapsed="false">
      <c r="A243" s="5" t="s">
        <v>354</v>
      </c>
      <c r="B243" s="6" t="n">
        <v>46310</v>
      </c>
      <c r="C243" s="62" t="n">
        <v>0.580555555555556</v>
      </c>
      <c r="D243" s="62" t="n">
        <v>0.111805555555556</v>
      </c>
      <c r="E243" s="63" t="n">
        <v>0.758333333333333</v>
      </c>
      <c r="F243" s="64" t="n">
        <v>0.779166666666667</v>
      </c>
      <c r="G243" s="65" t="str">
        <f aca="false" t="array" ref="G243:G243">_xlfn.XLOOKUP(A243&amp;"|"&amp;B243,ShiftRoster[Employee ID]&amp;"|"&amp;ShiftRoster[Date],ShiftRoster[Shift Code],_xlfn.XLOOKUP(A243,TRIM(SUBSTITUTE('worker file'!$A$2:$A$406,_xlfn.UNICHAR(160)," ")),'worker file'!$X$2:$X$406,"?"),0,-1)</f>
        <v>SWNG</v>
      </c>
      <c r="H243" s="65" t="str">
        <f aca="false">_xlfn.XLOOKUP(G243,ShiftCodes[Code],ShiftCodes[Work Schedule],"Unknown")</f>
        <v>Shift B – Swing (Mon–Fri 14:00–22:30)</v>
      </c>
      <c r="I243" s="66" t="n">
        <f aca="false">_xlfn.XLOOKUP(G243,ShiftCodes[Code],ShiftCodes[Start],"")</f>
        <v>0.583333333333333</v>
      </c>
      <c r="J243" s="67" t="n">
        <f aca="false">IF(OR(C243="",I243=""),"",ROUND((MOD(C243-I243+0.5,1)-0.5)*1440,0))</f>
        <v>-4</v>
      </c>
      <c r="K243" s="65" t="str">
        <f aca="false">IF(J243="","",IF(ABS(J243)&gt;$U$3,"Off-schedule","OK"))</f>
        <v>OK</v>
      </c>
      <c r="L243" s="68" t="s">
        <v>793</v>
      </c>
      <c r="M243" s="5" t="str">
        <f aca="false">TEXT(B243,"ddd")</f>
        <v>Thu</v>
      </c>
      <c r="N243" s="69" t="n">
        <f aca="false">IF(OR(C243="",D243=""),"",ROUND((MOD(D243-C243,1)-IF(ISNUMBER(E243),MOD(F243-E243,1),0))*24,2))</f>
        <v>12.25</v>
      </c>
      <c r="O243" s="5" t="s">
        <v>768</v>
      </c>
      <c r="P243" s="6" t="n">
        <v>46311</v>
      </c>
      <c r="Q243" s="5" t="str">
        <f aca="false">IF(B243&lt;$U$1,"Prior period",IF(B243&gt;$U$2,"Future period","Current period"))</f>
        <v>Current period</v>
      </c>
      <c r="R243" s="5" t="str">
        <f aca="false" t="array" ref="R243:R243">_xlfn.XLOOKUP(A243,TRIM(SUBSTITUTE('worker file'!$A$2:$A$406,_xlfn.UNICHAR(160)," ")),'worker file'!$D$2:$D$406,"Not found")</f>
        <v>CA</v>
      </c>
    </row>
    <row r="244" customFormat="false" ht="15" hidden="false" customHeight="false" outlineLevel="0" collapsed="false">
      <c r="A244" s="5" t="s">
        <v>354</v>
      </c>
      <c r="B244" s="6" t="n">
        <v>46311</v>
      </c>
      <c r="C244" s="62" t="n">
        <v>0.583333333333333</v>
      </c>
      <c r="D244" s="62" t="n">
        <v>0.933333333333333</v>
      </c>
      <c r="E244" s="63" t="n">
        <v>0.768055555555556</v>
      </c>
      <c r="F244" s="64" t="n">
        <v>0.788888888888889</v>
      </c>
      <c r="G244" s="65" t="str">
        <f aca="false" t="array" ref="G244:G244">_xlfn.XLOOKUP(A244&amp;"|"&amp;B244,ShiftRoster[Employee ID]&amp;"|"&amp;ShiftRoster[Date],ShiftRoster[Shift Code],_xlfn.XLOOKUP(A244,TRIM(SUBSTITUTE('worker file'!$A$2:$A$406,_xlfn.UNICHAR(160)," ")),'worker file'!$X$2:$X$406,"?"),0,-1)</f>
        <v>SWNG</v>
      </c>
      <c r="H244" s="65" t="str">
        <f aca="false">_xlfn.XLOOKUP(G244,ShiftCodes[Code],ShiftCodes[Work Schedule],"Unknown")</f>
        <v>Shift B – Swing (Mon–Fri 14:00–22:30)</v>
      </c>
      <c r="I244" s="66" t="n">
        <f aca="false">_xlfn.XLOOKUP(G244,ShiftCodes[Code],ShiftCodes[Start],"")</f>
        <v>0.583333333333333</v>
      </c>
      <c r="J244" s="67" t="n">
        <f aca="false">IF(OR(C244="",I244=""),"",ROUND((MOD(C244-I244+0.5,1)-0.5)*1440,0))</f>
        <v>0</v>
      </c>
      <c r="K244" s="65" t="str">
        <f aca="false">IF(J244="","",IF(ABS(J244)&gt;$U$3,"Off-schedule","OK"))</f>
        <v>OK</v>
      </c>
      <c r="L244" s="68"/>
      <c r="M244" s="5" t="str">
        <f aca="false">TEXT(B244,"ddd")</f>
        <v>Fri</v>
      </c>
      <c r="N244" s="69" t="n">
        <f aca="false">IF(OR(C244="",D244=""),"",ROUND((MOD(D244-C244,1)-IF(ISNUMBER(E244),MOD(F244-E244,1),0))*24,2))</f>
        <v>7.9</v>
      </c>
      <c r="O244" s="5" t="s">
        <v>768</v>
      </c>
      <c r="P244" s="6" t="n">
        <v>46311</v>
      </c>
      <c r="Q244" s="5" t="str">
        <f aca="false">IF(B244&lt;$U$1,"Prior period",IF(B244&gt;$U$2,"Future period","Current period"))</f>
        <v>Current period</v>
      </c>
      <c r="R244" s="5" t="str">
        <f aca="false" t="array" ref="R244:R244">_xlfn.XLOOKUP(A244,TRIM(SUBSTITUTE('worker file'!$A$2:$A$406,_xlfn.UNICHAR(160)," ")),'worker file'!$D$2:$D$406,"Not found")</f>
        <v>CA</v>
      </c>
    </row>
    <row r="245" customFormat="false" ht="15" hidden="false" customHeight="false" outlineLevel="0" collapsed="false">
      <c r="A245" s="5" t="s">
        <v>358</v>
      </c>
      <c r="B245" s="6" t="n">
        <v>46300</v>
      </c>
      <c r="C245" s="62" t="n">
        <v>0.580555555555556</v>
      </c>
      <c r="D245" s="62" t="n">
        <v>0.934722222222222</v>
      </c>
      <c r="E245" s="63" t="n">
        <v>0.756944444444444</v>
      </c>
      <c r="F245" s="64" t="n">
        <v>0.777777777777778</v>
      </c>
      <c r="G245" s="65" t="str">
        <f aca="false" t="array" ref="G245:G245">_xlfn.XLOOKUP(A245&amp;"|"&amp;B245,ShiftRoster[Employee ID]&amp;"|"&amp;ShiftRoster[Date],ShiftRoster[Shift Code],_xlfn.XLOOKUP(A245,TRIM(SUBSTITUTE('worker file'!$A$2:$A$406,_xlfn.UNICHAR(160)," ")),'worker file'!$X$2:$X$406,"?"),0,-1)</f>
        <v>SWNG</v>
      </c>
      <c r="H245" s="65" t="str">
        <f aca="false">_xlfn.XLOOKUP(G245,ShiftCodes[Code],ShiftCodes[Work Schedule],"Unknown")</f>
        <v>Shift B – Swing (Mon–Fri 14:00–22:30)</v>
      </c>
      <c r="I245" s="66" t="n">
        <f aca="false">_xlfn.XLOOKUP(G245,ShiftCodes[Code],ShiftCodes[Start],"")</f>
        <v>0.583333333333333</v>
      </c>
      <c r="J245" s="67" t="n">
        <f aca="false">IF(OR(C245="",I245=""),"",ROUND((MOD(C245-I245+0.5,1)-0.5)*1440,0))</f>
        <v>-4</v>
      </c>
      <c r="K245" s="65" t="str">
        <f aca="false">IF(J245="","",IF(ABS(J245)&gt;$U$3,"Off-schedule","OK"))</f>
        <v>OK</v>
      </c>
      <c r="L245" s="68"/>
      <c r="M245" s="5" t="str">
        <f aca="false">TEXT(B245,"ddd")</f>
        <v>Mon</v>
      </c>
      <c r="N245" s="69" t="n">
        <f aca="false">IF(OR(C245="",D245=""),"",ROUND((MOD(D245-C245,1)-IF(ISNUMBER(E245),MOD(F245-E245,1),0))*24,2))</f>
        <v>8</v>
      </c>
      <c r="O245" s="5" t="s">
        <v>768</v>
      </c>
      <c r="P245" s="6" t="n">
        <v>46300</v>
      </c>
      <c r="Q245" s="5" t="str">
        <f aca="false">IF(B245&lt;$U$1,"Prior period",IF(B245&gt;$U$2,"Future period","Current period"))</f>
        <v>Current period</v>
      </c>
      <c r="R245" s="5" t="str">
        <f aca="false" t="array" ref="R245:R245">_xlfn.XLOOKUP(A245,TRIM(SUBSTITUTE('worker file'!$A$2:$A$406,_xlfn.UNICHAR(160)," ")),'worker file'!$D$2:$D$406,"Not found")</f>
        <v>TX</v>
      </c>
    </row>
    <row r="246" customFormat="false" ht="15" hidden="false" customHeight="false" outlineLevel="0" collapsed="false">
      <c r="A246" s="5" t="s">
        <v>358</v>
      </c>
      <c r="B246" s="6" t="n">
        <v>46301</v>
      </c>
      <c r="C246" s="62" t="n">
        <v>0.582638888888889</v>
      </c>
      <c r="D246" s="62" t="n">
        <v>0.934722222222222</v>
      </c>
      <c r="E246" s="63" t="n">
        <v>0.736805555555556</v>
      </c>
      <c r="F246" s="64" t="n">
        <v>0.757638888888889</v>
      </c>
      <c r="G246" s="65" t="str">
        <f aca="false" t="array" ref="G246:G246">_xlfn.XLOOKUP(A246&amp;"|"&amp;B246,ShiftRoster[Employee ID]&amp;"|"&amp;ShiftRoster[Date],ShiftRoster[Shift Code],_xlfn.XLOOKUP(A246,TRIM(SUBSTITUTE('worker file'!$A$2:$A$406,_xlfn.UNICHAR(160)," ")),'worker file'!$X$2:$X$406,"?"),0,-1)</f>
        <v>SWNG</v>
      </c>
      <c r="H246" s="65" t="str">
        <f aca="false">_xlfn.XLOOKUP(G246,ShiftCodes[Code],ShiftCodes[Work Schedule],"Unknown")</f>
        <v>Shift B – Swing (Mon–Fri 14:00–22:30)</v>
      </c>
      <c r="I246" s="66" t="n">
        <f aca="false">_xlfn.XLOOKUP(G246,ShiftCodes[Code],ShiftCodes[Start],"")</f>
        <v>0.583333333333333</v>
      </c>
      <c r="J246" s="67" t="n">
        <f aca="false">IF(OR(C246="",I246=""),"",ROUND((MOD(C246-I246+0.5,1)-0.5)*1440,0))</f>
        <v>-1</v>
      </c>
      <c r="K246" s="65" t="str">
        <f aca="false">IF(J246="","",IF(ABS(J246)&gt;$U$3,"Off-schedule","OK"))</f>
        <v>OK</v>
      </c>
      <c r="L246" s="68"/>
      <c r="M246" s="5" t="str">
        <f aca="false">TEXT(B246,"ddd")</f>
        <v>Tue</v>
      </c>
      <c r="N246" s="69" t="n">
        <f aca="false">IF(OR(C246="",D246=""),"",ROUND((MOD(D246-C246,1)-IF(ISNUMBER(E246),MOD(F246-E246,1),0))*24,2))</f>
        <v>7.95</v>
      </c>
      <c r="O246" s="5" t="s">
        <v>768</v>
      </c>
      <c r="P246" s="6" t="n">
        <v>46301</v>
      </c>
      <c r="Q246" s="5" t="str">
        <f aca="false">IF(B246&lt;$U$1,"Prior period",IF(B246&gt;$U$2,"Future period","Current period"))</f>
        <v>Current period</v>
      </c>
      <c r="R246" s="5" t="str">
        <f aca="false" t="array" ref="R246:R246">_xlfn.XLOOKUP(A246,TRIM(SUBSTITUTE('worker file'!$A$2:$A$406,_xlfn.UNICHAR(160)," ")),'worker file'!$D$2:$D$406,"Not found")</f>
        <v>TX</v>
      </c>
    </row>
    <row r="247" customFormat="false" ht="15" hidden="false" customHeight="false" outlineLevel="0" collapsed="false">
      <c r="A247" s="5" t="s">
        <v>358</v>
      </c>
      <c r="B247" s="6" t="n">
        <v>46302</v>
      </c>
      <c r="C247" s="62" t="n">
        <v>0.584722222222222</v>
      </c>
      <c r="D247" s="62" t="n">
        <v>0.936111111111111</v>
      </c>
      <c r="E247" s="63" t="n">
        <v>0.803472222222222</v>
      </c>
      <c r="F247" s="64" t="n">
        <v>0.824305555555556</v>
      </c>
      <c r="G247" s="65" t="str">
        <f aca="false" t="array" ref="G247:G247">_xlfn.XLOOKUP(A247&amp;"|"&amp;B247,ShiftRoster[Employee ID]&amp;"|"&amp;ShiftRoster[Date],ShiftRoster[Shift Code],_xlfn.XLOOKUP(A247,TRIM(SUBSTITUTE('worker file'!$A$2:$A$406,_xlfn.UNICHAR(160)," ")),'worker file'!$X$2:$X$406,"?"),0,-1)</f>
        <v>SWNG</v>
      </c>
      <c r="H247" s="65" t="str">
        <f aca="false">_xlfn.XLOOKUP(G247,ShiftCodes[Code],ShiftCodes[Work Schedule],"Unknown")</f>
        <v>Shift B – Swing (Mon–Fri 14:00–22:30)</v>
      </c>
      <c r="I247" s="66" t="n">
        <f aca="false">_xlfn.XLOOKUP(G247,ShiftCodes[Code],ShiftCodes[Start],"")</f>
        <v>0.583333333333333</v>
      </c>
      <c r="J247" s="67" t="n">
        <f aca="false">IF(OR(C247="",I247=""),"",ROUND((MOD(C247-I247+0.5,1)-0.5)*1440,0))</f>
        <v>2</v>
      </c>
      <c r="K247" s="65" t="str">
        <f aca="false">IF(J247="","",IF(ABS(J247)&gt;$U$3,"Off-schedule","OK"))</f>
        <v>OK</v>
      </c>
      <c r="L247" s="68" t="s">
        <v>778</v>
      </c>
      <c r="M247" s="5" t="str">
        <f aca="false">TEXT(B247,"ddd")</f>
        <v>Wed</v>
      </c>
      <c r="N247" s="69" t="n">
        <f aca="false">IF(OR(C247="",D247=""),"",ROUND((MOD(D247-C247,1)-IF(ISNUMBER(E247),MOD(F247-E247,1),0))*24,2))</f>
        <v>7.93</v>
      </c>
      <c r="O247" s="5" t="s">
        <v>768</v>
      </c>
      <c r="P247" s="6" t="n">
        <v>46302</v>
      </c>
      <c r="Q247" s="5" t="str">
        <f aca="false">IF(B247&lt;$U$1,"Prior period",IF(B247&gt;$U$2,"Future period","Current period"))</f>
        <v>Current period</v>
      </c>
      <c r="R247" s="5" t="str">
        <f aca="false" t="array" ref="R247:R247">_xlfn.XLOOKUP(A247,TRIM(SUBSTITUTE('worker file'!$A$2:$A$406,_xlfn.UNICHAR(160)," ")),'worker file'!$D$2:$D$406,"Not found")</f>
        <v>TX</v>
      </c>
    </row>
    <row r="248" customFormat="false" ht="15" hidden="false" customHeight="false" outlineLevel="0" collapsed="false">
      <c r="A248" s="5" t="s">
        <v>358</v>
      </c>
      <c r="B248" s="6" t="n">
        <v>46303</v>
      </c>
      <c r="C248" s="62" t="n">
        <v>0.579166666666667</v>
      </c>
      <c r="D248" s="62" t="n">
        <v>0.930555555555556</v>
      </c>
      <c r="E248" s="63" t="n">
        <v>0.754166666666667</v>
      </c>
      <c r="F248" s="64" t="n">
        <v>0.775</v>
      </c>
      <c r="G248" s="65" t="str">
        <f aca="false" t="array" ref="G248:G248">_xlfn.XLOOKUP(A248&amp;"|"&amp;B248,ShiftRoster[Employee ID]&amp;"|"&amp;ShiftRoster[Date],ShiftRoster[Shift Code],_xlfn.XLOOKUP(A248,TRIM(SUBSTITUTE('worker file'!$A$2:$A$406,_xlfn.UNICHAR(160)," ")),'worker file'!$X$2:$X$406,"?"),0,-1)</f>
        <v>SWNG</v>
      </c>
      <c r="H248" s="65" t="str">
        <f aca="false">_xlfn.XLOOKUP(G248,ShiftCodes[Code],ShiftCodes[Work Schedule],"Unknown")</f>
        <v>Shift B – Swing (Mon–Fri 14:00–22:30)</v>
      </c>
      <c r="I248" s="66" t="n">
        <f aca="false">_xlfn.XLOOKUP(G248,ShiftCodes[Code],ShiftCodes[Start],"")</f>
        <v>0.583333333333333</v>
      </c>
      <c r="J248" s="67" t="n">
        <f aca="false">IF(OR(C248="",I248=""),"",ROUND((MOD(C248-I248+0.5,1)-0.5)*1440,0))</f>
        <v>-6</v>
      </c>
      <c r="K248" s="65" t="str">
        <f aca="false">IF(J248="","",IF(ABS(J248)&gt;$U$3,"Off-schedule","OK"))</f>
        <v>OK</v>
      </c>
      <c r="L248" s="68"/>
      <c r="M248" s="5" t="str">
        <f aca="false">TEXT(B248,"ddd")</f>
        <v>Thu</v>
      </c>
      <c r="N248" s="69" t="n">
        <f aca="false">IF(OR(C248="",D248=""),"",ROUND((MOD(D248-C248,1)-IF(ISNUMBER(E248),MOD(F248-E248,1),0))*24,2))</f>
        <v>7.93</v>
      </c>
      <c r="O248" s="5" t="s">
        <v>768</v>
      </c>
      <c r="P248" s="6" t="n">
        <v>46303</v>
      </c>
      <c r="Q248" s="5" t="str">
        <f aca="false">IF(B248&lt;$U$1,"Prior period",IF(B248&gt;$U$2,"Future period","Current period"))</f>
        <v>Current period</v>
      </c>
      <c r="R248" s="5" t="str">
        <f aca="false" t="array" ref="R248:R248">_xlfn.XLOOKUP(A248,TRIM(SUBSTITUTE('worker file'!$A$2:$A$406,_xlfn.UNICHAR(160)," ")),'worker file'!$D$2:$D$406,"Not found")</f>
        <v>TX</v>
      </c>
    </row>
    <row r="249" customFormat="false" ht="15" hidden="false" customHeight="false" outlineLevel="0" collapsed="false">
      <c r="A249" s="5" t="s">
        <v>358</v>
      </c>
      <c r="B249" s="6" t="n">
        <v>46304</v>
      </c>
      <c r="C249" s="62" t="n">
        <v>0.586111111111111</v>
      </c>
      <c r="D249" s="62" t="n">
        <v>0.9375</v>
      </c>
      <c r="E249" s="63" t="n">
        <v>0.731944444444444</v>
      </c>
      <c r="F249" s="64" t="n">
        <v>0.752777777777778</v>
      </c>
      <c r="G249" s="65" t="str">
        <f aca="false" t="array" ref="G249:G249">_xlfn.XLOOKUP(A249&amp;"|"&amp;B249,ShiftRoster[Employee ID]&amp;"|"&amp;ShiftRoster[Date],ShiftRoster[Shift Code],_xlfn.XLOOKUP(A249,TRIM(SUBSTITUTE('worker file'!$A$2:$A$406,_xlfn.UNICHAR(160)," ")),'worker file'!$X$2:$X$406,"?"),0,-1)</f>
        <v>SWNG</v>
      </c>
      <c r="H249" s="65" t="str">
        <f aca="false">_xlfn.XLOOKUP(G249,ShiftCodes[Code],ShiftCodes[Work Schedule],"Unknown")</f>
        <v>Shift B – Swing (Mon–Fri 14:00–22:30)</v>
      </c>
      <c r="I249" s="66" t="n">
        <f aca="false">_xlfn.XLOOKUP(G249,ShiftCodes[Code],ShiftCodes[Start],"")</f>
        <v>0.583333333333333</v>
      </c>
      <c r="J249" s="67" t="n">
        <f aca="false">IF(OR(C249="",I249=""),"",ROUND((MOD(C249-I249+0.5,1)-0.5)*1440,0))</f>
        <v>4</v>
      </c>
      <c r="K249" s="65" t="str">
        <f aca="false">IF(J249="","",IF(ABS(J249)&gt;$U$3,"Off-schedule","OK"))</f>
        <v>OK</v>
      </c>
      <c r="L249" s="68"/>
      <c r="M249" s="5" t="str">
        <f aca="false">TEXT(B249,"ddd")</f>
        <v>Fri</v>
      </c>
      <c r="N249" s="69" t="n">
        <f aca="false">IF(OR(C249="",D249=""),"",ROUND((MOD(D249-C249,1)-IF(ISNUMBER(E249),MOD(F249-E249,1),0))*24,2))</f>
        <v>7.93</v>
      </c>
      <c r="O249" s="5" t="s">
        <v>768</v>
      </c>
      <c r="P249" s="6" t="n">
        <v>46304</v>
      </c>
      <c r="Q249" s="5" t="str">
        <f aca="false">IF(B249&lt;$U$1,"Prior period",IF(B249&gt;$U$2,"Future period","Current period"))</f>
        <v>Current period</v>
      </c>
      <c r="R249" s="5" t="str">
        <f aca="false" t="array" ref="R249:R249">_xlfn.XLOOKUP(A249,TRIM(SUBSTITUTE('worker file'!$A$2:$A$406,_xlfn.UNICHAR(160)," ")),'worker file'!$D$2:$D$406,"Not found")</f>
        <v>TX</v>
      </c>
    </row>
    <row r="250" customFormat="false" ht="15" hidden="false" customHeight="false" outlineLevel="0" collapsed="false">
      <c r="A250" s="5" t="s">
        <v>358</v>
      </c>
      <c r="B250" s="6" t="n">
        <v>46307</v>
      </c>
      <c r="C250" s="62" t="n">
        <v>0.586111111111111</v>
      </c>
      <c r="D250" s="62" t="n">
        <v>0.938888888888889</v>
      </c>
      <c r="E250" s="63" t="n">
        <v>0.76875</v>
      </c>
      <c r="F250" s="64" t="n">
        <v>0.789583333333333</v>
      </c>
      <c r="G250" s="65" t="str">
        <f aca="false" t="array" ref="G250:G250">_xlfn.XLOOKUP(A250&amp;"|"&amp;B250,ShiftRoster[Employee ID]&amp;"|"&amp;ShiftRoster[Date],ShiftRoster[Shift Code],_xlfn.XLOOKUP(A250,TRIM(SUBSTITUTE('worker file'!$A$2:$A$406,_xlfn.UNICHAR(160)," ")),'worker file'!$X$2:$X$406,"?"),0,-1)</f>
        <v>SWNG</v>
      </c>
      <c r="H250" s="65" t="str">
        <f aca="false">_xlfn.XLOOKUP(G250,ShiftCodes[Code],ShiftCodes[Work Schedule],"Unknown")</f>
        <v>Shift B – Swing (Mon–Fri 14:00–22:30)</v>
      </c>
      <c r="I250" s="66" t="n">
        <f aca="false">_xlfn.XLOOKUP(G250,ShiftCodes[Code],ShiftCodes[Start],"")</f>
        <v>0.583333333333333</v>
      </c>
      <c r="J250" s="67" t="n">
        <f aca="false">IF(OR(C250="",I250=""),"",ROUND((MOD(C250-I250+0.5,1)-0.5)*1440,0))</f>
        <v>4</v>
      </c>
      <c r="K250" s="65" t="str">
        <f aca="false">IF(J250="","",IF(ABS(J250)&gt;$U$3,"Off-schedule","OK"))</f>
        <v>OK</v>
      </c>
      <c r="L250" s="68"/>
      <c r="M250" s="5" t="str">
        <f aca="false">TEXT(B250,"ddd")</f>
        <v>Mon</v>
      </c>
      <c r="N250" s="69" t="n">
        <f aca="false">IF(OR(C250="",D250=""),"",ROUND((MOD(D250-C250,1)-IF(ISNUMBER(E250),MOD(F250-E250,1),0))*24,2))</f>
        <v>7.97</v>
      </c>
      <c r="O250" s="5" t="s">
        <v>768</v>
      </c>
      <c r="P250" s="6" t="n">
        <v>46307</v>
      </c>
      <c r="Q250" s="5" t="str">
        <f aca="false">IF(B250&lt;$U$1,"Prior period",IF(B250&gt;$U$2,"Future period","Current period"))</f>
        <v>Current period</v>
      </c>
      <c r="R250" s="5" t="str">
        <f aca="false" t="array" ref="R250:R250">_xlfn.XLOOKUP(A250,TRIM(SUBSTITUTE('worker file'!$A$2:$A$406,_xlfn.UNICHAR(160)," ")),'worker file'!$D$2:$D$406,"Not found")</f>
        <v>TX</v>
      </c>
    </row>
    <row r="251" customFormat="false" ht="15" hidden="false" customHeight="false" outlineLevel="0" collapsed="false">
      <c r="A251" s="5" t="s">
        <v>358</v>
      </c>
      <c r="B251" s="6" t="n">
        <v>46308</v>
      </c>
      <c r="C251" s="62" t="n">
        <v>0.581944444444445</v>
      </c>
      <c r="D251" s="62" t="n">
        <v>0.934722222222222</v>
      </c>
      <c r="E251" s="63" t="n">
        <v>0.759722222222222</v>
      </c>
      <c r="F251" s="64" t="n">
        <v>0.780555555555556</v>
      </c>
      <c r="G251" s="65" t="str">
        <f aca="false" t="array" ref="G251:G251">_xlfn.XLOOKUP(A251&amp;"|"&amp;B251,ShiftRoster[Employee ID]&amp;"|"&amp;ShiftRoster[Date],ShiftRoster[Shift Code],_xlfn.XLOOKUP(A251,TRIM(SUBSTITUTE('worker file'!$A$2:$A$406,_xlfn.UNICHAR(160)," ")),'worker file'!$X$2:$X$406,"?"),0,-1)</f>
        <v>SWNG</v>
      </c>
      <c r="H251" s="65" t="str">
        <f aca="false">_xlfn.XLOOKUP(G251,ShiftCodes[Code],ShiftCodes[Work Schedule],"Unknown")</f>
        <v>Shift B – Swing (Mon–Fri 14:00–22:30)</v>
      </c>
      <c r="I251" s="66" t="n">
        <f aca="false">_xlfn.XLOOKUP(G251,ShiftCodes[Code],ShiftCodes[Start],"")</f>
        <v>0.583333333333333</v>
      </c>
      <c r="J251" s="67" t="n">
        <f aca="false">IF(OR(C251="",I251=""),"",ROUND((MOD(C251-I251+0.5,1)-0.5)*1440,0))</f>
        <v>-2</v>
      </c>
      <c r="K251" s="65" t="str">
        <f aca="false">IF(J251="","",IF(ABS(J251)&gt;$U$3,"Off-schedule","OK"))</f>
        <v>OK</v>
      </c>
      <c r="L251" s="68"/>
      <c r="M251" s="5" t="str">
        <f aca="false">TEXT(B251,"ddd")</f>
        <v>Tue</v>
      </c>
      <c r="N251" s="69" t="n">
        <f aca="false">IF(OR(C251="",D251=""),"",ROUND((MOD(D251-C251,1)-IF(ISNUMBER(E251),MOD(F251-E251,1),0))*24,2))</f>
        <v>7.97</v>
      </c>
      <c r="O251" s="5" t="s">
        <v>768</v>
      </c>
      <c r="P251" s="6" t="n">
        <v>46308</v>
      </c>
      <c r="Q251" s="5" t="str">
        <f aca="false">IF(B251&lt;$U$1,"Prior period",IF(B251&gt;$U$2,"Future period","Current period"))</f>
        <v>Current period</v>
      </c>
      <c r="R251" s="5" t="str">
        <f aca="false" t="array" ref="R251:R251">_xlfn.XLOOKUP(A251,TRIM(SUBSTITUTE('worker file'!$A$2:$A$406,_xlfn.UNICHAR(160)," ")),'worker file'!$D$2:$D$406,"Not found")</f>
        <v>TX</v>
      </c>
    </row>
    <row r="252" customFormat="false" ht="15" hidden="false" customHeight="false" outlineLevel="0" collapsed="false">
      <c r="A252" s="5" t="s">
        <v>358</v>
      </c>
      <c r="B252" s="6" t="n">
        <v>46309</v>
      </c>
      <c r="C252" s="62" t="n">
        <v>0.586111111111111</v>
      </c>
      <c r="D252" s="62" t="n">
        <v>0.934722222222222</v>
      </c>
      <c r="E252" s="63" t="n">
        <v>0.740277777777778</v>
      </c>
      <c r="F252" s="64" t="n">
        <v>0.761111111111111</v>
      </c>
      <c r="G252" s="65" t="str">
        <f aca="false" t="array" ref="G252:G252">_xlfn.XLOOKUP(A252&amp;"|"&amp;B252,ShiftRoster[Employee ID]&amp;"|"&amp;ShiftRoster[Date],ShiftRoster[Shift Code],_xlfn.XLOOKUP(A252,TRIM(SUBSTITUTE('worker file'!$A$2:$A$406,_xlfn.UNICHAR(160)," ")),'worker file'!$X$2:$X$406,"?"),0,-1)</f>
        <v>SWNG</v>
      </c>
      <c r="H252" s="65" t="str">
        <f aca="false">_xlfn.XLOOKUP(G252,ShiftCodes[Code],ShiftCodes[Work Schedule],"Unknown")</f>
        <v>Shift B – Swing (Mon–Fri 14:00–22:30)</v>
      </c>
      <c r="I252" s="66" t="n">
        <f aca="false">_xlfn.XLOOKUP(G252,ShiftCodes[Code],ShiftCodes[Start],"")</f>
        <v>0.583333333333333</v>
      </c>
      <c r="J252" s="67" t="n">
        <f aca="false">IF(OR(C252="",I252=""),"",ROUND((MOD(C252-I252+0.5,1)-0.5)*1440,0))</f>
        <v>4</v>
      </c>
      <c r="K252" s="65" t="str">
        <f aca="false">IF(J252="","",IF(ABS(J252)&gt;$U$3,"Off-schedule","OK"))</f>
        <v>OK</v>
      </c>
      <c r="L252" s="68"/>
      <c r="M252" s="5" t="str">
        <f aca="false">TEXT(B252,"ddd")</f>
        <v>Wed</v>
      </c>
      <c r="N252" s="69" t="n">
        <f aca="false">IF(OR(C252="",D252=""),"",ROUND((MOD(D252-C252,1)-IF(ISNUMBER(E252),MOD(F252-E252,1),0))*24,2))</f>
        <v>7.87</v>
      </c>
      <c r="O252" s="5" t="s">
        <v>768</v>
      </c>
      <c r="P252" s="6" t="n">
        <v>46309</v>
      </c>
      <c r="Q252" s="5" t="str">
        <f aca="false">IF(B252&lt;$U$1,"Prior period",IF(B252&gt;$U$2,"Future period","Current period"))</f>
        <v>Current period</v>
      </c>
      <c r="R252" s="5" t="str">
        <f aca="false" t="array" ref="R252:R252">_xlfn.XLOOKUP(A252,TRIM(SUBSTITUTE('worker file'!$A$2:$A$406,_xlfn.UNICHAR(160)," ")),'worker file'!$D$2:$D$406,"Not found")</f>
        <v>TX</v>
      </c>
    </row>
    <row r="253" customFormat="false" ht="15" hidden="false" customHeight="false" outlineLevel="0" collapsed="false">
      <c r="A253" s="5" t="s">
        <v>358</v>
      </c>
      <c r="B253" s="6" t="n">
        <v>46310</v>
      </c>
      <c r="C253" s="62" t="n">
        <v>0.582638888888889</v>
      </c>
      <c r="D253" s="62" t="n">
        <v>0.936111111111111</v>
      </c>
      <c r="E253" s="63" t="n">
        <v>0.751388888888889</v>
      </c>
      <c r="F253" s="64" t="n">
        <v>0.772222222222222</v>
      </c>
      <c r="G253" s="65" t="str">
        <f aca="false" t="array" ref="G253:G253">_xlfn.XLOOKUP(A253&amp;"|"&amp;B253,ShiftRoster[Employee ID]&amp;"|"&amp;ShiftRoster[Date],ShiftRoster[Shift Code],_xlfn.XLOOKUP(A253,TRIM(SUBSTITUTE('worker file'!$A$2:$A$406,_xlfn.UNICHAR(160)," ")),'worker file'!$X$2:$X$406,"?"),0,-1)</f>
        <v>SWNG</v>
      </c>
      <c r="H253" s="65" t="str">
        <f aca="false">_xlfn.XLOOKUP(G253,ShiftCodes[Code],ShiftCodes[Work Schedule],"Unknown")</f>
        <v>Shift B – Swing (Mon–Fri 14:00–22:30)</v>
      </c>
      <c r="I253" s="66" t="n">
        <f aca="false">_xlfn.XLOOKUP(G253,ShiftCodes[Code],ShiftCodes[Start],"")</f>
        <v>0.583333333333333</v>
      </c>
      <c r="J253" s="67" t="n">
        <f aca="false">IF(OR(C253="",I253=""),"",ROUND((MOD(C253-I253+0.5,1)-0.5)*1440,0))</f>
        <v>-1</v>
      </c>
      <c r="K253" s="65" t="str">
        <f aca="false">IF(J253="","",IF(ABS(J253)&gt;$U$3,"Off-schedule","OK"))</f>
        <v>OK</v>
      </c>
      <c r="L253" s="68"/>
      <c r="M253" s="5" t="str">
        <f aca="false">TEXT(B253,"ddd")</f>
        <v>Thu</v>
      </c>
      <c r="N253" s="69" t="n">
        <f aca="false">IF(OR(C253="",D253=""),"",ROUND((MOD(D253-C253,1)-IF(ISNUMBER(E253),MOD(F253-E253,1),0))*24,2))</f>
        <v>7.98</v>
      </c>
      <c r="O253" s="5" t="s">
        <v>768</v>
      </c>
      <c r="P253" s="6" t="n">
        <v>46310</v>
      </c>
      <c r="Q253" s="5" t="str">
        <f aca="false">IF(B253&lt;$U$1,"Prior period",IF(B253&gt;$U$2,"Future period","Current period"))</f>
        <v>Current period</v>
      </c>
      <c r="R253" s="5" t="str">
        <f aca="false" t="array" ref="R253:R253">_xlfn.XLOOKUP(A253,TRIM(SUBSTITUTE('worker file'!$A$2:$A$406,_xlfn.UNICHAR(160)," ")),'worker file'!$D$2:$D$406,"Not found")</f>
        <v>TX</v>
      </c>
    </row>
    <row r="254" customFormat="false" ht="15" hidden="false" customHeight="false" outlineLevel="0" collapsed="false">
      <c r="A254" s="5" t="s">
        <v>358</v>
      </c>
      <c r="B254" s="6" t="n">
        <v>46311</v>
      </c>
      <c r="C254" s="62" t="n">
        <v>0.58125</v>
      </c>
      <c r="D254" s="62" t="n">
        <v>0.933333333333333</v>
      </c>
      <c r="E254" s="63" t="n">
        <v>0.756944444444444</v>
      </c>
      <c r="F254" s="64" t="n">
        <v>0.777777777777778</v>
      </c>
      <c r="G254" s="65" t="str">
        <f aca="false" t="array" ref="G254:G254">_xlfn.XLOOKUP(A254&amp;"|"&amp;B254,ShiftRoster[Employee ID]&amp;"|"&amp;ShiftRoster[Date],ShiftRoster[Shift Code],_xlfn.XLOOKUP(A254,TRIM(SUBSTITUTE('worker file'!$A$2:$A$406,_xlfn.UNICHAR(160)," ")),'worker file'!$X$2:$X$406,"?"),0,-1)</f>
        <v>SWNG</v>
      </c>
      <c r="H254" s="65" t="str">
        <f aca="false">_xlfn.XLOOKUP(G254,ShiftCodes[Code],ShiftCodes[Work Schedule],"Unknown")</f>
        <v>Shift B – Swing (Mon–Fri 14:00–22:30)</v>
      </c>
      <c r="I254" s="66" t="n">
        <f aca="false">_xlfn.XLOOKUP(G254,ShiftCodes[Code],ShiftCodes[Start],"")</f>
        <v>0.583333333333333</v>
      </c>
      <c r="J254" s="67" t="n">
        <f aca="false">IF(OR(C254="",I254=""),"",ROUND((MOD(C254-I254+0.5,1)-0.5)*1440,0))</f>
        <v>-3</v>
      </c>
      <c r="K254" s="65" t="str">
        <f aca="false">IF(J254="","",IF(ABS(J254)&gt;$U$3,"Off-schedule","OK"))</f>
        <v>OK</v>
      </c>
      <c r="L254" s="68"/>
      <c r="M254" s="5" t="str">
        <f aca="false">TEXT(B254,"ddd")</f>
        <v>Fri</v>
      </c>
      <c r="N254" s="69" t="n">
        <f aca="false">IF(OR(C254="",D254=""),"",ROUND((MOD(D254-C254,1)-IF(ISNUMBER(E254),MOD(F254-E254,1),0))*24,2))</f>
        <v>7.95</v>
      </c>
      <c r="O254" s="5" t="s">
        <v>768</v>
      </c>
      <c r="P254" s="6" t="n">
        <v>46311</v>
      </c>
      <c r="Q254" s="5" t="str">
        <f aca="false">IF(B254&lt;$U$1,"Prior period",IF(B254&gt;$U$2,"Future period","Current period"))</f>
        <v>Current period</v>
      </c>
      <c r="R254" s="5" t="str">
        <f aca="false" t="array" ref="R254:R254">_xlfn.XLOOKUP(A254,TRIM(SUBSTITUTE('worker file'!$A$2:$A$406,_xlfn.UNICHAR(160)," ")),'worker file'!$D$2:$D$406,"Not found")</f>
        <v>TX</v>
      </c>
    </row>
    <row r="255" customFormat="false" ht="15" hidden="false" customHeight="false" outlineLevel="0" collapsed="false">
      <c r="A255" s="5" t="s">
        <v>363</v>
      </c>
      <c r="B255" s="6" t="n">
        <v>46300</v>
      </c>
      <c r="C255" s="62" t="n">
        <v>0.248611111111111</v>
      </c>
      <c r="D255" s="62" t="n">
        <v>0.602083333333333</v>
      </c>
      <c r="E255" s="63" t="n">
        <v>0.394444444444444</v>
      </c>
      <c r="F255" s="64" t="n">
        <v>0.415277777777778</v>
      </c>
      <c r="G255" s="65" t="str">
        <f aca="false" t="array" ref="G255:G255">_xlfn.XLOOKUP(A255&amp;"|"&amp;B255,ShiftRoster[Employee ID]&amp;"|"&amp;ShiftRoster[Date],ShiftRoster[Shift Code],_xlfn.XLOOKUP(A255,TRIM(SUBSTITUTE('worker file'!$A$2:$A$406,_xlfn.UNICHAR(160)," ")),'worker file'!$X$2:$X$406,"?"),0,-1)</f>
        <v>DAY</v>
      </c>
      <c r="H255" s="65" t="str">
        <f aca="false">_xlfn.XLOOKUP(G255,ShiftCodes[Code],ShiftCodes[Work Schedule],"Unknown")</f>
        <v>Shift A – Day (Mon–Fri 06:00–14:30)</v>
      </c>
      <c r="I255" s="66" t="n">
        <f aca="false">_xlfn.XLOOKUP(G255,ShiftCodes[Code],ShiftCodes[Start],"")</f>
        <v>0.25</v>
      </c>
      <c r="J255" s="67" t="n">
        <f aca="false">IF(OR(C255="",I255=""),"",ROUND((MOD(C255-I255+0.5,1)-0.5)*1440,0))</f>
        <v>-2</v>
      </c>
      <c r="K255" s="65" t="str">
        <f aca="false">IF(J255="","",IF(ABS(J255)&gt;$U$3,"Off-schedule","OK"))</f>
        <v>OK</v>
      </c>
      <c r="L255" s="68"/>
      <c r="M255" s="5" t="str">
        <f aca="false">TEXT(B255,"ddd")</f>
        <v>Mon</v>
      </c>
      <c r="N255" s="69" t="n">
        <f aca="false">IF(OR(C255="",D255=""),"",ROUND((MOD(D255-C255,1)-IF(ISNUMBER(E255),MOD(F255-E255,1),0))*24,2))</f>
        <v>7.98</v>
      </c>
      <c r="O255" s="5" t="s">
        <v>768</v>
      </c>
      <c r="P255" s="6" t="n">
        <v>46300</v>
      </c>
      <c r="Q255" s="5" t="str">
        <f aca="false">IF(B255&lt;$U$1,"Prior period",IF(B255&gt;$U$2,"Future period","Current period"))</f>
        <v>Current period</v>
      </c>
      <c r="R255" s="5" t="str">
        <f aca="false" t="array" ref="R255:R255">_xlfn.XLOOKUP(A255,TRIM(SUBSTITUTE('worker file'!$A$2:$A$406,_xlfn.UNICHAR(160)," ")),'worker file'!$D$2:$D$406,"Not found")</f>
        <v>TX</v>
      </c>
    </row>
    <row r="256" customFormat="false" ht="15" hidden="false" customHeight="false" outlineLevel="0" collapsed="false">
      <c r="A256" s="5" t="s">
        <v>363</v>
      </c>
      <c r="B256" s="6" t="n">
        <v>46301</v>
      </c>
      <c r="C256" s="62" t="n">
        <v>0.252777777777778</v>
      </c>
      <c r="D256" s="62" t="n">
        <v>0.601388888888889</v>
      </c>
      <c r="E256" s="63" t="n">
        <v>0.4</v>
      </c>
      <c r="F256" s="64" t="n">
        <v>0.420833333333333</v>
      </c>
      <c r="G256" s="65" t="str">
        <f aca="false" t="array" ref="G256:G256">_xlfn.XLOOKUP(A256&amp;"|"&amp;B256,ShiftRoster[Employee ID]&amp;"|"&amp;ShiftRoster[Date],ShiftRoster[Shift Code],_xlfn.XLOOKUP(A256,TRIM(SUBSTITUTE('worker file'!$A$2:$A$406,_xlfn.UNICHAR(160)," ")),'worker file'!$X$2:$X$406,"?"),0,-1)</f>
        <v>DAY</v>
      </c>
      <c r="H256" s="65" t="str">
        <f aca="false">_xlfn.XLOOKUP(G256,ShiftCodes[Code],ShiftCodes[Work Schedule],"Unknown")</f>
        <v>Shift A – Day (Mon–Fri 06:00–14:30)</v>
      </c>
      <c r="I256" s="66" t="n">
        <f aca="false">_xlfn.XLOOKUP(G256,ShiftCodes[Code],ShiftCodes[Start],"")</f>
        <v>0.25</v>
      </c>
      <c r="J256" s="67" t="n">
        <f aca="false">IF(OR(C256="",I256=""),"",ROUND((MOD(C256-I256+0.5,1)-0.5)*1440,0))</f>
        <v>4</v>
      </c>
      <c r="K256" s="65" t="str">
        <f aca="false">IF(J256="","",IF(ABS(J256)&gt;$U$3,"Off-schedule","OK"))</f>
        <v>OK</v>
      </c>
      <c r="L256" s="68"/>
      <c r="M256" s="5" t="str">
        <f aca="false">TEXT(B256,"ddd")</f>
        <v>Tue</v>
      </c>
      <c r="N256" s="69" t="n">
        <f aca="false">IF(OR(C256="",D256=""),"",ROUND((MOD(D256-C256,1)-IF(ISNUMBER(E256),MOD(F256-E256,1),0))*24,2))</f>
        <v>7.87</v>
      </c>
      <c r="O256" s="5" t="s">
        <v>768</v>
      </c>
      <c r="P256" s="6" t="n">
        <v>46301</v>
      </c>
      <c r="Q256" s="5" t="str">
        <f aca="false">IF(B256&lt;$U$1,"Prior period",IF(B256&gt;$U$2,"Future period","Current period"))</f>
        <v>Current period</v>
      </c>
      <c r="R256" s="5" t="str">
        <f aca="false" t="array" ref="R256:R256">_xlfn.XLOOKUP(A256,TRIM(SUBSTITUTE('worker file'!$A$2:$A$406,_xlfn.UNICHAR(160)," ")),'worker file'!$D$2:$D$406,"Not found")</f>
        <v>TX</v>
      </c>
    </row>
    <row r="257" customFormat="false" ht="15" hidden="false" customHeight="false" outlineLevel="0" collapsed="false">
      <c r="A257" s="5" t="s">
        <v>363</v>
      </c>
      <c r="B257" s="6" t="n">
        <v>46302</v>
      </c>
      <c r="C257" s="62" t="n">
        <v>0.247916666666667</v>
      </c>
      <c r="D257" s="62" t="n">
        <v>0.602083333333333</v>
      </c>
      <c r="E257" s="63" t="n">
        <v>0.43125</v>
      </c>
      <c r="F257" s="64" t="n">
        <v>0.452083333333333</v>
      </c>
      <c r="G257" s="65" t="str">
        <f aca="false" t="array" ref="G257:G257">_xlfn.XLOOKUP(A257&amp;"|"&amp;B257,ShiftRoster[Employee ID]&amp;"|"&amp;ShiftRoster[Date],ShiftRoster[Shift Code],_xlfn.XLOOKUP(A257,TRIM(SUBSTITUTE('worker file'!$A$2:$A$406,_xlfn.UNICHAR(160)," ")),'worker file'!$X$2:$X$406,"?"),0,-1)</f>
        <v>DAY</v>
      </c>
      <c r="H257" s="65" t="str">
        <f aca="false">_xlfn.XLOOKUP(G257,ShiftCodes[Code],ShiftCodes[Work Schedule],"Unknown")</f>
        <v>Shift A – Day (Mon–Fri 06:00–14:30)</v>
      </c>
      <c r="I257" s="66" t="n">
        <f aca="false">_xlfn.XLOOKUP(G257,ShiftCodes[Code],ShiftCodes[Start],"")</f>
        <v>0.25</v>
      </c>
      <c r="J257" s="67" t="n">
        <f aca="false">IF(OR(C257="",I257=""),"",ROUND((MOD(C257-I257+0.5,1)-0.5)*1440,0))</f>
        <v>-3</v>
      </c>
      <c r="K257" s="65" t="str">
        <f aca="false">IF(J257="","",IF(ABS(J257)&gt;$U$3,"Off-schedule","OK"))</f>
        <v>OK</v>
      </c>
      <c r="L257" s="68"/>
      <c r="M257" s="5" t="str">
        <f aca="false">TEXT(B257,"ddd")</f>
        <v>Wed</v>
      </c>
      <c r="N257" s="69" t="n">
        <f aca="false">IF(OR(C257="",D257=""),"",ROUND((MOD(D257-C257,1)-IF(ISNUMBER(E257),MOD(F257-E257,1),0))*24,2))</f>
        <v>8</v>
      </c>
      <c r="O257" s="5" t="s">
        <v>768</v>
      </c>
      <c r="P257" s="6" t="n">
        <v>46302</v>
      </c>
      <c r="Q257" s="5" t="str">
        <f aca="false">IF(B257&lt;$U$1,"Prior period",IF(B257&gt;$U$2,"Future period","Current period"))</f>
        <v>Current period</v>
      </c>
      <c r="R257" s="5" t="str">
        <f aca="false" t="array" ref="R257:R257">_xlfn.XLOOKUP(A257,TRIM(SUBSTITUTE('worker file'!$A$2:$A$406,_xlfn.UNICHAR(160)," ")),'worker file'!$D$2:$D$406,"Not found")</f>
        <v>TX</v>
      </c>
    </row>
    <row r="258" customFormat="false" ht="15" hidden="false" customHeight="false" outlineLevel="0" collapsed="false">
      <c r="A258" s="5" t="s">
        <v>363</v>
      </c>
      <c r="B258" s="6" t="n">
        <v>46303</v>
      </c>
      <c r="C258" s="62" t="n">
        <v>0.246527777777778</v>
      </c>
      <c r="D258" s="62" t="n">
        <v>0.596527777777778</v>
      </c>
      <c r="E258" s="63" t="n">
        <v>0.399305555555556</v>
      </c>
      <c r="F258" s="64" t="n">
        <v>0.420138888888889</v>
      </c>
      <c r="G258" s="65" t="str">
        <f aca="false" t="array" ref="G258:G258">_xlfn.XLOOKUP(A258&amp;"|"&amp;B258,ShiftRoster[Employee ID]&amp;"|"&amp;ShiftRoster[Date],ShiftRoster[Shift Code],_xlfn.XLOOKUP(A258,TRIM(SUBSTITUTE('worker file'!$A$2:$A$406,_xlfn.UNICHAR(160)," ")),'worker file'!$X$2:$X$406,"?"),0,-1)</f>
        <v>DAY</v>
      </c>
      <c r="H258" s="65" t="str">
        <f aca="false">_xlfn.XLOOKUP(G258,ShiftCodes[Code],ShiftCodes[Work Schedule],"Unknown")</f>
        <v>Shift A – Day (Mon–Fri 06:00–14:30)</v>
      </c>
      <c r="I258" s="66" t="n">
        <f aca="false">_xlfn.XLOOKUP(G258,ShiftCodes[Code],ShiftCodes[Start],"")</f>
        <v>0.25</v>
      </c>
      <c r="J258" s="67" t="n">
        <f aca="false">IF(OR(C258="",I258=""),"",ROUND((MOD(C258-I258+0.5,1)-0.5)*1440,0))</f>
        <v>-5</v>
      </c>
      <c r="K258" s="65" t="str">
        <f aca="false">IF(J258="","",IF(ABS(J258)&gt;$U$3,"Off-schedule","OK"))</f>
        <v>OK</v>
      </c>
      <c r="L258" s="68"/>
      <c r="M258" s="5" t="str">
        <f aca="false">TEXT(B258,"ddd")</f>
        <v>Thu</v>
      </c>
      <c r="N258" s="69" t="n">
        <f aca="false">IF(OR(C258="",D258=""),"",ROUND((MOD(D258-C258,1)-IF(ISNUMBER(E258),MOD(F258-E258,1),0))*24,2))</f>
        <v>7.9</v>
      </c>
      <c r="O258" s="5" t="s">
        <v>768</v>
      </c>
      <c r="P258" s="6" t="n">
        <v>46303</v>
      </c>
      <c r="Q258" s="5" t="str">
        <f aca="false">IF(B258&lt;$U$1,"Prior period",IF(B258&gt;$U$2,"Future period","Current period"))</f>
        <v>Current period</v>
      </c>
      <c r="R258" s="5" t="str">
        <f aca="false" t="array" ref="R258:R258">_xlfn.XLOOKUP(A258,TRIM(SUBSTITUTE('worker file'!$A$2:$A$406,_xlfn.UNICHAR(160)," ")),'worker file'!$D$2:$D$406,"Not found")</f>
        <v>TX</v>
      </c>
    </row>
    <row r="259" customFormat="false" ht="15" hidden="false" customHeight="false" outlineLevel="0" collapsed="false">
      <c r="A259" s="5" t="s">
        <v>363</v>
      </c>
      <c r="B259" s="6" t="n">
        <v>46304</v>
      </c>
      <c r="C259" s="62" t="n">
        <v>0.250694444444444</v>
      </c>
      <c r="D259" s="62" t="n">
        <v>0.602083333333333</v>
      </c>
      <c r="E259" s="63" t="n">
        <v>0.436111111111111</v>
      </c>
      <c r="F259" s="64" t="n">
        <v>0.456944444444444</v>
      </c>
      <c r="G259" s="65" t="str">
        <f aca="false" t="array" ref="G259:G259">_xlfn.XLOOKUP(A259&amp;"|"&amp;B259,ShiftRoster[Employee ID]&amp;"|"&amp;ShiftRoster[Date],ShiftRoster[Shift Code],_xlfn.XLOOKUP(A259,TRIM(SUBSTITUTE('worker file'!$A$2:$A$406,_xlfn.UNICHAR(160)," ")),'worker file'!$X$2:$X$406,"?"),0,-1)</f>
        <v>DAY</v>
      </c>
      <c r="H259" s="65" t="str">
        <f aca="false">_xlfn.XLOOKUP(G259,ShiftCodes[Code],ShiftCodes[Work Schedule],"Unknown")</f>
        <v>Shift A – Day (Mon–Fri 06:00–14:30)</v>
      </c>
      <c r="I259" s="66" t="n">
        <f aca="false">_xlfn.XLOOKUP(G259,ShiftCodes[Code],ShiftCodes[Start],"")</f>
        <v>0.25</v>
      </c>
      <c r="J259" s="67" t="n">
        <f aca="false">IF(OR(C259="",I259=""),"",ROUND((MOD(C259-I259+0.5,1)-0.5)*1440,0))</f>
        <v>1</v>
      </c>
      <c r="K259" s="65" t="str">
        <f aca="false">IF(J259="","",IF(ABS(J259)&gt;$U$3,"Off-schedule","OK"))</f>
        <v>OK</v>
      </c>
      <c r="L259" s="68"/>
      <c r="M259" s="5" t="str">
        <f aca="false">TEXT(B259,"ddd")</f>
        <v>Fri</v>
      </c>
      <c r="N259" s="69" t="n">
        <f aca="false">IF(OR(C259="",D259=""),"",ROUND((MOD(D259-C259,1)-IF(ISNUMBER(E259),MOD(F259-E259,1),0))*24,2))</f>
        <v>7.93</v>
      </c>
      <c r="O259" s="5" t="s">
        <v>768</v>
      </c>
      <c r="P259" s="6" t="n">
        <v>46304</v>
      </c>
      <c r="Q259" s="5" t="str">
        <f aca="false">IF(B259&lt;$U$1,"Prior period",IF(B259&gt;$U$2,"Future period","Current period"))</f>
        <v>Current period</v>
      </c>
      <c r="R259" s="5" t="str">
        <f aca="false" t="array" ref="R259:R259">_xlfn.XLOOKUP(A259,TRIM(SUBSTITUTE('worker file'!$A$2:$A$406,_xlfn.UNICHAR(160)," ")),'worker file'!$D$2:$D$406,"Not found")</f>
        <v>TX</v>
      </c>
    </row>
    <row r="260" customFormat="false" ht="15" hidden="false" customHeight="false" outlineLevel="0" collapsed="false">
      <c r="A260" s="5" t="s">
        <v>363</v>
      </c>
      <c r="B260" s="6" t="n">
        <v>46307</v>
      </c>
      <c r="C260" s="62" t="n">
        <v>0.246527777777778</v>
      </c>
      <c r="D260" s="62" t="n">
        <v>0.663888888888889</v>
      </c>
      <c r="E260" s="63" t="n">
        <v>0.392361111111111</v>
      </c>
      <c r="F260" s="64" t="n">
        <v>0.413194444444444</v>
      </c>
      <c r="G260" s="65" t="str">
        <f aca="false" t="array" ref="G260:G260">_xlfn.XLOOKUP(A260&amp;"|"&amp;B260,ShiftRoster[Employee ID]&amp;"|"&amp;ShiftRoster[Date],ShiftRoster[Shift Code],_xlfn.XLOOKUP(A260,TRIM(SUBSTITUTE('worker file'!$A$2:$A$406,_xlfn.UNICHAR(160)," ")),'worker file'!$X$2:$X$406,"?"),0,-1)</f>
        <v>DAY</v>
      </c>
      <c r="H260" s="65" t="str">
        <f aca="false">_xlfn.XLOOKUP(G260,ShiftCodes[Code],ShiftCodes[Work Schedule],"Unknown")</f>
        <v>Shift A – Day (Mon–Fri 06:00–14:30)</v>
      </c>
      <c r="I260" s="66" t="n">
        <f aca="false">_xlfn.XLOOKUP(G260,ShiftCodes[Code],ShiftCodes[Start],"")</f>
        <v>0.25</v>
      </c>
      <c r="J260" s="67" t="n">
        <f aca="false">IF(OR(C260="",I260=""),"",ROUND((MOD(C260-I260+0.5,1)-0.5)*1440,0))</f>
        <v>-5</v>
      </c>
      <c r="K260" s="65" t="str">
        <f aca="false">IF(J260="","",IF(ABS(J260)&gt;$U$3,"Off-schedule","OK"))</f>
        <v>OK</v>
      </c>
      <c r="L260" s="68" t="s">
        <v>794</v>
      </c>
      <c r="M260" s="5" t="str">
        <f aca="false">TEXT(B260,"ddd")</f>
        <v>Mon</v>
      </c>
      <c r="N260" s="69" t="n">
        <f aca="false">IF(OR(C260="",D260=""),"",ROUND((MOD(D260-C260,1)-IF(ISNUMBER(E260),MOD(F260-E260,1),0))*24,2))</f>
        <v>9.52</v>
      </c>
      <c r="O260" s="5" t="s">
        <v>768</v>
      </c>
      <c r="P260" s="6" t="n">
        <v>46307</v>
      </c>
      <c r="Q260" s="5" t="str">
        <f aca="false">IF(B260&lt;$U$1,"Prior period",IF(B260&gt;$U$2,"Future period","Current period"))</f>
        <v>Current period</v>
      </c>
      <c r="R260" s="5" t="str">
        <f aca="false" t="array" ref="R260:R260">_xlfn.XLOOKUP(A260,TRIM(SUBSTITUTE('worker file'!$A$2:$A$406,_xlfn.UNICHAR(160)," ")),'worker file'!$D$2:$D$406,"Not found")</f>
        <v>TX</v>
      </c>
    </row>
    <row r="261" customFormat="false" ht="15" hidden="false" customHeight="false" outlineLevel="0" collapsed="false">
      <c r="A261" s="5" t="s">
        <v>363</v>
      </c>
      <c r="B261" s="6" t="n">
        <v>46308</v>
      </c>
      <c r="C261" s="62" t="n">
        <v>0.251388888888889</v>
      </c>
      <c r="D261" s="62" t="n">
        <v>0.661111111111111</v>
      </c>
      <c r="E261" s="63" t="n">
        <v>0.411111111111111</v>
      </c>
      <c r="F261" s="64" t="n">
        <v>0.431944444444444</v>
      </c>
      <c r="G261" s="65" t="str">
        <f aca="false" t="array" ref="G261:G261">_xlfn.XLOOKUP(A261&amp;"|"&amp;B261,ShiftRoster[Employee ID]&amp;"|"&amp;ShiftRoster[Date],ShiftRoster[Shift Code],_xlfn.XLOOKUP(A261,TRIM(SUBSTITUTE('worker file'!$A$2:$A$406,_xlfn.UNICHAR(160)," ")),'worker file'!$X$2:$X$406,"?"),0,-1)</f>
        <v>DAY</v>
      </c>
      <c r="H261" s="65" t="str">
        <f aca="false">_xlfn.XLOOKUP(G261,ShiftCodes[Code],ShiftCodes[Work Schedule],"Unknown")</f>
        <v>Shift A – Day (Mon–Fri 06:00–14:30)</v>
      </c>
      <c r="I261" s="66" t="n">
        <f aca="false">_xlfn.XLOOKUP(G261,ShiftCodes[Code],ShiftCodes[Start],"")</f>
        <v>0.25</v>
      </c>
      <c r="J261" s="67" t="n">
        <f aca="false">IF(OR(C261="",I261=""),"",ROUND((MOD(C261-I261+0.5,1)-0.5)*1440,0))</f>
        <v>2</v>
      </c>
      <c r="K261" s="65" t="str">
        <f aca="false">IF(J261="","",IF(ABS(J261)&gt;$U$3,"Off-schedule","OK"))</f>
        <v>OK</v>
      </c>
      <c r="L261" s="68" t="s">
        <v>794</v>
      </c>
      <c r="M261" s="5" t="str">
        <f aca="false">TEXT(B261,"ddd")</f>
        <v>Tue</v>
      </c>
      <c r="N261" s="69" t="n">
        <f aca="false">IF(OR(C261="",D261=""),"",ROUND((MOD(D261-C261,1)-IF(ISNUMBER(E261),MOD(F261-E261,1),0))*24,2))</f>
        <v>9.33</v>
      </c>
      <c r="O261" s="5" t="s">
        <v>768</v>
      </c>
      <c r="P261" s="6" t="n">
        <v>46308</v>
      </c>
      <c r="Q261" s="5" t="str">
        <f aca="false">IF(B261&lt;$U$1,"Prior period",IF(B261&gt;$U$2,"Future period","Current period"))</f>
        <v>Current period</v>
      </c>
      <c r="R261" s="5" t="str">
        <f aca="false" t="array" ref="R261:R261">_xlfn.XLOOKUP(A261,TRIM(SUBSTITUTE('worker file'!$A$2:$A$406,_xlfn.UNICHAR(160)," ")),'worker file'!$D$2:$D$406,"Not found")</f>
        <v>TX</v>
      </c>
    </row>
    <row r="262" customFormat="false" ht="15" hidden="false" customHeight="false" outlineLevel="0" collapsed="false">
      <c r="A262" s="5" t="s">
        <v>363</v>
      </c>
      <c r="B262" s="6" t="n">
        <v>46309</v>
      </c>
      <c r="C262" s="62" t="n">
        <v>0.252777777777778</v>
      </c>
      <c r="D262" s="62" t="n">
        <v>0.670138888888889</v>
      </c>
      <c r="E262" s="63" t="n">
        <v>0.423611111111111</v>
      </c>
      <c r="F262" s="64" t="n">
        <v>0.444444444444444</v>
      </c>
      <c r="G262" s="65" t="str">
        <f aca="false" t="array" ref="G262:G262">_xlfn.XLOOKUP(A262&amp;"|"&amp;B262,ShiftRoster[Employee ID]&amp;"|"&amp;ShiftRoster[Date],ShiftRoster[Shift Code],_xlfn.XLOOKUP(A262,TRIM(SUBSTITUTE('worker file'!$A$2:$A$406,_xlfn.UNICHAR(160)," ")),'worker file'!$X$2:$X$406,"?"),0,-1)</f>
        <v>DAY</v>
      </c>
      <c r="H262" s="65" t="str">
        <f aca="false">_xlfn.XLOOKUP(G262,ShiftCodes[Code],ShiftCodes[Work Schedule],"Unknown")</f>
        <v>Shift A – Day (Mon–Fri 06:00–14:30)</v>
      </c>
      <c r="I262" s="66" t="n">
        <f aca="false">_xlfn.XLOOKUP(G262,ShiftCodes[Code],ShiftCodes[Start],"")</f>
        <v>0.25</v>
      </c>
      <c r="J262" s="67" t="n">
        <f aca="false">IF(OR(C262="",I262=""),"",ROUND((MOD(C262-I262+0.5,1)-0.5)*1440,0))</f>
        <v>4</v>
      </c>
      <c r="K262" s="65" t="str">
        <f aca="false">IF(J262="","",IF(ABS(J262)&gt;$U$3,"Off-schedule","OK"))</f>
        <v>OK</v>
      </c>
      <c r="L262" s="68" t="s">
        <v>794</v>
      </c>
      <c r="M262" s="5" t="str">
        <f aca="false">TEXT(B262,"ddd")</f>
        <v>Wed</v>
      </c>
      <c r="N262" s="69" t="n">
        <f aca="false">IF(OR(C262="",D262=""),"",ROUND((MOD(D262-C262,1)-IF(ISNUMBER(E262),MOD(F262-E262,1),0))*24,2))</f>
        <v>9.52</v>
      </c>
      <c r="O262" s="5" t="s">
        <v>768</v>
      </c>
      <c r="P262" s="6" t="n">
        <v>46309</v>
      </c>
      <c r="Q262" s="5" t="str">
        <f aca="false">IF(B262&lt;$U$1,"Prior period",IF(B262&gt;$U$2,"Future period","Current period"))</f>
        <v>Current period</v>
      </c>
      <c r="R262" s="5" t="str">
        <f aca="false" t="array" ref="R262:R262">_xlfn.XLOOKUP(A262,TRIM(SUBSTITUTE('worker file'!$A$2:$A$406,_xlfn.UNICHAR(160)," ")),'worker file'!$D$2:$D$406,"Not found")</f>
        <v>TX</v>
      </c>
    </row>
    <row r="263" customFormat="false" ht="15" hidden="false" customHeight="false" outlineLevel="0" collapsed="false">
      <c r="A263" s="5" t="s">
        <v>363</v>
      </c>
      <c r="B263" s="6" t="n">
        <v>46310</v>
      </c>
      <c r="C263" s="62" t="n">
        <v>0.248611111111111</v>
      </c>
      <c r="D263" s="62" t="n">
        <v>0.667361111111111</v>
      </c>
      <c r="E263" s="63" t="n">
        <v>0.409027777777778</v>
      </c>
      <c r="F263" s="64" t="n">
        <v>0.429861111111111</v>
      </c>
      <c r="G263" s="65" t="str">
        <f aca="false" t="array" ref="G263:G263">_xlfn.XLOOKUP(A263&amp;"|"&amp;B263,ShiftRoster[Employee ID]&amp;"|"&amp;ShiftRoster[Date],ShiftRoster[Shift Code],_xlfn.XLOOKUP(A263,TRIM(SUBSTITUTE('worker file'!$A$2:$A$406,_xlfn.UNICHAR(160)," ")),'worker file'!$X$2:$X$406,"?"),0,-1)</f>
        <v>DAY</v>
      </c>
      <c r="H263" s="65" t="str">
        <f aca="false">_xlfn.XLOOKUP(G263,ShiftCodes[Code],ShiftCodes[Work Schedule],"Unknown")</f>
        <v>Shift A – Day (Mon–Fri 06:00–14:30)</v>
      </c>
      <c r="I263" s="66" t="n">
        <f aca="false">_xlfn.XLOOKUP(G263,ShiftCodes[Code],ShiftCodes[Start],"")</f>
        <v>0.25</v>
      </c>
      <c r="J263" s="67" t="n">
        <f aca="false">IF(OR(C263="",I263=""),"",ROUND((MOD(C263-I263+0.5,1)-0.5)*1440,0))</f>
        <v>-2</v>
      </c>
      <c r="K263" s="65" t="str">
        <f aca="false">IF(J263="","",IF(ABS(J263)&gt;$U$3,"Off-schedule","OK"))</f>
        <v>OK</v>
      </c>
      <c r="L263" s="68" t="s">
        <v>794</v>
      </c>
      <c r="M263" s="5" t="str">
        <f aca="false">TEXT(B263,"ddd")</f>
        <v>Thu</v>
      </c>
      <c r="N263" s="69" t="n">
        <f aca="false">IF(OR(C263="",D263=""),"",ROUND((MOD(D263-C263,1)-IF(ISNUMBER(E263),MOD(F263-E263,1),0))*24,2))</f>
        <v>9.55</v>
      </c>
      <c r="O263" s="5" t="s">
        <v>768</v>
      </c>
      <c r="P263" s="6" t="n">
        <v>46310</v>
      </c>
      <c r="Q263" s="5" t="str">
        <f aca="false">IF(B263&lt;$U$1,"Prior period",IF(B263&gt;$U$2,"Future period","Current period"))</f>
        <v>Current period</v>
      </c>
      <c r="R263" s="5" t="str">
        <f aca="false" t="array" ref="R263:R263">_xlfn.XLOOKUP(A263,TRIM(SUBSTITUTE('worker file'!$A$2:$A$406,_xlfn.UNICHAR(160)," ")),'worker file'!$D$2:$D$406,"Not found")</f>
        <v>TX</v>
      </c>
    </row>
    <row r="264" customFormat="false" ht="15" hidden="false" customHeight="false" outlineLevel="0" collapsed="false">
      <c r="A264" s="5" t="s">
        <v>363</v>
      </c>
      <c r="B264" s="6" t="n">
        <v>46311</v>
      </c>
      <c r="C264" s="62" t="n">
        <v>0.247916666666667</v>
      </c>
      <c r="D264" s="62" t="n">
        <v>0.6625</v>
      </c>
      <c r="E264" s="63" t="n">
        <v>0.409027777777778</v>
      </c>
      <c r="F264" s="64" t="n">
        <v>0.429861111111111</v>
      </c>
      <c r="G264" s="65" t="str">
        <f aca="false" t="array" ref="G264:G264">_xlfn.XLOOKUP(A264&amp;"|"&amp;B264,ShiftRoster[Employee ID]&amp;"|"&amp;ShiftRoster[Date],ShiftRoster[Shift Code],_xlfn.XLOOKUP(A264,TRIM(SUBSTITUTE('worker file'!$A$2:$A$406,_xlfn.UNICHAR(160)," ")),'worker file'!$X$2:$X$406,"?"),0,-1)</f>
        <v>DAY</v>
      </c>
      <c r="H264" s="65" t="str">
        <f aca="false">_xlfn.XLOOKUP(G264,ShiftCodes[Code],ShiftCodes[Work Schedule],"Unknown")</f>
        <v>Shift A – Day (Mon–Fri 06:00–14:30)</v>
      </c>
      <c r="I264" s="66" t="n">
        <f aca="false">_xlfn.XLOOKUP(G264,ShiftCodes[Code],ShiftCodes[Start],"")</f>
        <v>0.25</v>
      </c>
      <c r="J264" s="67" t="n">
        <f aca="false">IF(OR(C264="",I264=""),"",ROUND((MOD(C264-I264+0.5,1)-0.5)*1440,0))</f>
        <v>-3</v>
      </c>
      <c r="K264" s="65" t="str">
        <f aca="false">IF(J264="","",IF(ABS(J264)&gt;$U$3,"Off-schedule","OK"))</f>
        <v>OK</v>
      </c>
      <c r="L264" s="68" t="s">
        <v>794</v>
      </c>
      <c r="M264" s="5" t="str">
        <f aca="false">TEXT(B264,"ddd")</f>
        <v>Fri</v>
      </c>
      <c r="N264" s="69" t="n">
        <f aca="false">IF(OR(C264="",D264=""),"",ROUND((MOD(D264-C264,1)-IF(ISNUMBER(E264),MOD(F264-E264,1),0))*24,2))</f>
        <v>9.45</v>
      </c>
      <c r="O264" s="5" t="s">
        <v>768</v>
      </c>
      <c r="P264" s="6" t="n">
        <v>46311</v>
      </c>
      <c r="Q264" s="5" t="str">
        <f aca="false">IF(B264&lt;$U$1,"Prior period",IF(B264&gt;$U$2,"Future period","Current period"))</f>
        <v>Current period</v>
      </c>
      <c r="R264" s="5" t="str">
        <f aca="false" t="array" ref="R264:R264">_xlfn.XLOOKUP(A264,TRIM(SUBSTITUTE('worker file'!$A$2:$A$406,_xlfn.UNICHAR(160)," ")),'worker file'!$D$2:$D$406,"Not found")</f>
        <v>TX</v>
      </c>
    </row>
    <row r="265" customFormat="false" ht="15" hidden="false" customHeight="false" outlineLevel="0" collapsed="false">
      <c r="A265" s="5" t="s">
        <v>376</v>
      </c>
      <c r="B265" s="6" t="n">
        <v>46300</v>
      </c>
      <c r="C265" s="62" t="n">
        <v>0.584722222222222</v>
      </c>
      <c r="D265" s="62" t="n">
        <v>0.934027777777778</v>
      </c>
      <c r="E265" s="63" t="n">
        <v>0.750694444444444</v>
      </c>
      <c r="F265" s="64" t="n">
        <v>0.771527777777778</v>
      </c>
      <c r="G265" s="65" t="str">
        <f aca="false" t="array" ref="G265:G265">_xlfn.XLOOKUP(A265&amp;"|"&amp;B265,ShiftRoster[Employee ID]&amp;"|"&amp;ShiftRoster[Date],ShiftRoster[Shift Code],_xlfn.XLOOKUP(A265,TRIM(SUBSTITUTE('worker file'!$A$2:$A$406,_xlfn.UNICHAR(160)," ")),'worker file'!$X$2:$X$406,"?"),0,-1)</f>
        <v>SWNG</v>
      </c>
      <c r="H265" s="65" t="str">
        <f aca="false">_xlfn.XLOOKUP(G265,ShiftCodes[Code],ShiftCodes[Work Schedule],"Unknown")</f>
        <v>Shift B – Swing (Mon–Fri 14:00–22:30)</v>
      </c>
      <c r="I265" s="66" t="n">
        <f aca="false">_xlfn.XLOOKUP(G265,ShiftCodes[Code],ShiftCodes[Start],"")</f>
        <v>0.583333333333333</v>
      </c>
      <c r="J265" s="67" t="n">
        <f aca="false">IF(OR(C265="",I265=""),"",ROUND((MOD(C265-I265+0.5,1)-0.5)*1440,0))</f>
        <v>2</v>
      </c>
      <c r="K265" s="65" t="str">
        <f aca="false">IF(J265="","",IF(ABS(J265)&gt;$U$3,"Off-schedule","OK"))</f>
        <v>OK</v>
      </c>
      <c r="L265" s="68"/>
      <c r="M265" s="5" t="str">
        <f aca="false">TEXT(B265,"ddd")</f>
        <v>Mon</v>
      </c>
      <c r="N265" s="69" t="n">
        <f aca="false">IF(OR(C265="",D265=""),"",ROUND((MOD(D265-C265,1)-IF(ISNUMBER(E265),MOD(F265-E265,1),0))*24,2))</f>
        <v>7.88</v>
      </c>
      <c r="O265" s="5" t="s">
        <v>768</v>
      </c>
      <c r="P265" s="6" t="n">
        <v>46300</v>
      </c>
      <c r="Q265" s="5" t="str">
        <f aca="false">IF(B265&lt;$U$1,"Prior period",IF(B265&gt;$U$2,"Future period","Current period"))</f>
        <v>Current period</v>
      </c>
      <c r="R265" s="5" t="str">
        <f aca="false" t="array" ref="R265:R265">_xlfn.XLOOKUP(A265,TRIM(SUBSTITUTE('worker file'!$A$2:$A$406,_xlfn.UNICHAR(160)," ")),'worker file'!$D$2:$D$406,"Not found")</f>
        <v>TX</v>
      </c>
    </row>
    <row r="266" customFormat="false" ht="15" hidden="false" customHeight="false" outlineLevel="0" collapsed="false">
      <c r="A266" s="5" t="s">
        <v>376</v>
      </c>
      <c r="B266" s="6" t="n">
        <v>46301</v>
      </c>
      <c r="C266" s="62" t="n">
        <v>0.584722222222222</v>
      </c>
      <c r="D266" s="62" t="n">
        <v>0.934722222222222</v>
      </c>
      <c r="E266" s="63" t="n">
        <v>0.754166666666667</v>
      </c>
      <c r="F266" s="64" t="n">
        <v>0.775</v>
      </c>
      <c r="G266" s="65" t="str">
        <f aca="false" t="array" ref="G266:G266">_xlfn.XLOOKUP(A266&amp;"|"&amp;B266,ShiftRoster[Employee ID]&amp;"|"&amp;ShiftRoster[Date],ShiftRoster[Shift Code],_xlfn.XLOOKUP(A266,TRIM(SUBSTITUTE('worker file'!$A$2:$A$406,_xlfn.UNICHAR(160)," ")),'worker file'!$X$2:$X$406,"?"),0,-1)</f>
        <v>SWNG</v>
      </c>
      <c r="H266" s="65" t="str">
        <f aca="false">_xlfn.XLOOKUP(G266,ShiftCodes[Code],ShiftCodes[Work Schedule],"Unknown")</f>
        <v>Shift B – Swing (Mon–Fri 14:00–22:30)</v>
      </c>
      <c r="I266" s="66" t="n">
        <f aca="false">_xlfn.XLOOKUP(G266,ShiftCodes[Code],ShiftCodes[Start],"")</f>
        <v>0.583333333333333</v>
      </c>
      <c r="J266" s="67" t="n">
        <f aca="false">IF(OR(C266="",I266=""),"",ROUND((MOD(C266-I266+0.5,1)-0.5)*1440,0))</f>
        <v>2</v>
      </c>
      <c r="K266" s="65" t="str">
        <f aca="false">IF(J266="","",IF(ABS(J266)&gt;$U$3,"Off-schedule","OK"))</f>
        <v>OK</v>
      </c>
      <c r="L266" s="68"/>
      <c r="M266" s="5" t="str">
        <f aca="false">TEXT(B266,"ddd")</f>
        <v>Tue</v>
      </c>
      <c r="N266" s="69" t="n">
        <f aca="false">IF(OR(C266="",D266=""),"",ROUND((MOD(D266-C266,1)-IF(ISNUMBER(E266),MOD(F266-E266,1),0))*24,2))</f>
        <v>7.9</v>
      </c>
      <c r="O266" s="5" t="s">
        <v>768</v>
      </c>
      <c r="P266" s="6" t="n">
        <v>46301</v>
      </c>
      <c r="Q266" s="5" t="str">
        <f aca="false">IF(B266&lt;$U$1,"Prior period",IF(B266&gt;$U$2,"Future period","Current period"))</f>
        <v>Current period</v>
      </c>
      <c r="R266" s="5" t="str">
        <f aca="false" t="array" ref="R266:R266">_xlfn.XLOOKUP(A266,TRIM(SUBSTITUTE('worker file'!$A$2:$A$406,_xlfn.UNICHAR(160)," ")),'worker file'!$D$2:$D$406,"Not found")</f>
        <v>TX</v>
      </c>
    </row>
    <row r="267" customFormat="false" ht="15" hidden="false" customHeight="false" outlineLevel="0" collapsed="false">
      <c r="A267" s="5" t="s">
        <v>376</v>
      </c>
      <c r="B267" s="6" t="n">
        <v>46302</v>
      </c>
      <c r="C267" s="62" t="n">
        <v>0.581944444444445</v>
      </c>
      <c r="D267" s="62" t="n">
        <v>0.933333333333333</v>
      </c>
      <c r="E267" s="63" t="n">
        <v>0.728472222222222</v>
      </c>
      <c r="F267" s="64" t="n">
        <v>0.749305555555556</v>
      </c>
      <c r="G267" s="65" t="str">
        <f aca="false" t="array" ref="G267:G267">_xlfn.XLOOKUP(A267&amp;"|"&amp;B267,ShiftRoster[Employee ID]&amp;"|"&amp;ShiftRoster[Date],ShiftRoster[Shift Code],_xlfn.XLOOKUP(A267,TRIM(SUBSTITUTE('worker file'!$A$2:$A$406,_xlfn.UNICHAR(160)," ")),'worker file'!$X$2:$X$406,"?"),0,-1)</f>
        <v>SWNG</v>
      </c>
      <c r="H267" s="65" t="str">
        <f aca="false">_xlfn.XLOOKUP(G267,ShiftCodes[Code],ShiftCodes[Work Schedule],"Unknown")</f>
        <v>Shift B – Swing (Mon–Fri 14:00–22:30)</v>
      </c>
      <c r="I267" s="66" t="n">
        <f aca="false">_xlfn.XLOOKUP(G267,ShiftCodes[Code],ShiftCodes[Start],"")</f>
        <v>0.583333333333333</v>
      </c>
      <c r="J267" s="67" t="n">
        <f aca="false">IF(OR(C267="",I267=""),"",ROUND((MOD(C267-I267+0.5,1)-0.5)*1440,0))</f>
        <v>-2</v>
      </c>
      <c r="K267" s="65" t="str">
        <f aca="false">IF(J267="","",IF(ABS(J267)&gt;$U$3,"Off-schedule","OK"))</f>
        <v>OK</v>
      </c>
      <c r="L267" s="68"/>
      <c r="M267" s="5" t="str">
        <f aca="false">TEXT(B267,"ddd")</f>
        <v>Wed</v>
      </c>
      <c r="N267" s="69" t="n">
        <f aca="false">IF(OR(C267="",D267=""),"",ROUND((MOD(D267-C267,1)-IF(ISNUMBER(E267),MOD(F267-E267,1),0))*24,2))</f>
        <v>7.93</v>
      </c>
      <c r="O267" s="5" t="s">
        <v>768</v>
      </c>
      <c r="P267" s="6" t="n">
        <v>46302</v>
      </c>
      <c r="Q267" s="5" t="str">
        <f aca="false">IF(B267&lt;$U$1,"Prior period",IF(B267&gt;$U$2,"Future period","Current period"))</f>
        <v>Current period</v>
      </c>
      <c r="R267" s="5" t="str">
        <f aca="false" t="array" ref="R267:R267">_xlfn.XLOOKUP(A267,TRIM(SUBSTITUTE('worker file'!$A$2:$A$406,_xlfn.UNICHAR(160)," ")),'worker file'!$D$2:$D$406,"Not found")</f>
        <v>TX</v>
      </c>
    </row>
    <row r="268" customFormat="false" ht="15" hidden="false" customHeight="false" outlineLevel="0" collapsed="false">
      <c r="A268" s="5" t="s">
        <v>376</v>
      </c>
      <c r="B268" s="6" t="n">
        <v>46303</v>
      </c>
      <c r="C268" s="62" t="n">
        <v>0.581944444444445</v>
      </c>
      <c r="D268" s="62" t="n">
        <v>0.934722222222222</v>
      </c>
      <c r="E268" s="63" t="n">
        <v>0.759722222222222</v>
      </c>
      <c r="F268" s="64" t="n">
        <v>0.780555555555556</v>
      </c>
      <c r="G268" s="65" t="str">
        <f aca="false" t="array" ref="G268:G268">_xlfn.XLOOKUP(A268&amp;"|"&amp;B268,ShiftRoster[Employee ID]&amp;"|"&amp;ShiftRoster[Date],ShiftRoster[Shift Code],_xlfn.XLOOKUP(A268,TRIM(SUBSTITUTE('worker file'!$A$2:$A$406,_xlfn.UNICHAR(160)," ")),'worker file'!$X$2:$X$406,"?"),0,-1)</f>
        <v>SWNG</v>
      </c>
      <c r="H268" s="65" t="str">
        <f aca="false">_xlfn.XLOOKUP(G268,ShiftCodes[Code],ShiftCodes[Work Schedule],"Unknown")</f>
        <v>Shift B – Swing (Mon–Fri 14:00–22:30)</v>
      </c>
      <c r="I268" s="66" t="n">
        <f aca="false">_xlfn.XLOOKUP(G268,ShiftCodes[Code],ShiftCodes[Start],"")</f>
        <v>0.583333333333333</v>
      </c>
      <c r="J268" s="67" t="n">
        <f aca="false">IF(OR(C268="",I268=""),"",ROUND((MOD(C268-I268+0.5,1)-0.5)*1440,0))</f>
        <v>-2</v>
      </c>
      <c r="K268" s="65" t="str">
        <f aca="false">IF(J268="","",IF(ABS(J268)&gt;$U$3,"Off-schedule","OK"))</f>
        <v>OK</v>
      </c>
      <c r="L268" s="68"/>
      <c r="M268" s="5" t="str">
        <f aca="false">TEXT(B268,"ddd")</f>
        <v>Thu</v>
      </c>
      <c r="N268" s="69" t="n">
        <f aca="false">IF(OR(C268="",D268=""),"",ROUND((MOD(D268-C268,1)-IF(ISNUMBER(E268),MOD(F268-E268,1),0))*24,2))</f>
        <v>7.97</v>
      </c>
      <c r="O268" s="5" t="s">
        <v>768</v>
      </c>
      <c r="P268" s="6" t="n">
        <v>46303</v>
      </c>
      <c r="Q268" s="5" t="str">
        <f aca="false">IF(B268&lt;$U$1,"Prior period",IF(B268&gt;$U$2,"Future period","Current period"))</f>
        <v>Current period</v>
      </c>
      <c r="R268" s="5" t="str">
        <f aca="false" t="array" ref="R268:R268">_xlfn.XLOOKUP(A268,TRIM(SUBSTITUTE('worker file'!$A$2:$A$406,_xlfn.UNICHAR(160)," ")),'worker file'!$D$2:$D$406,"Not found")</f>
        <v>TX</v>
      </c>
    </row>
    <row r="269" customFormat="false" ht="15" hidden="false" customHeight="false" outlineLevel="0" collapsed="false">
      <c r="A269" s="5" t="s">
        <v>376</v>
      </c>
      <c r="B269" s="6" t="n">
        <v>46304</v>
      </c>
      <c r="C269" s="62" t="n">
        <v>0.583333333333333</v>
      </c>
      <c r="D269" s="62" t="n">
        <v>0.935416666666667</v>
      </c>
      <c r="E269" s="63" t="n">
        <v>0.738888888888889</v>
      </c>
      <c r="F269" s="64" t="n">
        <v>0.759722222222222</v>
      </c>
      <c r="G269" s="65" t="str">
        <f aca="false" t="array" ref="G269:G269">_xlfn.XLOOKUP(A269&amp;"|"&amp;B269,ShiftRoster[Employee ID]&amp;"|"&amp;ShiftRoster[Date],ShiftRoster[Shift Code],_xlfn.XLOOKUP(A269,TRIM(SUBSTITUTE('worker file'!$A$2:$A$406,_xlfn.UNICHAR(160)," ")),'worker file'!$X$2:$X$406,"?"),0,-1)</f>
        <v>SWNG</v>
      </c>
      <c r="H269" s="65" t="str">
        <f aca="false">_xlfn.XLOOKUP(G269,ShiftCodes[Code],ShiftCodes[Work Schedule],"Unknown")</f>
        <v>Shift B – Swing (Mon–Fri 14:00–22:30)</v>
      </c>
      <c r="I269" s="66" t="n">
        <f aca="false">_xlfn.XLOOKUP(G269,ShiftCodes[Code],ShiftCodes[Start],"")</f>
        <v>0.583333333333333</v>
      </c>
      <c r="J269" s="67" t="n">
        <f aca="false">IF(OR(C269="",I269=""),"",ROUND((MOD(C269-I269+0.5,1)-0.5)*1440,0))</f>
        <v>0</v>
      </c>
      <c r="K269" s="65" t="str">
        <f aca="false">IF(J269="","",IF(ABS(J269)&gt;$U$3,"Off-schedule","OK"))</f>
        <v>OK</v>
      </c>
      <c r="L269" s="68"/>
      <c r="M269" s="5" t="str">
        <f aca="false">TEXT(B269,"ddd")</f>
        <v>Fri</v>
      </c>
      <c r="N269" s="69" t="n">
        <f aca="false">IF(OR(C269="",D269=""),"",ROUND((MOD(D269-C269,1)-IF(ISNUMBER(E269),MOD(F269-E269,1),0))*24,2))</f>
        <v>7.95</v>
      </c>
      <c r="O269" s="5" t="s">
        <v>768</v>
      </c>
      <c r="P269" s="6" t="n">
        <v>46304</v>
      </c>
      <c r="Q269" s="5" t="str">
        <f aca="false">IF(B269&lt;$U$1,"Prior period",IF(B269&gt;$U$2,"Future period","Current period"))</f>
        <v>Current period</v>
      </c>
      <c r="R269" s="5" t="str">
        <f aca="false" t="array" ref="R269:R269">_xlfn.XLOOKUP(A269,TRIM(SUBSTITUTE('worker file'!$A$2:$A$406,_xlfn.UNICHAR(160)," ")),'worker file'!$D$2:$D$406,"Not found")</f>
        <v>TX</v>
      </c>
    </row>
    <row r="270" customFormat="false" ht="15" hidden="false" customHeight="false" outlineLevel="0" collapsed="false">
      <c r="A270" s="5" t="s">
        <v>376</v>
      </c>
      <c r="B270" s="6" t="n">
        <v>46307</v>
      </c>
      <c r="C270" s="62" t="n">
        <v>0.579861111111111</v>
      </c>
      <c r="D270" s="62" t="n">
        <v>0.934027777777778</v>
      </c>
      <c r="E270" s="63" t="n">
        <v>0.815972222222222</v>
      </c>
      <c r="F270" s="64" t="n">
        <v>0.836805555555556</v>
      </c>
      <c r="G270" s="65" t="str">
        <f aca="false" t="array" ref="G270:G270">_xlfn.XLOOKUP(A270&amp;"|"&amp;B270,ShiftRoster[Employee ID]&amp;"|"&amp;ShiftRoster[Date],ShiftRoster[Shift Code],_xlfn.XLOOKUP(A270,TRIM(SUBSTITUTE('worker file'!$A$2:$A$406,_xlfn.UNICHAR(160)," ")),'worker file'!$X$2:$X$406,"?"),0,-1)</f>
        <v>SWNG</v>
      </c>
      <c r="H270" s="65" t="str">
        <f aca="false">_xlfn.XLOOKUP(G270,ShiftCodes[Code],ShiftCodes[Work Schedule],"Unknown")</f>
        <v>Shift B – Swing (Mon–Fri 14:00–22:30)</v>
      </c>
      <c r="I270" s="66" t="n">
        <f aca="false">_xlfn.XLOOKUP(G270,ShiftCodes[Code],ShiftCodes[Start],"")</f>
        <v>0.583333333333333</v>
      </c>
      <c r="J270" s="67" t="n">
        <f aca="false">IF(OR(C270="",I270=""),"",ROUND((MOD(C270-I270+0.5,1)-0.5)*1440,0))</f>
        <v>-5</v>
      </c>
      <c r="K270" s="65" t="str">
        <f aca="false">IF(J270="","",IF(ABS(J270)&gt;$U$3,"Off-schedule","OK"))</f>
        <v>OK</v>
      </c>
      <c r="L270" s="68" t="s">
        <v>778</v>
      </c>
      <c r="M270" s="5" t="str">
        <f aca="false">TEXT(B270,"ddd")</f>
        <v>Mon</v>
      </c>
      <c r="N270" s="69" t="n">
        <f aca="false">IF(OR(C270="",D270=""),"",ROUND((MOD(D270-C270,1)-IF(ISNUMBER(E270),MOD(F270-E270,1),0))*24,2))</f>
        <v>8</v>
      </c>
      <c r="O270" s="5" t="s">
        <v>768</v>
      </c>
      <c r="P270" s="6" t="n">
        <v>46307</v>
      </c>
      <c r="Q270" s="5" t="str">
        <f aca="false">IF(B270&lt;$U$1,"Prior period",IF(B270&gt;$U$2,"Future period","Current period"))</f>
        <v>Current period</v>
      </c>
      <c r="R270" s="5" t="str">
        <f aca="false" t="array" ref="R270:R270">_xlfn.XLOOKUP(A270,TRIM(SUBSTITUTE('worker file'!$A$2:$A$406,_xlfn.UNICHAR(160)," ")),'worker file'!$D$2:$D$406,"Not found")</f>
        <v>TX</v>
      </c>
    </row>
    <row r="271" customFormat="false" ht="15" hidden="false" customHeight="false" outlineLevel="0" collapsed="false">
      <c r="A271" s="5" t="s">
        <v>376</v>
      </c>
      <c r="B271" s="6" t="n">
        <v>46308</v>
      </c>
      <c r="C271" s="62" t="n">
        <v>0.581944444444445</v>
      </c>
      <c r="D271" s="62" t="n">
        <v>0.935416666666667</v>
      </c>
      <c r="E271" s="63" t="n">
        <v>0.734722222222222</v>
      </c>
      <c r="F271" s="64" t="n">
        <v>0.755555555555556</v>
      </c>
      <c r="G271" s="65" t="str">
        <f aca="false" t="array" ref="G271:G271">_xlfn.XLOOKUP(A271&amp;"|"&amp;B271,ShiftRoster[Employee ID]&amp;"|"&amp;ShiftRoster[Date],ShiftRoster[Shift Code],_xlfn.XLOOKUP(A271,TRIM(SUBSTITUTE('worker file'!$A$2:$A$406,_xlfn.UNICHAR(160)," ")),'worker file'!$X$2:$X$406,"?"),0,-1)</f>
        <v>SWNG</v>
      </c>
      <c r="H271" s="65" t="str">
        <f aca="false">_xlfn.XLOOKUP(G271,ShiftCodes[Code],ShiftCodes[Work Schedule],"Unknown")</f>
        <v>Shift B – Swing (Mon–Fri 14:00–22:30)</v>
      </c>
      <c r="I271" s="66" t="n">
        <f aca="false">_xlfn.XLOOKUP(G271,ShiftCodes[Code],ShiftCodes[Start],"")</f>
        <v>0.583333333333333</v>
      </c>
      <c r="J271" s="67" t="n">
        <f aca="false">IF(OR(C271="",I271=""),"",ROUND((MOD(C271-I271+0.5,1)-0.5)*1440,0))</f>
        <v>-2</v>
      </c>
      <c r="K271" s="65" t="str">
        <f aca="false">IF(J271="","",IF(ABS(J271)&gt;$U$3,"Off-schedule","OK"))</f>
        <v>OK</v>
      </c>
      <c r="L271" s="68"/>
      <c r="M271" s="5" t="str">
        <f aca="false">TEXT(B271,"ddd")</f>
        <v>Tue</v>
      </c>
      <c r="N271" s="69" t="n">
        <f aca="false">IF(OR(C271="",D271=""),"",ROUND((MOD(D271-C271,1)-IF(ISNUMBER(E271),MOD(F271-E271,1),0))*24,2))</f>
        <v>7.98</v>
      </c>
      <c r="O271" s="5" t="s">
        <v>768</v>
      </c>
      <c r="P271" s="6" t="n">
        <v>46308</v>
      </c>
      <c r="Q271" s="5" t="str">
        <f aca="false">IF(B271&lt;$U$1,"Prior period",IF(B271&gt;$U$2,"Future period","Current period"))</f>
        <v>Current period</v>
      </c>
      <c r="R271" s="5" t="str">
        <f aca="false" t="array" ref="R271:R271">_xlfn.XLOOKUP(A271,TRIM(SUBSTITUTE('worker file'!$A$2:$A$406,_xlfn.UNICHAR(160)," ")),'worker file'!$D$2:$D$406,"Not found")</f>
        <v>TX</v>
      </c>
    </row>
    <row r="272" customFormat="false" ht="15" hidden="false" customHeight="false" outlineLevel="0" collapsed="false">
      <c r="A272" s="5" t="s">
        <v>376</v>
      </c>
      <c r="B272" s="6" t="n">
        <v>46309</v>
      </c>
      <c r="C272" s="62" t="n">
        <v>0.584027777777778</v>
      </c>
      <c r="D272" s="62" t="n">
        <v>0.938194444444444</v>
      </c>
      <c r="E272" s="63" t="n">
        <v>0.754861111111111</v>
      </c>
      <c r="F272" s="64" t="n">
        <v>0.775694444444445</v>
      </c>
      <c r="G272" s="65" t="str">
        <f aca="false" t="array" ref="G272:G272">_xlfn.XLOOKUP(A272&amp;"|"&amp;B272,ShiftRoster[Employee ID]&amp;"|"&amp;ShiftRoster[Date],ShiftRoster[Shift Code],_xlfn.XLOOKUP(A272,TRIM(SUBSTITUTE('worker file'!$A$2:$A$406,_xlfn.UNICHAR(160)," ")),'worker file'!$X$2:$X$406,"?"),0,-1)</f>
        <v>SWNG</v>
      </c>
      <c r="H272" s="65" t="str">
        <f aca="false">_xlfn.XLOOKUP(G272,ShiftCodes[Code],ShiftCodes[Work Schedule],"Unknown")</f>
        <v>Shift B – Swing (Mon–Fri 14:00–22:30)</v>
      </c>
      <c r="I272" s="66" t="n">
        <f aca="false">_xlfn.XLOOKUP(G272,ShiftCodes[Code],ShiftCodes[Start],"")</f>
        <v>0.583333333333333</v>
      </c>
      <c r="J272" s="67" t="n">
        <f aca="false">IF(OR(C272="",I272=""),"",ROUND((MOD(C272-I272+0.5,1)-0.5)*1440,0))</f>
        <v>1</v>
      </c>
      <c r="K272" s="65" t="str">
        <f aca="false">IF(J272="","",IF(ABS(J272)&gt;$U$3,"Off-schedule","OK"))</f>
        <v>OK</v>
      </c>
      <c r="L272" s="68"/>
      <c r="M272" s="5" t="str">
        <f aca="false">TEXT(B272,"ddd")</f>
        <v>Wed</v>
      </c>
      <c r="N272" s="69" t="n">
        <f aca="false">IF(OR(C272="",D272=""),"",ROUND((MOD(D272-C272,1)-IF(ISNUMBER(E272),MOD(F272-E272,1),0))*24,2))</f>
        <v>8</v>
      </c>
      <c r="O272" s="5" t="s">
        <v>768</v>
      </c>
      <c r="P272" s="6" t="n">
        <v>46309</v>
      </c>
      <c r="Q272" s="5" t="str">
        <f aca="false">IF(B272&lt;$U$1,"Prior period",IF(B272&gt;$U$2,"Future period","Current period"))</f>
        <v>Current period</v>
      </c>
      <c r="R272" s="5" t="str">
        <f aca="false" t="array" ref="R272:R272">_xlfn.XLOOKUP(A272,TRIM(SUBSTITUTE('worker file'!$A$2:$A$406,_xlfn.UNICHAR(160)," ")),'worker file'!$D$2:$D$406,"Not found")</f>
        <v>TX</v>
      </c>
    </row>
    <row r="273" customFormat="false" ht="15" hidden="false" customHeight="false" outlineLevel="0" collapsed="false">
      <c r="A273" s="5" t="s">
        <v>376</v>
      </c>
      <c r="B273" s="6" t="n">
        <v>46310</v>
      </c>
      <c r="C273" s="62" t="n">
        <v>0.585416666666667</v>
      </c>
      <c r="D273" s="62" t="n">
        <v>0.936805555555556</v>
      </c>
      <c r="E273" s="63" t="n">
        <v>0.7375</v>
      </c>
      <c r="F273" s="64" t="n">
        <v>0.758333333333333</v>
      </c>
      <c r="G273" s="65" t="str">
        <f aca="false" t="array" ref="G273:G273">_xlfn.XLOOKUP(A273&amp;"|"&amp;B273,ShiftRoster[Employee ID]&amp;"|"&amp;ShiftRoster[Date],ShiftRoster[Shift Code],_xlfn.XLOOKUP(A273,TRIM(SUBSTITUTE('worker file'!$A$2:$A$406,_xlfn.UNICHAR(160)," ")),'worker file'!$X$2:$X$406,"?"),0,-1)</f>
        <v>SWNG</v>
      </c>
      <c r="H273" s="65" t="str">
        <f aca="false">_xlfn.XLOOKUP(G273,ShiftCodes[Code],ShiftCodes[Work Schedule],"Unknown")</f>
        <v>Shift B – Swing (Mon–Fri 14:00–22:30)</v>
      </c>
      <c r="I273" s="66" t="n">
        <f aca="false">_xlfn.XLOOKUP(G273,ShiftCodes[Code],ShiftCodes[Start],"")</f>
        <v>0.583333333333333</v>
      </c>
      <c r="J273" s="67" t="n">
        <f aca="false">IF(OR(C273="",I273=""),"",ROUND((MOD(C273-I273+0.5,1)-0.5)*1440,0))</f>
        <v>3</v>
      </c>
      <c r="K273" s="65" t="str">
        <f aca="false">IF(J273="","",IF(ABS(J273)&gt;$U$3,"Off-schedule","OK"))</f>
        <v>OK</v>
      </c>
      <c r="L273" s="68"/>
      <c r="M273" s="5" t="str">
        <f aca="false">TEXT(B273,"ddd")</f>
        <v>Thu</v>
      </c>
      <c r="N273" s="69" t="n">
        <f aca="false">IF(OR(C273="",D273=""),"",ROUND((MOD(D273-C273,1)-IF(ISNUMBER(E273),MOD(F273-E273,1),0))*24,2))</f>
        <v>7.93</v>
      </c>
      <c r="O273" s="5" t="s">
        <v>768</v>
      </c>
      <c r="P273" s="6" t="n">
        <v>46310</v>
      </c>
      <c r="Q273" s="5" t="str">
        <f aca="false">IF(B273&lt;$U$1,"Prior period",IF(B273&gt;$U$2,"Future period","Current period"))</f>
        <v>Current period</v>
      </c>
      <c r="R273" s="5" t="str">
        <f aca="false" t="array" ref="R273:R273">_xlfn.XLOOKUP(A273,TRIM(SUBSTITUTE('worker file'!$A$2:$A$406,_xlfn.UNICHAR(160)," ")),'worker file'!$D$2:$D$406,"Not found")</f>
        <v>TX</v>
      </c>
    </row>
    <row r="274" customFormat="false" ht="15" hidden="false" customHeight="false" outlineLevel="0" collapsed="false">
      <c r="A274" s="5" t="s">
        <v>376</v>
      </c>
      <c r="B274" s="6" t="n">
        <v>46311</v>
      </c>
      <c r="C274" s="62" t="n">
        <v>0.580555555555556</v>
      </c>
      <c r="D274" s="62" t="n">
        <v>0.934722222222222</v>
      </c>
      <c r="E274" s="63" t="n">
        <v>0.728472222222222</v>
      </c>
      <c r="F274" s="64" t="n">
        <v>0.749305555555556</v>
      </c>
      <c r="G274" s="65" t="str">
        <f aca="false" t="array" ref="G274:G274">_xlfn.XLOOKUP(A274&amp;"|"&amp;B274,ShiftRoster[Employee ID]&amp;"|"&amp;ShiftRoster[Date],ShiftRoster[Shift Code],_xlfn.XLOOKUP(A274,TRIM(SUBSTITUTE('worker file'!$A$2:$A$406,_xlfn.UNICHAR(160)," ")),'worker file'!$X$2:$X$406,"?"),0,-1)</f>
        <v>SWNG</v>
      </c>
      <c r="H274" s="65" t="str">
        <f aca="false">_xlfn.XLOOKUP(G274,ShiftCodes[Code],ShiftCodes[Work Schedule],"Unknown")</f>
        <v>Shift B – Swing (Mon–Fri 14:00–22:30)</v>
      </c>
      <c r="I274" s="66" t="n">
        <f aca="false">_xlfn.XLOOKUP(G274,ShiftCodes[Code],ShiftCodes[Start],"")</f>
        <v>0.583333333333333</v>
      </c>
      <c r="J274" s="67" t="n">
        <f aca="false">IF(OR(C274="",I274=""),"",ROUND((MOD(C274-I274+0.5,1)-0.5)*1440,0))</f>
        <v>-4</v>
      </c>
      <c r="K274" s="65" t="str">
        <f aca="false">IF(J274="","",IF(ABS(J274)&gt;$U$3,"Off-schedule","OK"))</f>
        <v>OK</v>
      </c>
      <c r="L274" s="68"/>
      <c r="M274" s="5" t="str">
        <f aca="false">TEXT(B274,"ddd")</f>
        <v>Fri</v>
      </c>
      <c r="N274" s="69" t="n">
        <f aca="false">IF(OR(C274="",D274=""),"",ROUND((MOD(D274-C274,1)-IF(ISNUMBER(E274),MOD(F274-E274,1),0))*24,2))</f>
        <v>8</v>
      </c>
      <c r="O274" s="5" t="s">
        <v>768</v>
      </c>
      <c r="P274" s="6" t="n">
        <v>46311</v>
      </c>
      <c r="Q274" s="5" t="str">
        <f aca="false">IF(B274&lt;$U$1,"Prior period",IF(B274&gt;$U$2,"Future period","Current period"))</f>
        <v>Current period</v>
      </c>
      <c r="R274" s="5" t="str">
        <f aca="false" t="array" ref="R274:R274">_xlfn.XLOOKUP(A274,TRIM(SUBSTITUTE('worker file'!$A$2:$A$406,_xlfn.UNICHAR(160)," ")),'worker file'!$D$2:$D$406,"Not found")</f>
        <v>TX</v>
      </c>
    </row>
    <row r="275" customFormat="false" ht="15" hidden="false" customHeight="false" outlineLevel="0" collapsed="false">
      <c r="A275" s="5" t="s">
        <v>377</v>
      </c>
      <c r="B275" s="6" t="n">
        <v>46299</v>
      </c>
      <c r="C275" s="62" t="n">
        <v>0.917361111111111</v>
      </c>
      <c r="D275" s="62" t="n">
        <v>0.267361111111111</v>
      </c>
      <c r="E275" s="63" t="n">
        <v>0.0861111111111111</v>
      </c>
      <c r="F275" s="64" t="n">
        <v>0.106944444444444</v>
      </c>
      <c r="G275" s="65" t="str">
        <f aca="false" t="array" ref="G275:G275">_xlfn.XLOOKUP(A275&amp;"|"&amp;B275,ShiftRoster[Employee ID]&amp;"|"&amp;ShiftRoster[Date],ShiftRoster[Shift Code],_xlfn.XLOOKUP(A275,TRIM(SUBSTITUTE('worker file'!$A$2:$A$406,_xlfn.UNICHAR(160)," ")),'worker file'!$X$2:$X$406,"?"),0,-1)</f>
        <v>NGHT</v>
      </c>
      <c r="H275" s="65" t="str">
        <f aca="false">_xlfn.XLOOKUP(G275,ShiftCodes[Code],ShiftCodes[Work Schedule],"Unknown")</f>
        <v>Shift C – Night (Sun–Thu 22:00–06:30)</v>
      </c>
      <c r="I275" s="66" t="n">
        <f aca="false">_xlfn.XLOOKUP(G275,ShiftCodes[Code],ShiftCodes[Start],"")</f>
        <v>0.916666666666667</v>
      </c>
      <c r="J275" s="67" t="n">
        <f aca="false">IF(OR(C275="",I275=""),"",ROUND((MOD(C275-I275+0.5,1)-0.5)*1440,0))</f>
        <v>1</v>
      </c>
      <c r="K275" s="65" t="str">
        <f aca="false">IF(J275="","",IF(ABS(J275)&gt;$U$3,"Off-schedule","OK"))</f>
        <v>OK</v>
      </c>
      <c r="L275" s="68" t="s">
        <v>789</v>
      </c>
      <c r="M275" s="5" t="str">
        <f aca="false">TEXT(B275,"ddd")</f>
        <v>Sun</v>
      </c>
      <c r="N275" s="69" t="n">
        <f aca="false">IF(OR(C275="",D275=""),"",ROUND((MOD(D275-C275,1)-IF(ISNUMBER(E275),MOD(F275-E275,1),0))*24,2))</f>
        <v>7.9</v>
      </c>
      <c r="O275" s="5" t="s">
        <v>768</v>
      </c>
      <c r="P275" s="6" t="n">
        <v>46300</v>
      </c>
      <c r="Q275" s="5" t="str">
        <f aca="false">IF(B275&lt;$U$1,"Prior period",IF(B275&gt;$U$2,"Future period","Current period"))</f>
        <v>Current period</v>
      </c>
      <c r="R275" s="5" t="str">
        <f aca="false" t="array" ref="R275:R275">_xlfn.XLOOKUP(A275,TRIM(SUBSTITUTE('worker file'!$A$2:$A$406,_xlfn.UNICHAR(160)," ")),'worker file'!$D$2:$D$406,"Not found")</f>
        <v>TX</v>
      </c>
    </row>
    <row r="276" customFormat="false" ht="15" hidden="false" customHeight="false" outlineLevel="0" collapsed="false">
      <c r="A276" s="5" t="s">
        <v>377</v>
      </c>
      <c r="B276" s="6" t="n">
        <v>46300</v>
      </c>
      <c r="C276" s="62" t="n">
        <v>0.913888888888889</v>
      </c>
      <c r="D276" s="62" t="n">
        <v>0.265277777777778</v>
      </c>
      <c r="E276" s="63" t="n">
        <v>0.0833333333333333</v>
      </c>
      <c r="F276" s="64" t="n">
        <v>0.104166666666667</v>
      </c>
      <c r="G276" s="65" t="str">
        <f aca="false" t="array" ref="G276:G276">_xlfn.XLOOKUP(A276&amp;"|"&amp;B276,ShiftRoster[Employee ID]&amp;"|"&amp;ShiftRoster[Date],ShiftRoster[Shift Code],_xlfn.XLOOKUP(A276,TRIM(SUBSTITUTE('worker file'!$A$2:$A$406,_xlfn.UNICHAR(160)," ")),'worker file'!$X$2:$X$406,"?"),0,-1)</f>
        <v>NGHT</v>
      </c>
      <c r="H276" s="65" t="str">
        <f aca="false">_xlfn.XLOOKUP(G276,ShiftCodes[Code],ShiftCodes[Work Schedule],"Unknown")</f>
        <v>Shift C – Night (Sun–Thu 22:00–06:30)</v>
      </c>
      <c r="I276" s="66" t="n">
        <f aca="false">_xlfn.XLOOKUP(G276,ShiftCodes[Code],ShiftCodes[Start],"")</f>
        <v>0.916666666666667</v>
      </c>
      <c r="J276" s="67" t="n">
        <f aca="false">IF(OR(C276="",I276=""),"",ROUND((MOD(C276-I276+0.5,1)-0.5)*1440,0))</f>
        <v>-4</v>
      </c>
      <c r="K276" s="65" t="str">
        <f aca="false">IF(J276="","",IF(ABS(J276)&gt;$U$3,"Off-schedule","OK"))</f>
        <v>OK</v>
      </c>
      <c r="L276" s="68" t="s">
        <v>789</v>
      </c>
      <c r="M276" s="5" t="str">
        <f aca="false">TEXT(B276,"ddd")</f>
        <v>Mon</v>
      </c>
      <c r="N276" s="69" t="n">
        <f aca="false">IF(OR(C276="",D276=""),"",ROUND((MOD(D276-C276,1)-IF(ISNUMBER(E276),MOD(F276-E276,1),0))*24,2))</f>
        <v>7.93</v>
      </c>
      <c r="O276" s="5" t="s">
        <v>768</v>
      </c>
      <c r="P276" s="6" t="n">
        <v>46301</v>
      </c>
      <c r="Q276" s="5" t="str">
        <f aca="false">IF(B276&lt;$U$1,"Prior period",IF(B276&gt;$U$2,"Future period","Current period"))</f>
        <v>Current period</v>
      </c>
      <c r="R276" s="5" t="str">
        <f aca="false" t="array" ref="R276:R276">_xlfn.XLOOKUP(A276,TRIM(SUBSTITUTE('worker file'!$A$2:$A$406,_xlfn.UNICHAR(160)," ")),'worker file'!$D$2:$D$406,"Not found")</f>
        <v>TX</v>
      </c>
    </row>
    <row r="277" customFormat="false" ht="15" hidden="false" customHeight="false" outlineLevel="0" collapsed="false">
      <c r="A277" s="5" t="s">
        <v>377</v>
      </c>
      <c r="B277" s="6" t="n">
        <v>46301</v>
      </c>
      <c r="C277" s="62" t="n">
        <v>0.913194444444444</v>
      </c>
      <c r="D277" s="62" t="n">
        <v>0.263194444444444</v>
      </c>
      <c r="E277" s="63" t="n">
        <v>0.0895833333333333</v>
      </c>
      <c r="F277" s="64" t="n">
        <v>0.110416666666667</v>
      </c>
      <c r="G277" s="65" t="str">
        <f aca="false" t="array" ref="G277:G277">_xlfn.XLOOKUP(A277&amp;"|"&amp;B277,ShiftRoster[Employee ID]&amp;"|"&amp;ShiftRoster[Date],ShiftRoster[Shift Code],_xlfn.XLOOKUP(A277,TRIM(SUBSTITUTE('worker file'!$A$2:$A$406,_xlfn.UNICHAR(160)," ")),'worker file'!$X$2:$X$406,"?"),0,-1)</f>
        <v>NGHT</v>
      </c>
      <c r="H277" s="65" t="str">
        <f aca="false">_xlfn.XLOOKUP(G277,ShiftCodes[Code],ShiftCodes[Work Schedule],"Unknown")</f>
        <v>Shift C – Night (Sun–Thu 22:00–06:30)</v>
      </c>
      <c r="I277" s="66" t="n">
        <f aca="false">_xlfn.XLOOKUP(G277,ShiftCodes[Code],ShiftCodes[Start],"")</f>
        <v>0.916666666666667</v>
      </c>
      <c r="J277" s="67" t="n">
        <f aca="false">IF(OR(C277="",I277=""),"",ROUND((MOD(C277-I277+0.5,1)-0.5)*1440,0))</f>
        <v>-5</v>
      </c>
      <c r="K277" s="65" t="str">
        <f aca="false">IF(J277="","",IF(ABS(J277)&gt;$U$3,"Off-schedule","OK"))</f>
        <v>OK</v>
      </c>
      <c r="L277" s="68" t="s">
        <v>789</v>
      </c>
      <c r="M277" s="5" t="str">
        <f aca="false">TEXT(B277,"ddd")</f>
        <v>Tue</v>
      </c>
      <c r="N277" s="69" t="n">
        <f aca="false">IF(OR(C277="",D277=""),"",ROUND((MOD(D277-C277,1)-IF(ISNUMBER(E277),MOD(F277-E277,1),0))*24,2))</f>
        <v>7.9</v>
      </c>
      <c r="O277" s="5" t="s">
        <v>768</v>
      </c>
      <c r="P277" s="6" t="n">
        <v>46302</v>
      </c>
      <c r="Q277" s="5" t="str">
        <f aca="false">IF(B277&lt;$U$1,"Prior period",IF(B277&gt;$U$2,"Future period","Current period"))</f>
        <v>Current period</v>
      </c>
      <c r="R277" s="5" t="str">
        <f aca="false" t="array" ref="R277:R277">_xlfn.XLOOKUP(A277,TRIM(SUBSTITUTE('worker file'!$A$2:$A$406,_xlfn.UNICHAR(160)," ")),'worker file'!$D$2:$D$406,"Not found")</f>
        <v>TX</v>
      </c>
    </row>
    <row r="278" customFormat="false" ht="15" hidden="false" customHeight="false" outlineLevel="0" collapsed="false">
      <c r="A278" s="5" t="s">
        <v>377</v>
      </c>
      <c r="B278" s="6" t="n">
        <v>46302</v>
      </c>
      <c r="C278" s="62" t="n">
        <v>0.919444444444444</v>
      </c>
      <c r="D278" s="62" t="n">
        <v>0.272916666666667</v>
      </c>
      <c r="E278" s="63" t="n">
        <v>0.075</v>
      </c>
      <c r="F278" s="64" t="n">
        <v>0.0958333333333333</v>
      </c>
      <c r="G278" s="65" t="str">
        <f aca="false" t="array" ref="G278:G278">_xlfn.XLOOKUP(A278&amp;"|"&amp;B278,ShiftRoster[Employee ID]&amp;"|"&amp;ShiftRoster[Date],ShiftRoster[Shift Code],_xlfn.XLOOKUP(A278,TRIM(SUBSTITUTE('worker file'!$A$2:$A$406,_xlfn.UNICHAR(160)," ")),'worker file'!$X$2:$X$406,"?"),0,-1)</f>
        <v>NGHT</v>
      </c>
      <c r="H278" s="65" t="str">
        <f aca="false">_xlfn.XLOOKUP(G278,ShiftCodes[Code],ShiftCodes[Work Schedule],"Unknown")</f>
        <v>Shift C – Night (Sun–Thu 22:00–06:30)</v>
      </c>
      <c r="I278" s="66" t="n">
        <f aca="false">_xlfn.XLOOKUP(G278,ShiftCodes[Code],ShiftCodes[Start],"")</f>
        <v>0.916666666666667</v>
      </c>
      <c r="J278" s="67" t="n">
        <f aca="false">IF(OR(C278="",I278=""),"",ROUND((MOD(C278-I278+0.5,1)-0.5)*1440,0))</f>
        <v>4</v>
      </c>
      <c r="K278" s="65" t="str">
        <f aca="false">IF(J278="","",IF(ABS(J278)&gt;$U$3,"Off-schedule","OK"))</f>
        <v>OK</v>
      </c>
      <c r="L278" s="68" t="s">
        <v>789</v>
      </c>
      <c r="M278" s="5" t="str">
        <f aca="false">TEXT(B278,"ddd")</f>
        <v>Wed</v>
      </c>
      <c r="N278" s="69" t="n">
        <f aca="false">IF(OR(C278="",D278=""),"",ROUND((MOD(D278-C278,1)-IF(ISNUMBER(E278),MOD(F278-E278,1),0))*24,2))</f>
        <v>7.98</v>
      </c>
      <c r="O278" s="5" t="s">
        <v>768</v>
      </c>
      <c r="P278" s="6" t="n">
        <v>46303</v>
      </c>
      <c r="Q278" s="5" t="str">
        <f aca="false">IF(B278&lt;$U$1,"Prior period",IF(B278&gt;$U$2,"Future period","Current period"))</f>
        <v>Current period</v>
      </c>
      <c r="R278" s="5" t="str">
        <f aca="false" t="array" ref="R278:R278">_xlfn.XLOOKUP(A278,TRIM(SUBSTITUTE('worker file'!$A$2:$A$406,_xlfn.UNICHAR(160)," ")),'worker file'!$D$2:$D$406,"Not found")</f>
        <v>TX</v>
      </c>
    </row>
    <row r="279" customFormat="false" ht="15" hidden="false" customHeight="false" outlineLevel="0" collapsed="false">
      <c r="A279" s="5" t="s">
        <v>377</v>
      </c>
      <c r="B279" s="6" t="n">
        <v>46303</v>
      </c>
      <c r="C279" s="62" t="n">
        <v>0.915277777777778</v>
      </c>
      <c r="D279" s="62" t="n">
        <v>0.264583333333333</v>
      </c>
      <c r="E279" s="63" t="n">
        <v>0.0909722222222222</v>
      </c>
      <c r="F279" s="64" t="n">
        <v>0.111805555555556</v>
      </c>
      <c r="G279" s="65" t="str">
        <f aca="false" t="array" ref="G279:G279">_xlfn.XLOOKUP(A279&amp;"|"&amp;B279,ShiftRoster[Employee ID]&amp;"|"&amp;ShiftRoster[Date],ShiftRoster[Shift Code],_xlfn.XLOOKUP(A279,TRIM(SUBSTITUTE('worker file'!$A$2:$A$406,_xlfn.UNICHAR(160)," ")),'worker file'!$X$2:$X$406,"?"),0,-1)</f>
        <v>NGHT</v>
      </c>
      <c r="H279" s="65" t="str">
        <f aca="false">_xlfn.XLOOKUP(G279,ShiftCodes[Code],ShiftCodes[Work Schedule],"Unknown")</f>
        <v>Shift C – Night (Sun–Thu 22:00–06:30)</v>
      </c>
      <c r="I279" s="66" t="n">
        <f aca="false">_xlfn.XLOOKUP(G279,ShiftCodes[Code],ShiftCodes[Start],"")</f>
        <v>0.916666666666667</v>
      </c>
      <c r="J279" s="67" t="n">
        <f aca="false">IF(OR(C279="",I279=""),"",ROUND((MOD(C279-I279+0.5,1)-0.5)*1440,0))</f>
        <v>-2</v>
      </c>
      <c r="K279" s="65" t="str">
        <f aca="false">IF(J279="","",IF(ABS(J279)&gt;$U$3,"Off-schedule","OK"))</f>
        <v>OK</v>
      </c>
      <c r="L279" s="68" t="s">
        <v>789</v>
      </c>
      <c r="M279" s="5" t="str">
        <f aca="false">TEXT(B279,"ddd")</f>
        <v>Thu</v>
      </c>
      <c r="N279" s="69" t="n">
        <f aca="false">IF(OR(C279="",D279=""),"",ROUND((MOD(D279-C279,1)-IF(ISNUMBER(E279),MOD(F279-E279,1),0))*24,2))</f>
        <v>7.88</v>
      </c>
      <c r="O279" s="5" t="s">
        <v>768</v>
      </c>
      <c r="P279" s="6" t="n">
        <v>46304</v>
      </c>
      <c r="Q279" s="5" t="str">
        <f aca="false">IF(B279&lt;$U$1,"Prior period",IF(B279&gt;$U$2,"Future period","Current period"))</f>
        <v>Current period</v>
      </c>
      <c r="R279" s="5" t="str">
        <f aca="false" t="array" ref="R279:R279">_xlfn.XLOOKUP(A279,TRIM(SUBSTITUTE('worker file'!$A$2:$A$406,_xlfn.UNICHAR(160)," ")),'worker file'!$D$2:$D$406,"Not found")</f>
        <v>TX</v>
      </c>
    </row>
    <row r="280" customFormat="false" ht="15" hidden="false" customHeight="false" outlineLevel="0" collapsed="false">
      <c r="A280" s="5" t="s">
        <v>377</v>
      </c>
      <c r="B280" s="6" t="n">
        <v>46306</v>
      </c>
      <c r="C280" s="62" t="n">
        <v>0.914583333333333</v>
      </c>
      <c r="D280" s="62" t="n">
        <v>0.263194444444444</v>
      </c>
      <c r="E280" s="63" t="n">
        <v>0.0673611111111111</v>
      </c>
      <c r="F280" s="64" t="n">
        <v>0.0881944444444445</v>
      </c>
      <c r="G280" s="65" t="str">
        <f aca="false" t="array" ref="G280:G280">_xlfn.XLOOKUP(A280&amp;"|"&amp;B280,ShiftRoster[Employee ID]&amp;"|"&amp;ShiftRoster[Date],ShiftRoster[Shift Code],_xlfn.XLOOKUP(A280,TRIM(SUBSTITUTE('worker file'!$A$2:$A$406,_xlfn.UNICHAR(160)," ")),'worker file'!$X$2:$X$406,"?"),0,-1)</f>
        <v>NGHT</v>
      </c>
      <c r="H280" s="65" t="str">
        <f aca="false">_xlfn.XLOOKUP(G280,ShiftCodes[Code],ShiftCodes[Work Schedule],"Unknown")</f>
        <v>Shift C – Night (Sun–Thu 22:00–06:30)</v>
      </c>
      <c r="I280" s="66" t="n">
        <f aca="false">_xlfn.XLOOKUP(G280,ShiftCodes[Code],ShiftCodes[Start],"")</f>
        <v>0.916666666666667</v>
      </c>
      <c r="J280" s="67" t="n">
        <f aca="false">IF(OR(C280="",I280=""),"",ROUND((MOD(C280-I280+0.5,1)-0.5)*1440,0))</f>
        <v>-3</v>
      </c>
      <c r="K280" s="65" t="str">
        <f aca="false">IF(J280="","",IF(ABS(J280)&gt;$U$3,"Off-schedule","OK"))</f>
        <v>OK</v>
      </c>
      <c r="L280" s="68" t="s">
        <v>789</v>
      </c>
      <c r="M280" s="5" t="str">
        <f aca="false">TEXT(B280,"ddd")</f>
        <v>Sun</v>
      </c>
      <c r="N280" s="69" t="n">
        <f aca="false">IF(OR(C280="",D280=""),"",ROUND((MOD(D280-C280,1)-IF(ISNUMBER(E280),MOD(F280-E280,1),0))*24,2))</f>
        <v>7.87</v>
      </c>
      <c r="O280" s="5" t="s">
        <v>768</v>
      </c>
      <c r="P280" s="6" t="n">
        <v>46307</v>
      </c>
      <c r="Q280" s="5" t="str">
        <f aca="false">IF(B280&lt;$U$1,"Prior period",IF(B280&gt;$U$2,"Future period","Current period"))</f>
        <v>Current period</v>
      </c>
      <c r="R280" s="5" t="str">
        <f aca="false" t="array" ref="R280:R280">_xlfn.XLOOKUP(A280,TRIM(SUBSTITUTE('worker file'!$A$2:$A$406,_xlfn.UNICHAR(160)," ")),'worker file'!$D$2:$D$406,"Not found")</f>
        <v>TX</v>
      </c>
    </row>
    <row r="281" customFormat="false" ht="15" hidden="false" customHeight="false" outlineLevel="0" collapsed="false">
      <c r="A281" s="5" t="s">
        <v>377</v>
      </c>
      <c r="B281" s="6" t="n">
        <v>46307</v>
      </c>
      <c r="C281" s="62" t="n">
        <v>0.917361111111111</v>
      </c>
      <c r="D281" s="62" t="n">
        <v>0.270138888888889</v>
      </c>
      <c r="E281" s="63" t="n">
        <v>0.101388888888889</v>
      </c>
      <c r="F281" s="64" t="n">
        <v>0.122222222222222</v>
      </c>
      <c r="G281" s="65" t="str">
        <f aca="false" t="array" ref="G281:G281">_xlfn.XLOOKUP(A281&amp;"|"&amp;B281,ShiftRoster[Employee ID]&amp;"|"&amp;ShiftRoster[Date],ShiftRoster[Shift Code],_xlfn.XLOOKUP(A281,TRIM(SUBSTITUTE('worker file'!$A$2:$A$406,_xlfn.UNICHAR(160)," ")),'worker file'!$X$2:$X$406,"?"),0,-1)</f>
        <v>NGHT</v>
      </c>
      <c r="H281" s="65" t="str">
        <f aca="false">_xlfn.XLOOKUP(G281,ShiftCodes[Code],ShiftCodes[Work Schedule],"Unknown")</f>
        <v>Shift C – Night (Sun–Thu 22:00–06:30)</v>
      </c>
      <c r="I281" s="66" t="n">
        <f aca="false">_xlfn.XLOOKUP(G281,ShiftCodes[Code],ShiftCodes[Start],"")</f>
        <v>0.916666666666667</v>
      </c>
      <c r="J281" s="67" t="n">
        <f aca="false">IF(OR(C281="",I281=""),"",ROUND((MOD(C281-I281+0.5,1)-0.5)*1440,0))</f>
        <v>1</v>
      </c>
      <c r="K281" s="65" t="str">
        <f aca="false">IF(J281="","",IF(ABS(J281)&gt;$U$3,"Off-schedule","OK"))</f>
        <v>OK</v>
      </c>
      <c r="L281" s="68" t="s">
        <v>789</v>
      </c>
      <c r="M281" s="5" t="str">
        <f aca="false">TEXT(B281,"ddd")</f>
        <v>Mon</v>
      </c>
      <c r="N281" s="69" t="n">
        <f aca="false">IF(OR(C281="",D281=""),"",ROUND((MOD(D281-C281,1)-IF(ISNUMBER(E281),MOD(F281-E281,1),0))*24,2))</f>
        <v>7.97</v>
      </c>
      <c r="O281" s="5" t="s">
        <v>768</v>
      </c>
      <c r="P281" s="6" t="n">
        <v>46308</v>
      </c>
      <c r="Q281" s="5" t="str">
        <f aca="false">IF(B281&lt;$U$1,"Prior period",IF(B281&gt;$U$2,"Future period","Current period"))</f>
        <v>Current period</v>
      </c>
      <c r="R281" s="5" t="str">
        <f aca="false" t="array" ref="R281:R281">_xlfn.XLOOKUP(A281,TRIM(SUBSTITUTE('worker file'!$A$2:$A$406,_xlfn.UNICHAR(160)," ")),'worker file'!$D$2:$D$406,"Not found")</f>
        <v>TX</v>
      </c>
    </row>
    <row r="282" customFormat="false" ht="15" hidden="false" customHeight="false" outlineLevel="0" collapsed="false">
      <c r="A282" s="5" t="s">
        <v>377</v>
      </c>
      <c r="B282" s="6" t="n">
        <v>46307</v>
      </c>
      <c r="C282" s="62" t="n">
        <v>0.917361111111111</v>
      </c>
      <c r="D282" s="62" t="n">
        <v>0.270138888888889</v>
      </c>
      <c r="E282" s="63" t="n">
        <v>0.101388888888889</v>
      </c>
      <c r="F282" s="64" t="n">
        <v>0.122222222222222</v>
      </c>
      <c r="G282" s="65" t="str">
        <f aca="false" t="array" ref="G282:G282">_xlfn.XLOOKUP(A282&amp;"|"&amp;B282,ShiftRoster[Employee ID]&amp;"|"&amp;ShiftRoster[Date],ShiftRoster[Shift Code],_xlfn.XLOOKUP(A282,TRIM(SUBSTITUTE('worker file'!$A$2:$A$406,_xlfn.UNICHAR(160)," ")),'worker file'!$X$2:$X$406,"?"),0,-1)</f>
        <v>NGHT</v>
      </c>
      <c r="H282" s="65" t="str">
        <f aca="false">_xlfn.XLOOKUP(G282,ShiftCodes[Code],ShiftCodes[Work Schedule],"Unknown")</f>
        <v>Shift C – Night (Sun–Thu 22:00–06:30)</v>
      </c>
      <c r="I282" s="66" t="n">
        <f aca="false">_xlfn.XLOOKUP(G282,ShiftCodes[Code],ShiftCodes[Start],"")</f>
        <v>0.916666666666667</v>
      </c>
      <c r="J282" s="67" t="n">
        <f aca="false">IF(OR(C282="",I282=""),"",ROUND((MOD(C282-I282+0.5,1)-0.5)*1440,0))</f>
        <v>1</v>
      </c>
      <c r="K282" s="65" t="str">
        <f aca="false">IF(J282="","",IF(ABS(J282)&gt;$U$3,"Off-schedule","OK"))</f>
        <v>OK</v>
      </c>
      <c r="L282" s="68" t="s">
        <v>795</v>
      </c>
      <c r="M282" s="5" t="str">
        <f aca="false">TEXT(B282,"ddd")</f>
        <v>Mon</v>
      </c>
      <c r="N282" s="69" t="n">
        <f aca="false">IF(OR(C282="",D282=""),"",ROUND((MOD(D282-C282,1)-IF(ISNUMBER(E282),MOD(F282-E282,1),0))*24,2))</f>
        <v>7.97</v>
      </c>
      <c r="O282" s="5" t="s">
        <v>768</v>
      </c>
      <c r="P282" s="6" t="n">
        <v>46308</v>
      </c>
      <c r="Q282" s="5" t="str">
        <f aca="false">IF(B282&lt;$U$1,"Prior period",IF(B282&gt;$U$2,"Future period","Current period"))</f>
        <v>Current period</v>
      </c>
      <c r="R282" s="5" t="str">
        <f aca="false" t="array" ref="R282:R282">_xlfn.XLOOKUP(A282,TRIM(SUBSTITUTE('worker file'!$A$2:$A$406,_xlfn.UNICHAR(160)," ")),'worker file'!$D$2:$D$406,"Not found")</f>
        <v>TX</v>
      </c>
    </row>
    <row r="283" customFormat="false" ht="15" hidden="false" customHeight="false" outlineLevel="0" collapsed="false">
      <c r="A283" s="5" t="s">
        <v>377</v>
      </c>
      <c r="B283" s="6" t="n">
        <v>46308</v>
      </c>
      <c r="C283" s="62" t="n">
        <v>0.91875</v>
      </c>
      <c r="D283" s="62" t="n">
        <v>0.270833333333333</v>
      </c>
      <c r="E283" s="63" t="n">
        <v>0.0798611111111111</v>
      </c>
      <c r="F283" s="64" t="n">
        <v>0.100694444444444</v>
      </c>
      <c r="G283" s="65" t="str">
        <f aca="false" t="array" ref="G283:G283">_xlfn.XLOOKUP(A283&amp;"|"&amp;B283,ShiftRoster[Employee ID]&amp;"|"&amp;ShiftRoster[Date],ShiftRoster[Shift Code],_xlfn.XLOOKUP(A283,TRIM(SUBSTITUTE('worker file'!$A$2:$A$406,_xlfn.UNICHAR(160)," ")),'worker file'!$X$2:$X$406,"?"),0,-1)</f>
        <v>NGHT</v>
      </c>
      <c r="H283" s="65" t="str">
        <f aca="false">_xlfn.XLOOKUP(G283,ShiftCodes[Code],ShiftCodes[Work Schedule],"Unknown")</f>
        <v>Shift C – Night (Sun–Thu 22:00–06:30)</v>
      </c>
      <c r="I283" s="66" t="n">
        <f aca="false">_xlfn.XLOOKUP(G283,ShiftCodes[Code],ShiftCodes[Start],"")</f>
        <v>0.916666666666667</v>
      </c>
      <c r="J283" s="67" t="n">
        <f aca="false">IF(OR(C283="",I283=""),"",ROUND((MOD(C283-I283+0.5,1)-0.5)*1440,0))</f>
        <v>3</v>
      </c>
      <c r="K283" s="65" t="str">
        <f aca="false">IF(J283="","",IF(ABS(J283)&gt;$U$3,"Off-schedule","OK"))</f>
        <v>OK</v>
      </c>
      <c r="L283" s="68" t="s">
        <v>789</v>
      </c>
      <c r="M283" s="5" t="str">
        <f aca="false">TEXT(B283,"ddd")</f>
        <v>Tue</v>
      </c>
      <c r="N283" s="69" t="n">
        <f aca="false">IF(OR(C283="",D283=""),"",ROUND((MOD(D283-C283,1)-IF(ISNUMBER(E283),MOD(F283-E283,1),0))*24,2))</f>
        <v>7.95</v>
      </c>
      <c r="O283" s="5" t="s">
        <v>768</v>
      </c>
      <c r="P283" s="6" t="n">
        <v>46309</v>
      </c>
      <c r="Q283" s="5" t="str">
        <f aca="false">IF(B283&lt;$U$1,"Prior period",IF(B283&gt;$U$2,"Future period","Current period"))</f>
        <v>Current period</v>
      </c>
      <c r="R283" s="5" t="str">
        <f aca="false" t="array" ref="R283:R283">_xlfn.XLOOKUP(A283,TRIM(SUBSTITUTE('worker file'!$A$2:$A$406,_xlfn.UNICHAR(160)," ")),'worker file'!$D$2:$D$406,"Not found")</f>
        <v>TX</v>
      </c>
    </row>
    <row r="284" customFormat="false" ht="15" hidden="false" customHeight="false" outlineLevel="0" collapsed="false">
      <c r="A284" s="5" t="s">
        <v>377</v>
      </c>
      <c r="B284" s="6" t="n">
        <v>46309</v>
      </c>
      <c r="C284" s="62" t="n">
        <v>0.918055555555556</v>
      </c>
      <c r="D284" s="62" t="n">
        <v>0.271527777777778</v>
      </c>
      <c r="E284" s="63" t="n">
        <v>0.0743055555555556</v>
      </c>
      <c r="F284" s="64" t="n">
        <v>0.0951388888888889</v>
      </c>
      <c r="G284" s="65" t="str">
        <f aca="false" t="array" ref="G284:G284">_xlfn.XLOOKUP(A284&amp;"|"&amp;B284,ShiftRoster[Employee ID]&amp;"|"&amp;ShiftRoster[Date],ShiftRoster[Shift Code],_xlfn.XLOOKUP(A284,TRIM(SUBSTITUTE('worker file'!$A$2:$A$406,_xlfn.UNICHAR(160)," ")),'worker file'!$X$2:$X$406,"?"),0,-1)</f>
        <v>NGHT</v>
      </c>
      <c r="H284" s="65" t="str">
        <f aca="false">_xlfn.XLOOKUP(G284,ShiftCodes[Code],ShiftCodes[Work Schedule],"Unknown")</f>
        <v>Shift C – Night (Sun–Thu 22:00–06:30)</v>
      </c>
      <c r="I284" s="66" t="n">
        <f aca="false">_xlfn.XLOOKUP(G284,ShiftCodes[Code],ShiftCodes[Start],"")</f>
        <v>0.916666666666667</v>
      </c>
      <c r="J284" s="67" t="n">
        <f aca="false">IF(OR(C284="",I284=""),"",ROUND((MOD(C284-I284+0.5,1)-0.5)*1440,0))</f>
        <v>2</v>
      </c>
      <c r="K284" s="65" t="str">
        <f aca="false">IF(J284="","",IF(ABS(J284)&gt;$U$3,"Off-schedule","OK"))</f>
        <v>OK</v>
      </c>
      <c r="L284" s="68" t="s">
        <v>789</v>
      </c>
      <c r="M284" s="5" t="str">
        <f aca="false">TEXT(B284,"ddd")</f>
        <v>Wed</v>
      </c>
      <c r="N284" s="69" t="n">
        <f aca="false">IF(OR(C284="",D284=""),"",ROUND((MOD(D284-C284,1)-IF(ISNUMBER(E284),MOD(F284-E284,1),0))*24,2))</f>
        <v>7.98</v>
      </c>
      <c r="O284" s="5" t="s">
        <v>768</v>
      </c>
      <c r="P284" s="6" t="n">
        <v>46310</v>
      </c>
      <c r="Q284" s="5" t="str">
        <f aca="false">IF(B284&lt;$U$1,"Prior period",IF(B284&gt;$U$2,"Future period","Current period"))</f>
        <v>Current period</v>
      </c>
      <c r="R284" s="5" t="str">
        <f aca="false" t="array" ref="R284:R284">_xlfn.XLOOKUP(A284,TRIM(SUBSTITUTE('worker file'!$A$2:$A$406,_xlfn.UNICHAR(160)," ")),'worker file'!$D$2:$D$406,"Not found")</f>
        <v>TX</v>
      </c>
    </row>
    <row r="285" customFormat="false" ht="15" hidden="false" customHeight="false" outlineLevel="0" collapsed="false">
      <c r="A285" s="5" t="s">
        <v>377</v>
      </c>
      <c r="B285" s="6" t="n">
        <v>46310</v>
      </c>
      <c r="C285" s="62" t="n">
        <v>0.9125</v>
      </c>
      <c r="D285" s="62" t="n">
        <v>0.265972222222222</v>
      </c>
      <c r="E285" s="63" t="n">
        <v>0.0680555555555556</v>
      </c>
      <c r="F285" s="64" t="n">
        <v>0.0888888888888889</v>
      </c>
      <c r="G285" s="65" t="str">
        <f aca="false" t="array" ref="G285:G285">_xlfn.XLOOKUP(A285&amp;"|"&amp;B285,ShiftRoster[Employee ID]&amp;"|"&amp;ShiftRoster[Date],ShiftRoster[Shift Code],_xlfn.XLOOKUP(A285,TRIM(SUBSTITUTE('worker file'!$A$2:$A$406,_xlfn.UNICHAR(160)," ")),'worker file'!$X$2:$X$406,"?"),0,-1)</f>
        <v>NGHT</v>
      </c>
      <c r="H285" s="65" t="str">
        <f aca="false">_xlfn.XLOOKUP(G285,ShiftCodes[Code],ShiftCodes[Work Schedule],"Unknown")</f>
        <v>Shift C – Night (Sun–Thu 22:00–06:30)</v>
      </c>
      <c r="I285" s="66" t="n">
        <f aca="false">_xlfn.XLOOKUP(G285,ShiftCodes[Code],ShiftCodes[Start],"")</f>
        <v>0.916666666666667</v>
      </c>
      <c r="J285" s="67" t="n">
        <f aca="false">IF(OR(C285="",I285=""),"",ROUND((MOD(C285-I285+0.5,1)-0.5)*1440,0))</f>
        <v>-6</v>
      </c>
      <c r="K285" s="65" t="str">
        <f aca="false">IF(J285="","",IF(ABS(J285)&gt;$U$3,"Off-schedule","OK"))</f>
        <v>OK</v>
      </c>
      <c r="L285" s="68" t="s">
        <v>789</v>
      </c>
      <c r="M285" s="5" t="str">
        <f aca="false">TEXT(B285,"ddd")</f>
        <v>Thu</v>
      </c>
      <c r="N285" s="69" t="n">
        <f aca="false">IF(OR(C285="",D285=""),"",ROUND((MOD(D285-C285,1)-IF(ISNUMBER(E285),MOD(F285-E285,1),0))*24,2))</f>
        <v>7.98</v>
      </c>
      <c r="O285" s="5" t="s">
        <v>768</v>
      </c>
      <c r="P285" s="6" t="n">
        <v>46311</v>
      </c>
      <c r="Q285" s="5" t="str">
        <f aca="false">IF(B285&lt;$U$1,"Prior period",IF(B285&gt;$U$2,"Future period","Current period"))</f>
        <v>Current period</v>
      </c>
      <c r="R285" s="5" t="str">
        <f aca="false" t="array" ref="R285:R285">_xlfn.XLOOKUP(A285,TRIM(SUBSTITUTE('worker file'!$A$2:$A$406,_xlfn.UNICHAR(160)," ")),'worker file'!$D$2:$D$406,"Not found")</f>
        <v>TX</v>
      </c>
    </row>
    <row r="286" customFormat="false" ht="15" hidden="false" customHeight="false" outlineLevel="0" collapsed="false">
      <c r="A286" s="5" t="s">
        <v>405</v>
      </c>
      <c r="B286" s="6" t="n">
        <v>46300</v>
      </c>
      <c r="C286" s="62" t="n">
        <v>0.250694444444444</v>
      </c>
      <c r="D286" s="62" t="n">
        <v>0.604861111111111</v>
      </c>
      <c r="E286" s="63" t="n">
        <v>0.411805555555556</v>
      </c>
      <c r="F286" s="64" t="n">
        <v>0.432638888888889</v>
      </c>
      <c r="G286" s="65" t="str">
        <f aca="false" t="array" ref="G286:G286">_xlfn.XLOOKUP(A286&amp;"|"&amp;B286,ShiftRoster[Employee ID]&amp;"|"&amp;ShiftRoster[Date],ShiftRoster[Shift Code],_xlfn.XLOOKUP(A286,TRIM(SUBSTITUTE('worker file'!$A$2:$A$406,_xlfn.UNICHAR(160)," ")),'worker file'!$X$2:$X$406,"?"),0,-1)</f>
        <v>DAY</v>
      </c>
      <c r="H286" s="65" t="str">
        <f aca="false">_xlfn.XLOOKUP(G286,ShiftCodes[Code],ShiftCodes[Work Schedule],"Unknown")</f>
        <v>Shift A – Day (Mon–Fri 06:00–14:30)</v>
      </c>
      <c r="I286" s="66" t="n">
        <f aca="false">_xlfn.XLOOKUP(G286,ShiftCodes[Code],ShiftCodes[Start],"")</f>
        <v>0.25</v>
      </c>
      <c r="J286" s="67" t="n">
        <f aca="false">IF(OR(C286="",I286=""),"",ROUND((MOD(C286-I286+0.5,1)-0.5)*1440,0))</f>
        <v>1</v>
      </c>
      <c r="K286" s="65" t="str">
        <f aca="false">IF(J286="","",IF(ABS(J286)&gt;$U$3,"Off-schedule","OK"))</f>
        <v>OK</v>
      </c>
      <c r="L286" s="68"/>
      <c r="M286" s="5" t="str">
        <f aca="false">TEXT(B286,"ddd")</f>
        <v>Mon</v>
      </c>
      <c r="N286" s="69" t="n">
        <f aca="false">IF(OR(C286="",D286=""),"",ROUND((MOD(D286-C286,1)-IF(ISNUMBER(E286),MOD(F286-E286,1),0))*24,2))</f>
        <v>8</v>
      </c>
      <c r="O286" s="5" t="s">
        <v>768</v>
      </c>
      <c r="P286" s="6" t="n">
        <v>46300</v>
      </c>
      <c r="Q286" s="5" t="str">
        <f aca="false">IF(B286&lt;$U$1,"Prior period",IF(B286&gt;$U$2,"Future period","Current period"))</f>
        <v>Current period</v>
      </c>
      <c r="R286" s="5" t="str">
        <f aca="false" t="array" ref="R286:R286">_xlfn.XLOOKUP(A286,TRIM(SUBSTITUTE('worker file'!$A$2:$A$406,_xlfn.UNICHAR(160)," ")),'worker file'!$D$2:$D$406,"Not found")</f>
        <v>TX</v>
      </c>
    </row>
    <row r="287" customFormat="false" ht="15" hidden="false" customHeight="false" outlineLevel="0" collapsed="false">
      <c r="A287" s="5" t="s">
        <v>405</v>
      </c>
      <c r="B287" s="6" t="n">
        <v>46301</v>
      </c>
      <c r="C287" s="62" t="n">
        <v>0.249305555555556</v>
      </c>
      <c r="D287" s="62" t="n">
        <v>0.598611111111111</v>
      </c>
      <c r="E287" s="63" t="n">
        <v>0.407638888888889</v>
      </c>
      <c r="F287" s="64" t="n">
        <v>0.428472222222222</v>
      </c>
      <c r="G287" s="65" t="str">
        <f aca="false" t="array" ref="G287:G287">_xlfn.XLOOKUP(A287&amp;"|"&amp;B287,ShiftRoster[Employee ID]&amp;"|"&amp;ShiftRoster[Date],ShiftRoster[Shift Code],_xlfn.XLOOKUP(A287,TRIM(SUBSTITUTE('worker file'!$A$2:$A$406,_xlfn.UNICHAR(160)," ")),'worker file'!$X$2:$X$406,"?"),0,-1)</f>
        <v>DAY</v>
      </c>
      <c r="H287" s="65" t="str">
        <f aca="false">_xlfn.XLOOKUP(G287,ShiftCodes[Code],ShiftCodes[Work Schedule],"Unknown")</f>
        <v>Shift A – Day (Mon–Fri 06:00–14:30)</v>
      </c>
      <c r="I287" s="66" t="n">
        <f aca="false">_xlfn.XLOOKUP(G287,ShiftCodes[Code],ShiftCodes[Start],"")</f>
        <v>0.25</v>
      </c>
      <c r="J287" s="67" t="n">
        <f aca="false">IF(OR(C287="",I287=""),"",ROUND((MOD(C287-I287+0.5,1)-0.5)*1440,0))</f>
        <v>-1</v>
      </c>
      <c r="K287" s="65" t="str">
        <f aca="false">IF(J287="","",IF(ABS(J287)&gt;$U$3,"Off-schedule","OK"))</f>
        <v>OK</v>
      </c>
      <c r="L287" s="68"/>
      <c r="M287" s="5" t="str">
        <f aca="false">TEXT(B287,"ddd")</f>
        <v>Tue</v>
      </c>
      <c r="N287" s="69" t="n">
        <f aca="false">IF(OR(C287="",D287=""),"",ROUND((MOD(D287-C287,1)-IF(ISNUMBER(E287),MOD(F287-E287,1),0))*24,2))</f>
        <v>7.88</v>
      </c>
      <c r="O287" s="5" t="s">
        <v>768</v>
      </c>
      <c r="P287" s="6" t="n">
        <v>46301</v>
      </c>
      <c r="Q287" s="5" t="str">
        <f aca="false">IF(B287&lt;$U$1,"Prior period",IF(B287&gt;$U$2,"Future period","Current period"))</f>
        <v>Current period</v>
      </c>
      <c r="R287" s="5" t="str">
        <f aca="false" t="array" ref="R287:R287">_xlfn.XLOOKUP(A287,TRIM(SUBSTITUTE('worker file'!$A$2:$A$406,_xlfn.UNICHAR(160)," ")),'worker file'!$D$2:$D$406,"Not found")</f>
        <v>TX</v>
      </c>
    </row>
    <row r="288" customFormat="false" ht="15" hidden="false" customHeight="false" outlineLevel="0" collapsed="false">
      <c r="A288" s="5" t="s">
        <v>405</v>
      </c>
      <c r="B288" s="6" t="n">
        <v>46302</v>
      </c>
      <c r="C288" s="62" t="n">
        <v>0.25</v>
      </c>
      <c r="D288" s="62" t="n">
        <v>0.600694444444444</v>
      </c>
      <c r="E288" s="63" t="n">
        <v>0.404861111111111</v>
      </c>
      <c r="F288" s="64" t="n">
        <v>0.425694444444444</v>
      </c>
      <c r="G288" s="65" t="str">
        <f aca="false" t="array" ref="G288:G288">_xlfn.XLOOKUP(A288&amp;"|"&amp;B288,ShiftRoster[Employee ID]&amp;"|"&amp;ShiftRoster[Date],ShiftRoster[Shift Code],_xlfn.XLOOKUP(A288,TRIM(SUBSTITUTE('worker file'!$A$2:$A$406,_xlfn.UNICHAR(160)," ")),'worker file'!$X$2:$X$406,"?"),0,-1)</f>
        <v>DAY</v>
      </c>
      <c r="H288" s="65" t="str">
        <f aca="false">_xlfn.XLOOKUP(G288,ShiftCodes[Code],ShiftCodes[Work Schedule],"Unknown")</f>
        <v>Shift A – Day (Mon–Fri 06:00–14:30)</v>
      </c>
      <c r="I288" s="66" t="n">
        <f aca="false">_xlfn.XLOOKUP(G288,ShiftCodes[Code],ShiftCodes[Start],"")</f>
        <v>0.25</v>
      </c>
      <c r="J288" s="67" t="n">
        <f aca="false">IF(OR(C288="",I288=""),"",ROUND((MOD(C288-I288+0.5,1)-0.5)*1440,0))</f>
        <v>0</v>
      </c>
      <c r="K288" s="65" t="str">
        <f aca="false">IF(J288="","",IF(ABS(J288)&gt;$U$3,"Off-schedule","OK"))</f>
        <v>OK</v>
      </c>
      <c r="L288" s="68"/>
      <c r="M288" s="5" t="str">
        <f aca="false">TEXT(B288,"ddd")</f>
        <v>Wed</v>
      </c>
      <c r="N288" s="69" t="n">
        <f aca="false">IF(OR(C288="",D288=""),"",ROUND((MOD(D288-C288,1)-IF(ISNUMBER(E288),MOD(F288-E288,1),0))*24,2))</f>
        <v>7.92</v>
      </c>
      <c r="O288" s="5" t="s">
        <v>768</v>
      </c>
      <c r="P288" s="6" t="n">
        <v>46302</v>
      </c>
      <c r="Q288" s="5" t="str">
        <f aca="false">IF(B288&lt;$U$1,"Prior period",IF(B288&gt;$U$2,"Future period","Current period"))</f>
        <v>Current period</v>
      </c>
      <c r="R288" s="5" t="str">
        <f aca="false" t="array" ref="R288:R288">_xlfn.XLOOKUP(A288,TRIM(SUBSTITUTE('worker file'!$A$2:$A$406,_xlfn.UNICHAR(160)," ")),'worker file'!$D$2:$D$406,"Not found")</f>
        <v>TX</v>
      </c>
    </row>
    <row r="289" customFormat="false" ht="15" hidden="false" customHeight="false" outlineLevel="0" collapsed="false">
      <c r="A289" s="5" t="s">
        <v>405</v>
      </c>
      <c r="B289" s="6" t="n">
        <v>46303</v>
      </c>
      <c r="C289" s="62" t="n">
        <v>0.249305555555556</v>
      </c>
      <c r="D289" s="62" t="n">
        <v>0.602083333333333</v>
      </c>
      <c r="E289" s="63" t="n">
        <v>0.416666666666667</v>
      </c>
      <c r="F289" s="64" t="n">
        <v>0.4375</v>
      </c>
      <c r="G289" s="65" t="str">
        <f aca="false" t="array" ref="G289:G289">_xlfn.XLOOKUP(A289&amp;"|"&amp;B289,ShiftRoster[Employee ID]&amp;"|"&amp;ShiftRoster[Date],ShiftRoster[Shift Code],_xlfn.XLOOKUP(A289,TRIM(SUBSTITUTE('worker file'!$A$2:$A$406,_xlfn.UNICHAR(160)," ")),'worker file'!$X$2:$X$406,"?"),0,-1)</f>
        <v>DAY</v>
      </c>
      <c r="H289" s="65" t="str">
        <f aca="false">_xlfn.XLOOKUP(G289,ShiftCodes[Code],ShiftCodes[Work Schedule],"Unknown")</f>
        <v>Shift A – Day (Mon–Fri 06:00–14:30)</v>
      </c>
      <c r="I289" s="66" t="n">
        <f aca="false">_xlfn.XLOOKUP(G289,ShiftCodes[Code],ShiftCodes[Start],"")</f>
        <v>0.25</v>
      </c>
      <c r="J289" s="67" t="n">
        <f aca="false">IF(OR(C289="",I289=""),"",ROUND((MOD(C289-I289+0.5,1)-0.5)*1440,0))</f>
        <v>-1</v>
      </c>
      <c r="K289" s="65" t="str">
        <f aca="false">IF(J289="","",IF(ABS(J289)&gt;$U$3,"Off-schedule","OK"))</f>
        <v>OK</v>
      </c>
      <c r="L289" s="68"/>
      <c r="M289" s="5" t="str">
        <f aca="false">TEXT(B289,"ddd")</f>
        <v>Thu</v>
      </c>
      <c r="N289" s="69" t="n">
        <f aca="false">IF(OR(C289="",D289=""),"",ROUND((MOD(D289-C289,1)-IF(ISNUMBER(E289),MOD(F289-E289,1),0))*24,2))</f>
        <v>7.97</v>
      </c>
      <c r="O289" s="5" t="s">
        <v>768</v>
      </c>
      <c r="P289" s="6" t="n">
        <v>46303</v>
      </c>
      <c r="Q289" s="5" t="str">
        <f aca="false">IF(B289&lt;$U$1,"Prior period",IF(B289&gt;$U$2,"Future period","Current period"))</f>
        <v>Current period</v>
      </c>
      <c r="R289" s="5" t="str">
        <f aca="false" t="array" ref="R289:R289">_xlfn.XLOOKUP(A289,TRIM(SUBSTITUTE('worker file'!$A$2:$A$406,_xlfn.UNICHAR(160)," ")),'worker file'!$D$2:$D$406,"Not found")</f>
        <v>TX</v>
      </c>
    </row>
    <row r="290" customFormat="false" ht="15" hidden="false" customHeight="false" outlineLevel="0" collapsed="false">
      <c r="A290" s="5" t="s">
        <v>405</v>
      </c>
      <c r="B290" s="6" t="n">
        <v>46304</v>
      </c>
      <c r="C290" s="62" t="n">
        <v>0.245833333333333</v>
      </c>
      <c r="D290" s="62" t="n">
        <v>0.596527777777778</v>
      </c>
      <c r="E290" s="63" t="n">
        <v>0.43125</v>
      </c>
      <c r="F290" s="64" t="n">
        <v>0.452083333333333</v>
      </c>
      <c r="G290" s="65" t="str">
        <f aca="false" t="array" ref="G290:G290">_xlfn.XLOOKUP(A290&amp;"|"&amp;B290,ShiftRoster[Employee ID]&amp;"|"&amp;ShiftRoster[Date],ShiftRoster[Shift Code],_xlfn.XLOOKUP(A290,TRIM(SUBSTITUTE('worker file'!$A$2:$A$406,_xlfn.UNICHAR(160)," ")),'worker file'!$X$2:$X$406,"?"),0,-1)</f>
        <v>DAY</v>
      </c>
      <c r="H290" s="65" t="str">
        <f aca="false">_xlfn.XLOOKUP(G290,ShiftCodes[Code],ShiftCodes[Work Schedule],"Unknown")</f>
        <v>Shift A – Day (Mon–Fri 06:00–14:30)</v>
      </c>
      <c r="I290" s="66" t="n">
        <f aca="false">_xlfn.XLOOKUP(G290,ShiftCodes[Code],ShiftCodes[Start],"")</f>
        <v>0.25</v>
      </c>
      <c r="J290" s="67" t="n">
        <f aca="false">IF(OR(C290="",I290=""),"",ROUND((MOD(C290-I290+0.5,1)-0.5)*1440,0))</f>
        <v>-6</v>
      </c>
      <c r="K290" s="65" t="str">
        <f aca="false">IF(J290="","",IF(ABS(J290)&gt;$U$3,"Off-schedule","OK"))</f>
        <v>OK</v>
      </c>
      <c r="L290" s="68"/>
      <c r="M290" s="5" t="str">
        <f aca="false">TEXT(B290,"ddd")</f>
        <v>Fri</v>
      </c>
      <c r="N290" s="69" t="n">
        <f aca="false">IF(OR(C290="",D290=""),"",ROUND((MOD(D290-C290,1)-IF(ISNUMBER(E290),MOD(F290-E290,1),0))*24,2))</f>
        <v>7.92</v>
      </c>
      <c r="O290" s="5" t="s">
        <v>768</v>
      </c>
      <c r="P290" s="6" t="n">
        <v>46304</v>
      </c>
      <c r="Q290" s="5" t="str">
        <f aca="false">IF(B290&lt;$U$1,"Prior period",IF(B290&gt;$U$2,"Future period","Current period"))</f>
        <v>Current period</v>
      </c>
      <c r="R290" s="5" t="str">
        <f aca="false" t="array" ref="R290:R290">_xlfn.XLOOKUP(A290,TRIM(SUBSTITUTE('worker file'!$A$2:$A$406,_xlfn.UNICHAR(160)," ")),'worker file'!$D$2:$D$406,"Not found")</f>
        <v>TX</v>
      </c>
    </row>
    <row r="291" customFormat="false" ht="15" hidden="false" customHeight="false" outlineLevel="0" collapsed="false">
      <c r="A291" s="5" t="s">
        <v>405</v>
      </c>
      <c r="B291" s="6" t="n">
        <v>46307</v>
      </c>
      <c r="C291" s="62" t="n">
        <v>0.247222222222222</v>
      </c>
      <c r="D291" s="62" t="n">
        <v>0.600694444444444</v>
      </c>
      <c r="E291" s="63" t="n">
        <v>0.432638888888889</v>
      </c>
      <c r="F291" s="64" t="n">
        <v>0.453472222222222</v>
      </c>
      <c r="G291" s="65" t="str">
        <f aca="false" t="array" ref="G291:G291">_xlfn.XLOOKUP(A291&amp;"|"&amp;B291,ShiftRoster[Employee ID]&amp;"|"&amp;ShiftRoster[Date],ShiftRoster[Shift Code],_xlfn.XLOOKUP(A291,TRIM(SUBSTITUTE('worker file'!$A$2:$A$406,_xlfn.UNICHAR(160)," ")),'worker file'!$X$2:$X$406,"?"),0,-1)</f>
        <v>DAY</v>
      </c>
      <c r="H291" s="65" t="str">
        <f aca="false">_xlfn.XLOOKUP(G291,ShiftCodes[Code],ShiftCodes[Work Schedule],"Unknown")</f>
        <v>Shift A – Day (Mon–Fri 06:00–14:30)</v>
      </c>
      <c r="I291" s="66" t="n">
        <f aca="false">_xlfn.XLOOKUP(G291,ShiftCodes[Code],ShiftCodes[Start],"")</f>
        <v>0.25</v>
      </c>
      <c r="J291" s="67" t="n">
        <f aca="false">IF(OR(C291="",I291=""),"",ROUND((MOD(C291-I291+0.5,1)-0.5)*1440,0))</f>
        <v>-4</v>
      </c>
      <c r="K291" s="65" t="str">
        <f aca="false">IF(J291="","",IF(ABS(J291)&gt;$U$3,"Off-schedule","OK"))</f>
        <v>OK</v>
      </c>
      <c r="L291" s="68"/>
      <c r="M291" s="5" t="str">
        <f aca="false">TEXT(B291,"ddd")</f>
        <v>Mon</v>
      </c>
      <c r="N291" s="69" t="n">
        <f aca="false">IF(OR(C291="",D291=""),"",ROUND((MOD(D291-C291,1)-IF(ISNUMBER(E291),MOD(F291-E291,1),0))*24,2))</f>
        <v>7.98</v>
      </c>
      <c r="O291" s="5" t="s">
        <v>768</v>
      </c>
      <c r="P291" s="6" t="n">
        <v>46307</v>
      </c>
      <c r="Q291" s="5" t="str">
        <f aca="false">IF(B291&lt;$U$1,"Prior period",IF(B291&gt;$U$2,"Future period","Current period"))</f>
        <v>Current period</v>
      </c>
      <c r="R291" s="5" t="str">
        <f aca="false" t="array" ref="R291:R291">_xlfn.XLOOKUP(A291,TRIM(SUBSTITUTE('worker file'!$A$2:$A$406,_xlfn.UNICHAR(160)," ")),'worker file'!$D$2:$D$406,"Not found")</f>
        <v>TX</v>
      </c>
    </row>
    <row r="292" customFormat="false" ht="15" hidden="false" customHeight="false" outlineLevel="0" collapsed="false">
      <c r="A292" s="5" t="s">
        <v>405</v>
      </c>
      <c r="B292" s="6" t="n">
        <v>46308</v>
      </c>
      <c r="C292" s="62" t="n">
        <v>0.247222222222222</v>
      </c>
      <c r="D292" s="62" t="n">
        <v>0.597222222222222</v>
      </c>
      <c r="E292" s="63" t="n">
        <v>0.423611111111111</v>
      </c>
      <c r="F292" s="64" t="n">
        <v>0.444444444444444</v>
      </c>
      <c r="G292" s="65" t="str">
        <f aca="false" t="array" ref="G292:G292">_xlfn.XLOOKUP(A292&amp;"|"&amp;B292,ShiftRoster[Employee ID]&amp;"|"&amp;ShiftRoster[Date],ShiftRoster[Shift Code],_xlfn.XLOOKUP(A292,TRIM(SUBSTITUTE('worker file'!$A$2:$A$406,_xlfn.UNICHAR(160)," ")),'worker file'!$X$2:$X$406,"?"),0,-1)</f>
        <v>DAY</v>
      </c>
      <c r="H292" s="65" t="str">
        <f aca="false">_xlfn.XLOOKUP(G292,ShiftCodes[Code],ShiftCodes[Work Schedule],"Unknown")</f>
        <v>Shift A – Day (Mon–Fri 06:00–14:30)</v>
      </c>
      <c r="I292" s="66" t="n">
        <f aca="false">_xlfn.XLOOKUP(G292,ShiftCodes[Code],ShiftCodes[Start],"")</f>
        <v>0.25</v>
      </c>
      <c r="J292" s="67" t="n">
        <f aca="false">IF(OR(C292="",I292=""),"",ROUND((MOD(C292-I292+0.5,1)-0.5)*1440,0))</f>
        <v>-4</v>
      </c>
      <c r="K292" s="65" t="str">
        <f aca="false">IF(J292="","",IF(ABS(J292)&gt;$U$3,"Off-schedule","OK"))</f>
        <v>OK</v>
      </c>
      <c r="L292" s="68"/>
      <c r="M292" s="5" t="str">
        <f aca="false">TEXT(B292,"ddd")</f>
        <v>Tue</v>
      </c>
      <c r="N292" s="69" t="n">
        <f aca="false">IF(OR(C292="",D292=""),"",ROUND((MOD(D292-C292,1)-IF(ISNUMBER(E292),MOD(F292-E292,1),0))*24,2))</f>
        <v>7.9</v>
      </c>
      <c r="O292" s="5" t="s">
        <v>768</v>
      </c>
      <c r="P292" s="6" t="n">
        <v>46308</v>
      </c>
      <c r="Q292" s="5" t="str">
        <f aca="false">IF(B292&lt;$U$1,"Prior period",IF(B292&gt;$U$2,"Future period","Current period"))</f>
        <v>Current period</v>
      </c>
      <c r="R292" s="5" t="str">
        <f aca="false" t="array" ref="R292:R292">_xlfn.XLOOKUP(A292,TRIM(SUBSTITUTE('worker file'!$A$2:$A$406,_xlfn.UNICHAR(160)," ")),'worker file'!$D$2:$D$406,"Not found")</f>
        <v>TX</v>
      </c>
    </row>
    <row r="293" customFormat="false" ht="15" hidden="false" customHeight="false" outlineLevel="0" collapsed="false">
      <c r="A293" s="5" t="s">
        <v>405</v>
      </c>
      <c r="B293" s="6" t="n">
        <v>46309</v>
      </c>
      <c r="C293" s="62" t="n">
        <v>0.245833333333333</v>
      </c>
      <c r="D293" s="62" t="n">
        <v>0.595833333333333</v>
      </c>
      <c r="E293" s="63" t="n">
        <v>0.416666666666667</v>
      </c>
      <c r="F293" s="64" t="n">
        <v>0.4375</v>
      </c>
      <c r="G293" s="65" t="str">
        <f aca="false" t="array" ref="G293:G293">_xlfn.XLOOKUP(A293&amp;"|"&amp;B293,ShiftRoster[Employee ID]&amp;"|"&amp;ShiftRoster[Date],ShiftRoster[Shift Code],_xlfn.XLOOKUP(A293,TRIM(SUBSTITUTE('worker file'!$A$2:$A$406,_xlfn.UNICHAR(160)," ")),'worker file'!$X$2:$X$406,"?"),0,-1)</f>
        <v>DAY</v>
      </c>
      <c r="H293" s="65" t="str">
        <f aca="false">_xlfn.XLOOKUP(G293,ShiftCodes[Code],ShiftCodes[Work Schedule],"Unknown")</f>
        <v>Shift A – Day (Mon–Fri 06:00–14:30)</v>
      </c>
      <c r="I293" s="66" t="n">
        <f aca="false">_xlfn.XLOOKUP(G293,ShiftCodes[Code],ShiftCodes[Start],"")</f>
        <v>0.25</v>
      </c>
      <c r="J293" s="67" t="n">
        <f aca="false">IF(OR(C293="",I293=""),"",ROUND((MOD(C293-I293+0.5,1)-0.5)*1440,0))</f>
        <v>-6</v>
      </c>
      <c r="K293" s="65" t="str">
        <f aca="false">IF(J293="","",IF(ABS(J293)&gt;$U$3,"Off-schedule","OK"))</f>
        <v>OK</v>
      </c>
      <c r="L293" s="68"/>
      <c r="M293" s="5" t="str">
        <f aca="false">TEXT(B293,"ddd")</f>
        <v>Wed</v>
      </c>
      <c r="N293" s="69" t="n">
        <f aca="false">IF(OR(C293="",D293=""),"",ROUND((MOD(D293-C293,1)-IF(ISNUMBER(E293),MOD(F293-E293,1),0))*24,2))</f>
        <v>7.9</v>
      </c>
      <c r="O293" s="5" t="s">
        <v>768</v>
      </c>
      <c r="P293" s="6" t="n">
        <v>46309</v>
      </c>
      <c r="Q293" s="5" t="str">
        <f aca="false">IF(B293&lt;$U$1,"Prior period",IF(B293&gt;$U$2,"Future period","Current period"))</f>
        <v>Current period</v>
      </c>
      <c r="R293" s="5" t="str">
        <f aca="false" t="array" ref="R293:R293">_xlfn.XLOOKUP(A293,TRIM(SUBSTITUTE('worker file'!$A$2:$A$406,_xlfn.UNICHAR(160)," ")),'worker file'!$D$2:$D$406,"Not found")</f>
        <v>TX</v>
      </c>
    </row>
    <row r="294" customFormat="false" ht="15" hidden="false" customHeight="false" outlineLevel="0" collapsed="false">
      <c r="A294" s="5" t="s">
        <v>405</v>
      </c>
      <c r="B294" s="6" t="n">
        <v>46310</v>
      </c>
      <c r="C294" s="62" t="n">
        <v>0.248611111111111</v>
      </c>
      <c r="D294" s="62" t="n">
        <v>0.597916666666667</v>
      </c>
      <c r="E294" s="63" t="n">
        <v>0.427777777777778</v>
      </c>
      <c r="F294" s="64" t="n">
        <v>0.448611111111111</v>
      </c>
      <c r="G294" s="65" t="str">
        <f aca="false" t="array" ref="G294:G294">_xlfn.XLOOKUP(A294&amp;"|"&amp;B294,ShiftRoster[Employee ID]&amp;"|"&amp;ShiftRoster[Date],ShiftRoster[Shift Code],_xlfn.XLOOKUP(A294,TRIM(SUBSTITUTE('worker file'!$A$2:$A$406,_xlfn.UNICHAR(160)," ")),'worker file'!$X$2:$X$406,"?"),0,-1)</f>
        <v>DAY</v>
      </c>
      <c r="H294" s="65" t="str">
        <f aca="false">_xlfn.XLOOKUP(G294,ShiftCodes[Code],ShiftCodes[Work Schedule],"Unknown")</f>
        <v>Shift A – Day (Mon–Fri 06:00–14:30)</v>
      </c>
      <c r="I294" s="66" t="n">
        <f aca="false">_xlfn.XLOOKUP(G294,ShiftCodes[Code],ShiftCodes[Start],"")</f>
        <v>0.25</v>
      </c>
      <c r="J294" s="67" t="n">
        <f aca="false">IF(OR(C294="",I294=""),"",ROUND((MOD(C294-I294+0.5,1)-0.5)*1440,0))</f>
        <v>-2</v>
      </c>
      <c r="K294" s="65" t="str">
        <f aca="false">IF(J294="","",IF(ABS(J294)&gt;$U$3,"Off-schedule","OK"))</f>
        <v>OK</v>
      </c>
      <c r="L294" s="68"/>
      <c r="M294" s="5" t="str">
        <f aca="false">TEXT(B294,"ddd")</f>
        <v>Thu</v>
      </c>
      <c r="N294" s="69" t="n">
        <f aca="false">IF(OR(C294="",D294=""),"",ROUND((MOD(D294-C294,1)-IF(ISNUMBER(E294),MOD(F294-E294,1),0))*24,2))</f>
        <v>7.88</v>
      </c>
      <c r="O294" s="5" t="s">
        <v>768</v>
      </c>
      <c r="P294" s="6" t="n">
        <v>46310</v>
      </c>
      <c r="Q294" s="5" t="str">
        <f aca="false">IF(B294&lt;$U$1,"Prior period",IF(B294&gt;$U$2,"Future period","Current period"))</f>
        <v>Current period</v>
      </c>
      <c r="R294" s="5" t="str">
        <f aca="false" t="array" ref="R294:R294">_xlfn.XLOOKUP(A294,TRIM(SUBSTITUTE('worker file'!$A$2:$A$406,_xlfn.UNICHAR(160)," ")),'worker file'!$D$2:$D$406,"Not found")</f>
        <v>TX</v>
      </c>
    </row>
    <row r="295" customFormat="false" ht="15" hidden="false" customHeight="false" outlineLevel="0" collapsed="false">
      <c r="A295" s="5" t="s">
        <v>405</v>
      </c>
      <c r="B295" s="6" t="n">
        <v>46311</v>
      </c>
      <c r="C295" s="62" t="n">
        <v>0.25</v>
      </c>
      <c r="D295" s="62" t="n">
        <v>0.600694444444444</v>
      </c>
      <c r="E295" s="63" t="n">
        <v>0.421527777777778</v>
      </c>
      <c r="F295" s="64" t="n">
        <v>0.442361111111111</v>
      </c>
      <c r="G295" s="65" t="str">
        <f aca="false" t="array" ref="G295:G295">_xlfn.XLOOKUP(A295&amp;"|"&amp;B295,ShiftRoster[Employee ID]&amp;"|"&amp;ShiftRoster[Date],ShiftRoster[Shift Code],_xlfn.XLOOKUP(A295,TRIM(SUBSTITUTE('worker file'!$A$2:$A$406,_xlfn.UNICHAR(160)," ")),'worker file'!$X$2:$X$406,"?"),0,-1)</f>
        <v>DAY</v>
      </c>
      <c r="H295" s="65" t="str">
        <f aca="false">_xlfn.XLOOKUP(G295,ShiftCodes[Code],ShiftCodes[Work Schedule],"Unknown")</f>
        <v>Shift A – Day (Mon–Fri 06:00–14:30)</v>
      </c>
      <c r="I295" s="66" t="n">
        <f aca="false">_xlfn.XLOOKUP(G295,ShiftCodes[Code],ShiftCodes[Start],"")</f>
        <v>0.25</v>
      </c>
      <c r="J295" s="67" t="n">
        <f aca="false">IF(OR(C295="",I295=""),"",ROUND((MOD(C295-I295+0.5,1)-0.5)*1440,0))</f>
        <v>0</v>
      </c>
      <c r="K295" s="65" t="str">
        <f aca="false">IF(J295="","",IF(ABS(J295)&gt;$U$3,"Off-schedule","OK"))</f>
        <v>OK</v>
      </c>
      <c r="L295" s="68"/>
      <c r="M295" s="5" t="str">
        <f aca="false">TEXT(B295,"ddd")</f>
        <v>Fri</v>
      </c>
      <c r="N295" s="69" t="n">
        <f aca="false">IF(OR(C295="",D295=""),"",ROUND((MOD(D295-C295,1)-IF(ISNUMBER(E295),MOD(F295-E295,1),0))*24,2))</f>
        <v>7.92</v>
      </c>
      <c r="O295" s="5" t="s">
        <v>768</v>
      </c>
      <c r="P295" s="6" t="n">
        <v>46311</v>
      </c>
      <c r="Q295" s="5" t="str">
        <f aca="false">IF(B295&lt;$U$1,"Prior period",IF(B295&gt;$U$2,"Future period","Current period"))</f>
        <v>Current period</v>
      </c>
      <c r="R295" s="5" t="str">
        <f aca="false" t="array" ref="R295:R295">_xlfn.XLOOKUP(A295,TRIM(SUBSTITUTE('worker file'!$A$2:$A$406,_xlfn.UNICHAR(160)," ")),'worker file'!$D$2:$D$406,"Not found")</f>
        <v>TX</v>
      </c>
    </row>
    <row r="296" customFormat="false" ht="15" hidden="false" customHeight="false" outlineLevel="0" collapsed="false">
      <c r="A296" s="5" t="s">
        <v>437</v>
      </c>
      <c r="B296" s="6" t="n">
        <v>46299</v>
      </c>
      <c r="C296" s="62" t="n">
        <v>0.915972222222222</v>
      </c>
      <c r="D296" s="62" t="n">
        <v>0.269444444444444</v>
      </c>
      <c r="E296" s="63" t="n">
        <v>0.0833333333333333</v>
      </c>
      <c r="F296" s="64" t="n">
        <v>0.104166666666667</v>
      </c>
      <c r="G296" s="65" t="str">
        <f aca="false" t="array" ref="G296:G296">_xlfn.XLOOKUP(A296&amp;"|"&amp;B296,ShiftRoster[Employee ID]&amp;"|"&amp;ShiftRoster[Date],ShiftRoster[Shift Code],_xlfn.XLOOKUP(A296,TRIM(SUBSTITUTE('worker file'!$A$2:$A$406,_xlfn.UNICHAR(160)," ")),'worker file'!$X$2:$X$406,"?"),0,-1)</f>
        <v>NGHT</v>
      </c>
      <c r="H296" s="65" t="str">
        <f aca="false">_xlfn.XLOOKUP(G296,ShiftCodes[Code],ShiftCodes[Work Schedule],"Unknown")</f>
        <v>Shift C – Night (Sun–Thu 22:00–06:30)</v>
      </c>
      <c r="I296" s="66" t="n">
        <f aca="false">_xlfn.XLOOKUP(G296,ShiftCodes[Code],ShiftCodes[Start],"")</f>
        <v>0.916666666666667</v>
      </c>
      <c r="J296" s="67" t="n">
        <f aca="false">IF(OR(C296="",I296=""),"",ROUND((MOD(C296-I296+0.5,1)-0.5)*1440,0))</f>
        <v>-1</v>
      </c>
      <c r="K296" s="65" t="str">
        <f aca="false">IF(J296="","",IF(ABS(J296)&gt;$U$3,"Off-schedule","OK"))</f>
        <v>OK</v>
      </c>
      <c r="L296" s="68" t="s">
        <v>789</v>
      </c>
      <c r="M296" s="5" t="str">
        <f aca="false">TEXT(B296,"ddd")</f>
        <v>Sun</v>
      </c>
      <c r="N296" s="69" t="n">
        <f aca="false">IF(OR(C296="",D296=""),"",ROUND((MOD(D296-C296,1)-IF(ISNUMBER(E296),MOD(F296-E296,1),0))*24,2))</f>
        <v>7.98</v>
      </c>
      <c r="O296" s="5" t="s">
        <v>768</v>
      </c>
      <c r="P296" s="6" t="n">
        <v>46300</v>
      </c>
      <c r="Q296" s="5" t="str">
        <f aca="false">IF(B296&lt;$U$1,"Prior period",IF(B296&gt;$U$2,"Future period","Current period"))</f>
        <v>Current period</v>
      </c>
      <c r="R296" s="5" t="str">
        <f aca="false" t="array" ref="R296:R296">_xlfn.XLOOKUP(A296,TRIM(SUBSTITUTE('worker file'!$A$2:$A$406,_xlfn.UNICHAR(160)," ")),'worker file'!$D$2:$D$406,"Not found")</f>
        <v>TX</v>
      </c>
    </row>
    <row r="297" customFormat="false" ht="15" hidden="false" customHeight="false" outlineLevel="0" collapsed="false">
      <c r="A297" s="5" t="s">
        <v>437</v>
      </c>
      <c r="B297" s="6" t="n">
        <v>46300</v>
      </c>
      <c r="C297" s="62" t="n">
        <v>0.914583333333333</v>
      </c>
      <c r="D297" s="62" t="n">
        <v>0.264583333333333</v>
      </c>
      <c r="E297" s="63" t="n">
        <v>0.1</v>
      </c>
      <c r="F297" s="64" t="n">
        <v>0.120833333333333</v>
      </c>
      <c r="G297" s="65" t="str">
        <f aca="false" t="array" ref="G297:G297">_xlfn.XLOOKUP(A297&amp;"|"&amp;B297,ShiftRoster[Employee ID]&amp;"|"&amp;ShiftRoster[Date],ShiftRoster[Shift Code],_xlfn.XLOOKUP(A297,TRIM(SUBSTITUTE('worker file'!$A$2:$A$406,_xlfn.UNICHAR(160)," ")),'worker file'!$X$2:$X$406,"?"),0,-1)</f>
        <v>NGHT</v>
      </c>
      <c r="H297" s="65" t="str">
        <f aca="false">_xlfn.XLOOKUP(G297,ShiftCodes[Code],ShiftCodes[Work Schedule],"Unknown")</f>
        <v>Shift C – Night (Sun–Thu 22:00–06:30)</v>
      </c>
      <c r="I297" s="66" t="n">
        <f aca="false">_xlfn.XLOOKUP(G297,ShiftCodes[Code],ShiftCodes[Start],"")</f>
        <v>0.916666666666667</v>
      </c>
      <c r="J297" s="67" t="n">
        <f aca="false">IF(OR(C297="",I297=""),"",ROUND((MOD(C297-I297+0.5,1)-0.5)*1440,0))</f>
        <v>-3</v>
      </c>
      <c r="K297" s="65" t="str">
        <f aca="false">IF(J297="","",IF(ABS(J297)&gt;$U$3,"Off-schedule","OK"))</f>
        <v>OK</v>
      </c>
      <c r="L297" s="68" t="s">
        <v>789</v>
      </c>
      <c r="M297" s="5" t="str">
        <f aca="false">TEXT(B297,"ddd")</f>
        <v>Mon</v>
      </c>
      <c r="N297" s="69" t="n">
        <f aca="false">IF(OR(C297="",D297=""),"",ROUND((MOD(D297-C297,1)-IF(ISNUMBER(E297),MOD(F297-E297,1),0))*24,2))</f>
        <v>7.9</v>
      </c>
      <c r="O297" s="5" t="s">
        <v>768</v>
      </c>
      <c r="P297" s="6" t="n">
        <v>46301</v>
      </c>
      <c r="Q297" s="5" t="str">
        <f aca="false">IF(B297&lt;$U$1,"Prior period",IF(B297&gt;$U$2,"Future period","Current period"))</f>
        <v>Current period</v>
      </c>
      <c r="R297" s="5" t="str">
        <f aca="false" t="array" ref="R297:R297">_xlfn.XLOOKUP(A297,TRIM(SUBSTITUTE('worker file'!$A$2:$A$406,_xlfn.UNICHAR(160)," ")),'worker file'!$D$2:$D$406,"Not found")</f>
        <v>TX</v>
      </c>
    </row>
    <row r="298" customFormat="false" ht="15" hidden="false" customHeight="false" outlineLevel="0" collapsed="false">
      <c r="A298" s="5" t="s">
        <v>437</v>
      </c>
      <c r="B298" s="6" t="n">
        <v>46301</v>
      </c>
      <c r="C298" s="62" t="n">
        <v>0.915277777777778</v>
      </c>
      <c r="D298" s="62" t="n">
        <v>0.268055555555556</v>
      </c>
      <c r="E298" s="63" t="n">
        <v>0.0986111111111111</v>
      </c>
      <c r="F298" s="64" t="n">
        <v>0.119444444444444</v>
      </c>
      <c r="G298" s="65" t="str">
        <f aca="false" t="array" ref="G298:G298">_xlfn.XLOOKUP(A298&amp;"|"&amp;B298,ShiftRoster[Employee ID]&amp;"|"&amp;ShiftRoster[Date],ShiftRoster[Shift Code],_xlfn.XLOOKUP(A298,TRIM(SUBSTITUTE('worker file'!$A$2:$A$406,_xlfn.UNICHAR(160)," ")),'worker file'!$X$2:$X$406,"?"),0,-1)</f>
        <v>NGHT</v>
      </c>
      <c r="H298" s="65" t="str">
        <f aca="false">_xlfn.XLOOKUP(G298,ShiftCodes[Code],ShiftCodes[Work Schedule],"Unknown")</f>
        <v>Shift C – Night (Sun–Thu 22:00–06:30)</v>
      </c>
      <c r="I298" s="66" t="n">
        <f aca="false">_xlfn.XLOOKUP(G298,ShiftCodes[Code],ShiftCodes[Start],"")</f>
        <v>0.916666666666667</v>
      </c>
      <c r="J298" s="67" t="n">
        <f aca="false">IF(OR(C298="",I298=""),"",ROUND((MOD(C298-I298+0.5,1)-0.5)*1440,0))</f>
        <v>-2</v>
      </c>
      <c r="K298" s="65" t="str">
        <f aca="false">IF(J298="","",IF(ABS(J298)&gt;$U$3,"Off-schedule","OK"))</f>
        <v>OK</v>
      </c>
      <c r="L298" s="68" t="s">
        <v>789</v>
      </c>
      <c r="M298" s="5" t="str">
        <f aca="false">TEXT(B298,"ddd")</f>
        <v>Tue</v>
      </c>
      <c r="N298" s="69" t="n">
        <f aca="false">IF(OR(C298="",D298=""),"",ROUND((MOD(D298-C298,1)-IF(ISNUMBER(E298),MOD(F298-E298,1),0))*24,2))</f>
        <v>7.97</v>
      </c>
      <c r="O298" s="5" t="s">
        <v>768</v>
      </c>
      <c r="P298" s="6" t="n">
        <v>46302</v>
      </c>
      <c r="Q298" s="5" t="str">
        <f aca="false">IF(B298&lt;$U$1,"Prior period",IF(B298&gt;$U$2,"Future period","Current period"))</f>
        <v>Current period</v>
      </c>
      <c r="R298" s="5" t="str">
        <f aca="false" t="array" ref="R298:R298">_xlfn.XLOOKUP(A298,TRIM(SUBSTITUTE('worker file'!$A$2:$A$406,_xlfn.UNICHAR(160)," ")),'worker file'!$D$2:$D$406,"Not found")</f>
        <v>TX</v>
      </c>
    </row>
    <row r="299" customFormat="false" ht="15" hidden="false" customHeight="false" outlineLevel="0" collapsed="false">
      <c r="A299" s="5" t="s">
        <v>437</v>
      </c>
      <c r="B299" s="6" t="n">
        <v>46302</v>
      </c>
      <c r="C299" s="62" t="n">
        <v>0.919444444444444</v>
      </c>
      <c r="D299" s="62" t="n">
        <v>0.269444444444444</v>
      </c>
      <c r="E299" s="63" t="n">
        <v>0.100694444444444</v>
      </c>
      <c r="F299" s="64" t="n">
        <v>0.121527777777778</v>
      </c>
      <c r="G299" s="65" t="str">
        <f aca="false" t="array" ref="G299:G299">_xlfn.XLOOKUP(A299&amp;"|"&amp;B299,ShiftRoster[Employee ID]&amp;"|"&amp;ShiftRoster[Date],ShiftRoster[Shift Code],_xlfn.XLOOKUP(A299,TRIM(SUBSTITUTE('worker file'!$A$2:$A$406,_xlfn.UNICHAR(160)," ")),'worker file'!$X$2:$X$406,"?"),0,-1)</f>
        <v>NGHT</v>
      </c>
      <c r="H299" s="65" t="str">
        <f aca="false">_xlfn.XLOOKUP(G299,ShiftCodes[Code],ShiftCodes[Work Schedule],"Unknown")</f>
        <v>Shift C – Night (Sun–Thu 22:00–06:30)</v>
      </c>
      <c r="I299" s="66" t="n">
        <f aca="false">_xlfn.XLOOKUP(G299,ShiftCodes[Code],ShiftCodes[Start],"")</f>
        <v>0.916666666666667</v>
      </c>
      <c r="J299" s="67" t="n">
        <f aca="false">IF(OR(C299="",I299=""),"",ROUND((MOD(C299-I299+0.5,1)-0.5)*1440,0))</f>
        <v>4</v>
      </c>
      <c r="K299" s="65" t="str">
        <f aca="false">IF(J299="","",IF(ABS(J299)&gt;$U$3,"Off-schedule","OK"))</f>
        <v>OK</v>
      </c>
      <c r="L299" s="68" t="s">
        <v>789</v>
      </c>
      <c r="M299" s="5" t="str">
        <f aca="false">TEXT(B299,"ddd")</f>
        <v>Wed</v>
      </c>
      <c r="N299" s="69" t="n">
        <f aca="false">IF(OR(C299="",D299=""),"",ROUND((MOD(D299-C299,1)-IF(ISNUMBER(E299),MOD(F299-E299,1),0))*24,2))</f>
        <v>7.9</v>
      </c>
      <c r="O299" s="5" t="s">
        <v>768</v>
      </c>
      <c r="P299" s="6" t="n">
        <v>46303</v>
      </c>
      <c r="Q299" s="5" t="str">
        <f aca="false">IF(B299&lt;$U$1,"Prior period",IF(B299&gt;$U$2,"Future period","Current period"))</f>
        <v>Current period</v>
      </c>
      <c r="R299" s="5" t="str">
        <f aca="false" t="array" ref="R299:R299">_xlfn.XLOOKUP(A299,TRIM(SUBSTITUTE('worker file'!$A$2:$A$406,_xlfn.UNICHAR(160)," ")),'worker file'!$D$2:$D$406,"Not found")</f>
        <v>TX</v>
      </c>
    </row>
    <row r="300" customFormat="false" ht="15" hidden="false" customHeight="false" outlineLevel="0" collapsed="false">
      <c r="A300" s="5" t="s">
        <v>437</v>
      </c>
      <c r="B300" s="6" t="n">
        <v>46303</v>
      </c>
      <c r="C300" s="62" t="n">
        <v>0.913194444444444</v>
      </c>
      <c r="D300" s="62" t="n">
        <v>0.264583333333333</v>
      </c>
      <c r="E300" s="63" t="n">
        <v>0.06875</v>
      </c>
      <c r="F300" s="64" t="n">
        <v>0.0895833333333333</v>
      </c>
      <c r="G300" s="65" t="str">
        <f aca="false" t="array" ref="G300:G300">_xlfn.XLOOKUP(A300&amp;"|"&amp;B300,ShiftRoster[Employee ID]&amp;"|"&amp;ShiftRoster[Date],ShiftRoster[Shift Code],_xlfn.XLOOKUP(A300,TRIM(SUBSTITUTE('worker file'!$A$2:$A$406,_xlfn.UNICHAR(160)," ")),'worker file'!$X$2:$X$406,"?"),0,-1)</f>
        <v>NGHT</v>
      </c>
      <c r="H300" s="65" t="str">
        <f aca="false">_xlfn.XLOOKUP(G300,ShiftCodes[Code],ShiftCodes[Work Schedule],"Unknown")</f>
        <v>Shift C – Night (Sun–Thu 22:00–06:30)</v>
      </c>
      <c r="I300" s="66" t="n">
        <f aca="false">_xlfn.XLOOKUP(G300,ShiftCodes[Code],ShiftCodes[Start],"")</f>
        <v>0.916666666666667</v>
      </c>
      <c r="J300" s="67" t="n">
        <f aca="false">IF(OR(C300="",I300=""),"",ROUND((MOD(C300-I300+0.5,1)-0.5)*1440,0))</f>
        <v>-5</v>
      </c>
      <c r="K300" s="65" t="str">
        <f aca="false">IF(J300="","",IF(ABS(J300)&gt;$U$3,"Off-schedule","OK"))</f>
        <v>OK</v>
      </c>
      <c r="L300" s="68" t="s">
        <v>789</v>
      </c>
      <c r="M300" s="5" t="str">
        <f aca="false">TEXT(B300,"ddd")</f>
        <v>Thu</v>
      </c>
      <c r="N300" s="69" t="n">
        <f aca="false">IF(OR(C300="",D300=""),"",ROUND((MOD(D300-C300,1)-IF(ISNUMBER(E300),MOD(F300-E300,1),0))*24,2))</f>
        <v>7.93</v>
      </c>
      <c r="O300" s="5" t="s">
        <v>768</v>
      </c>
      <c r="P300" s="6" t="n">
        <v>46304</v>
      </c>
      <c r="Q300" s="5" t="str">
        <f aca="false">IF(B300&lt;$U$1,"Prior period",IF(B300&gt;$U$2,"Future period","Current period"))</f>
        <v>Current period</v>
      </c>
      <c r="R300" s="5" t="str">
        <f aca="false" t="array" ref="R300:R300">_xlfn.XLOOKUP(A300,TRIM(SUBSTITUTE('worker file'!$A$2:$A$406,_xlfn.UNICHAR(160)," ")),'worker file'!$D$2:$D$406,"Not found")</f>
        <v>TX</v>
      </c>
    </row>
    <row r="301" customFormat="false" ht="15" hidden="false" customHeight="false" outlineLevel="0" collapsed="false">
      <c r="A301" s="5" t="s">
        <v>437</v>
      </c>
      <c r="B301" s="6" t="n">
        <v>46306</v>
      </c>
      <c r="C301" s="62" t="n">
        <v>0.919444444444444</v>
      </c>
      <c r="D301" s="62" t="n">
        <v>0.273611111111111</v>
      </c>
      <c r="E301" s="63" t="n">
        <v>0.0680555555555556</v>
      </c>
      <c r="F301" s="64" t="n">
        <v>0.0888888888888889</v>
      </c>
      <c r="G301" s="65" t="str">
        <f aca="false" t="array" ref="G301:G301">_xlfn.XLOOKUP(A301&amp;"|"&amp;B301,ShiftRoster[Employee ID]&amp;"|"&amp;ShiftRoster[Date],ShiftRoster[Shift Code],_xlfn.XLOOKUP(A301,TRIM(SUBSTITUTE('worker file'!$A$2:$A$406,_xlfn.UNICHAR(160)," ")),'worker file'!$X$2:$X$406,"?"),0,-1)</f>
        <v>NGHT</v>
      </c>
      <c r="H301" s="65" t="str">
        <f aca="false">_xlfn.XLOOKUP(G301,ShiftCodes[Code],ShiftCodes[Work Schedule],"Unknown")</f>
        <v>Shift C – Night (Sun–Thu 22:00–06:30)</v>
      </c>
      <c r="I301" s="66" t="n">
        <f aca="false">_xlfn.XLOOKUP(G301,ShiftCodes[Code],ShiftCodes[Start],"")</f>
        <v>0.916666666666667</v>
      </c>
      <c r="J301" s="67" t="n">
        <f aca="false">IF(OR(C301="",I301=""),"",ROUND((MOD(C301-I301+0.5,1)-0.5)*1440,0))</f>
        <v>4</v>
      </c>
      <c r="K301" s="65" t="str">
        <f aca="false">IF(J301="","",IF(ABS(J301)&gt;$U$3,"Off-schedule","OK"))</f>
        <v>OK</v>
      </c>
      <c r="L301" s="68" t="s">
        <v>789</v>
      </c>
      <c r="M301" s="5" t="str">
        <f aca="false">TEXT(B301,"ddd")</f>
        <v>Sun</v>
      </c>
      <c r="N301" s="69" t="n">
        <f aca="false">IF(OR(C301="",D301=""),"",ROUND((MOD(D301-C301,1)-IF(ISNUMBER(E301),MOD(F301-E301,1),0))*24,2))</f>
        <v>8</v>
      </c>
      <c r="O301" s="5" t="s">
        <v>768</v>
      </c>
      <c r="P301" s="6" t="n">
        <v>46307</v>
      </c>
      <c r="Q301" s="5" t="str">
        <f aca="false">IF(B301&lt;$U$1,"Prior period",IF(B301&gt;$U$2,"Future period","Current period"))</f>
        <v>Current period</v>
      </c>
      <c r="R301" s="5" t="str">
        <f aca="false" t="array" ref="R301:R301">_xlfn.XLOOKUP(A301,TRIM(SUBSTITUTE('worker file'!$A$2:$A$406,_xlfn.UNICHAR(160)," ")),'worker file'!$D$2:$D$406,"Not found")</f>
        <v>TX</v>
      </c>
    </row>
    <row r="302" customFormat="false" ht="15" hidden="false" customHeight="false" outlineLevel="0" collapsed="false">
      <c r="A302" s="5" t="s">
        <v>437</v>
      </c>
      <c r="B302" s="6" t="n">
        <v>46307</v>
      </c>
      <c r="C302" s="62" t="n">
        <v>0.917361111111111</v>
      </c>
      <c r="D302" s="62" t="n">
        <v>0.268055555555556</v>
      </c>
      <c r="E302" s="63" t="n">
        <v>0.0701388888888889</v>
      </c>
      <c r="F302" s="64" t="n">
        <v>0.0909722222222222</v>
      </c>
      <c r="G302" s="65" t="str">
        <f aca="false" t="array" ref="G302:G302">_xlfn.XLOOKUP(A302&amp;"|"&amp;B302,ShiftRoster[Employee ID]&amp;"|"&amp;ShiftRoster[Date],ShiftRoster[Shift Code],_xlfn.XLOOKUP(A302,TRIM(SUBSTITUTE('worker file'!$A$2:$A$406,_xlfn.UNICHAR(160)," ")),'worker file'!$X$2:$X$406,"?"),0,-1)</f>
        <v>NGHT</v>
      </c>
      <c r="H302" s="65" t="str">
        <f aca="false">_xlfn.XLOOKUP(G302,ShiftCodes[Code],ShiftCodes[Work Schedule],"Unknown")</f>
        <v>Shift C – Night (Sun–Thu 22:00–06:30)</v>
      </c>
      <c r="I302" s="66" t="n">
        <f aca="false">_xlfn.XLOOKUP(G302,ShiftCodes[Code],ShiftCodes[Start],"")</f>
        <v>0.916666666666667</v>
      </c>
      <c r="J302" s="67" t="n">
        <f aca="false">IF(OR(C302="",I302=""),"",ROUND((MOD(C302-I302+0.5,1)-0.5)*1440,0))</f>
        <v>1</v>
      </c>
      <c r="K302" s="65" t="str">
        <f aca="false">IF(J302="","",IF(ABS(J302)&gt;$U$3,"Off-schedule","OK"))</f>
        <v>OK</v>
      </c>
      <c r="L302" s="68" t="s">
        <v>789</v>
      </c>
      <c r="M302" s="5" t="str">
        <f aca="false">TEXT(B302,"ddd")</f>
        <v>Mon</v>
      </c>
      <c r="N302" s="69" t="n">
        <f aca="false">IF(OR(C302="",D302=""),"",ROUND((MOD(D302-C302,1)-IF(ISNUMBER(E302),MOD(F302-E302,1),0))*24,2))</f>
        <v>7.92</v>
      </c>
      <c r="O302" s="5" t="s">
        <v>768</v>
      </c>
      <c r="P302" s="6" t="n">
        <v>46308</v>
      </c>
      <c r="Q302" s="5" t="str">
        <f aca="false">IF(B302&lt;$U$1,"Prior period",IF(B302&gt;$U$2,"Future period","Current period"))</f>
        <v>Current period</v>
      </c>
      <c r="R302" s="5" t="str">
        <f aca="false" t="array" ref="R302:R302">_xlfn.XLOOKUP(A302,TRIM(SUBSTITUTE('worker file'!$A$2:$A$406,_xlfn.UNICHAR(160)," ")),'worker file'!$D$2:$D$406,"Not found")</f>
        <v>TX</v>
      </c>
    </row>
    <row r="303" customFormat="false" ht="15" hidden="false" customHeight="false" outlineLevel="0" collapsed="false">
      <c r="A303" s="5" t="s">
        <v>437</v>
      </c>
      <c r="B303" s="6" t="n">
        <v>46308</v>
      </c>
      <c r="C303" s="62" t="n">
        <v>0.913194444444444</v>
      </c>
      <c r="D303" s="62" t="n">
        <v>0.242361111111111</v>
      </c>
      <c r="E303" s="63" t="s">
        <v>774</v>
      </c>
      <c r="F303" s="64" t="s">
        <v>774</v>
      </c>
      <c r="G303" s="65" t="str">
        <f aca="false" t="array" ref="G303:G303">_xlfn.XLOOKUP(A303&amp;"|"&amp;B303,ShiftRoster[Employee ID]&amp;"|"&amp;ShiftRoster[Date],ShiftRoster[Shift Code],_xlfn.XLOOKUP(A303,TRIM(SUBSTITUTE('worker file'!$A$2:$A$406,_xlfn.UNICHAR(160)," ")),'worker file'!$X$2:$X$406,"?"),0,-1)</f>
        <v>NGHT</v>
      </c>
      <c r="H303" s="65" t="str">
        <f aca="false">_xlfn.XLOOKUP(G303,ShiftCodes[Code],ShiftCodes[Work Schedule],"Unknown")</f>
        <v>Shift C – Night (Sun–Thu 22:00–06:30)</v>
      </c>
      <c r="I303" s="66" t="n">
        <f aca="false">_xlfn.XLOOKUP(G303,ShiftCodes[Code],ShiftCodes[Start],"")</f>
        <v>0.916666666666667</v>
      </c>
      <c r="J303" s="67" t="n">
        <f aca="false">IF(OR(C303="",I303=""),"",ROUND((MOD(C303-I303+0.5,1)-0.5)*1440,0))</f>
        <v>-5</v>
      </c>
      <c r="K303" s="65" t="str">
        <f aca="false">IF(J303="","",IF(ABS(J303)&gt;$U$3,"Off-schedule","OK"))</f>
        <v>OK</v>
      </c>
      <c r="L303" s="68" t="s">
        <v>796</v>
      </c>
      <c r="M303" s="5" t="str">
        <f aca="false">TEXT(B303,"ddd")</f>
        <v>Tue</v>
      </c>
      <c r="N303" s="69" t="n">
        <f aca="false">IF(OR(C303="",D303=""),"",ROUND((MOD(D303-C303,1)-IF(ISNUMBER(E303),MOD(F303-E303,1),0))*24,2))</f>
        <v>7.9</v>
      </c>
      <c r="O303" s="5" t="s">
        <v>768</v>
      </c>
      <c r="P303" s="6" t="n">
        <v>46309</v>
      </c>
      <c r="Q303" s="5" t="str">
        <f aca="false">IF(B303&lt;$U$1,"Prior period",IF(B303&gt;$U$2,"Future period","Current period"))</f>
        <v>Current period</v>
      </c>
      <c r="R303" s="5" t="str">
        <f aca="false" t="array" ref="R303:R303">_xlfn.XLOOKUP(A303,TRIM(SUBSTITUTE('worker file'!$A$2:$A$406,_xlfn.UNICHAR(160)," ")),'worker file'!$D$2:$D$406,"Not found")</f>
        <v>TX</v>
      </c>
    </row>
    <row r="304" customFormat="false" ht="15" hidden="false" customHeight="false" outlineLevel="0" collapsed="false">
      <c r="A304" s="5" t="s">
        <v>437</v>
      </c>
      <c r="B304" s="6" t="n">
        <v>46309</v>
      </c>
      <c r="C304" s="62" t="n">
        <v>0.918055555555556</v>
      </c>
      <c r="D304" s="62" t="n">
        <v>0.26875</v>
      </c>
      <c r="E304" s="63" t="n">
        <v>0.0854166666666667</v>
      </c>
      <c r="F304" s="64" t="n">
        <v>0.10625</v>
      </c>
      <c r="G304" s="65" t="str">
        <f aca="false" t="array" ref="G304:G304">_xlfn.XLOOKUP(A304&amp;"|"&amp;B304,ShiftRoster[Employee ID]&amp;"|"&amp;ShiftRoster[Date],ShiftRoster[Shift Code],_xlfn.XLOOKUP(A304,TRIM(SUBSTITUTE('worker file'!$A$2:$A$406,_xlfn.UNICHAR(160)," ")),'worker file'!$X$2:$X$406,"?"),0,-1)</f>
        <v>NGHT</v>
      </c>
      <c r="H304" s="65" t="str">
        <f aca="false">_xlfn.XLOOKUP(G304,ShiftCodes[Code],ShiftCodes[Work Schedule],"Unknown")</f>
        <v>Shift C – Night (Sun–Thu 22:00–06:30)</v>
      </c>
      <c r="I304" s="66" t="n">
        <f aca="false">_xlfn.XLOOKUP(G304,ShiftCodes[Code],ShiftCodes[Start],"")</f>
        <v>0.916666666666667</v>
      </c>
      <c r="J304" s="67" t="n">
        <f aca="false">IF(OR(C304="",I304=""),"",ROUND((MOD(C304-I304+0.5,1)-0.5)*1440,0))</f>
        <v>2</v>
      </c>
      <c r="K304" s="65" t="str">
        <f aca="false">IF(J304="","",IF(ABS(J304)&gt;$U$3,"Off-schedule","OK"))</f>
        <v>OK</v>
      </c>
      <c r="L304" s="68" t="s">
        <v>789</v>
      </c>
      <c r="M304" s="5" t="str">
        <f aca="false">TEXT(B304,"ddd")</f>
        <v>Wed</v>
      </c>
      <c r="N304" s="69" t="n">
        <f aca="false">IF(OR(C304="",D304=""),"",ROUND((MOD(D304-C304,1)-IF(ISNUMBER(E304),MOD(F304-E304,1),0))*24,2))</f>
        <v>7.92</v>
      </c>
      <c r="O304" s="5" t="s">
        <v>768</v>
      </c>
      <c r="P304" s="6" t="n">
        <v>46310</v>
      </c>
      <c r="Q304" s="5" t="str">
        <f aca="false">IF(B304&lt;$U$1,"Prior period",IF(B304&gt;$U$2,"Future period","Current period"))</f>
        <v>Current period</v>
      </c>
      <c r="R304" s="5" t="str">
        <f aca="false" t="array" ref="R304:R304">_xlfn.XLOOKUP(A304,TRIM(SUBSTITUTE('worker file'!$A$2:$A$406,_xlfn.UNICHAR(160)," ")),'worker file'!$D$2:$D$406,"Not found")</f>
        <v>TX</v>
      </c>
    </row>
    <row r="305" customFormat="false" ht="15" hidden="false" customHeight="false" outlineLevel="0" collapsed="false">
      <c r="A305" s="5" t="s">
        <v>437</v>
      </c>
      <c r="B305" s="6" t="n">
        <v>46310</v>
      </c>
      <c r="C305" s="62" t="n">
        <v>0.917361111111111</v>
      </c>
      <c r="D305" s="62" t="n">
        <v>0.269444444444444</v>
      </c>
      <c r="E305" s="63" t="n">
        <v>0.0777777777777778</v>
      </c>
      <c r="F305" s="64" t="n">
        <v>0.0986111111111111</v>
      </c>
      <c r="G305" s="65" t="str">
        <f aca="false" t="array" ref="G305:G305">_xlfn.XLOOKUP(A305&amp;"|"&amp;B305,ShiftRoster[Employee ID]&amp;"|"&amp;ShiftRoster[Date],ShiftRoster[Shift Code],_xlfn.XLOOKUP(A305,TRIM(SUBSTITUTE('worker file'!$A$2:$A$406,_xlfn.UNICHAR(160)," ")),'worker file'!$X$2:$X$406,"?"),0,-1)</f>
        <v>NGHT</v>
      </c>
      <c r="H305" s="65" t="str">
        <f aca="false">_xlfn.XLOOKUP(G305,ShiftCodes[Code],ShiftCodes[Work Schedule],"Unknown")</f>
        <v>Shift C – Night (Sun–Thu 22:00–06:30)</v>
      </c>
      <c r="I305" s="66" t="n">
        <f aca="false">_xlfn.XLOOKUP(G305,ShiftCodes[Code],ShiftCodes[Start],"")</f>
        <v>0.916666666666667</v>
      </c>
      <c r="J305" s="67" t="n">
        <f aca="false">IF(OR(C305="",I305=""),"",ROUND((MOD(C305-I305+0.5,1)-0.5)*1440,0))</f>
        <v>1</v>
      </c>
      <c r="K305" s="65" t="str">
        <f aca="false">IF(J305="","",IF(ABS(J305)&gt;$U$3,"Off-schedule","OK"))</f>
        <v>OK</v>
      </c>
      <c r="L305" s="68" t="s">
        <v>789</v>
      </c>
      <c r="M305" s="5" t="str">
        <f aca="false">TEXT(B305,"ddd")</f>
        <v>Thu</v>
      </c>
      <c r="N305" s="69" t="n">
        <f aca="false">IF(OR(C305="",D305=""),"",ROUND((MOD(D305-C305,1)-IF(ISNUMBER(E305),MOD(F305-E305,1),0))*24,2))</f>
        <v>7.95</v>
      </c>
      <c r="O305" s="5" t="s">
        <v>768</v>
      </c>
      <c r="P305" s="6" t="n">
        <v>46311</v>
      </c>
      <c r="Q305" s="5" t="str">
        <f aca="false">IF(B305&lt;$U$1,"Prior period",IF(B305&gt;$U$2,"Future period","Current period"))</f>
        <v>Current period</v>
      </c>
      <c r="R305" s="5" t="str">
        <f aca="false" t="array" ref="R305:R305">_xlfn.XLOOKUP(A305,TRIM(SUBSTITUTE('worker file'!$A$2:$A$406,_xlfn.UNICHAR(160)," ")),'worker file'!$D$2:$D$406,"Not found")</f>
        <v>TX</v>
      </c>
    </row>
    <row r="306" customFormat="false" ht="15" hidden="false" customHeight="false" outlineLevel="0" collapsed="false">
      <c r="A306" s="5" t="s">
        <v>449</v>
      </c>
      <c r="B306" s="6" t="n">
        <v>46299</v>
      </c>
      <c r="C306" s="62" t="n">
        <v>0.918055555555556</v>
      </c>
      <c r="D306" s="62" t="n">
        <v>0.272222222222222</v>
      </c>
      <c r="E306" s="63" t="n">
        <v>0.103472222222222</v>
      </c>
      <c r="F306" s="64" t="n">
        <v>0.124305555555556</v>
      </c>
      <c r="G306" s="65" t="str">
        <f aca="false" t="array" ref="G306:G306">_xlfn.XLOOKUP(A306&amp;"|"&amp;B306,ShiftRoster[Employee ID]&amp;"|"&amp;ShiftRoster[Date],ShiftRoster[Shift Code],_xlfn.XLOOKUP(A306,TRIM(SUBSTITUTE('worker file'!$A$2:$A$406,_xlfn.UNICHAR(160)," ")),'worker file'!$X$2:$X$406,"?"),0,-1)</f>
        <v>NGHT</v>
      </c>
      <c r="H306" s="65" t="str">
        <f aca="false">_xlfn.XLOOKUP(G306,ShiftCodes[Code],ShiftCodes[Work Schedule],"Unknown")</f>
        <v>Shift C – Night (Sun–Thu 22:00–06:30)</v>
      </c>
      <c r="I306" s="66" t="n">
        <f aca="false">_xlfn.XLOOKUP(G306,ShiftCodes[Code],ShiftCodes[Start],"")</f>
        <v>0.916666666666667</v>
      </c>
      <c r="J306" s="67" t="n">
        <f aca="false">IF(OR(C306="",I306=""),"",ROUND((MOD(C306-I306+0.5,1)-0.5)*1440,0))</f>
        <v>2</v>
      </c>
      <c r="K306" s="65" t="str">
        <f aca="false">IF(J306="","",IF(ABS(J306)&gt;$U$3,"Off-schedule","OK"))</f>
        <v>OK</v>
      </c>
      <c r="L306" s="68" t="s">
        <v>789</v>
      </c>
      <c r="M306" s="5" t="str">
        <f aca="false">TEXT(B306,"ddd")</f>
        <v>Sun</v>
      </c>
      <c r="N306" s="69" t="n">
        <f aca="false">IF(OR(C306="",D306=""),"",ROUND((MOD(D306-C306,1)-IF(ISNUMBER(E306),MOD(F306-E306,1),0))*24,2))</f>
        <v>8</v>
      </c>
      <c r="O306" s="5" t="s">
        <v>768</v>
      </c>
      <c r="P306" s="6" t="n">
        <v>46300</v>
      </c>
      <c r="Q306" s="5" t="str">
        <f aca="false">IF(B306&lt;$U$1,"Prior period",IF(B306&gt;$U$2,"Future period","Current period"))</f>
        <v>Current period</v>
      </c>
      <c r="R306" s="5" t="str">
        <f aca="false" t="array" ref="R306:R306">_xlfn.XLOOKUP(A306,TRIM(SUBSTITUTE('worker file'!$A$2:$A$406,_xlfn.UNICHAR(160)," ")),'worker file'!$D$2:$D$406,"Not found")</f>
        <v>TX</v>
      </c>
    </row>
    <row r="307" customFormat="false" ht="15" hidden="false" customHeight="false" outlineLevel="0" collapsed="false">
      <c r="A307" s="5" t="s">
        <v>449</v>
      </c>
      <c r="B307" s="6" t="n">
        <v>46300</v>
      </c>
      <c r="C307" s="62" t="n">
        <v>0.9125</v>
      </c>
      <c r="D307" s="62" t="n">
        <v>0.2625</v>
      </c>
      <c r="E307" s="63" t="n">
        <v>0.0590277777777778</v>
      </c>
      <c r="F307" s="64" t="n">
        <v>0.0798611111111111</v>
      </c>
      <c r="G307" s="65" t="str">
        <f aca="false" t="array" ref="G307:G307">_xlfn.XLOOKUP(A307&amp;"|"&amp;B307,ShiftRoster[Employee ID]&amp;"|"&amp;ShiftRoster[Date],ShiftRoster[Shift Code],_xlfn.XLOOKUP(A307,TRIM(SUBSTITUTE('worker file'!$A$2:$A$406,_xlfn.UNICHAR(160)," ")),'worker file'!$X$2:$X$406,"?"),0,-1)</f>
        <v>NGHT</v>
      </c>
      <c r="H307" s="65" t="str">
        <f aca="false">_xlfn.XLOOKUP(G307,ShiftCodes[Code],ShiftCodes[Work Schedule],"Unknown")</f>
        <v>Shift C – Night (Sun–Thu 22:00–06:30)</v>
      </c>
      <c r="I307" s="66" t="n">
        <f aca="false">_xlfn.XLOOKUP(G307,ShiftCodes[Code],ShiftCodes[Start],"")</f>
        <v>0.916666666666667</v>
      </c>
      <c r="J307" s="67" t="n">
        <f aca="false">IF(OR(C307="",I307=""),"",ROUND((MOD(C307-I307+0.5,1)-0.5)*1440,0))</f>
        <v>-6</v>
      </c>
      <c r="K307" s="65" t="str">
        <f aca="false">IF(J307="","",IF(ABS(J307)&gt;$U$3,"Off-schedule","OK"))</f>
        <v>OK</v>
      </c>
      <c r="L307" s="68" t="s">
        <v>789</v>
      </c>
      <c r="M307" s="5" t="str">
        <f aca="false">TEXT(B307,"ddd")</f>
        <v>Mon</v>
      </c>
      <c r="N307" s="69" t="n">
        <f aca="false">IF(OR(C307="",D307=""),"",ROUND((MOD(D307-C307,1)-IF(ISNUMBER(E307),MOD(F307-E307,1),0))*24,2))</f>
        <v>7.9</v>
      </c>
      <c r="O307" s="5" t="s">
        <v>768</v>
      </c>
      <c r="P307" s="6" t="n">
        <v>46301</v>
      </c>
      <c r="Q307" s="5" t="str">
        <f aca="false">IF(B307&lt;$U$1,"Prior period",IF(B307&gt;$U$2,"Future period","Current period"))</f>
        <v>Current period</v>
      </c>
      <c r="R307" s="5" t="str">
        <f aca="false" t="array" ref="R307:R307">_xlfn.XLOOKUP(A307,TRIM(SUBSTITUTE('worker file'!$A$2:$A$406,_xlfn.UNICHAR(160)," ")),'worker file'!$D$2:$D$406,"Not found")</f>
        <v>TX</v>
      </c>
    </row>
    <row r="308" customFormat="false" ht="15" hidden="false" customHeight="false" outlineLevel="0" collapsed="false">
      <c r="A308" s="5" t="s">
        <v>449</v>
      </c>
      <c r="B308" s="6" t="n">
        <v>46301</v>
      </c>
      <c r="C308" s="62" t="n">
        <v>0.915972222222222</v>
      </c>
      <c r="D308" s="62" t="n">
        <v>0.265972222222222</v>
      </c>
      <c r="E308" s="63" t="n">
        <v>0.0833333333333333</v>
      </c>
      <c r="F308" s="64" t="n">
        <v>0.104166666666667</v>
      </c>
      <c r="G308" s="65" t="str">
        <f aca="false" t="array" ref="G308:G308">_xlfn.XLOOKUP(A308&amp;"|"&amp;B308,ShiftRoster[Employee ID]&amp;"|"&amp;ShiftRoster[Date],ShiftRoster[Shift Code],_xlfn.XLOOKUP(A308,TRIM(SUBSTITUTE('worker file'!$A$2:$A$406,_xlfn.UNICHAR(160)," ")),'worker file'!$X$2:$X$406,"?"),0,-1)</f>
        <v>NGHT</v>
      </c>
      <c r="H308" s="65" t="str">
        <f aca="false">_xlfn.XLOOKUP(G308,ShiftCodes[Code],ShiftCodes[Work Schedule],"Unknown")</f>
        <v>Shift C – Night (Sun–Thu 22:00–06:30)</v>
      </c>
      <c r="I308" s="66" t="n">
        <f aca="false">_xlfn.XLOOKUP(G308,ShiftCodes[Code],ShiftCodes[Start],"")</f>
        <v>0.916666666666667</v>
      </c>
      <c r="J308" s="67" t="n">
        <f aca="false">IF(OR(C308="",I308=""),"",ROUND((MOD(C308-I308+0.5,1)-0.5)*1440,0))</f>
        <v>-1</v>
      </c>
      <c r="K308" s="65" t="str">
        <f aca="false">IF(J308="","",IF(ABS(J308)&gt;$U$3,"Off-schedule","OK"))</f>
        <v>OK</v>
      </c>
      <c r="L308" s="68" t="s">
        <v>789</v>
      </c>
      <c r="M308" s="5" t="str">
        <f aca="false">TEXT(B308,"ddd")</f>
        <v>Tue</v>
      </c>
      <c r="N308" s="69" t="n">
        <f aca="false">IF(OR(C308="",D308=""),"",ROUND((MOD(D308-C308,1)-IF(ISNUMBER(E308),MOD(F308-E308,1),0))*24,2))</f>
        <v>7.9</v>
      </c>
      <c r="O308" s="5" t="s">
        <v>768</v>
      </c>
      <c r="P308" s="6" t="n">
        <v>46302</v>
      </c>
      <c r="Q308" s="5" t="str">
        <f aca="false">IF(B308&lt;$U$1,"Prior period",IF(B308&gt;$U$2,"Future period","Current period"))</f>
        <v>Current period</v>
      </c>
      <c r="R308" s="5" t="str">
        <f aca="false" t="array" ref="R308:R308">_xlfn.XLOOKUP(A308,TRIM(SUBSTITUTE('worker file'!$A$2:$A$406,_xlfn.UNICHAR(160)," ")),'worker file'!$D$2:$D$406,"Not found")</f>
        <v>TX</v>
      </c>
    </row>
    <row r="309" customFormat="false" ht="15" hidden="false" customHeight="false" outlineLevel="0" collapsed="false">
      <c r="A309" s="5" t="s">
        <v>449</v>
      </c>
      <c r="B309" s="6" t="n">
        <v>46302</v>
      </c>
      <c r="C309" s="62" t="n">
        <v>0.913194444444444</v>
      </c>
      <c r="D309" s="62" t="n">
        <v>0.264583333333333</v>
      </c>
      <c r="E309" s="63" t="n">
        <v>0.08125</v>
      </c>
      <c r="F309" s="64" t="n">
        <v>0.102083333333333</v>
      </c>
      <c r="G309" s="65" t="str">
        <f aca="false" t="array" ref="G309:G309">_xlfn.XLOOKUP(A309&amp;"|"&amp;B309,ShiftRoster[Employee ID]&amp;"|"&amp;ShiftRoster[Date],ShiftRoster[Shift Code],_xlfn.XLOOKUP(A309,TRIM(SUBSTITUTE('worker file'!$A$2:$A$406,_xlfn.UNICHAR(160)," ")),'worker file'!$X$2:$X$406,"?"),0,-1)</f>
        <v>NGHT</v>
      </c>
      <c r="H309" s="65" t="str">
        <f aca="false">_xlfn.XLOOKUP(G309,ShiftCodes[Code],ShiftCodes[Work Schedule],"Unknown")</f>
        <v>Shift C – Night (Sun–Thu 22:00–06:30)</v>
      </c>
      <c r="I309" s="66" t="n">
        <f aca="false">_xlfn.XLOOKUP(G309,ShiftCodes[Code],ShiftCodes[Start],"")</f>
        <v>0.916666666666667</v>
      </c>
      <c r="J309" s="67" t="n">
        <f aca="false">IF(OR(C309="",I309=""),"",ROUND((MOD(C309-I309+0.5,1)-0.5)*1440,0))</f>
        <v>-5</v>
      </c>
      <c r="K309" s="65" t="str">
        <f aca="false">IF(J309="","",IF(ABS(J309)&gt;$U$3,"Off-schedule","OK"))</f>
        <v>OK</v>
      </c>
      <c r="L309" s="68" t="s">
        <v>789</v>
      </c>
      <c r="M309" s="5" t="str">
        <f aca="false">TEXT(B309,"ddd")</f>
        <v>Wed</v>
      </c>
      <c r="N309" s="69" t="n">
        <f aca="false">IF(OR(C309="",D309=""),"",ROUND((MOD(D309-C309,1)-IF(ISNUMBER(E309),MOD(F309-E309,1),0))*24,2))</f>
        <v>7.93</v>
      </c>
      <c r="O309" s="5" t="s">
        <v>768</v>
      </c>
      <c r="P309" s="6" t="n">
        <v>46303</v>
      </c>
      <c r="Q309" s="5" t="str">
        <f aca="false">IF(B309&lt;$U$1,"Prior period",IF(B309&gt;$U$2,"Future period","Current period"))</f>
        <v>Current period</v>
      </c>
      <c r="R309" s="5" t="str">
        <f aca="false" t="array" ref="R309:R309">_xlfn.XLOOKUP(A309,TRIM(SUBSTITUTE('worker file'!$A$2:$A$406,_xlfn.UNICHAR(160)," ")),'worker file'!$D$2:$D$406,"Not found")</f>
        <v>TX</v>
      </c>
    </row>
    <row r="310" customFormat="false" ht="15" hidden="false" customHeight="false" outlineLevel="0" collapsed="false">
      <c r="A310" s="5" t="s">
        <v>449</v>
      </c>
      <c r="B310" s="6" t="n">
        <v>46303</v>
      </c>
      <c r="C310" s="62" t="n">
        <v>0.917361111111111</v>
      </c>
      <c r="D310" s="62" t="n">
        <v>0.268055555555556</v>
      </c>
      <c r="E310" s="63" t="n">
        <v>0.0972222222222222</v>
      </c>
      <c r="F310" s="64" t="n">
        <v>0.118055555555556</v>
      </c>
      <c r="G310" s="65" t="str">
        <f aca="false" t="array" ref="G310:G310">_xlfn.XLOOKUP(A310&amp;"|"&amp;B310,ShiftRoster[Employee ID]&amp;"|"&amp;ShiftRoster[Date],ShiftRoster[Shift Code],_xlfn.XLOOKUP(A310,TRIM(SUBSTITUTE('worker file'!$A$2:$A$406,_xlfn.UNICHAR(160)," ")),'worker file'!$X$2:$X$406,"?"),0,-1)</f>
        <v>NGHT</v>
      </c>
      <c r="H310" s="65" t="str">
        <f aca="false">_xlfn.XLOOKUP(G310,ShiftCodes[Code],ShiftCodes[Work Schedule],"Unknown")</f>
        <v>Shift C – Night (Sun–Thu 22:00–06:30)</v>
      </c>
      <c r="I310" s="66" t="n">
        <f aca="false">_xlfn.XLOOKUP(G310,ShiftCodes[Code],ShiftCodes[Start],"")</f>
        <v>0.916666666666667</v>
      </c>
      <c r="J310" s="67" t="n">
        <f aca="false">IF(OR(C310="",I310=""),"",ROUND((MOD(C310-I310+0.5,1)-0.5)*1440,0))</f>
        <v>1</v>
      </c>
      <c r="K310" s="65" t="str">
        <f aca="false">IF(J310="","",IF(ABS(J310)&gt;$U$3,"Off-schedule","OK"))</f>
        <v>OK</v>
      </c>
      <c r="L310" s="68" t="s">
        <v>789</v>
      </c>
      <c r="M310" s="5" t="str">
        <f aca="false">TEXT(B310,"ddd")</f>
        <v>Thu</v>
      </c>
      <c r="N310" s="69" t="n">
        <f aca="false">IF(OR(C310="",D310=""),"",ROUND((MOD(D310-C310,1)-IF(ISNUMBER(E310),MOD(F310-E310,1),0))*24,2))</f>
        <v>7.92</v>
      </c>
      <c r="O310" s="5" t="s">
        <v>768</v>
      </c>
      <c r="P310" s="6" t="n">
        <v>46304</v>
      </c>
      <c r="Q310" s="5" t="str">
        <f aca="false">IF(B310&lt;$U$1,"Prior period",IF(B310&gt;$U$2,"Future period","Current period"))</f>
        <v>Current period</v>
      </c>
      <c r="R310" s="5" t="str">
        <f aca="false" t="array" ref="R310:R310">_xlfn.XLOOKUP(A310,TRIM(SUBSTITUTE('worker file'!$A$2:$A$406,_xlfn.UNICHAR(160)," ")),'worker file'!$D$2:$D$406,"Not found")</f>
        <v>TX</v>
      </c>
    </row>
    <row r="311" customFormat="false" ht="15" hidden="false" customHeight="false" outlineLevel="0" collapsed="false">
      <c r="A311" s="5" t="s">
        <v>449</v>
      </c>
      <c r="B311" s="6" t="n">
        <v>46306</v>
      </c>
      <c r="C311" s="62" t="n">
        <v>0.919444444444444</v>
      </c>
      <c r="D311" s="62" t="n">
        <v>0.273611111111111</v>
      </c>
      <c r="E311" s="63" t="n">
        <v>0.10625</v>
      </c>
      <c r="F311" s="64" t="n">
        <v>0.127083333333333</v>
      </c>
      <c r="G311" s="65" t="str">
        <f aca="false" t="array" ref="G311:G311">_xlfn.XLOOKUP(A311&amp;"|"&amp;B311,ShiftRoster[Employee ID]&amp;"|"&amp;ShiftRoster[Date],ShiftRoster[Shift Code],_xlfn.XLOOKUP(A311,TRIM(SUBSTITUTE('worker file'!$A$2:$A$406,_xlfn.UNICHAR(160)," ")),'worker file'!$X$2:$X$406,"?"),0,-1)</f>
        <v>NGHT</v>
      </c>
      <c r="H311" s="65" t="str">
        <f aca="false">_xlfn.XLOOKUP(G311,ShiftCodes[Code],ShiftCodes[Work Schedule],"Unknown")</f>
        <v>Shift C – Night (Sun–Thu 22:00–06:30)</v>
      </c>
      <c r="I311" s="66" t="n">
        <f aca="false">_xlfn.XLOOKUP(G311,ShiftCodes[Code],ShiftCodes[Start],"")</f>
        <v>0.916666666666667</v>
      </c>
      <c r="J311" s="67" t="n">
        <f aca="false">IF(OR(C311="",I311=""),"",ROUND((MOD(C311-I311+0.5,1)-0.5)*1440,0))</f>
        <v>4</v>
      </c>
      <c r="K311" s="65" t="str">
        <f aca="false">IF(J311="","",IF(ABS(J311)&gt;$U$3,"Off-schedule","OK"))</f>
        <v>OK</v>
      </c>
      <c r="L311" s="68" t="s">
        <v>789</v>
      </c>
      <c r="M311" s="5" t="str">
        <f aca="false">TEXT(B311,"ddd")</f>
        <v>Sun</v>
      </c>
      <c r="N311" s="69" t="n">
        <f aca="false">IF(OR(C311="",D311=""),"",ROUND((MOD(D311-C311,1)-IF(ISNUMBER(E311),MOD(F311-E311,1),0))*24,2))</f>
        <v>8</v>
      </c>
      <c r="O311" s="5" t="s">
        <v>768</v>
      </c>
      <c r="P311" s="6" t="n">
        <v>46307</v>
      </c>
      <c r="Q311" s="5" t="str">
        <f aca="false">IF(B311&lt;$U$1,"Prior period",IF(B311&gt;$U$2,"Future period","Current period"))</f>
        <v>Current period</v>
      </c>
      <c r="R311" s="5" t="str">
        <f aca="false" t="array" ref="R311:R311">_xlfn.XLOOKUP(A311,TRIM(SUBSTITUTE('worker file'!$A$2:$A$406,_xlfn.UNICHAR(160)," ")),'worker file'!$D$2:$D$406,"Not found")</f>
        <v>TX</v>
      </c>
    </row>
    <row r="312" customFormat="false" ht="15" hidden="false" customHeight="false" outlineLevel="0" collapsed="false">
      <c r="A312" s="5" t="s">
        <v>449</v>
      </c>
      <c r="B312" s="6" t="n">
        <v>46307</v>
      </c>
      <c r="C312" s="62" t="n">
        <v>0.915277777777778</v>
      </c>
      <c r="D312" s="62" t="n">
        <v>0.269444444444444</v>
      </c>
      <c r="E312" s="63" t="n">
        <v>0.0819444444444444</v>
      </c>
      <c r="F312" s="64" t="n">
        <v>0.102777777777778</v>
      </c>
      <c r="G312" s="65" t="str">
        <f aca="false" t="array" ref="G312:G312">_xlfn.XLOOKUP(A312&amp;"|"&amp;B312,ShiftRoster[Employee ID]&amp;"|"&amp;ShiftRoster[Date],ShiftRoster[Shift Code],_xlfn.XLOOKUP(A312,TRIM(SUBSTITUTE('worker file'!$A$2:$A$406,_xlfn.UNICHAR(160)," ")),'worker file'!$X$2:$X$406,"?"),0,-1)</f>
        <v>NGHT</v>
      </c>
      <c r="H312" s="65" t="str">
        <f aca="false">_xlfn.XLOOKUP(G312,ShiftCodes[Code],ShiftCodes[Work Schedule],"Unknown")</f>
        <v>Shift C – Night (Sun–Thu 22:00–06:30)</v>
      </c>
      <c r="I312" s="66" t="n">
        <f aca="false">_xlfn.XLOOKUP(G312,ShiftCodes[Code],ShiftCodes[Start],"")</f>
        <v>0.916666666666667</v>
      </c>
      <c r="J312" s="67" t="n">
        <f aca="false">IF(OR(C312="",I312=""),"",ROUND((MOD(C312-I312+0.5,1)-0.5)*1440,0))</f>
        <v>-2</v>
      </c>
      <c r="K312" s="65" t="str">
        <f aca="false">IF(J312="","",IF(ABS(J312)&gt;$U$3,"Off-schedule","OK"))</f>
        <v>OK</v>
      </c>
      <c r="L312" s="68" t="s">
        <v>789</v>
      </c>
      <c r="M312" s="5" t="str">
        <f aca="false">TEXT(B312,"ddd")</f>
        <v>Mon</v>
      </c>
      <c r="N312" s="69" t="n">
        <f aca="false">IF(OR(C312="",D312=""),"",ROUND((MOD(D312-C312,1)-IF(ISNUMBER(E312),MOD(F312-E312,1),0))*24,2))</f>
        <v>8</v>
      </c>
      <c r="O312" s="5" t="s">
        <v>768</v>
      </c>
      <c r="P312" s="6" t="n">
        <v>46308</v>
      </c>
      <c r="Q312" s="5" t="str">
        <f aca="false">IF(B312&lt;$U$1,"Prior period",IF(B312&gt;$U$2,"Future period","Current period"))</f>
        <v>Current period</v>
      </c>
      <c r="R312" s="5" t="str">
        <f aca="false" t="array" ref="R312:R312">_xlfn.XLOOKUP(A312,TRIM(SUBSTITUTE('worker file'!$A$2:$A$406,_xlfn.UNICHAR(160)," ")),'worker file'!$D$2:$D$406,"Not found")</f>
        <v>TX</v>
      </c>
    </row>
    <row r="313" customFormat="false" ht="15" hidden="false" customHeight="false" outlineLevel="0" collapsed="false">
      <c r="A313" s="5" t="s">
        <v>449</v>
      </c>
      <c r="B313" s="6" t="n">
        <v>46308</v>
      </c>
      <c r="C313" s="62" t="n">
        <v>0.918055555555556</v>
      </c>
      <c r="D313" s="62" t="n">
        <v>0.272222222222222</v>
      </c>
      <c r="E313" s="63" t="n">
        <v>0.0993055555555556</v>
      </c>
      <c r="F313" s="64" t="n">
        <v>0.120138888888889</v>
      </c>
      <c r="G313" s="65" t="str">
        <f aca="false" t="array" ref="G313:G313">_xlfn.XLOOKUP(A313&amp;"|"&amp;B313,ShiftRoster[Employee ID]&amp;"|"&amp;ShiftRoster[Date],ShiftRoster[Shift Code],_xlfn.XLOOKUP(A313,TRIM(SUBSTITUTE('worker file'!$A$2:$A$406,_xlfn.UNICHAR(160)," ")),'worker file'!$X$2:$X$406,"?"),0,-1)</f>
        <v>NGHT</v>
      </c>
      <c r="H313" s="65" t="str">
        <f aca="false">_xlfn.XLOOKUP(G313,ShiftCodes[Code],ShiftCodes[Work Schedule],"Unknown")</f>
        <v>Shift C – Night (Sun–Thu 22:00–06:30)</v>
      </c>
      <c r="I313" s="66" t="n">
        <f aca="false">_xlfn.XLOOKUP(G313,ShiftCodes[Code],ShiftCodes[Start],"")</f>
        <v>0.916666666666667</v>
      </c>
      <c r="J313" s="67" t="n">
        <f aca="false">IF(OR(C313="",I313=""),"",ROUND((MOD(C313-I313+0.5,1)-0.5)*1440,0))</f>
        <v>2</v>
      </c>
      <c r="K313" s="65" t="str">
        <f aca="false">IF(J313="","",IF(ABS(J313)&gt;$U$3,"Off-schedule","OK"))</f>
        <v>OK</v>
      </c>
      <c r="L313" s="68" t="s">
        <v>789</v>
      </c>
      <c r="M313" s="5" t="str">
        <f aca="false">TEXT(B313,"ddd")</f>
        <v>Tue</v>
      </c>
      <c r="N313" s="69" t="n">
        <f aca="false">IF(OR(C313="",D313=""),"",ROUND((MOD(D313-C313,1)-IF(ISNUMBER(E313),MOD(F313-E313,1),0))*24,2))</f>
        <v>8</v>
      </c>
      <c r="O313" s="5" t="s">
        <v>768</v>
      </c>
      <c r="P313" s="6" t="n">
        <v>46309</v>
      </c>
      <c r="Q313" s="5" t="str">
        <f aca="false">IF(B313&lt;$U$1,"Prior period",IF(B313&gt;$U$2,"Future period","Current period"))</f>
        <v>Current period</v>
      </c>
      <c r="R313" s="5" t="str">
        <f aca="false" t="array" ref="R313:R313">_xlfn.XLOOKUP(A313,TRIM(SUBSTITUTE('worker file'!$A$2:$A$406,_xlfn.UNICHAR(160)," ")),'worker file'!$D$2:$D$406,"Not found")</f>
        <v>TX</v>
      </c>
    </row>
    <row r="314" customFormat="false" ht="15" hidden="false" customHeight="false" outlineLevel="0" collapsed="false">
      <c r="A314" s="5" t="s">
        <v>449</v>
      </c>
      <c r="B314" s="6" t="n">
        <v>46309</v>
      </c>
      <c r="C314" s="62" t="n">
        <v>0.914583333333333</v>
      </c>
      <c r="D314" s="62" t="n">
        <v>0.265972222222222</v>
      </c>
      <c r="E314" s="63" t="n">
        <v>0.0819444444444444</v>
      </c>
      <c r="F314" s="64" t="n">
        <v>0.102777777777778</v>
      </c>
      <c r="G314" s="65" t="str">
        <f aca="false" t="array" ref="G314:G314">_xlfn.XLOOKUP(A314&amp;"|"&amp;B314,ShiftRoster[Employee ID]&amp;"|"&amp;ShiftRoster[Date],ShiftRoster[Shift Code],_xlfn.XLOOKUP(A314,TRIM(SUBSTITUTE('worker file'!$A$2:$A$406,_xlfn.UNICHAR(160)," ")),'worker file'!$X$2:$X$406,"?"),0,-1)</f>
        <v>NGHT</v>
      </c>
      <c r="H314" s="65" t="str">
        <f aca="false">_xlfn.XLOOKUP(G314,ShiftCodes[Code],ShiftCodes[Work Schedule],"Unknown")</f>
        <v>Shift C – Night (Sun–Thu 22:00–06:30)</v>
      </c>
      <c r="I314" s="66" t="n">
        <f aca="false">_xlfn.XLOOKUP(G314,ShiftCodes[Code],ShiftCodes[Start],"")</f>
        <v>0.916666666666667</v>
      </c>
      <c r="J314" s="67" t="n">
        <f aca="false">IF(OR(C314="",I314=""),"",ROUND((MOD(C314-I314+0.5,1)-0.5)*1440,0))</f>
        <v>-3</v>
      </c>
      <c r="K314" s="65" t="str">
        <f aca="false">IF(J314="","",IF(ABS(J314)&gt;$U$3,"Off-schedule","OK"))</f>
        <v>OK</v>
      </c>
      <c r="L314" s="68" t="s">
        <v>789</v>
      </c>
      <c r="M314" s="5" t="str">
        <f aca="false">TEXT(B314,"ddd")</f>
        <v>Wed</v>
      </c>
      <c r="N314" s="69" t="n">
        <f aca="false">IF(OR(C314="",D314=""),"",ROUND((MOD(D314-C314,1)-IF(ISNUMBER(E314),MOD(F314-E314,1),0))*24,2))</f>
        <v>7.93</v>
      </c>
      <c r="O314" s="5" t="s">
        <v>768</v>
      </c>
      <c r="P314" s="6" t="n">
        <v>46310</v>
      </c>
      <c r="Q314" s="5" t="str">
        <f aca="false">IF(B314&lt;$U$1,"Prior period",IF(B314&gt;$U$2,"Future period","Current period"))</f>
        <v>Current period</v>
      </c>
      <c r="R314" s="5" t="str">
        <f aca="false" t="array" ref="R314:R314">_xlfn.XLOOKUP(A314,TRIM(SUBSTITUTE('worker file'!$A$2:$A$406,_xlfn.UNICHAR(160)," ")),'worker file'!$D$2:$D$406,"Not found")</f>
        <v>TX</v>
      </c>
    </row>
    <row r="315" customFormat="false" ht="15" hidden="false" customHeight="false" outlineLevel="0" collapsed="false">
      <c r="A315" s="5" t="s">
        <v>449</v>
      </c>
      <c r="B315" s="6" t="n">
        <v>46310</v>
      </c>
      <c r="C315" s="62" t="n">
        <v>0.917361111111111</v>
      </c>
      <c r="D315" s="62" t="n">
        <v>0.269444444444444</v>
      </c>
      <c r="E315" s="63" t="n">
        <v>0.0895833333333333</v>
      </c>
      <c r="F315" s="64" t="n">
        <v>0.110416666666667</v>
      </c>
      <c r="G315" s="65" t="str">
        <f aca="false" t="array" ref="G315:G315">_xlfn.XLOOKUP(A315&amp;"|"&amp;B315,ShiftRoster[Employee ID]&amp;"|"&amp;ShiftRoster[Date],ShiftRoster[Shift Code],_xlfn.XLOOKUP(A315,TRIM(SUBSTITUTE('worker file'!$A$2:$A$406,_xlfn.UNICHAR(160)," ")),'worker file'!$X$2:$X$406,"?"),0,-1)</f>
        <v>NGHT</v>
      </c>
      <c r="H315" s="65" t="str">
        <f aca="false">_xlfn.XLOOKUP(G315,ShiftCodes[Code],ShiftCodes[Work Schedule],"Unknown")</f>
        <v>Shift C – Night (Sun–Thu 22:00–06:30)</v>
      </c>
      <c r="I315" s="66" t="n">
        <f aca="false">_xlfn.XLOOKUP(G315,ShiftCodes[Code],ShiftCodes[Start],"")</f>
        <v>0.916666666666667</v>
      </c>
      <c r="J315" s="67" t="n">
        <f aca="false">IF(OR(C315="",I315=""),"",ROUND((MOD(C315-I315+0.5,1)-0.5)*1440,0))</f>
        <v>1</v>
      </c>
      <c r="K315" s="65" t="str">
        <f aca="false">IF(J315="","",IF(ABS(J315)&gt;$U$3,"Off-schedule","OK"))</f>
        <v>OK</v>
      </c>
      <c r="L315" s="68" t="s">
        <v>789</v>
      </c>
      <c r="M315" s="5" t="str">
        <f aca="false">TEXT(B315,"ddd")</f>
        <v>Thu</v>
      </c>
      <c r="N315" s="69" t="n">
        <f aca="false">IF(OR(C315="",D315=""),"",ROUND((MOD(D315-C315,1)-IF(ISNUMBER(E315),MOD(F315-E315,1),0))*24,2))</f>
        <v>7.95</v>
      </c>
      <c r="O315" s="5" t="s">
        <v>768</v>
      </c>
      <c r="P315" s="6" t="n">
        <v>46311</v>
      </c>
      <c r="Q315" s="5" t="str">
        <f aca="false">IF(B315&lt;$U$1,"Prior period",IF(B315&gt;$U$2,"Future period","Current period"))</f>
        <v>Current period</v>
      </c>
      <c r="R315" s="5" t="str">
        <f aca="false" t="array" ref="R315:R315">_xlfn.XLOOKUP(A315,TRIM(SUBSTITUTE('worker file'!$A$2:$A$406,_xlfn.UNICHAR(160)," ")),'worker file'!$D$2:$D$406,"Not found")</f>
        <v>TX</v>
      </c>
    </row>
    <row r="316" customFormat="false" ht="15" hidden="false" customHeight="false" outlineLevel="0" collapsed="false">
      <c r="A316" s="5" t="s">
        <v>452</v>
      </c>
      <c r="B316" s="6" t="n">
        <v>46300</v>
      </c>
      <c r="C316" s="62" t="n">
        <v>0.58125</v>
      </c>
      <c r="D316" s="62" t="n">
        <v>0.931944444444445</v>
      </c>
      <c r="E316" s="63" t="n">
        <v>0.75625</v>
      </c>
      <c r="F316" s="64" t="n">
        <v>0.777083333333333</v>
      </c>
      <c r="G316" s="65" t="str">
        <f aca="false" t="array" ref="G316:G316">_xlfn.XLOOKUP(A316&amp;"|"&amp;B316,ShiftRoster[Employee ID]&amp;"|"&amp;ShiftRoster[Date],ShiftRoster[Shift Code],_xlfn.XLOOKUP(A316,TRIM(SUBSTITUTE('worker file'!$A$2:$A$406,_xlfn.UNICHAR(160)," ")),'worker file'!$X$2:$X$406,"?"),0,-1)</f>
        <v>SWNG</v>
      </c>
      <c r="H316" s="65" t="str">
        <f aca="false">_xlfn.XLOOKUP(G316,ShiftCodes[Code],ShiftCodes[Work Schedule],"Unknown")</f>
        <v>Shift B – Swing (Mon–Fri 14:00–22:30)</v>
      </c>
      <c r="I316" s="66" t="n">
        <f aca="false">_xlfn.XLOOKUP(G316,ShiftCodes[Code],ShiftCodes[Start],"")</f>
        <v>0.583333333333333</v>
      </c>
      <c r="J316" s="67" t="n">
        <f aca="false">IF(OR(C316="",I316=""),"",ROUND((MOD(C316-I316+0.5,1)-0.5)*1440,0))</f>
        <v>-3</v>
      </c>
      <c r="K316" s="65" t="str">
        <f aca="false">IF(J316="","",IF(ABS(J316)&gt;$U$3,"Off-schedule","OK"))</f>
        <v>OK</v>
      </c>
      <c r="L316" s="68"/>
      <c r="M316" s="5" t="str">
        <f aca="false">TEXT(B316,"ddd")</f>
        <v>Mon</v>
      </c>
      <c r="N316" s="69" t="n">
        <f aca="false">IF(OR(C316="",D316=""),"",ROUND((MOD(D316-C316,1)-IF(ISNUMBER(E316),MOD(F316-E316,1),0))*24,2))</f>
        <v>7.92</v>
      </c>
      <c r="O316" s="5" t="s">
        <v>768</v>
      </c>
      <c r="P316" s="6" t="n">
        <v>46300</v>
      </c>
      <c r="Q316" s="5" t="str">
        <f aca="false">IF(B316&lt;$U$1,"Prior period",IF(B316&gt;$U$2,"Future period","Current period"))</f>
        <v>Current period</v>
      </c>
      <c r="R316" s="5" t="str">
        <f aca="false" t="array" ref="R316:R316">_xlfn.XLOOKUP(A316,TRIM(SUBSTITUTE('worker file'!$A$2:$A$406,_xlfn.UNICHAR(160)," ")),'worker file'!$D$2:$D$406,"Not found")</f>
        <v>TX</v>
      </c>
    </row>
    <row r="317" customFormat="false" ht="15" hidden="false" customHeight="false" outlineLevel="0" collapsed="false">
      <c r="A317" s="5" t="s">
        <v>452</v>
      </c>
      <c r="B317" s="6" t="n">
        <v>46301</v>
      </c>
      <c r="C317" s="62" t="n">
        <v>0.584722222222222</v>
      </c>
      <c r="D317" s="62" t="n">
        <v>0.936111111111111</v>
      </c>
      <c r="E317" s="63" t="n">
        <v>0.7375</v>
      </c>
      <c r="F317" s="64" t="n">
        <v>0.758333333333333</v>
      </c>
      <c r="G317" s="65" t="str">
        <f aca="false" t="array" ref="G317:G317">_xlfn.XLOOKUP(A317&amp;"|"&amp;B317,ShiftRoster[Employee ID]&amp;"|"&amp;ShiftRoster[Date],ShiftRoster[Shift Code],_xlfn.XLOOKUP(A317,TRIM(SUBSTITUTE('worker file'!$A$2:$A$406,_xlfn.UNICHAR(160)," ")),'worker file'!$X$2:$X$406,"?"),0,-1)</f>
        <v>SWNG</v>
      </c>
      <c r="H317" s="65" t="str">
        <f aca="false">_xlfn.XLOOKUP(G317,ShiftCodes[Code],ShiftCodes[Work Schedule],"Unknown")</f>
        <v>Shift B – Swing (Mon–Fri 14:00–22:30)</v>
      </c>
      <c r="I317" s="66" t="n">
        <f aca="false">_xlfn.XLOOKUP(G317,ShiftCodes[Code],ShiftCodes[Start],"")</f>
        <v>0.583333333333333</v>
      </c>
      <c r="J317" s="67" t="n">
        <f aca="false">IF(OR(C317="",I317=""),"",ROUND((MOD(C317-I317+0.5,1)-0.5)*1440,0))</f>
        <v>2</v>
      </c>
      <c r="K317" s="65" t="str">
        <f aca="false">IF(J317="","",IF(ABS(J317)&gt;$U$3,"Off-schedule","OK"))</f>
        <v>OK</v>
      </c>
      <c r="L317" s="68"/>
      <c r="M317" s="5" t="str">
        <f aca="false">TEXT(B317,"ddd")</f>
        <v>Tue</v>
      </c>
      <c r="N317" s="69" t="n">
        <f aca="false">IF(OR(C317="",D317=""),"",ROUND((MOD(D317-C317,1)-IF(ISNUMBER(E317),MOD(F317-E317,1),0))*24,2))</f>
        <v>7.93</v>
      </c>
      <c r="O317" s="5" t="s">
        <v>768</v>
      </c>
      <c r="P317" s="6" t="n">
        <v>46301</v>
      </c>
      <c r="Q317" s="5" t="str">
        <f aca="false">IF(B317&lt;$U$1,"Prior period",IF(B317&gt;$U$2,"Future period","Current period"))</f>
        <v>Current period</v>
      </c>
      <c r="R317" s="5" t="str">
        <f aca="false" t="array" ref="R317:R317">_xlfn.XLOOKUP(A317,TRIM(SUBSTITUTE('worker file'!$A$2:$A$406,_xlfn.UNICHAR(160)," ")),'worker file'!$D$2:$D$406,"Not found")</f>
        <v>TX</v>
      </c>
    </row>
    <row r="318" customFormat="false" ht="15" hidden="false" customHeight="false" outlineLevel="0" collapsed="false">
      <c r="A318" s="5" t="s">
        <v>452</v>
      </c>
      <c r="B318" s="6" t="n">
        <v>46302</v>
      </c>
      <c r="C318" s="62" t="n">
        <v>0.584722222222222</v>
      </c>
      <c r="D318" s="62" t="n">
        <v>0.938888888888889</v>
      </c>
      <c r="E318" s="63" t="n">
        <v>0.758333333333333</v>
      </c>
      <c r="F318" s="64" t="n">
        <v>0.779166666666667</v>
      </c>
      <c r="G318" s="65" t="str">
        <f aca="false" t="array" ref="G318:G318">_xlfn.XLOOKUP(A318&amp;"|"&amp;B318,ShiftRoster[Employee ID]&amp;"|"&amp;ShiftRoster[Date],ShiftRoster[Shift Code],_xlfn.XLOOKUP(A318,TRIM(SUBSTITUTE('worker file'!$A$2:$A$406,_xlfn.UNICHAR(160)," ")),'worker file'!$X$2:$X$406,"?"),0,-1)</f>
        <v>SWNG</v>
      </c>
      <c r="H318" s="65" t="str">
        <f aca="false">_xlfn.XLOOKUP(G318,ShiftCodes[Code],ShiftCodes[Work Schedule],"Unknown")</f>
        <v>Shift B – Swing (Mon–Fri 14:00–22:30)</v>
      </c>
      <c r="I318" s="66" t="n">
        <f aca="false">_xlfn.XLOOKUP(G318,ShiftCodes[Code],ShiftCodes[Start],"")</f>
        <v>0.583333333333333</v>
      </c>
      <c r="J318" s="67" t="n">
        <f aca="false">IF(OR(C318="",I318=""),"",ROUND((MOD(C318-I318+0.5,1)-0.5)*1440,0))</f>
        <v>2</v>
      </c>
      <c r="K318" s="65" t="str">
        <f aca="false">IF(J318="","",IF(ABS(J318)&gt;$U$3,"Off-schedule","OK"))</f>
        <v>OK</v>
      </c>
      <c r="L318" s="68"/>
      <c r="M318" s="5" t="str">
        <f aca="false">TEXT(B318,"ddd")</f>
        <v>Wed</v>
      </c>
      <c r="N318" s="69" t="n">
        <f aca="false">IF(OR(C318="",D318=""),"",ROUND((MOD(D318-C318,1)-IF(ISNUMBER(E318),MOD(F318-E318,1),0))*24,2))</f>
        <v>8</v>
      </c>
      <c r="O318" s="5" t="s">
        <v>768</v>
      </c>
      <c r="P318" s="6" t="n">
        <v>46302</v>
      </c>
      <c r="Q318" s="5" t="str">
        <f aca="false">IF(B318&lt;$U$1,"Prior period",IF(B318&gt;$U$2,"Future period","Current period"))</f>
        <v>Current period</v>
      </c>
      <c r="R318" s="5" t="str">
        <f aca="false" t="array" ref="R318:R318">_xlfn.XLOOKUP(A318,TRIM(SUBSTITUTE('worker file'!$A$2:$A$406,_xlfn.UNICHAR(160)," ")),'worker file'!$D$2:$D$406,"Not found")</f>
        <v>TX</v>
      </c>
    </row>
    <row r="319" customFormat="false" ht="15" hidden="false" customHeight="false" outlineLevel="0" collapsed="false">
      <c r="A319" s="5" t="s">
        <v>452</v>
      </c>
      <c r="B319" s="6" t="n">
        <v>46303</v>
      </c>
      <c r="C319" s="62" t="n">
        <v>0.581944444444445</v>
      </c>
      <c r="D319" s="62" t="n">
        <v>0.93125</v>
      </c>
      <c r="E319" s="63" t="n">
        <v>0.761111111111111</v>
      </c>
      <c r="F319" s="64" t="n">
        <v>0.781944444444444</v>
      </c>
      <c r="G319" s="65" t="str">
        <f aca="false" t="array" ref="G319:G319">_xlfn.XLOOKUP(A319&amp;"|"&amp;B319,ShiftRoster[Employee ID]&amp;"|"&amp;ShiftRoster[Date],ShiftRoster[Shift Code],_xlfn.XLOOKUP(A319,TRIM(SUBSTITUTE('worker file'!$A$2:$A$406,_xlfn.UNICHAR(160)," ")),'worker file'!$X$2:$X$406,"?"),0,-1)</f>
        <v>SWNG</v>
      </c>
      <c r="H319" s="65" t="str">
        <f aca="false">_xlfn.XLOOKUP(G319,ShiftCodes[Code],ShiftCodes[Work Schedule],"Unknown")</f>
        <v>Shift B – Swing (Mon–Fri 14:00–22:30)</v>
      </c>
      <c r="I319" s="66" t="n">
        <f aca="false">_xlfn.XLOOKUP(G319,ShiftCodes[Code],ShiftCodes[Start],"")</f>
        <v>0.583333333333333</v>
      </c>
      <c r="J319" s="67" t="n">
        <f aca="false">IF(OR(C319="",I319=""),"",ROUND((MOD(C319-I319+0.5,1)-0.5)*1440,0))</f>
        <v>-2</v>
      </c>
      <c r="K319" s="65" t="str">
        <f aca="false">IF(J319="","",IF(ABS(J319)&gt;$U$3,"Off-schedule","OK"))</f>
        <v>OK</v>
      </c>
      <c r="L319" s="68"/>
      <c r="M319" s="5" t="str">
        <f aca="false">TEXT(B319,"ddd")</f>
        <v>Thu</v>
      </c>
      <c r="N319" s="69" t="n">
        <f aca="false">IF(OR(C319="",D319=""),"",ROUND((MOD(D319-C319,1)-IF(ISNUMBER(E319),MOD(F319-E319,1),0))*24,2))</f>
        <v>7.88</v>
      </c>
      <c r="O319" s="5" t="s">
        <v>768</v>
      </c>
      <c r="P319" s="6" t="n">
        <v>46303</v>
      </c>
      <c r="Q319" s="5" t="str">
        <f aca="false">IF(B319&lt;$U$1,"Prior period",IF(B319&gt;$U$2,"Future period","Current period"))</f>
        <v>Current period</v>
      </c>
      <c r="R319" s="5" t="str">
        <f aca="false" t="array" ref="R319:R319">_xlfn.XLOOKUP(A319,TRIM(SUBSTITUTE('worker file'!$A$2:$A$406,_xlfn.UNICHAR(160)," ")),'worker file'!$D$2:$D$406,"Not found")</f>
        <v>TX</v>
      </c>
    </row>
    <row r="320" customFormat="false" ht="15" hidden="false" customHeight="false" outlineLevel="0" collapsed="false">
      <c r="A320" s="5" t="s">
        <v>452</v>
      </c>
      <c r="B320" s="6" t="n">
        <v>46304</v>
      </c>
      <c r="C320" s="62" t="n">
        <v>0.584027777777778</v>
      </c>
      <c r="D320" s="62" t="n">
        <v>0.932638888888889</v>
      </c>
      <c r="E320" s="63" t="n">
        <v>0.736111111111111</v>
      </c>
      <c r="F320" s="64" t="n">
        <v>0.756944444444444</v>
      </c>
      <c r="G320" s="65" t="str">
        <f aca="false" t="array" ref="G320:G320">_xlfn.XLOOKUP(A320&amp;"|"&amp;B320,ShiftRoster[Employee ID]&amp;"|"&amp;ShiftRoster[Date],ShiftRoster[Shift Code],_xlfn.XLOOKUP(A320,TRIM(SUBSTITUTE('worker file'!$A$2:$A$406,_xlfn.UNICHAR(160)," ")),'worker file'!$X$2:$X$406,"?"),0,-1)</f>
        <v>SWNG</v>
      </c>
      <c r="H320" s="65" t="str">
        <f aca="false">_xlfn.XLOOKUP(G320,ShiftCodes[Code],ShiftCodes[Work Schedule],"Unknown")</f>
        <v>Shift B – Swing (Mon–Fri 14:00–22:30)</v>
      </c>
      <c r="I320" s="66" t="n">
        <f aca="false">_xlfn.XLOOKUP(G320,ShiftCodes[Code],ShiftCodes[Start],"")</f>
        <v>0.583333333333333</v>
      </c>
      <c r="J320" s="67" t="n">
        <f aca="false">IF(OR(C320="",I320=""),"",ROUND((MOD(C320-I320+0.5,1)-0.5)*1440,0))</f>
        <v>1</v>
      </c>
      <c r="K320" s="65" t="str">
        <f aca="false">IF(J320="","",IF(ABS(J320)&gt;$U$3,"Off-schedule","OK"))</f>
        <v>OK</v>
      </c>
      <c r="L320" s="68"/>
      <c r="M320" s="5" t="str">
        <f aca="false">TEXT(B320,"ddd")</f>
        <v>Fri</v>
      </c>
      <c r="N320" s="69" t="n">
        <f aca="false">IF(OR(C320="",D320=""),"",ROUND((MOD(D320-C320,1)-IF(ISNUMBER(E320),MOD(F320-E320,1),0))*24,2))</f>
        <v>7.87</v>
      </c>
      <c r="O320" s="5" t="s">
        <v>768</v>
      </c>
      <c r="P320" s="6" t="n">
        <v>46304</v>
      </c>
      <c r="Q320" s="5" t="str">
        <f aca="false">IF(B320&lt;$U$1,"Prior period",IF(B320&gt;$U$2,"Future period","Current period"))</f>
        <v>Current period</v>
      </c>
      <c r="R320" s="5" t="str">
        <f aca="false" t="array" ref="R320:R320">_xlfn.XLOOKUP(A320,TRIM(SUBSTITUTE('worker file'!$A$2:$A$406,_xlfn.UNICHAR(160)," ")),'worker file'!$D$2:$D$406,"Not found")</f>
        <v>TX</v>
      </c>
    </row>
    <row r="321" customFormat="false" ht="15" hidden="false" customHeight="false" outlineLevel="0" collapsed="false">
      <c r="A321" s="5" t="s">
        <v>452</v>
      </c>
      <c r="B321" s="6" t="n">
        <v>46307</v>
      </c>
      <c r="C321" s="62" t="n">
        <v>0.582638888888889</v>
      </c>
      <c r="D321" s="62" t="n">
        <v>0.934722222222222</v>
      </c>
      <c r="E321" s="63" t="n">
        <v>0.7375</v>
      </c>
      <c r="F321" s="64" t="n">
        <v>0.758333333333333</v>
      </c>
      <c r="G321" s="65" t="str">
        <f aca="false" t="array" ref="G321:G321">_xlfn.XLOOKUP(A321&amp;"|"&amp;B321,ShiftRoster[Employee ID]&amp;"|"&amp;ShiftRoster[Date],ShiftRoster[Shift Code],_xlfn.XLOOKUP(A321,TRIM(SUBSTITUTE('worker file'!$A$2:$A$406,_xlfn.UNICHAR(160)," ")),'worker file'!$X$2:$X$406,"?"),0,-1)</f>
        <v>SWNG</v>
      </c>
      <c r="H321" s="65" t="str">
        <f aca="false">_xlfn.XLOOKUP(G321,ShiftCodes[Code],ShiftCodes[Work Schedule],"Unknown")</f>
        <v>Shift B – Swing (Mon–Fri 14:00–22:30)</v>
      </c>
      <c r="I321" s="66" t="n">
        <f aca="false">_xlfn.XLOOKUP(G321,ShiftCodes[Code],ShiftCodes[Start],"")</f>
        <v>0.583333333333333</v>
      </c>
      <c r="J321" s="67" t="n">
        <f aca="false">IF(OR(C321="",I321=""),"",ROUND((MOD(C321-I321+0.5,1)-0.5)*1440,0))</f>
        <v>-1</v>
      </c>
      <c r="K321" s="65" t="str">
        <f aca="false">IF(J321="","",IF(ABS(J321)&gt;$U$3,"Off-schedule","OK"))</f>
        <v>OK</v>
      </c>
      <c r="L321" s="68"/>
      <c r="M321" s="5" t="str">
        <f aca="false">TEXT(B321,"ddd")</f>
        <v>Mon</v>
      </c>
      <c r="N321" s="69" t="n">
        <f aca="false">IF(OR(C321="",D321=""),"",ROUND((MOD(D321-C321,1)-IF(ISNUMBER(E321),MOD(F321-E321,1),0))*24,2))</f>
        <v>7.95</v>
      </c>
      <c r="O321" s="5" t="s">
        <v>768</v>
      </c>
      <c r="P321" s="6" t="n">
        <v>46307</v>
      </c>
      <c r="Q321" s="5" t="str">
        <f aca="false">IF(B321&lt;$U$1,"Prior period",IF(B321&gt;$U$2,"Future period","Current period"))</f>
        <v>Current period</v>
      </c>
      <c r="R321" s="5" t="str">
        <f aca="false" t="array" ref="R321:R321">_xlfn.XLOOKUP(A321,TRIM(SUBSTITUTE('worker file'!$A$2:$A$406,_xlfn.UNICHAR(160)," ")),'worker file'!$D$2:$D$406,"Not found")</f>
        <v>TX</v>
      </c>
    </row>
    <row r="322" customFormat="false" ht="15" hidden="false" customHeight="false" outlineLevel="0" collapsed="false">
      <c r="A322" s="5" t="s">
        <v>452</v>
      </c>
      <c r="B322" s="6" t="n">
        <v>46308</v>
      </c>
      <c r="C322" s="62" t="n">
        <v>0.584722222222222</v>
      </c>
      <c r="D322" s="62" t="n">
        <v>0.938888888888889</v>
      </c>
      <c r="E322" s="63" t="n">
        <v>0.753472222222222</v>
      </c>
      <c r="F322" s="64" t="n">
        <v>0.774305555555556</v>
      </c>
      <c r="G322" s="65" t="str">
        <f aca="false" t="array" ref="G322:G322">_xlfn.XLOOKUP(A322&amp;"|"&amp;B322,ShiftRoster[Employee ID]&amp;"|"&amp;ShiftRoster[Date],ShiftRoster[Shift Code],_xlfn.XLOOKUP(A322,TRIM(SUBSTITUTE('worker file'!$A$2:$A$406,_xlfn.UNICHAR(160)," ")),'worker file'!$X$2:$X$406,"?"),0,-1)</f>
        <v>SWNG</v>
      </c>
      <c r="H322" s="65" t="str">
        <f aca="false">_xlfn.XLOOKUP(G322,ShiftCodes[Code],ShiftCodes[Work Schedule],"Unknown")</f>
        <v>Shift B – Swing (Mon–Fri 14:00–22:30)</v>
      </c>
      <c r="I322" s="66" t="n">
        <f aca="false">_xlfn.XLOOKUP(G322,ShiftCodes[Code],ShiftCodes[Start],"")</f>
        <v>0.583333333333333</v>
      </c>
      <c r="J322" s="67" t="n">
        <f aca="false">IF(OR(C322="",I322=""),"",ROUND((MOD(C322-I322+0.5,1)-0.5)*1440,0))</f>
        <v>2</v>
      </c>
      <c r="K322" s="65" t="str">
        <f aca="false">IF(J322="","",IF(ABS(J322)&gt;$U$3,"Off-schedule","OK"))</f>
        <v>OK</v>
      </c>
      <c r="L322" s="68"/>
      <c r="M322" s="5" t="str">
        <f aca="false">TEXT(B322,"ddd")</f>
        <v>Tue</v>
      </c>
      <c r="N322" s="69" t="n">
        <f aca="false">IF(OR(C322="",D322=""),"",ROUND((MOD(D322-C322,1)-IF(ISNUMBER(E322),MOD(F322-E322,1),0))*24,2))</f>
        <v>8</v>
      </c>
      <c r="O322" s="5" t="s">
        <v>768</v>
      </c>
      <c r="P322" s="6" t="n">
        <v>46308</v>
      </c>
      <c r="Q322" s="5" t="str">
        <f aca="false">IF(B322&lt;$U$1,"Prior period",IF(B322&gt;$U$2,"Future period","Current period"))</f>
        <v>Current period</v>
      </c>
      <c r="R322" s="5" t="str">
        <f aca="false" t="array" ref="R322:R322">_xlfn.XLOOKUP(A322,TRIM(SUBSTITUTE('worker file'!$A$2:$A$406,_xlfn.UNICHAR(160)," ")),'worker file'!$D$2:$D$406,"Not found")</f>
        <v>TX</v>
      </c>
    </row>
    <row r="323" customFormat="false" ht="15" hidden="false" customHeight="false" outlineLevel="0" collapsed="false">
      <c r="A323" s="5" t="s">
        <v>452</v>
      </c>
      <c r="B323" s="6" t="n">
        <v>46309</v>
      </c>
      <c r="C323" s="62" t="n">
        <v>0.582638888888889</v>
      </c>
      <c r="D323" s="62" t="n">
        <v>0.935416666666667</v>
      </c>
      <c r="E323" s="63" t="n">
        <v>0.753472222222222</v>
      </c>
      <c r="F323" s="64" t="n">
        <v>0.774305555555556</v>
      </c>
      <c r="G323" s="65" t="str">
        <f aca="false" t="array" ref="G323:G323">_xlfn.XLOOKUP(A323&amp;"|"&amp;B323,ShiftRoster[Employee ID]&amp;"|"&amp;ShiftRoster[Date],ShiftRoster[Shift Code],_xlfn.XLOOKUP(A323,TRIM(SUBSTITUTE('worker file'!$A$2:$A$406,_xlfn.UNICHAR(160)," ")),'worker file'!$X$2:$X$406,"?"),0,-1)</f>
        <v>SWNG</v>
      </c>
      <c r="H323" s="65" t="str">
        <f aca="false">_xlfn.XLOOKUP(G323,ShiftCodes[Code],ShiftCodes[Work Schedule],"Unknown")</f>
        <v>Shift B – Swing (Mon–Fri 14:00–22:30)</v>
      </c>
      <c r="I323" s="66" t="n">
        <f aca="false">_xlfn.XLOOKUP(G323,ShiftCodes[Code],ShiftCodes[Start],"")</f>
        <v>0.583333333333333</v>
      </c>
      <c r="J323" s="67" t="n">
        <f aca="false">IF(OR(C323="",I323=""),"",ROUND((MOD(C323-I323+0.5,1)-0.5)*1440,0))</f>
        <v>-1</v>
      </c>
      <c r="K323" s="65" t="str">
        <f aca="false">IF(J323="","",IF(ABS(J323)&gt;$U$3,"Off-schedule","OK"))</f>
        <v>OK</v>
      </c>
      <c r="L323" s="68"/>
      <c r="M323" s="5" t="str">
        <f aca="false">TEXT(B323,"ddd")</f>
        <v>Wed</v>
      </c>
      <c r="N323" s="69" t="n">
        <f aca="false">IF(OR(C323="",D323=""),"",ROUND((MOD(D323-C323,1)-IF(ISNUMBER(E323),MOD(F323-E323,1),0))*24,2))</f>
        <v>7.97</v>
      </c>
      <c r="O323" s="5" t="s">
        <v>768</v>
      </c>
      <c r="P323" s="6" t="n">
        <v>46309</v>
      </c>
      <c r="Q323" s="5" t="str">
        <f aca="false">IF(B323&lt;$U$1,"Prior period",IF(B323&gt;$U$2,"Future period","Current period"))</f>
        <v>Current period</v>
      </c>
      <c r="R323" s="5" t="str">
        <f aca="false" t="array" ref="R323:R323">_xlfn.XLOOKUP(A323,TRIM(SUBSTITUTE('worker file'!$A$2:$A$406,_xlfn.UNICHAR(160)," ")),'worker file'!$D$2:$D$406,"Not found")</f>
        <v>TX</v>
      </c>
    </row>
    <row r="324" customFormat="false" ht="15" hidden="false" customHeight="false" outlineLevel="0" collapsed="false">
      <c r="A324" s="5" t="s">
        <v>452</v>
      </c>
      <c r="B324" s="6" t="n">
        <v>46310</v>
      </c>
      <c r="C324" s="62" t="n">
        <v>0.58125</v>
      </c>
      <c r="D324" s="62" t="n">
        <v>0.934027777777778</v>
      </c>
      <c r="E324" s="63" t="n">
        <v>0.73125</v>
      </c>
      <c r="F324" s="64" t="n">
        <v>0.752083333333333</v>
      </c>
      <c r="G324" s="65" t="str">
        <f aca="false" t="array" ref="G324:G324">_xlfn.XLOOKUP(A324&amp;"|"&amp;B324,ShiftRoster[Employee ID]&amp;"|"&amp;ShiftRoster[Date],ShiftRoster[Shift Code],_xlfn.XLOOKUP(A324,TRIM(SUBSTITUTE('worker file'!$A$2:$A$406,_xlfn.UNICHAR(160)," ")),'worker file'!$X$2:$X$406,"?"),0,-1)</f>
        <v>SWNG</v>
      </c>
      <c r="H324" s="65" t="str">
        <f aca="false">_xlfn.XLOOKUP(G324,ShiftCodes[Code],ShiftCodes[Work Schedule],"Unknown")</f>
        <v>Shift B – Swing (Mon–Fri 14:00–22:30)</v>
      </c>
      <c r="I324" s="66" t="n">
        <f aca="false">_xlfn.XLOOKUP(G324,ShiftCodes[Code],ShiftCodes[Start],"")</f>
        <v>0.583333333333333</v>
      </c>
      <c r="J324" s="67" t="n">
        <f aca="false">IF(OR(C324="",I324=""),"",ROUND((MOD(C324-I324+0.5,1)-0.5)*1440,0))</f>
        <v>-3</v>
      </c>
      <c r="K324" s="65" t="str">
        <f aca="false">IF(J324="","",IF(ABS(J324)&gt;$U$3,"Off-schedule","OK"))</f>
        <v>OK</v>
      </c>
      <c r="L324" s="68"/>
      <c r="M324" s="5" t="str">
        <f aca="false">TEXT(B324,"ddd")</f>
        <v>Thu</v>
      </c>
      <c r="N324" s="69" t="n">
        <f aca="false">IF(OR(C324="",D324=""),"",ROUND((MOD(D324-C324,1)-IF(ISNUMBER(E324),MOD(F324-E324,1),0))*24,2))</f>
        <v>7.97</v>
      </c>
      <c r="O324" s="5" t="s">
        <v>768</v>
      </c>
      <c r="P324" s="6" t="n">
        <v>46310</v>
      </c>
      <c r="Q324" s="5" t="str">
        <f aca="false">IF(B324&lt;$U$1,"Prior period",IF(B324&gt;$U$2,"Future period","Current period"))</f>
        <v>Current period</v>
      </c>
      <c r="R324" s="5" t="str">
        <f aca="false" t="array" ref="R324:R324">_xlfn.XLOOKUP(A324,TRIM(SUBSTITUTE('worker file'!$A$2:$A$406,_xlfn.UNICHAR(160)," ")),'worker file'!$D$2:$D$406,"Not found")</f>
        <v>TX</v>
      </c>
    </row>
    <row r="325" customFormat="false" ht="15" hidden="false" customHeight="false" outlineLevel="0" collapsed="false">
      <c r="A325" s="5" t="s">
        <v>452</v>
      </c>
      <c r="B325" s="6" t="n">
        <v>46311</v>
      </c>
      <c r="C325" s="62" t="n">
        <v>0.585416666666667</v>
      </c>
      <c r="D325" s="62" t="n">
        <v>0.938888888888889</v>
      </c>
      <c r="E325" s="63" t="n">
        <v>0.735416666666667</v>
      </c>
      <c r="F325" s="64" t="n">
        <v>0.75625</v>
      </c>
      <c r="G325" s="65" t="str">
        <f aca="false" t="array" ref="G325:G325">_xlfn.XLOOKUP(A325&amp;"|"&amp;B325,ShiftRoster[Employee ID]&amp;"|"&amp;ShiftRoster[Date],ShiftRoster[Shift Code],_xlfn.XLOOKUP(A325,TRIM(SUBSTITUTE('worker file'!$A$2:$A$406,_xlfn.UNICHAR(160)," ")),'worker file'!$X$2:$X$406,"?"),0,-1)</f>
        <v>SWNG</v>
      </c>
      <c r="H325" s="65" t="str">
        <f aca="false">_xlfn.XLOOKUP(G325,ShiftCodes[Code],ShiftCodes[Work Schedule],"Unknown")</f>
        <v>Shift B – Swing (Mon–Fri 14:00–22:30)</v>
      </c>
      <c r="I325" s="66" t="n">
        <f aca="false">_xlfn.XLOOKUP(G325,ShiftCodes[Code],ShiftCodes[Start],"")</f>
        <v>0.583333333333333</v>
      </c>
      <c r="J325" s="67" t="n">
        <f aca="false">IF(OR(C325="",I325=""),"",ROUND((MOD(C325-I325+0.5,1)-0.5)*1440,0))</f>
        <v>3</v>
      </c>
      <c r="K325" s="65" t="str">
        <f aca="false">IF(J325="","",IF(ABS(J325)&gt;$U$3,"Off-schedule","OK"))</f>
        <v>OK</v>
      </c>
      <c r="L325" s="68"/>
      <c r="M325" s="5" t="str">
        <f aca="false">TEXT(B325,"ddd")</f>
        <v>Fri</v>
      </c>
      <c r="N325" s="69" t="n">
        <f aca="false">IF(OR(C325="",D325=""),"",ROUND((MOD(D325-C325,1)-IF(ISNUMBER(E325),MOD(F325-E325,1),0))*24,2))</f>
        <v>7.98</v>
      </c>
      <c r="O325" s="5" t="s">
        <v>768</v>
      </c>
      <c r="P325" s="6" t="n">
        <v>46311</v>
      </c>
      <c r="Q325" s="5" t="str">
        <f aca="false">IF(B325&lt;$U$1,"Prior period",IF(B325&gt;$U$2,"Future period","Current period"))</f>
        <v>Current period</v>
      </c>
      <c r="R325" s="5" t="str">
        <f aca="false" t="array" ref="R325:R325">_xlfn.XLOOKUP(A325,TRIM(SUBSTITUTE('worker file'!$A$2:$A$406,_xlfn.UNICHAR(160)," ")),'worker file'!$D$2:$D$406,"Not found")</f>
        <v>TX</v>
      </c>
    </row>
    <row r="326" customFormat="false" ht="15" hidden="false" customHeight="false" outlineLevel="0" collapsed="false">
      <c r="A326" s="5" t="s">
        <v>463</v>
      </c>
      <c r="B326" s="6" t="n">
        <v>46300</v>
      </c>
      <c r="C326" s="62" t="n">
        <v>0.252083333333333</v>
      </c>
      <c r="D326" s="62" t="n">
        <v>0.601388888888889</v>
      </c>
      <c r="E326" s="63" t="n">
        <v>0.431944444444444</v>
      </c>
      <c r="F326" s="64" t="n">
        <v>0.452777777777778</v>
      </c>
      <c r="G326" s="65" t="str">
        <f aca="false" t="array" ref="G326:G326">_xlfn.XLOOKUP(A326&amp;"|"&amp;B326,ShiftRoster[Employee ID]&amp;"|"&amp;ShiftRoster[Date],ShiftRoster[Shift Code],_xlfn.XLOOKUP(A326,TRIM(SUBSTITUTE('worker file'!$A$2:$A$406,_xlfn.UNICHAR(160)," ")),'worker file'!$X$2:$X$406,"?"),0,-1)</f>
        <v>DAY</v>
      </c>
      <c r="H326" s="65" t="str">
        <f aca="false">_xlfn.XLOOKUP(G326,ShiftCodes[Code],ShiftCodes[Work Schedule],"Unknown")</f>
        <v>Shift A – Day (Mon–Fri 06:00–14:30)</v>
      </c>
      <c r="I326" s="66" t="n">
        <f aca="false">_xlfn.XLOOKUP(G326,ShiftCodes[Code],ShiftCodes[Start],"")</f>
        <v>0.25</v>
      </c>
      <c r="J326" s="67" t="n">
        <f aca="false">IF(OR(C326="",I326=""),"",ROUND((MOD(C326-I326+0.5,1)-0.5)*1440,0))</f>
        <v>3</v>
      </c>
      <c r="K326" s="65" t="str">
        <f aca="false">IF(J326="","",IF(ABS(J326)&gt;$U$3,"Off-schedule","OK"))</f>
        <v>OK</v>
      </c>
      <c r="L326" s="68"/>
      <c r="M326" s="5" t="str">
        <f aca="false">TEXT(B326,"ddd")</f>
        <v>Mon</v>
      </c>
      <c r="N326" s="69" t="n">
        <f aca="false">IF(OR(C326="",D326=""),"",ROUND((MOD(D326-C326,1)-IF(ISNUMBER(E326),MOD(F326-E326,1),0))*24,2))</f>
        <v>7.88</v>
      </c>
      <c r="O326" s="5" t="s">
        <v>768</v>
      </c>
      <c r="P326" s="6" t="n">
        <v>46300</v>
      </c>
      <c r="Q326" s="5" t="str">
        <f aca="false">IF(B326&lt;$U$1,"Prior period",IF(B326&gt;$U$2,"Future period","Current period"))</f>
        <v>Current period</v>
      </c>
      <c r="R326" s="5" t="str">
        <f aca="false" t="array" ref="R326:R326">_xlfn.XLOOKUP(A326,TRIM(SUBSTITUTE('worker file'!$A$2:$A$406,_xlfn.UNICHAR(160)," ")),'worker file'!$D$2:$D$406,"Not found")</f>
        <v>TX</v>
      </c>
    </row>
    <row r="327" customFormat="false" ht="15" hidden="false" customHeight="false" outlineLevel="0" collapsed="false">
      <c r="A327" s="5" t="s">
        <v>463</v>
      </c>
      <c r="B327" s="6" t="n">
        <v>46301</v>
      </c>
      <c r="C327" s="62" t="n">
        <v>0.252083333333333</v>
      </c>
      <c r="D327" s="62" t="n">
        <v>0.60625</v>
      </c>
      <c r="E327" s="63" t="n">
        <v>0.4375</v>
      </c>
      <c r="F327" s="64" t="n">
        <v>0.458333333333333</v>
      </c>
      <c r="G327" s="65" t="str">
        <f aca="false" t="array" ref="G327:G327">_xlfn.XLOOKUP(A327&amp;"|"&amp;B327,ShiftRoster[Employee ID]&amp;"|"&amp;ShiftRoster[Date],ShiftRoster[Shift Code],_xlfn.XLOOKUP(A327,TRIM(SUBSTITUTE('worker file'!$A$2:$A$406,_xlfn.UNICHAR(160)," ")),'worker file'!$X$2:$X$406,"?"),0,-1)</f>
        <v>DAY</v>
      </c>
      <c r="H327" s="65" t="str">
        <f aca="false">_xlfn.XLOOKUP(G327,ShiftCodes[Code],ShiftCodes[Work Schedule],"Unknown")</f>
        <v>Shift A – Day (Mon–Fri 06:00–14:30)</v>
      </c>
      <c r="I327" s="66" t="n">
        <f aca="false">_xlfn.XLOOKUP(G327,ShiftCodes[Code],ShiftCodes[Start],"")</f>
        <v>0.25</v>
      </c>
      <c r="J327" s="67" t="n">
        <f aca="false">IF(OR(C327="",I327=""),"",ROUND((MOD(C327-I327+0.5,1)-0.5)*1440,0))</f>
        <v>3</v>
      </c>
      <c r="K327" s="65" t="str">
        <f aca="false">IF(J327="","",IF(ABS(J327)&gt;$U$3,"Off-schedule","OK"))</f>
        <v>OK</v>
      </c>
      <c r="L327" s="68"/>
      <c r="M327" s="5" t="str">
        <f aca="false">TEXT(B327,"ddd")</f>
        <v>Tue</v>
      </c>
      <c r="N327" s="69" t="n">
        <f aca="false">IF(OR(C327="",D327=""),"",ROUND((MOD(D327-C327,1)-IF(ISNUMBER(E327),MOD(F327-E327,1),0))*24,2))</f>
        <v>8</v>
      </c>
      <c r="O327" s="5" t="s">
        <v>768</v>
      </c>
      <c r="P327" s="6" t="n">
        <v>46301</v>
      </c>
      <c r="Q327" s="5" t="str">
        <f aca="false">IF(B327&lt;$U$1,"Prior period",IF(B327&gt;$U$2,"Future period","Current period"))</f>
        <v>Current period</v>
      </c>
      <c r="R327" s="5" t="str">
        <f aca="false" t="array" ref="R327:R327">_xlfn.XLOOKUP(A327,TRIM(SUBSTITUTE('worker file'!$A$2:$A$406,_xlfn.UNICHAR(160)," ")),'worker file'!$D$2:$D$406,"Not found")</f>
        <v>TX</v>
      </c>
    </row>
    <row r="328" customFormat="false" ht="15" hidden="false" customHeight="false" outlineLevel="0" collapsed="false">
      <c r="A328" s="5" t="s">
        <v>463</v>
      </c>
      <c r="B328" s="6" t="n">
        <v>46302</v>
      </c>
      <c r="C328" s="62" t="n">
        <v>0.245833333333333</v>
      </c>
      <c r="D328" s="62" t="n">
        <v>0.597916666666667</v>
      </c>
      <c r="E328" s="63" t="n">
        <v>0.411805555555556</v>
      </c>
      <c r="F328" s="64" t="n">
        <v>0.432638888888889</v>
      </c>
      <c r="G328" s="65" t="str">
        <f aca="false" t="array" ref="G328:G328">_xlfn.XLOOKUP(A328&amp;"|"&amp;B328,ShiftRoster[Employee ID]&amp;"|"&amp;ShiftRoster[Date],ShiftRoster[Shift Code],_xlfn.XLOOKUP(A328,TRIM(SUBSTITUTE('worker file'!$A$2:$A$406,_xlfn.UNICHAR(160)," ")),'worker file'!$X$2:$X$406,"?"),0,-1)</f>
        <v>DAY</v>
      </c>
      <c r="H328" s="65" t="str">
        <f aca="false">_xlfn.XLOOKUP(G328,ShiftCodes[Code],ShiftCodes[Work Schedule],"Unknown")</f>
        <v>Shift A – Day (Mon–Fri 06:00–14:30)</v>
      </c>
      <c r="I328" s="66" t="n">
        <f aca="false">_xlfn.XLOOKUP(G328,ShiftCodes[Code],ShiftCodes[Start],"")</f>
        <v>0.25</v>
      </c>
      <c r="J328" s="67" t="n">
        <f aca="false">IF(OR(C328="",I328=""),"",ROUND((MOD(C328-I328+0.5,1)-0.5)*1440,0))</f>
        <v>-6</v>
      </c>
      <c r="K328" s="65" t="str">
        <f aca="false">IF(J328="","",IF(ABS(J328)&gt;$U$3,"Off-schedule","OK"))</f>
        <v>OK</v>
      </c>
      <c r="L328" s="68"/>
      <c r="M328" s="5" t="str">
        <f aca="false">TEXT(B328,"ddd")</f>
        <v>Wed</v>
      </c>
      <c r="N328" s="69" t="n">
        <f aca="false">IF(OR(C328="",D328=""),"",ROUND((MOD(D328-C328,1)-IF(ISNUMBER(E328),MOD(F328-E328,1),0))*24,2))</f>
        <v>7.95</v>
      </c>
      <c r="O328" s="5" t="s">
        <v>768</v>
      </c>
      <c r="P328" s="6" t="n">
        <v>46302</v>
      </c>
      <c r="Q328" s="5" t="str">
        <f aca="false">IF(B328&lt;$U$1,"Prior period",IF(B328&gt;$U$2,"Future period","Current period"))</f>
        <v>Current period</v>
      </c>
      <c r="R328" s="5" t="str">
        <f aca="false" t="array" ref="R328:R328">_xlfn.XLOOKUP(A328,TRIM(SUBSTITUTE('worker file'!$A$2:$A$406,_xlfn.UNICHAR(160)," ")),'worker file'!$D$2:$D$406,"Not found")</f>
        <v>TX</v>
      </c>
    </row>
    <row r="329" customFormat="false" ht="15" hidden="false" customHeight="false" outlineLevel="0" collapsed="false">
      <c r="A329" s="5" t="s">
        <v>463</v>
      </c>
      <c r="B329" s="6" t="n">
        <v>46303</v>
      </c>
      <c r="C329" s="62" t="n">
        <v>0.246527777777778</v>
      </c>
      <c r="D329" s="62" t="n">
        <v>0.595833333333333</v>
      </c>
      <c r="E329" s="63" t="n">
        <v>0.397916666666667</v>
      </c>
      <c r="F329" s="64" t="n">
        <v>0.41875</v>
      </c>
      <c r="G329" s="65" t="str">
        <f aca="false" t="array" ref="G329:G329">_xlfn.XLOOKUP(A329&amp;"|"&amp;B329,ShiftRoster[Employee ID]&amp;"|"&amp;ShiftRoster[Date],ShiftRoster[Shift Code],_xlfn.XLOOKUP(A329,TRIM(SUBSTITUTE('worker file'!$A$2:$A$406,_xlfn.UNICHAR(160)," ")),'worker file'!$X$2:$X$406,"?"),0,-1)</f>
        <v>DAY</v>
      </c>
      <c r="H329" s="65" t="str">
        <f aca="false">_xlfn.XLOOKUP(G329,ShiftCodes[Code],ShiftCodes[Work Schedule],"Unknown")</f>
        <v>Shift A – Day (Mon–Fri 06:00–14:30)</v>
      </c>
      <c r="I329" s="66" t="n">
        <f aca="false">_xlfn.XLOOKUP(G329,ShiftCodes[Code],ShiftCodes[Start],"")</f>
        <v>0.25</v>
      </c>
      <c r="J329" s="67" t="n">
        <f aca="false">IF(OR(C329="",I329=""),"",ROUND((MOD(C329-I329+0.5,1)-0.5)*1440,0))</f>
        <v>-5</v>
      </c>
      <c r="K329" s="65" t="str">
        <f aca="false">IF(J329="","",IF(ABS(J329)&gt;$U$3,"Off-schedule","OK"))</f>
        <v>OK</v>
      </c>
      <c r="L329" s="68"/>
      <c r="M329" s="5" t="str">
        <f aca="false">TEXT(B329,"ddd")</f>
        <v>Thu</v>
      </c>
      <c r="N329" s="69" t="n">
        <f aca="false">IF(OR(C329="",D329=""),"",ROUND((MOD(D329-C329,1)-IF(ISNUMBER(E329),MOD(F329-E329,1),0))*24,2))</f>
        <v>7.88</v>
      </c>
      <c r="O329" s="5" t="s">
        <v>768</v>
      </c>
      <c r="P329" s="6" t="n">
        <v>46303</v>
      </c>
      <c r="Q329" s="5" t="str">
        <f aca="false">IF(B329&lt;$U$1,"Prior period",IF(B329&gt;$U$2,"Future period","Current period"))</f>
        <v>Current period</v>
      </c>
      <c r="R329" s="5" t="str">
        <f aca="false" t="array" ref="R329:R329">_xlfn.XLOOKUP(A329,TRIM(SUBSTITUTE('worker file'!$A$2:$A$406,_xlfn.UNICHAR(160)," ")),'worker file'!$D$2:$D$406,"Not found")</f>
        <v>TX</v>
      </c>
    </row>
    <row r="330" customFormat="false" ht="15" hidden="false" customHeight="false" outlineLevel="0" collapsed="false">
      <c r="A330" s="5" t="s">
        <v>463</v>
      </c>
      <c r="B330" s="6" t="n">
        <v>46304</v>
      </c>
      <c r="C330" s="62" t="n">
        <v>0.250694444444444</v>
      </c>
      <c r="D330" s="62" t="n">
        <v>0.604166666666667</v>
      </c>
      <c r="E330" s="63" t="n">
        <v>0.403472222222222</v>
      </c>
      <c r="F330" s="64" t="n">
        <v>0.424305555555556</v>
      </c>
      <c r="G330" s="65" t="str">
        <f aca="false" t="array" ref="G330:G330">_xlfn.XLOOKUP(A330&amp;"|"&amp;B330,ShiftRoster[Employee ID]&amp;"|"&amp;ShiftRoster[Date],ShiftRoster[Shift Code],_xlfn.XLOOKUP(A330,TRIM(SUBSTITUTE('worker file'!$A$2:$A$406,_xlfn.UNICHAR(160)," ")),'worker file'!$X$2:$X$406,"?"),0,-1)</f>
        <v>DAY</v>
      </c>
      <c r="H330" s="65" t="str">
        <f aca="false">_xlfn.XLOOKUP(G330,ShiftCodes[Code],ShiftCodes[Work Schedule],"Unknown")</f>
        <v>Shift A – Day (Mon–Fri 06:00–14:30)</v>
      </c>
      <c r="I330" s="66" t="n">
        <f aca="false">_xlfn.XLOOKUP(G330,ShiftCodes[Code],ShiftCodes[Start],"")</f>
        <v>0.25</v>
      </c>
      <c r="J330" s="67" t="n">
        <f aca="false">IF(OR(C330="",I330=""),"",ROUND((MOD(C330-I330+0.5,1)-0.5)*1440,0))</f>
        <v>1</v>
      </c>
      <c r="K330" s="65" t="str">
        <f aca="false">IF(J330="","",IF(ABS(J330)&gt;$U$3,"Off-schedule","OK"))</f>
        <v>OK</v>
      </c>
      <c r="L330" s="68"/>
      <c r="M330" s="5" t="str">
        <f aca="false">TEXT(B330,"ddd")</f>
        <v>Fri</v>
      </c>
      <c r="N330" s="69" t="n">
        <f aca="false">IF(OR(C330="",D330=""),"",ROUND((MOD(D330-C330,1)-IF(ISNUMBER(E330),MOD(F330-E330,1),0))*24,2))</f>
        <v>7.98</v>
      </c>
      <c r="O330" s="5" t="s">
        <v>768</v>
      </c>
      <c r="P330" s="6" t="n">
        <v>46304</v>
      </c>
      <c r="Q330" s="5" t="str">
        <f aca="false">IF(B330&lt;$U$1,"Prior period",IF(B330&gt;$U$2,"Future period","Current period"))</f>
        <v>Current period</v>
      </c>
      <c r="R330" s="5" t="str">
        <f aca="false" t="array" ref="R330:R330">_xlfn.XLOOKUP(A330,TRIM(SUBSTITUTE('worker file'!$A$2:$A$406,_xlfn.UNICHAR(160)," ")),'worker file'!$D$2:$D$406,"Not found")</f>
        <v>TX</v>
      </c>
    </row>
    <row r="331" customFormat="false" ht="15" hidden="false" customHeight="false" outlineLevel="0" collapsed="false">
      <c r="A331" s="5" t="s">
        <v>463</v>
      </c>
      <c r="B331" s="6" t="n">
        <v>46307</v>
      </c>
      <c r="C331" s="62" t="n">
        <v>0.247916666666667</v>
      </c>
      <c r="D331" s="62" t="n">
        <v>0.599305555555556</v>
      </c>
      <c r="E331" s="63" t="n">
        <v>0.418055555555556</v>
      </c>
      <c r="F331" s="64" t="n">
        <v>0.438888888888889</v>
      </c>
      <c r="G331" s="65" t="str">
        <f aca="false" t="array" ref="G331:G331">_xlfn.XLOOKUP(A331&amp;"|"&amp;B331,ShiftRoster[Employee ID]&amp;"|"&amp;ShiftRoster[Date],ShiftRoster[Shift Code],_xlfn.XLOOKUP(A331,TRIM(SUBSTITUTE('worker file'!$A$2:$A$406,_xlfn.UNICHAR(160)," ")),'worker file'!$X$2:$X$406,"?"),0,-1)</f>
        <v>DAY</v>
      </c>
      <c r="H331" s="65" t="str">
        <f aca="false">_xlfn.XLOOKUP(G331,ShiftCodes[Code],ShiftCodes[Work Schedule],"Unknown")</f>
        <v>Shift A – Day (Mon–Fri 06:00–14:30)</v>
      </c>
      <c r="I331" s="66" t="n">
        <f aca="false">_xlfn.XLOOKUP(G331,ShiftCodes[Code],ShiftCodes[Start],"")</f>
        <v>0.25</v>
      </c>
      <c r="J331" s="67" t="n">
        <f aca="false">IF(OR(C331="",I331=""),"",ROUND((MOD(C331-I331+0.5,1)-0.5)*1440,0))</f>
        <v>-3</v>
      </c>
      <c r="K331" s="65" t="str">
        <f aca="false">IF(J331="","",IF(ABS(J331)&gt;$U$3,"Off-schedule","OK"))</f>
        <v>OK</v>
      </c>
      <c r="L331" s="68"/>
      <c r="M331" s="5" t="str">
        <f aca="false">TEXT(B331,"ddd")</f>
        <v>Mon</v>
      </c>
      <c r="N331" s="69" t="n">
        <f aca="false">IF(OR(C331="",D331=""),"",ROUND((MOD(D331-C331,1)-IF(ISNUMBER(E331),MOD(F331-E331,1),0))*24,2))</f>
        <v>7.93</v>
      </c>
      <c r="O331" s="5" t="s">
        <v>768</v>
      </c>
      <c r="P331" s="6" t="n">
        <v>46307</v>
      </c>
      <c r="Q331" s="5" t="str">
        <f aca="false">IF(B331&lt;$U$1,"Prior period",IF(B331&gt;$U$2,"Future period","Current period"))</f>
        <v>Current period</v>
      </c>
      <c r="R331" s="5" t="str">
        <f aca="false" t="array" ref="R331:R331">_xlfn.XLOOKUP(A331,TRIM(SUBSTITUTE('worker file'!$A$2:$A$406,_xlfn.UNICHAR(160)," ")),'worker file'!$D$2:$D$406,"Not found")</f>
        <v>TX</v>
      </c>
    </row>
    <row r="332" customFormat="false" ht="15" hidden="false" customHeight="false" outlineLevel="0" collapsed="false">
      <c r="A332" s="5" t="s">
        <v>463</v>
      </c>
      <c r="B332" s="6" t="n">
        <v>46308</v>
      </c>
      <c r="C332" s="62" t="n">
        <v>0.252083333333333</v>
      </c>
      <c r="D332" s="62" t="n">
        <v>0.60625</v>
      </c>
      <c r="E332" s="63" t="n">
        <v>0.398611111111111</v>
      </c>
      <c r="F332" s="64" t="n">
        <v>0.419444444444444</v>
      </c>
      <c r="G332" s="65" t="str">
        <f aca="false" t="array" ref="G332:G332">_xlfn.XLOOKUP(A332&amp;"|"&amp;B332,ShiftRoster[Employee ID]&amp;"|"&amp;ShiftRoster[Date],ShiftRoster[Shift Code],_xlfn.XLOOKUP(A332,TRIM(SUBSTITUTE('worker file'!$A$2:$A$406,_xlfn.UNICHAR(160)," ")),'worker file'!$X$2:$X$406,"?"),0,-1)</f>
        <v>DAY</v>
      </c>
      <c r="H332" s="65" t="str">
        <f aca="false">_xlfn.XLOOKUP(G332,ShiftCodes[Code],ShiftCodes[Work Schedule],"Unknown")</f>
        <v>Shift A – Day (Mon–Fri 06:00–14:30)</v>
      </c>
      <c r="I332" s="66" t="n">
        <f aca="false">_xlfn.XLOOKUP(G332,ShiftCodes[Code],ShiftCodes[Start],"")</f>
        <v>0.25</v>
      </c>
      <c r="J332" s="67" t="n">
        <f aca="false">IF(OR(C332="",I332=""),"",ROUND((MOD(C332-I332+0.5,1)-0.5)*1440,0))</f>
        <v>3</v>
      </c>
      <c r="K332" s="65" t="str">
        <f aca="false">IF(J332="","",IF(ABS(J332)&gt;$U$3,"Off-schedule","OK"))</f>
        <v>OK</v>
      </c>
      <c r="L332" s="68"/>
      <c r="M332" s="5" t="str">
        <f aca="false">TEXT(B332,"ddd")</f>
        <v>Tue</v>
      </c>
      <c r="N332" s="69" t="n">
        <f aca="false">IF(OR(C332="",D332=""),"",ROUND((MOD(D332-C332,1)-IF(ISNUMBER(E332),MOD(F332-E332,1),0))*24,2))</f>
        <v>8</v>
      </c>
      <c r="O332" s="5" t="s">
        <v>768</v>
      </c>
      <c r="P332" s="6" t="n">
        <v>46308</v>
      </c>
      <c r="Q332" s="5" t="str">
        <f aca="false">IF(B332&lt;$U$1,"Prior period",IF(B332&gt;$U$2,"Future period","Current period"))</f>
        <v>Current period</v>
      </c>
      <c r="R332" s="5" t="str">
        <f aca="false" t="array" ref="R332:R332">_xlfn.XLOOKUP(A332,TRIM(SUBSTITUTE('worker file'!$A$2:$A$406,_xlfn.UNICHAR(160)," ")),'worker file'!$D$2:$D$406,"Not found")</f>
        <v>TX</v>
      </c>
    </row>
    <row r="333" customFormat="false" ht="15" hidden="false" customHeight="false" outlineLevel="0" collapsed="false">
      <c r="A333" s="5" t="s">
        <v>463</v>
      </c>
      <c r="B333" s="6" t="n">
        <v>46309</v>
      </c>
      <c r="C333" s="62" t="n">
        <v>0.245833333333333</v>
      </c>
      <c r="D333" s="62" t="n">
        <v>0.597916666666667</v>
      </c>
      <c r="E333" s="63" t="n">
        <v>0.398611111111111</v>
      </c>
      <c r="F333" s="64" t="n">
        <v>0.419444444444444</v>
      </c>
      <c r="G333" s="65" t="str">
        <f aca="false" t="array" ref="G333:G333">_xlfn.XLOOKUP(A333&amp;"|"&amp;B333,ShiftRoster[Employee ID]&amp;"|"&amp;ShiftRoster[Date],ShiftRoster[Shift Code],_xlfn.XLOOKUP(A333,TRIM(SUBSTITUTE('worker file'!$A$2:$A$406,_xlfn.UNICHAR(160)," ")),'worker file'!$X$2:$X$406,"?"),0,-1)</f>
        <v>DAY</v>
      </c>
      <c r="H333" s="65" t="str">
        <f aca="false">_xlfn.XLOOKUP(G333,ShiftCodes[Code],ShiftCodes[Work Schedule],"Unknown")</f>
        <v>Shift A – Day (Mon–Fri 06:00–14:30)</v>
      </c>
      <c r="I333" s="66" t="n">
        <f aca="false">_xlfn.XLOOKUP(G333,ShiftCodes[Code],ShiftCodes[Start],"")</f>
        <v>0.25</v>
      </c>
      <c r="J333" s="67" t="n">
        <f aca="false">IF(OR(C333="",I333=""),"",ROUND((MOD(C333-I333+0.5,1)-0.5)*1440,0))</f>
        <v>-6</v>
      </c>
      <c r="K333" s="65" t="str">
        <f aca="false">IF(J333="","",IF(ABS(J333)&gt;$U$3,"Off-schedule","OK"))</f>
        <v>OK</v>
      </c>
      <c r="L333" s="68"/>
      <c r="M333" s="5" t="str">
        <f aca="false">TEXT(B333,"ddd")</f>
        <v>Wed</v>
      </c>
      <c r="N333" s="69" t="n">
        <f aca="false">IF(OR(C333="",D333=""),"",ROUND((MOD(D333-C333,1)-IF(ISNUMBER(E333),MOD(F333-E333,1),0))*24,2))</f>
        <v>7.95</v>
      </c>
      <c r="O333" s="5" t="s">
        <v>768</v>
      </c>
      <c r="P333" s="6" t="n">
        <v>46309</v>
      </c>
      <c r="Q333" s="5" t="str">
        <f aca="false">IF(B333&lt;$U$1,"Prior period",IF(B333&gt;$U$2,"Future period","Current period"))</f>
        <v>Current period</v>
      </c>
      <c r="R333" s="5" t="str">
        <f aca="false" t="array" ref="R333:R333">_xlfn.XLOOKUP(A333,TRIM(SUBSTITUTE('worker file'!$A$2:$A$406,_xlfn.UNICHAR(160)," ")),'worker file'!$D$2:$D$406,"Not found")</f>
        <v>TX</v>
      </c>
    </row>
    <row r="334" customFormat="false" ht="15" hidden="false" customHeight="false" outlineLevel="0" collapsed="false">
      <c r="A334" s="5" t="s">
        <v>463</v>
      </c>
      <c r="B334" s="6" t="n">
        <v>46310</v>
      </c>
      <c r="C334" s="62" t="n">
        <v>0.249305555555556</v>
      </c>
      <c r="D334" s="62" t="n">
        <v>0.597916666666667</v>
      </c>
      <c r="E334" s="63" t="n">
        <v>0.406944444444444</v>
      </c>
      <c r="F334" s="64" t="n">
        <v>0.427777777777778</v>
      </c>
      <c r="G334" s="65" t="str">
        <f aca="false" t="array" ref="G334:G334">_xlfn.XLOOKUP(A334&amp;"|"&amp;B334,ShiftRoster[Employee ID]&amp;"|"&amp;ShiftRoster[Date],ShiftRoster[Shift Code],_xlfn.XLOOKUP(A334,TRIM(SUBSTITUTE('worker file'!$A$2:$A$406,_xlfn.UNICHAR(160)," ")),'worker file'!$X$2:$X$406,"?"),0,-1)</f>
        <v>DAY</v>
      </c>
      <c r="H334" s="65" t="str">
        <f aca="false">_xlfn.XLOOKUP(G334,ShiftCodes[Code],ShiftCodes[Work Schedule],"Unknown")</f>
        <v>Shift A – Day (Mon–Fri 06:00–14:30)</v>
      </c>
      <c r="I334" s="66" t="n">
        <f aca="false">_xlfn.XLOOKUP(G334,ShiftCodes[Code],ShiftCodes[Start],"")</f>
        <v>0.25</v>
      </c>
      <c r="J334" s="67" t="n">
        <f aca="false">IF(OR(C334="",I334=""),"",ROUND((MOD(C334-I334+0.5,1)-0.5)*1440,0))</f>
        <v>-1</v>
      </c>
      <c r="K334" s="65" t="str">
        <f aca="false">IF(J334="","",IF(ABS(J334)&gt;$U$3,"Off-schedule","OK"))</f>
        <v>OK</v>
      </c>
      <c r="L334" s="68"/>
      <c r="M334" s="5" t="str">
        <f aca="false">TEXT(B334,"ddd")</f>
        <v>Thu</v>
      </c>
      <c r="N334" s="69" t="n">
        <f aca="false">IF(OR(C334="",D334=""),"",ROUND((MOD(D334-C334,1)-IF(ISNUMBER(E334),MOD(F334-E334,1),0))*24,2))</f>
        <v>7.87</v>
      </c>
      <c r="O334" s="5" t="s">
        <v>768</v>
      </c>
      <c r="P334" s="6" t="n">
        <v>46310</v>
      </c>
      <c r="Q334" s="5" t="str">
        <f aca="false">IF(B334&lt;$U$1,"Prior period",IF(B334&gt;$U$2,"Future period","Current period"))</f>
        <v>Current period</v>
      </c>
      <c r="R334" s="5" t="str">
        <f aca="false" t="array" ref="R334:R334">_xlfn.XLOOKUP(A334,TRIM(SUBSTITUTE('worker file'!$A$2:$A$406,_xlfn.UNICHAR(160)," ")),'worker file'!$D$2:$D$406,"Not found")</f>
        <v>TX</v>
      </c>
    </row>
    <row r="335" customFormat="false" ht="15" hidden="false" customHeight="false" outlineLevel="0" collapsed="false">
      <c r="A335" s="5" t="s">
        <v>463</v>
      </c>
      <c r="B335" s="6" t="n">
        <v>46311</v>
      </c>
      <c r="C335" s="62" t="n">
        <v>0.247222222222222</v>
      </c>
      <c r="D335" s="62" t="n">
        <v>0.577083333333333</v>
      </c>
      <c r="E335" s="63" t="s">
        <v>774</v>
      </c>
      <c r="F335" s="64" t="s">
        <v>774</v>
      </c>
      <c r="G335" s="65" t="str">
        <f aca="false" t="array" ref="G335:G335">_xlfn.XLOOKUP(A335&amp;"|"&amp;B335,ShiftRoster[Employee ID]&amp;"|"&amp;ShiftRoster[Date],ShiftRoster[Shift Code],_xlfn.XLOOKUP(A335,TRIM(SUBSTITUTE('worker file'!$A$2:$A$406,_xlfn.UNICHAR(160)," ")),'worker file'!$X$2:$X$406,"?"),0,-1)</f>
        <v>DAY</v>
      </c>
      <c r="H335" s="65" t="str">
        <f aca="false">_xlfn.XLOOKUP(G335,ShiftCodes[Code],ShiftCodes[Work Schedule],"Unknown")</f>
        <v>Shift A – Day (Mon–Fri 06:00–14:30)</v>
      </c>
      <c r="I335" s="66" t="n">
        <f aca="false">_xlfn.XLOOKUP(G335,ShiftCodes[Code],ShiftCodes[Start],"")</f>
        <v>0.25</v>
      </c>
      <c r="J335" s="67" t="n">
        <f aca="false">IF(OR(C335="",I335=""),"",ROUND((MOD(C335-I335+0.5,1)-0.5)*1440,0))</f>
        <v>-4</v>
      </c>
      <c r="K335" s="65" t="str">
        <f aca="false">IF(J335="","",IF(ABS(J335)&gt;$U$3,"Off-schedule","OK"))</f>
        <v>OK</v>
      </c>
      <c r="L335" s="68" t="s">
        <v>775</v>
      </c>
      <c r="M335" s="5" t="str">
        <f aca="false">TEXT(B335,"ddd")</f>
        <v>Fri</v>
      </c>
      <c r="N335" s="69" t="n">
        <f aca="false">IF(OR(C335="",D335=""),"",ROUND((MOD(D335-C335,1)-IF(ISNUMBER(E335),MOD(F335-E335,1),0))*24,2))</f>
        <v>7.92</v>
      </c>
      <c r="O335" s="5" t="s">
        <v>768</v>
      </c>
      <c r="P335" s="6" t="n">
        <v>46311</v>
      </c>
      <c r="Q335" s="5" t="str">
        <f aca="false">IF(B335&lt;$U$1,"Prior period",IF(B335&gt;$U$2,"Future period","Current period"))</f>
        <v>Current period</v>
      </c>
      <c r="R335" s="5" t="str">
        <f aca="false" t="array" ref="R335:R335">_xlfn.XLOOKUP(A335,TRIM(SUBSTITUTE('worker file'!$A$2:$A$406,_xlfn.UNICHAR(160)," ")),'worker file'!$D$2:$D$406,"Not found")</f>
        <v>TX</v>
      </c>
    </row>
    <row r="336" customFormat="false" ht="15" hidden="false" customHeight="false" outlineLevel="0" collapsed="false">
      <c r="A336" s="5" t="s">
        <v>476</v>
      </c>
      <c r="B336" s="6" t="n">
        <v>46302</v>
      </c>
      <c r="C336" s="62" t="n">
        <v>0.582638888888889</v>
      </c>
      <c r="D336" s="62" t="n">
        <v>0.940277777777778</v>
      </c>
      <c r="E336" s="63" t="n">
        <v>0.747222222222222</v>
      </c>
      <c r="F336" s="64" t="n">
        <v>0.768055555555555</v>
      </c>
      <c r="G336" s="65" t="str">
        <f aca="false" t="array" ref="G336:G336">_xlfn.XLOOKUP(A336&amp;"|"&amp;B336,ShiftRoster[Employee ID]&amp;"|"&amp;ShiftRoster[Date],ShiftRoster[Shift Code],_xlfn.XLOOKUP(A336,TRIM(SUBSTITUTE('worker file'!$A$2:$A$406,_xlfn.UNICHAR(160)," ")),'worker file'!$X$2:$X$406,"?"),0,-1)</f>
        <v>SWNG</v>
      </c>
      <c r="H336" s="65" t="str">
        <f aca="false">_xlfn.XLOOKUP(G336,ShiftCodes[Code],ShiftCodes[Work Schedule],"Unknown")</f>
        <v>Shift B – Swing (Mon–Fri 14:00–22:30)</v>
      </c>
      <c r="I336" s="66" t="n">
        <f aca="false">_xlfn.XLOOKUP(G336,ShiftCodes[Code],ShiftCodes[Start],"")</f>
        <v>0.583333333333333</v>
      </c>
      <c r="J336" s="67" t="n">
        <f aca="false">IF(OR(C336="",I336=""),"",ROUND((MOD(C336-I336+0.5,1)-0.5)*1440,0))</f>
        <v>-1</v>
      </c>
      <c r="K336" s="65" t="str">
        <f aca="false">IF(J336="","",IF(ABS(J336)&gt;$U$3,"Off-schedule","OK"))</f>
        <v>OK</v>
      </c>
      <c r="L336" s="68"/>
      <c r="M336" s="5" t="str">
        <f aca="false">TEXT(B336,"ddd")</f>
        <v>Wed</v>
      </c>
      <c r="N336" s="69" t="n">
        <f aca="false">IF(OR(C336="",D336=""),"",ROUND((MOD(D336-C336,1)-IF(ISNUMBER(E336),MOD(F336-E336,1),0))*24,2))</f>
        <v>8.08</v>
      </c>
      <c r="O336" s="5" t="s">
        <v>768</v>
      </c>
      <c r="P336" s="6" t="n">
        <v>46302</v>
      </c>
      <c r="Q336" s="5" t="str">
        <f aca="false">IF(B336&lt;$U$1,"Prior period",IF(B336&gt;$U$2,"Future period","Current period"))</f>
        <v>Current period</v>
      </c>
      <c r="R336" s="5" t="str">
        <f aca="false" t="array" ref="R336:R336">_xlfn.XLOOKUP(A336,TRIM(SUBSTITUTE('worker file'!$A$2:$A$406,_xlfn.UNICHAR(160)," ")),'worker file'!$D$2:$D$406,"Not found")</f>
        <v>TX</v>
      </c>
    </row>
    <row r="337" customFormat="false" ht="15" hidden="false" customHeight="false" outlineLevel="0" collapsed="false">
      <c r="A337" s="5" t="s">
        <v>476</v>
      </c>
      <c r="B337" s="6" t="n">
        <v>46303</v>
      </c>
      <c r="C337" s="62" t="n">
        <v>0.58125</v>
      </c>
      <c r="D337" s="62" t="n">
        <v>0.9375</v>
      </c>
      <c r="E337" s="63" t="n">
        <v>0.748611111111111</v>
      </c>
      <c r="F337" s="64" t="n">
        <v>0.769444444444444</v>
      </c>
      <c r="G337" s="65" t="str">
        <f aca="false" t="array" ref="G337:G337">_xlfn.XLOOKUP(A337&amp;"|"&amp;B337,ShiftRoster[Employee ID]&amp;"|"&amp;ShiftRoster[Date],ShiftRoster[Shift Code],_xlfn.XLOOKUP(A337,TRIM(SUBSTITUTE('worker file'!$A$2:$A$406,_xlfn.UNICHAR(160)," ")),'worker file'!$X$2:$X$406,"?"),0,-1)</f>
        <v>SWNG</v>
      </c>
      <c r="H337" s="65" t="str">
        <f aca="false">_xlfn.XLOOKUP(G337,ShiftCodes[Code],ShiftCodes[Work Schedule],"Unknown")</f>
        <v>Shift B – Swing (Mon–Fri 14:00–22:30)</v>
      </c>
      <c r="I337" s="66" t="n">
        <f aca="false">_xlfn.XLOOKUP(G337,ShiftCodes[Code],ShiftCodes[Start],"")</f>
        <v>0.583333333333333</v>
      </c>
      <c r="J337" s="67" t="n">
        <f aca="false">IF(OR(C337="",I337=""),"",ROUND((MOD(C337-I337+0.5,1)-0.5)*1440,0))</f>
        <v>-3</v>
      </c>
      <c r="K337" s="65" t="str">
        <f aca="false">IF(J337="","",IF(ABS(J337)&gt;$U$3,"Off-schedule","OK"))</f>
        <v>OK</v>
      </c>
      <c r="L337" s="68"/>
      <c r="M337" s="5" t="str">
        <f aca="false">TEXT(B337,"ddd")</f>
        <v>Thu</v>
      </c>
      <c r="N337" s="69" t="n">
        <f aca="false">IF(OR(C337="",D337=""),"",ROUND((MOD(D337-C337,1)-IF(ISNUMBER(E337),MOD(F337-E337,1),0))*24,2))</f>
        <v>8.05</v>
      </c>
      <c r="O337" s="5" t="s">
        <v>768</v>
      </c>
      <c r="P337" s="6" t="n">
        <v>46303</v>
      </c>
      <c r="Q337" s="5" t="str">
        <f aca="false">IF(B337&lt;$U$1,"Prior period",IF(B337&gt;$U$2,"Future period","Current period"))</f>
        <v>Current period</v>
      </c>
      <c r="R337" s="5" t="str">
        <f aca="false" t="array" ref="R337:R337">_xlfn.XLOOKUP(A337,TRIM(SUBSTITUTE('worker file'!$A$2:$A$406,_xlfn.UNICHAR(160)," ")),'worker file'!$D$2:$D$406,"Not found")</f>
        <v>TX</v>
      </c>
    </row>
    <row r="338" customFormat="false" ht="15" hidden="false" customHeight="false" outlineLevel="0" collapsed="false">
      <c r="A338" s="5" t="s">
        <v>476</v>
      </c>
      <c r="B338" s="6" t="n">
        <v>46304</v>
      </c>
      <c r="C338" s="62" t="n">
        <v>0.579861111111111</v>
      </c>
      <c r="D338" s="62" t="n">
        <v>0.934722222222222</v>
      </c>
      <c r="E338" s="63" t="n">
        <v>0.74375</v>
      </c>
      <c r="F338" s="64" t="n">
        <v>0.764583333333333</v>
      </c>
      <c r="G338" s="65" t="str">
        <f aca="false" t="array" ref="G338:G338">_xlfn.XLOOKUP(A338&amp;"|"&amp;B338,ShiftRoster[Employee ID]&amp;"|"&amp;ShiftRoster[Date],ShiftRoster[Shift Code],_xlfn.XLOOKUP(A338,TRIM(SUBSTITUTE('worker file'!$A$2:$A$406,_xlfn.UNICHAR(160)," ")),'worker file'!$X$2:$X$406,"?"),0,-1)</f>
        <v>SWNG</v>
      </c>
      <c r="H338" s="65" t="str">
        <f aca="false">_xlfn.XLOOKUP(G338,ShiftCodes[Code],ShiftCodes[Work Schedule],"Unknown")</f>
        <v>Shift B – Swing (Mon–Fri 14:00–22:30)</v>
      </c>
      <c r="I338" s="66" t="n">
        <f aca="false">_xlfn.XLOOKUP(G338,ShiftCodes[Code],ShiftCodes[Start],"")</f>
        <v>0.583333333333333</v>
      </c>
      <c r="J338" s="67" t="n">
        <f aca="false">IF(OR(C338="",I338=""),"",ROUND((MOD(C338-I338+0.5,1)-0.5)*1440,0))</f>
        <v>-5</v>
      </c>
      <c r="K338" s="65" t="str">
        <f aca="false">IF(J338="","",IF(ABS(J338)&gt;$U$3,"Off-schedule","OK"))</f>
        <v>OK</v>
      </c>
      <c r="L338" s="68"/>
      <c r="M338" s="5" t="str">
        <f aca="false">TEXT(B338,"ddd")</f>
        <v>Fri</v>
      </c>
      <c r="N338" s="69" t="n">
        <f aca="false">IF(OR(C338="",D338=""),"",ROUND((MOD(D338-C338,1)-IF(ISNUMBER(E338),MOD(F338-E338,1),0))*24,2))</f>
        <v>8.02</v>
      </c>
      <c r="O338" s="5" t="s">
        <v>768</v>
      </c>
      <c r="P338" s="6" t="n">
        <v>46304</v>
      </c>
      <c r="Q338" s="5" t="str">
        <f aca="false">IF(B338&lt;$U$1,"Prior period",IF(B338&gt;$U$2,"Future period","Current period"))</f>
        <v>Current period</v>
      </c>
      <c r="R338" s="5" t="str">
        <f aca="false" t="array" ref="R338:R338">_xlfn.XLOOKUP(A338,TRIM(SUBSTITUTE('worker file'!$A$2:$A$406,_xlfn.UNICHAR(160)," ")),'worker file'!$D$2:$D$406,"Not found")</f>
        <v>TX</v>
      </c>
    </row>
    <row r="339" customFormat="false" ht="15" hidden="false" customHeight="false" outlineLevel="0" collapsed="false">
      <c r="A339" s="5" t="s">
        <v>476</v>
      </c>
      <c r="B339" s="6" t="n">
        <v>46307</v>
      </c>
      <c r="C339" s="62" t="n">
        <v>0.583333333333333</v>
      </c>
      <c r="D339" s="62" t="n">
        <v>0.934027777777778</v>
      </c>
      <c r="E339" s="63" t="n">
        <v>0.749305555555555</v>
      </c>
      <c r="F339" s="64" t="n">
        <v>0.770138888888889</v>
      </c>
      <c r="G339" s="65" t="str">
        <f aca="false" t="array" ref="G339:G339">_xlfn.XLOOKUP(A339&amp;"|"&amp;B339,ShiftRoster[Employee ID]&amp;"|"&amp;ShiftRoster[Date],ShiftRoster[Shift Code],_xlfn.XLOOKUP(A339,TRIM(SUBSTITUTE('worker file'!$A$2:$A$406,_xlfn.UNICHAR(160)," ")),'worker file'!$X$2:$X$406,"?"),0,-1)</f>
        <v>SWNG</v>
      </c>
      <c r="H339" s="65" t="str">
        <f aca="false">_xlfn.XLOOKUP(G339,ShiftCodes[Code],ShiftCodes[Work Schedule],"Unknown")</f>
        <v>Shift B – Swing (Mon–Fri 14:00–22:30)</v>
      </c>
      <c r="I339" s="66" t="n">
        <f aca="false">_xlfn.XLOOKUP(G339,ShiftCodes[Code],ShiftCodes[Start],"")</f>
        <v>0.583333333333333</v>
      </c>
      <c r="J339" s="67" t="n">
        <f aca="false">IF(OR(C339="",I339=""),"",ROUND((MOD(C339-I339+0.5,1)-0.5)*1440,0))</f>
        <v>0</v>
      </c>
      <c r="K339" s="65" t="str">
        <f aca="false">IF(J339="","",IF(ABS(J339)&gt;$U$3,"Off-schedule","OK"))</f>
        <v>OK</v>
      </c>
      <c r="L339" s="68"/>
      <c r="M339" s="5" t="str">
        <f aca="false">TEXT(B339,"ddd")</f>
        <v>Mon</v>
      </c>
      <c r="N339" s="69" t="n">
        <f aca="false">IF(OR(C339="",D339=""),"",ROUND((MOD(D339-C339,1)-IF(ISNUMBER(E339),MOD(F339-E339,1),0))*24,2))</f>
        <v>7.92</v>
      </c>
      <c r="O339" s="5" t="s">
        <v>768</v>
      </c>
      <c r="P339" s="6" t="n">
        <v>46307</v>
      </c>
      <c r="Q339" s="5" t="str">
        <f aca="false">IF(B339&lt;$U$1,"Prior period",IF(B339&gt;$U$2,"Future period","Current period"))</f>
        <v>Current period</v>
      </c>
      <c r="R339" s="5" t="str">
        <f aca="false" t="array" ref="R339:R339">_xlfn.XLOOKUP(A339,TRIM(SUBSTITUTE('worker file'!$A$2:$A$406,_xlfn.UNICHAR(160)," ")),'worker file'!$D$2:$D$406,"Not found")</f>
        <v>TX</v>
      </c>
    </row>
    <row r="340" customFormat="false" ht="15" hidden="false" customHeight="false" outlineLevel="0" collapsed="false">
      <c r="A340" s="5" t="s">
        <v>476</v>
      </c>
      <c r="B340" s="6" t="n">
        <v>46308</v>
      </c>
      <c r="C340" s="62" t="n">
        <v>0.581944444444444</v>
      </c>
      <c r="D340" s="62" t="n">
        <v>0.938888888888889</v>
      </c>
      <c r="E340" s="63" t="n">
        <v>0.750694444444444</v>
      </c>
      <c r="F340" s="64" t="n">
        <v>0.771527777777778</v>
      </c>
      <c r="G340" s="65" t="str">
        <f aca="false" t="array" ref="G340:G340">_xlfn.XLOOKUP(A340&amp;"|"&amp;B340,ShiftRoster[Employee ID]&amp;"|"&amp;ShiftRoster[Date],ShiftRoster[Shift Code],_xlfn.XLOOKUP(A340,TRIM(SUBSTITUTE('worker file'!$A$2:$A$406,_xlfn.UNICHAR(160)," ")),'worker file'!$X$2:$X$406,"?"),0,-1)</f>
        <v>SWNG</v>
      </c>
      <c r="H340" s="65" t="str">
        <f aca="false">_xlfn.XLOOKUP(G340,ShiftCodes[Code],ShiftCodes[Work Schedule],"Unknown")</f>
        <v>Shift B – Swing (Mon–Fri 14:00–22:30)</v>
      </c>
      <c r="I340" s="66" t="n">
        <f aca="false">_xlfn.XLOOKUP(G340,ShiftCodes[Code],ShiftCodes[Start],"")</f>
        <v>0.583333333333333</v>
      </c>
      <c r="J340" s="67" t="n">
        <f aca="false">IF(OR(C340="",I340=""),"",ROUND((MOD(C340-I340+0.5,1)-0.5)*1440,0))</f>
        <v>-2</v>
      </c>
      <c r="K340" s="65" t="str">
        <f aca="false">IF(J340="","",IF(ABS(J340)&gt;$U$3,"Off-schedule","OK"))</f>
        <v>OK</v>
      </c>
      <c r="L340" s="68"/>
      <c r="M340" s="5" t="str">
        <f aca="false">TEXT(B340,"ddd")</f>
        <v>Tue</v>
      </c>
      <c r="N340" s="69" t="n">
        <f aca="false">IF(OR(C340="",D340=""),"",ROUND((MOD(D340-C340,1)-IF(ISNUMBER(E340),MOD(F340-E340,1),0))*24,2))</f>
        <v>8.07</v>
      </c>
      <c r="O340" s="5" t="s">
        <v>768</v>
      </c>
      <c r="P340" s="6" t="n">
        <v>46308</v>
      </c>
      <c r="Q340" s="5" t="str">
        <f aca="false">IF(B340&lt;$U$1,"Prior period",IF(B340&gt;$U$2,"Future period","Current period"))</f>
        <v>Current period</v>
      </c>
      <c r="R340" s="5" t="str">
        <f aca="false" t="array" ref="R340:R340">_xlfn.XLOOKUP(A340,TRIM(SUBSTITUTE('worker file'!$A$2:$A$406,_xlfn.UNICHAR(160)," ")),'worker file'!$D$2:$D$406,"Not found")</f>
        <v>TX</v>
      </c>
    </row>
    <row r="341" customFormat="false" ht="15" hidden="false" customHeight="false" outlineLevel="0" collapsed="false">
      <c r="A341" s="5" t="s">
        <v>476</v>
      </c>
      <c r="B341" s="6" t="n">
        <v>46309</v>
      </c>
      <c r="C341" s="62" t="n">
        <v>0.580555555555555</v>
      </c>
      <c r="D341" s="62" t="n">
        <v>0.936111111111111</v>
      </c>
      <c r="E341" s="63" t="n">
        <v>0.745833333333333</v>
      </c>
      <c r="F341" s="64" t="n">
        <v>0.766666666666666</v>
      </c>
      <c r="G341" s="65" t="str">
        <f aca="false" t="array" ref="G341:G341">_xlfn.XLOOKUP(A341&amp;"|"&amp;B341,ShiftRoster[Employee ID]&amp;"|"&amp;ShiftRoster[Date],ShiftRoster[Shift Code],_xlfn.XLOOKUP(A341,TRIM(SUBSTITUTE('worker file'!$A$2:$A$406,_xlfn.UNICHAR(160)," ")),'worker file'!$X$2:$X$406,"?"),0,-1)</f>
        <v>SWNG</v>
      </c>
      <c r="H341" s="65" t="str">
        <f aca="false">_xlfn.XLOOKUP(G341,ShiftCodes[Code],ShiftCodes[Work Schedule],"Unknown")</f>
        <v>Shift B – Swing (Mon–Fri 14:00–22:30)</v>
      </c>
      <c r="I341" s="66" t="n">
        <f aca="false">_xlfn.XLOOKUP(G341,ShiftCodes[Code],ShiftCodes[Start],"")</f>
        <v>0.583333333333333</v>
      </c>
      <c r="J341" s="67" t="n">
        <f aca="false">IF(OR(C341="",I341=""),"",ROUND((MOD(C341-I341+0.5,1)-0.5)*1440,0))</f>
        <v>-4</v>
      </c>
      <c r="K341" s="65" t="str">
        <f aca="false">IF(J341="","",IF(ABS(J341)&gt;$U$3,"Off-schedule","OK"))</f>
        <v>OK</v>
      </c>
      <c r="L341" s="68"/>
      <c r="M341" s="5" t="str">
        <f aca="false">TEXT(B341,"ddd")</f>
        <v>Wed</v>
      </c>
      <c r="N341" s="69" t="n">
        <f aca="false">IF(OR(C341="",D341=""),"",ROUND((MOD(D341-C341,1)-IF(ISNUMBER(E341),MOD(F341-E341,1),0))*24,2))</f>
        <v>8.03</v>
      </c>
      <c r="O341" s="5" t="s">
        <v>768</v>
      </c>
      <c r="P341" s="6" t="n">
        <v>46309</v>
      </c>
      <c r="Q341" s="5" t="str">
        <f aca="false">IF(B341&lt;$U$1,"Prior period",IF(B341&gt;$U$2,"Future period","Current period"))</f>
        <v>Current period</v>
      </c>
      <c r="R341" s="5" t="str">
        <f aca="false" t="array" ref="R341:R341">_xlfn.XLOOKUP(A341,TRIM(SUBSTITUTE('worker file'!$A$2:$A$406,_xlfn.UNICHAR(160)," ")),'worker file'!$D$2:$D$406,"Not found")</f>
        <v>TX</v>
      </c>
    </row>
    <row r="342" customFormat="false" ht="15" hidden="false" customHeight="false" outlineLevel="0" collapsed="false">
      <c r="A342" s="5" t="s">
        <v>476</v>
      </c>
      <c r="B342" s="6" t="n">
        <v>46310</v>
      </c>
      <c r="C342" s="62" t="n">
        <v>0.580555555555555</v>
      </c>
      <c r="D342" s="62" t="n">
        <v>0.936111111111111</v>
      </c>
      <c r="E342" s="63" t="n">
        <v>0.744444444444444</v>
      </c>
      <c r="F342" s="64" t="n">
        <v>0.765277777777778</v>
      </c>
      <c r="G342" s="65" t="str">
        <f aca="false" t="array" ref="G342:G342">_xlfn.XLOOKUP(A342&amp;"|"&amp;B342,ShiftRoster[Employee ID]&amp;"|"&amp;ShiftRoster[Date],ShiftRoster[Shift Code],_xlfn.XLOOKUP(A342,TRIM(SUBSTITUTE('worker file'!$A$2:$A$406,_xlfn.UNICHAR(160)," ")),'worker file'!$X$2:$X$406,"?"),0,-1)</f>
        <v>SWNG</v>
      </c>
      <c r="H342" s="65" t="str">
        <f aca="false">_xlfn.XLOOKUP(G342,ShiftCodes[Code],ShiftCodes[Work Schedule],"Unknown")</f>
        <v>Shift B – Swing (Mon–Fri 14:00–22:30)</v>
      </c>
      <c r="I342" s="66" t="n">
        <f aca="false">_xlfn.XLOOKUP(G342,ShiftCodes[Code],ShiftCodes[Start],"")</f>
        <v>0.583333333333333</v>
      </c>
      <c r="J342" s="67" t="n">
        <f aca="false">IF(OR(C342="",I342=""),"",ROUND((MOD(C342-I342+0.5,1)-0.5)*1440,0))</f>
        <v>-4</v>
      </c>
      <c r="K342" s="65" t="str">
        <f aca="false">IF(J342="","",IF(ABS(J342)&gt;$U$3,"Off-schedule","OK"))</f>
        <v>OK</v>
      </c>
      <c r="L342" s="68"/>
      <c r="M342" s="5" t="str">
        <f aca="false">TEXT(B342,"ddd")</f>
        <v>Thu</v>
      </c>
      <c r="N342" s="69" t="n">
        <f aca="false">IF(OR(C342="",D342=""),"",ROUND((MOD(D342-C342,1)-IF(ISNUMBER(E342),MOD(F342-E342,1),0))*24,2))</f>
        <v>8.03</v>
      </c>
      <c r="O342" s="5" t="s">
        <v>768</v>
      </c>
      <c r="P342" s="6" t="n">
        <v>46310</v>
      </c>
      <c r="Q342" s="5" t="str">
        <f aca="false">IF(B342&lt;$U$1,"Prior period",IF(B342&gt;$U$2,"Future period","Current period"))</f>
        <v>Current period</v>
      </c>
      <c r="R342" s="5" t="str">
        <f aca="false" t="array" ref="R342:R342">_xlfn.XLOOKUP(A342,TRIM(SUBSTITUTE('worker file'!$A$2:$A$406,_xlfn.UNICHAR(160)," ")),'worker file'!$D$2:$D$406,"Not found")</f>
        <v>TX</v>
      </c>
    </row>
    <row r="343" customFormat="false" ht="15" hidden="false" customHeight="false" outlineLevel="0" collapsed="false">
      <c r="A343" s="5" t="s">
        <v>476</v>
      </c>
      <c r="B343" s="6" t="n">
        <v>46311</v>
      </c>
      <c r="C343" s="62" t="n">
        <v>0.586805555555555</v>
      </c>
      <c r="D343" s="62" t="n">
        <v>0.940972222222222</v>
      </c>
      <c r="E343" s="63" t="n">
        <v>0.753472222222222</v>
      </c>
      <c r="F343" s="64" t="n">
        <v>0.774305555555555</v>
      </c>
      <c r="G343" s="65" t="str">
        <f aca="false" t="array" ref="G343:G343">_xlfn.XLOOKUP(A343&amp;"|"&amp;B343,ShiftRoster[Employee ID]&amp;"|"&amp;ShiftRoster[Date],ShiftRoster[Shift Code],_xlfn.XLOOKUP(A343,TRIM(SUBSTITUTE('worker file'!$A$2:$A$406,_xlfn.UNICHAR(160)," ")),'worker file'!$X$2:$X$406,"?"),0,-1)</f>
        <v>SWNG</v>
      </c>
      <c r="H343" s="65" t="str">
        <f aca="false">_xlfn.XLOOKUP(G343,ShiftCodes[Code],ShiftCodes[Work Schedule],"Unknown")</f>
        <v>Shift B – Swing (Mon–Fri 14:00–22:30)</v>
      </c>
      <c r="I343" s="66" t="n">
        <f aca="false">_xlfn.XLOOKUP(G343,ShiftCodes[Code],ShiftCodes[Start],"")</f>
        <v>0.583333333333333</v>
      </c>
      <c r="J343" s="67" t="n">
        <f aca="false">IF(OR(C343="",I343=""),"",ROUND((MOD(C343-I343+0.5,1)-0.5)*1440,0))</f>
        <v>5</v>
      </c>
      <c r="K343" s="65" t="str">
        <f aca="false">IF(J343="","",IF(ABS(J343)&gt;$U$3,"Off-schedule","OK"))</f>
        <v>OK</v>
      </c>
      <c r="L343" s="68"/>
      <c r="M343" s="5" t="str">
        <f aca="false">TEXT(B343,"ddd")</f>
        <v>Fri</v>
      </c>
      <c r="N343" s="69" t="n">
        <f aca="false">IF(OR(C343="",D343=""),"",ROUND((MOD(D343-C343,1)-IF(ISNUMBER(E343),MOD(F343-E343,1),0))*24,2))</f>
        <v>8</v>
      </c>
      <c r="O343" s="5" t="s">
        <v>768</v>
      </c>
      <c r="P343" s="6" t="n">
        <v>46311</v>
      </c>
      <c r="Q343" s="5" t="str">
        <f aca="false">IF(B343&lt;$U$1,"Prior period",IF(B343&gt;$U$2,"Future period","Current period"))</f>
        <v>Current period</v>
      </c>
      <c r="R343" s="5" t="str">
        <f aca="false" t="array" ref="R343:R343">_xlfn.XLOOKUP(A343,TRIM(SUBSTITUTE('worker file'!$A$2:$A$406,_xlfn.UNICHAR(160)," ")),'worker file'!$D$2:$D$406,"Not found")</f>
        <v>TX</v>
      </c>
    </row>
    <row r="344" customFormat="false" ht="15" hidden="false" customHeight="false" outlineLevel="0" collapsed="false">
      <c r="A344" s="5" t="s">
        <v>478</v>
      </c>
      <c r="B344" s="6" t="n">
        <v>46309</v>
      </c>
      <c r="C344" s="62" t="n">
        <v>0.247222222222222</v>
      </c>
      <c r="D344" s="62" t="n">
        <v>0.602777777777778</v>
      </c>
      <c r="E344" s="63" t="n">
        <v>0.415972222222222</v>
      </c>
      <c r="F344" s="64" t="n">
        <v>0.436805555555556</v>
      </c>
      <c r="G344" s="65" t="str">
        <f aca="false" t="array" ref="G344:G344">_xlfn.XLOOKUP(A344&amp;"|"&amp;B344,ShiftRoster[Employee ID]&amp;"|"&amp;ShiftRoster[Date],ShiftRoster[Shift Code],_xlfn.XLOOKUP(A344,TRIM(SUBSTITUTE('worker file'!$A$2:$A$406,_xlfn.UNICHAR(160)," ")),'worker file'!$X$2:$X$406,"?"),0,-1)</f>
        <v>DAY</v>
      </c>
      <c r="H344" s="65" t="str">
        <f aca="false">_xlfn.XLOOKUP(G344,ShiftCodes[Code],ShiftCodes[Work Schedule],"Unknown")</f>
        <v>Shift A – Day (Mon–Fri 06:00–14:30)</v>
      </c>
      <c r="I344" s="66" t="n">
        <f aca="false">_xlfn.XLOOKUP(G344,ShiftCodes[Code],ShiftCodes[Start],"")</f>
        <v>0.25</v>
      </c>
      <c r="J344" s="67" t="n">
        <f aca="false">IF(OR(C344="",I344=""),"",ROUND((MOD(C344-I344+0.5,1)-0.5)*1440,0))</f>
        <v>-4</v>
      </c>
      <c r="K344" s="65" t="str">
        <f aca="false">IF(J344="","",IF(ABS(J344)&gt;$U$3,"Off-schedule","OK"))</f>
        <v>OK</v>
      </c>
      <c r="L344" s="68"/>
      <c r="M344" s="5" t="str">
        <f aca="false">TEXT(B344,"ddd")</f>
        <v>Wed</v>
      </c>
      <c r="N344" s="69" t="n">
        <f aca="false">IF(OR(C344="",D344=""),"",ROUND((MOD(D344-C344,1)-IF(ISNUMBER(E344),MOD(F344-E344,1),0))*24,2))</f>
        <v>8.03</v>
      </c>
      <c r="O344" s="5" t="s">
        <v>768</v>
      </c>
      <c r="P344" s="6" t="n">
        <v>46309</v>
      </c>
      <c r="Q344" s="5" t="str">
        <f aca="false">IF(B344&lt;$U$1,"Prior period",IF(B344&gt;$U$2,"Future period","Current period"))</f>
        <v>Current period</v>
      </c>
      <c r="R344" s="5" t="str">
        <f aca="false" t="array" ref="R344:R344">_xlfn.XLOOKUP(A344,TRIM(SUBSTITUTE('worker file'!$A$2:$A$406,_xlfn.UNICHAR(160)," ")),'worker file'!$D$2:$D$406,"Not found")</f>
        <v>TX</v>
      </c>
    </row>
    <row r="345" customFormat="false" ht="15" hidden="false" customHeight="false" outlineLevel="0" collapsed="false">
      <c r="A345" s="5" t="s">
        <v>478</v>
      </c>
      <c r="B345" s="6" t="n">
        <v>46310</v>
      </c>
      <c r="C345" s="62" t="n">
        <v>0.247222222222222</v>
      </c>
      <c r="D345" s="62" t="n">
        <v>0.602777777777778</v>
      </c>
      <c r="E345" s="63" t="n">
        <v>0.414583333333333</v>
      </c>
      <c r="F345" s="64" t="n">
        <v>0.435416666666667</v>
      </c>
      <c r="G345" s="65" t="str">
        <f aca="false" t="array" ref="G345:G345">_xlfn.XLOOKUP(A345&amp;"|"&amp;B345,ShiftRoster[Employee ID]&amp;"|"&amp;ShiftRoster[Date],ShiftRoster[Shift Code],_xlfn.XLOOKUP(A345,TRIM(SUBSTITUTE('worker file'!$A$2:$A$406,_xlfn.UNICHAR(160)," ")),'worker file'!$X$2:$X$406,"?"),0,-1)</f>
        <v>DAY</v>
      </c>
      <c r="H345" s="65" t="str">
        <f aca="false">_xlfn.XLOOKUP(G345,ShiftCodes[Code],ShiftCodes[Work Schedule],"Unknown")</f>
        <v>Shift A – Day (Mon–Fri 06:00–14:30)</v>
      </c>
      <c r="I345" s="66" t="n">
        <f aca="false">_xlfn.XLOOKUP(G345,ShiftCodes[Code],ShiftCodes[Start],"")</f>
        <v>0.25</v>
      </c>
      <c r="J345" s="67" t="n">
        <f aca="false">IF(OR(C345="",I345=""),"",ROUND((MOD(C345-I345+0.5,1)-0.5)*1440,0))</f>
        <v>-4</v>
      </c>
      <c r="K345" s="65" t="str">
        <f aca="false">IF(J345="","",IF(ABS(J345)&gt;$U$3,"Off-schedule","OK"))</f>
        <v>OK</v>
      </c>
      <c r="L345" s="68"/>
      <c r="M345" s="5" t="str">
        <f aca="false">TEXT(B345,"ddd")</f>
        <v>Thu</v>
      </c>
      <c r="N345" s="69" t="n">
        <f aca="false">IF(OR(C345="",D345=""),"",ROUND((MOD(D345-C345,1)-IF(ISNUMBER(E345),MOD(F345-E345,1),0))*24,2))</f>
        <v>8.03</v>
      </c>
      <c r="O345" s="5" t="s">
        <v>768</v>
      </c>
      <c r="P345" s="6" t="n">
        <v>46310</v>
      </c>
      <c r="Q345" s="5" t="str">
        <f aca="false">IF(B345&lt;$U$1,"Prior period",IF(B345&gt;$U$2,"Future period","Current period"))</f>
        <v>Current period</v>
      </c>
      <c r="R345" s="5" t="str">
        <f aca="false" t="array" ref="R345:R345">_xlfn.XLOOKUP(A345,TRIM(SUBSTITUTE('worker file'!$A$2:$A$406,_xlfn.UNICHAR(160)," ")),'worker file'!$D$2:$D$406,"Not found")</f>
        <v>TX</v>
      </c>
    </row>
    <row r="346" customFormat="false" ht="15" hidden="false" customHeight="false" outlineLevel="0" collapsed="false">
      <c r="A346" s="5" t="s">
        <v>478</v>
      </c>
      <c r="B346" s="6" t="n">
        <v>46311</v>
      </c>
      <c r="C346" s="62" t="n">
        <v>0.253472222222222</v>
      </c>
      <c r="D346" s="62" t="n">
        <v>0.607638888888889</v>
      </c>
      <c r="E346" s="63" t="n">
        <v>0.417361111111111</v>
      </c>
      <c r="F346" s="64" t="n">
        <v>0.438194444444444</v>
      </c>
      <c r="G346" s="65" t="str">
        <f aca="false" t="array" ref="G346:G346">_xlfn.XLOOKUP(A346&amp;"|"&amp;B346,ShiftRoster[Employee ID]&amp;"|"&amp;ShiftRoster[Date],ShiftRoster[Shift Code],_xlfn.XLOOKUP(A346,TRIM(SUBSTITUTE('worker file'!$A$2:$A$406,_xlfn.UNICHAR(160)," ")),'worker file'!$X$2:$X$406,"?"),0,-1)</f>
        <v>DAY</v>
      </c>
      <c r="H346" s="65" t="str">
        <f aca="false">_xlfn.XLOOKUP(G346,ShiftCodes[Code],ShiftCodes[Work Schedule],"Unknown")</f>
        <v>Shift A – Day (Mon–Fri 06:00–14:30)</v>
      </c>
      <c r="I346" s="66" t="n">
        <f aca="false">_xlfn.XLOOKUP(G346,ShiftCodes[Code],ShiftCodes[Start],"")</f>
        <v>0.25</v>
      </c>
      <c r="J346" s="67" t="n">
        <f aca="false">IF(OR(C346="",I346=""),"",ROUND((MOD(C346-I346+0.5,1)-0.5)*1440,0))</f>
        <v>5</v>
      </c>
      <c r="K346" s="65" t="str">
        <f aca="false">IF(J346="","",IF(ABS(J346)&gt;$U$3,"Off-schedule","OK"))</f>
        <v>OK</v>
      </c>
      <c r="L346" s="68"/>
      <c r="M346" s="5" t="str">
        <f aca="false">TEXT(B346,"ddd")</f>
        <v>Fri</v>
      </c>
      <c r="N346" s="69" t="n">
        <f aca="false">IF(OR(C346="",D346=""),"",ROUND((MOD(D346-C346,1)-IF(ISNUMBER(E346),MOD(F346-E346,1),0))*24,2))</f>
        <v>8</v>
      </c>
      <c r="O346" s="5" t="s">
        <v>768</v>
      </c>
      <c r="P346" s="6" t="n">
        <v>46311</v>
      </c>
      <c r="Q346" s="5" t="str">
        <f aca="false">IF(B346&lt;$U$1,"Prior period",IF(B346&gt;$U$2,"Future period","Current period"))</f>
        <v>Current period</v>
      </c>
      <c r="R346" s="5" t="str">
        <f aca="false" t="array" ref="R346:R346">_xlfn.XLOOKUP(A346,TRIM(SUBSTITUTE('worker file'!$A$2:$A$406,_xlfn.UNICHAR(160)," ")),'worker file'!$D$2:$D$406,"Not found")</f>
        <v>TX</v>
      </c>
    </row>
  </sheetData>
  <autoFilter ref="A1:R335"/>
  <conditionalFormatting sqref="K2:K346">
    <cfRule type="containsText" priority="2" operator="containsText" aboveAverage="0" equalAverage="0" bottom="0" percent="0" rank="0" text="Off-schedule" dxfId="5">
      <formula>NOT(ISERROR(SEARCH("Off-schedule",K2)))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0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11</v>
      </c>
      <c r="B1" s="74" t="s">
        <v>4</v>
      </c>
      <c r="C1" s="74" t="s">
        <v>617</v>
      </c>
      <c r="D1" s="74" t="s">
        <v>797</v>
      </c>
      <c r="E1" s="74" t="s">
        <v>798</v>
      </c>
      <c r="F1" s="74" t="s">
        <v>799</v>
      </c>
    </row>
    <row r="2" customFormat="false" ht="15" hidden="false" customHeight="false" outlineLevel="0" collapsed="false">
      <c r="A2" s="5" t="s">
        <v>34</v>
      </c>
      <c r="B2" s="38" t="s">
        <v>29</v>
      </c>
      <c r="C2" s="38" t="s">
        <v>800</v>
      </c>
      <c r="D2" s="75" t="n">
        <v>46311</v>
      </c>
      <c r="E2" s="75" t="n">
        <v>46326</v>
      </c>
      <c r="F2" s="75" t="n">
        <v>46322</v>
      </c>
    </row>
    <row r="3" customFormat="false" ht="15" hidden="false" customHeight="false" outlineLevel="0" collapsed="false">
      <c r="A3" s="21" t="s">
        <v>56</v>
      </c>
      <c r="B3" s="38" t="s">
        <v>52</v>
      </c>
      <c r="C3" s="38" t="s">
        <v>801</v>
      </c>
      <c r="D3" s="75" t="n">
        <v>46296</v>
      </c>
      <c r="E3" s="75" t="n">
        <v>46326</v>
      </c>
      <c r="F3" s="75" t="n">
        <v>46320</v>
      </c>
    </row>
    <row r="4" customFormat="false" ht="15" hidden="false" customHeight="false" outlineLevel="0" collapsed="false">
      <c r="A4" s="21" t="s">
        <v>65</v>
      </c>
      <c r="B4" s="38" t="s">
        <v>28</v>
      </c>
      <c r="C4" s="38" t="s">
        <v>801</v>
      </c>
      <c r="D4" s="75" t="n">
        <v>46296</v>
      </c>
      <c r="E4" s="75" t="n">
        <v>46326</v>
      </c>
      <c r="F4" s="75" t="n">
        <v>46320</v>
      </c>
    </row>
    <row r="5" customFormat="false" ht="15" hidden="false" customHeight="false" outlineLevel="0" collapsed="false">
      <c r="A5" s="21" t="s">
        <v>73</v>
      </c>
      <c r="B5" s="38" t="s">
        <v>70</v>
      </c>
      <c r="C5" s="38" t="s">
        <v>801</v>
      </c>
      <c r="D5" s="75" t="n">
        <v>46296</v>
      </c>
      <c r="E5" s="75" t="n">
        <v>46326</v>
      </c>
      <c r="F5" s="75" t="n">
        <v>46320</v>
      </c>
    </row>
    <row r="6" customFormat="false" ht="15" hidden="false" customHeight="false" outlineLevel="0" collapsed="false">
      <c r="A6" s="21" t="s">
        <v>80</v>
      </c>
      <c r="B6" s="38" t="s">
        <v>29</v>
      </c>
      <c r="C6" s="38" t="s">
        <v>802</v>
      </c>
      <c r="D6" s="75" t="n">
        <v>46299</v>
      </c>
      <c r="E6" s="75" t="n">
        <v>46312</v>
      </c>
      <c r="F6" s="75" t="n">
        <v>46318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0.5390625" defaultRowHeight="15" customHeight="false" zeroHeight="false" outlineLevelRow="0" outlineLevelCol="0"/>
  <cols>
    <col collapsed="false" customWidth="true" hidden="false" outlineLevel="0" max="1" min="1" style="0" width="116"/>
    <col collapsed="false" customWidth="true" hidden="false" outlineLevel="0" max="2" min="2" style="0" width="14.17"/>
    <col collapsed="false" customWidth="true" hidden="false" outlineLevel="0" max="3" min="3" style="0" width="40.83"/>
    <col collapsed="false" customWidth="true" hidden="false" outlineLevel="0" max="4" min="4" style="0" width="12.66"/>
    <col collapsed="false" customWidth="true" hidden="false" outlineLevel="0" max="5" min="5" style="0" width="8.33"/>
    <col collapsed="false" customWidth="true" hidden="false" outlineLevel="0" max="6" min="6" style="0" width="7.33"/>
    <col collapsed="false" customWidth="true" hidden="false" outlineLevel="0" max="7" min="7" style="0" width="13.5"/>
    <col collapsed="false" customWidth="true" hidden="false" outlineLevel="0" max="8" min="8" style="0" width="14.17"/>
    <col collapsed="false" customWidth="true" hidden="false" outlineLevel="0" max="9" min="9" style="0" width="20.5"/>
    <col collapsed="false" customWidth="true" hidden="false" outlineLevel="0" max="10" min="10" style="0" width="19.83"/>
  </cols>
  <sheetData>
    <row r="1" customFormat="false" ht="15" hidden="false" customHeight="false" outlineLevel="0" collapsed="false">
      <c r="A1" s="23" t="s">
        <v>610</v>
      </c>
      <c r="B1" s="23" t="s">
        <v>803</v>
      </c>
      <c r="C1" s="23" t="s">
        <v>760</v>
      </c>
      <c r="D1" s="23" t="s">
        <v>804</v>
      </c>
      <c r="E1" s="23" t="s">
        <v>805</v>
      </c>
      <c r="F1" s="23" t="s">
        <v>806</v>
      </c>
      <c r="G1" s="23" t="s">
        <v>807</v>
      </c>
      <c r="H1" s="23" t="s">
        <v>808</v>
      </c>
      <c r="I1" s="23" t="s">
        <v>809</v>
      </c>
      <c r="J1" s="23" t="s">
        <v>810</v>
      </c>
    </row>
    <row r="2" customFormat="false" ht="15" hidden="false" customHeight="false" outlineLevel="0" collapsed="false">
      <c r="A2" s="70" t="s">
        <v>39</v>
      </c>
      <c r="B2" s="70" t="s">
        <v>811</v>
      </c>
      <c r="C2" s="70" t="s">
        <v>812</v>
      </c>
      <c r="D2" s="70" t="s">
        <v>813</v>
      </c>
      <c r="E2" s="76" t="n">
        <v>0.375</v>
      </c>
      <c r="F2" s="76" t="n">
        <v>0.729166666666667</v>
      </c>
      <c r="G2" s="70" t="n">
        <v>30</v>
      </c>
      <c r="H2" s="77" t="n">
        <f aca="false">ROUND(MOD(F2-E2,1)*24-G2/60,2)</f>
        <v>8</v>
      </c>
      <c r="I2" s="23" t="str">
        <f aca="false">IF(F2&lt;E2,"Y","N")</f>
        <v>N</v>
      </c>
      <c r="J2" s="78" t="n">
        <v>0</v>
      </c>
    </row>
    <row r="3" customFormat="false" ht="15" hidden="false" customHeight="false" outlineLevel="0" collapsed="false">
      <c r="A3" s="70" t="s">
        <v>81</v>
      </c>
      <c r="B3" s="70" t="s">
        <v>652</v>
      </c>
      <c r="C3" s="70" t="s">
        <v>814</v>
      </c>
      <c r="D3" s="70" t="s">
        <v>813</v>
      </c>
      <c r="E3" s="76" t="n">
        <v>0.25</v>
      </c>
      <c r="F3" s="76" t="n">
        <v>0.604166666666667</v>
      </c>
      <c r="G3" s="70" t="n">
        <v>30</v>
      </c>
      <c r="H3" s="77" t="n">
        <f aca="false">ROUND(MOD(F3-E3,1)*24-G3/60,2)</f>
        <v>8</v>
      </c>
      <c r="I3" s="23" t="str">
        <f aca="false">IF(F3&lt;E3,"Y","N")</f>
        <v>N</v>
      </c>
      <c r="J3" s="78" t="n">
        <v>0</v>
      </c>
    </row>
    <row r="4" customFormat="false" ht="15" hidden="false" customHeight="false" outlineLevel="0" collapsed="false">
      <c r="A4" s="70" t="s">
        <v>85</v>
      </c>
      <c r="B4" s="70" t="s">
        <v>815</v>
      </c>
      <c r="C4" s="70" t="s">
        <v>816</v>
      </c>
      <c r="D4" s="70" t="s">
        <v>813</v>
      </c>
      <c r="E4" s="76" t="n">
        <v>0.583333333333333</v>
      </c>
      <c r="F4" s="76" t="n">
        <v>0.9375</v>
      </c>
      <c r="G4" s="70" t="n">
        <v>30</v>
      </c>
      <c r="H4" s="77" t="n">
        <f aca="false">ROUND(MOD(F4-E4,1)*24-G4/60,2)</f>
        <v>8</v>
      </c>
      <c r="I4" s="23" t="str">
        <f aca="false">IF(F4&lt;E4,"Y","N")</f>
        <v>N</v>
      </c>
      <c r="J4" s="78" t="n">
        <v>1.5</v>
      </c>
    </row>
    <row r="5" customFormat="false" ht="15" hidden="false" customHeight="false" outlineLevel="0" collapsed="false">
      <c r="A5" s="70" t="s">
        <v>239</v>
      </c>
      <c r="B5" s="70" t="s">
        <v>817</v>
      </c>
      <c r="C5" s="70" t="s">
        <v>818</v>
      </c>
      <c r="D5" s="70" t="s">
        <v>819</v>
      </c>
      <c r="E5" s="76" t="n">
        <v>0.916666666666667</v>
      </c>
      <c r="F5" s="76" t="n">
        <v>0.270833333333333</v>
      </c>
      <c r="G5" s="70" t="n">
        <v>30</v>
      </c>
      <c r="H5" s="77" t="n">
        <f aca="false">ROUND(MOD(F5-E5,1)*24-G5/60,2)</f>
        <v>8</v>
      </c>
      <c r="I5" s="23" t="str">
        <f aca="false">IF(F5&lt;E5,"Y","N")</f>
        <v>Y</v>
      </c>
      <c r="J5" s="78" t="n">
        <v>2.5</v>
      </c>
    </row>
    <row r="6" customFormat="false" ht="15" hidden="false" customHeight="false" outlineLevel="0" collapsed="false">
      <c r="A6" s="70" t="s">
        <v>151</v>
      </c>
      <c r="B6" s="70" t="s">
        <v>820</v>
      </c>
      <c r="C6" s="70" t="s">
        <v>821</v>
      </c>
      <c r="D6" s="70" t="s">
        <v>822</v>
      </c>
      <c r="E6" s="76" t="n">
        <v>0.25</v>
      </c>
      <c r="F6" s="76" t="n">
        <v>0.770833333333333</v>
      </c>
      <c r="G6" s="70" t="n">
        <v>30</v>
      </c>
      <c r="H6" s="77" t="n">
        <f aca="false">ROUND(MOD(F6-E6,1)*24-G6/60,2)</f>
        <v>12</v>
      </c>
      <c r="I6" s="23" t="str">
        <f aca="false">IF(F6&lt;E6,"Y","N")</f>
        <v>N</v>
      </c>
      <c r="J6" s="78" t="n">
        <v>1</v>
      </c>
    </row>
    <row r="7" customFormat="false" ht="15" hidden="false" customHeight="false" outlineLevel="0" collapsed="false">
      <c r="A7" s="70" t="s">
        <v>141</v>
      </c>
      <c r="B7" s="70" t="s">
        <v>823</v>
      </c>
      <c r="C7" s="70" t="s">
        <v>824</v>
      </c>
      <c r="D7" s="70" t="s">
        <v>825</v>
      </c>
      <c r="E7" s="76" t="n">
        <v>0.25</v>
      </c>
      <c r="F7" s="76" t="n">
        <v>0.604166666666667</v>
      </c>
      <c r="G7" s="70" t="n">
        <v>30</v>
      </c>
      <c r="H7" s="77" t="n">
        <f aca="false">ROUND(MOD(F7-E7,1)*24-G7/60,2)</f>
        <v>8</v>
      </c>
      <c r="I7" s="23" t="str">
        <f aca="false">IF(F7&lt;E7,"Y","N")</f>
        <v>N</v>
      </c>
      <c r="J7" s="78" t="n">
        <v>0</v>
      </c>
    </row>
    <row r="9" customFormat="false" ht="15" hidden="false" customHeight="false" outlineLevel="0" collapsed="false">
      <c r="A9" s="79" t="s">
        <v>826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N310" activeCellId="0" sqref="N310"/>
    </sheetView>
  </sheetViews>
  <sheetFormatPr defaultColWidth="10.5390625" defaultRowHeight="15" customHeight="false" zeroHeight="false" outlineLevelRow="0" outlineLevelCol="0"/>
  <cols>
    <col collapsed="false" customWidth="true" hidden="false" outlineLevel="0" max="1" min="1" style="0" width="15.66"/>
    <col collapsed="false" customWidth="true" hidden="false" outlineLevel="0" max="2" min="2" style="0" width="17"/>
    <col collapsed="false" customWidth="true" hidden="false" outlineLevel="0" max="3" min="3" style="0" width="13.5"/>
    <col collapsed="false" customWidth="true" hidden="false" outlineLevel="0" max="5" min="5" style="0" width="34.66"/>
    <col collapsed="false" customWidth="true" hidden="false" outlineLevel="0" max="6" min="6" style="0" width="19.83"/>
    <col collapsed="false" customWidth="true" hidden="false" outlineLevel="0" max="7" min="7" style="0" width="14.83"/>
  </cols>
  <sheetData>
    <row r="1" customFormat="false" ht="15" hidden="false" customHeight="false" outlineLevel="0" collapsed="false">
      <c r="A1" s="23" t="s">
        <v>637</v>
      </c>
      <c r="B1" s="23" t="s">
        <v>827</v>
      </c>
      <c r="C1" s="23" t="s">
        <v>759</v>
      </c>
      <c r="D1" s="23" t="s">
        <v>828</v>
      </c>
      <c r="E1" s="23" t="s">
        <v>829</v>
      </c>
      <c r="F1" s="23" t="s">
        <v>830</v>
      </c>
      <c r="G1" s="23" t="s">
        <v>831</v>
      </c>
      <c r="I1" s="80" t="s">
        <v>832</v>
      </c>
    </row>
    <row r="2" customFormat="false" ht="15" hidden="false" customHeight="false" outlineLevel="0" collapsed="false">
      <c r="A2" s="70" t="s">
        <v>129</v>
      </c>
      <c r="B2" s="26" t="n">
        <v>46299</v>
      </c>
      <c r="C2" s="70" t="s">
        <v>81</v>
      </c>
      <c r="D2" s="70" t="s">
        <v>833</v>
      </c>
      <c r="E2" s="70" t="s">
        <v>834</v>
      </c>
      <c r="F2" s="26" t="n">
        <v>46293</v>
      </c>
      <c r="G2" s="70" t="s">
        <v>128</v>
      </c>
      <c r="I2" s="81" t="s">
        <v>835</v>
      </c>
    </row>
    <row r="3" customFormat="false" ht="15" hidden="false" customHeight="false" outlineLevel="0" collapsed="false">
      <c r="A3" s="70" t="s">
        <v>129</v>
      </c>
      <c r="B3" s="26" t="n">
        <v>46305</v>
      </c>
      <c r="C3" s="70" t="s">
        <v>81</v>
      </c>
      <c r="D3" s="70" t="s">
        <v>833</v>
      </c>
      <c r="E3" s="70" t="s">
        <v>836</v>
      </c>
      <c r="F3" s="26" t="n">
        <v>46293</v>
      </c>
      <c r="G3" s="70" t="s">
        <v>128</v>
      </c>
      <c r="I3" s="81" t="s">
        <v>837</v>
      </c>
    </row>
    <row r="4" customFormat="false" ht="15" hidden="false" customHeight="false" outlineLevel="0" collapsed="false">
      <c r="A4" s="70" t="s">
        <v>351</v>
      </c>
      <c r="B4" s="26" t="n">
        <v>46308</v>
      </c>
      <c r="C4" s="70" t="s">
        <v>85</v>
      </c>
      <c r="D4" s="70" t="s">
        <v>833</v>
      </c>
      <c r="E4" s="70" t="s">
        <v>838</v>
      </c>
      <c r="F4" s="26" t="n">
        <v>46301</v>
      </c>
      <c r="G4" s="70" t="s">
        <v>161</v>
      </c>
    </row>
    <row r="5" customFormat="false" ht="15" hidden="false" customHeight="false" outlineLevel="0" collapsed="false">
      <c r="A5" s="70" t="s">
        <v>157</v>
      </c>
      <c r="B5" s="26" t="n">
        <v>46305</v>
      </c>
      <c r="C5" s="70" t="s">
        <v>81</v>
      </c>
      <c r="D5" s="70" t="s">
        <v>839</v>
      </c>
      <c r="E5" s="70" t="s">
        <v>840</v>
      </c>
      <c r="F5" s="26" t="n">
        <v>46303</v>
      </c>
      <c r="G5" s="70" t="s">
        <v>128</v>
      </c>
    </row>
    <row r="6" customFormat="false" ht="15" hidden="false" customHeight="false" outlineLevel="0" collapsed="false">
      <c r="A6" s="70" t="s">
        <v>270</v>
      </c>
      <c r="B6" s="26" t="n">
        <v>46311</v>
      </c>
      <c r="C6" s="70" t="s">
        <v>239</v>
      </c>
      <c r="D6" s="70" t="s">
        <v>833</v>
      </c>
      <c r="E6" s="70" t="s">
        <v>841</v>
      </c>
      <c r="F6" s="26" t="n">
        <v>46304</v>
      </c>
      <c r="G6" s="70" t="s">
        <v>202</v>
      </c>
    </row>
    <row r="7" customFormat="false" ht="15" hidden="false" customHeight="false" outlineLevel="0" collapsed="false">
      <c r="A7" s="70" t="s">
        <v>270</v>
      </c>
      <c r="B7" s="26" t="n">
        <v>46312</v>
      </c>
      <c r="C7" s="70" t="s">
        <v>239</v>
      </c>
      <c r="D7" s="70" t="s">
        <v>833</v>
      </c>
      <c r="E7" s="70" t="s">
        <v>842</v>
      </c>
      <c r="F7" s="26" t="n">
        <v>46304</v>
      </c>
      <c r="G7" s="70" t="s">
        <v>202</v>
      </c>
    </row>
    <row r="8" customFormat="false" ht="15" hidden="false" customHeight="false" outlineLevel="0" collapsed="false">
      <c r="A8" s="70" t="s">
        <v>351</v>
      </c>
      <c r="B8" s="26" t="n">
        <v>46308</v>
      </c>
      <c r="C8" s="70" t="s">
        <v>81</v>
      </c>
      <c r="D8" s="70" t="s">
        <v>839</v>
      </c>
      <c r="E8" s="70" t="s">
        <v>843</v>
      </c>
      <c r="F8" s="26" t="n">
        <v>46305</v>
      </c>
      <c r="G8" s="70" t="s">
        <v>161</v>
      </c>
    </row>
    <row r="9" customFormat="false" ht="15" hidden="false" customHeight="false" outlineLevel="0" collapsed="false">
      <c r="A9" s="70" t="s">
        <v>131</v>
      </c>
      <c r="B9" s="26" t="n">
        <v>46309</v>
      </c>
      <c r="C9" s="70" t="s">
        <v>81</v>
      </c>
      <c r="D9" s="70" t="s">
        <v>844</v>
      </c>
      <c r="E9" s="70" t="s">
        <v>845</v>
      </c>
      <c r="F9" s="26" t="n">
        <v>46307</v>
      </c>
      <c r="G9" s="70" t="s">
        <v>128</v>
      </c>
    </row>
    <row r="10" customFormat="false" ht="15" hidden="false" customHeight="false" outlineLevel="0" collapsed="false">
      <c r="A10" s="70" t="s">
        <v>137</v>
      </c>
      <c r="B10" s="26" t="n">
        <v>46309</v>
      </c>
      <c r="C10" s="70" t="s">
        <v>85</v>
      </c>
      <c r="D10" s="70" t="s">
        <v>844</v>
      </c>
      <c r="E10" s="70" t="s">
        <v>846</v>
      </c>
      <c r="F10" s="26" t="n">
        <v>46307</v>
      </c>
      <c r="G10" s="70" t="s">
        <v>128</v>
      </c>
    </row>
    <row r="11" customFormat="false" ht="15" hidden="false" customHeight="false" outlineLevel="0" collapsed="false">
      <c r="A11" s="70" t="s">
        <v>120</v>
      </c>
      <c r="B11" s="26" t="n">
        <v>46312</v>
      </c>
      <c r="C11" s="70" t="s">
        <v>85</v>
      </c>
      <c r="D11" s="70" t="s">
        <v>839</v>
      </c>
      <c r="E11" s="70" t="s">
        <v>836</v>
      </c>
      <c r="F11" s="26" t="n">
        <v>46310</v>
      </c>
      <c r="G11" s="70" t="s">
        <v>118</v>
      </c>
    </row>
    <row r="12" customFormat="false" ht="15" hidden="false" customHeight="false" outlineLevel="0" collapsed="false">
      <c r="A12" s="70" t="s">
        <v>131</v>
      </c>
      <c r="B12" s="26" t="n">
        <v>46309</v>
      </c>
      <c r="C12" s="70" t="s">
        <v>85</v>
      </c>
      <c r="D12" s="70" t="s">
        <v>839</v>
      </c>
      <c r="E12" s="70" t="s">
        <v>847</v>
      </c>
      <c r="F12" s="26" t="n">
        <v>46312</v>
      </c>
      <c r="G12" s="70"/>
    </row>
    <row r="13" customFormat="false" ht="15" hidden="false" customHeight="false" outlineLevel="0" collapsed="false">
      <c r="A13" s="70" t="s">
        <v>137</v>
      </c>
      <c r="B13" s="26" t="n">
        <v>46309</v>
      </c>
      <c r="C13" s="70" t="s">
        <v>81</v>
      </c>
      <c r="D13" s="70" t="s">
        <v>839</v>
      </c>
      <c r="E13" s="70" t="s">
        <v>848</v>
      </c>
      <c r="F13" s="26" t="n">
        <v>46312</v>
      </c>
      <c r="G13" s="70"/>
    </row>
  </sheetData>
  <dataValidations count="1">
    <dataValidation allowBlank="true" errorStyle="stop" operator="between" showDropDown="false" showErrorMessage="true" showInputMessage="true" sqref="C2:C502" type="list">
      <formula1>'Shift Codes'!$A$2:$A$7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2026-10-02T14:14:45Z</dcterms:created>
  <dc:creator>Apache POI</dc:creator>
  <dc:description/>
  <dc:language>en-US</dc:language>
  <cp:lastModifiedBy/>
  <dcterms:modified xsi:type="dcterms:W3CDTF">2026-10-19T07:55:52Z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